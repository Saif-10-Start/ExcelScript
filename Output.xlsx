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d9af464614a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a4e5ba57d84c68935d0d19bd1d3ff8.psmdcp" Id="R652d03242a6742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st" sheetId="94" r:id="rId2"/>
    <x:sheet name="Fibreglass" sheetId="1" r:id="rId3"/>
    <x:sheet name="Extractors" sheetId="2" r:id="rId4"/>
    <x:sheet name="Handyman" sheetId="3" r:id="rId5"/>
    <x:sheet name="Electricians" sheetId="4" r:id="rId6"/>
    <x:sheet name="Carpenters" sheetId="5" r:id="rId7"/>
    <x:sheet name="Second Hand Car Dealers" sheetId="6" r:id="rId8"/>
    <x:sheet name="Archaeological Monitors" sheetId="7" r:id="rId9"/>
    <x:sheet name="Maltese Balconies" sheetId="8" r:id="rId10"/>
    <x:sheet name="Wall Mounted Speakers" sheetId="9" r:id="rId11"/>
    <x:sheet name="Hardware" sheetId="10" r:id="rId12"/>
    <x:sheet name="Laser" sheetId="11" r:id="rId13"/>
    <x:sheet name="Surveyors" sheetId="12" r:id="rId14"/>
    <x:sheet name="Car Scrapping" sheetId="13" r:id="rId15"/>
    <x:sheet name="Sills" sheetId="14" r:id="rId16"/>
    <x:sheet name="Waterproofing" sheetId="15" r:id="rId17"/>
    <x:sheet name="Surface finishes" sheetId="16" r:id="rId18"/>
    <x:sheet name="Terrazzo Slabs" sheetId="17" r:id="rId19"/>
    <x:sheet name="Washing Machines" sheetId="18" r:id="rId20"/>
    <x:sheet name="Tumble Dryer" sheetId="19" r:id="rId21"/>
    <x:sheet name="Gypsum" sheetId="20" r:id="rId22"/>
    <x:sheet name="Cubicle Partitions" sheetId="21" r:id="rId23"/>
    <x:sheet name="Site Clearance" sheetId="22" r:id="rId24"/>
    <x:sheet name="Industrial Shelving" sheetId="23" r:id="rId25"/>
    <x:sheet name="multysensory room" sheetId="24" r:id="rId26"/>
    <x:sheet name="Bathroom" sheetId="25" r:id="rId27"/>
    <x:sheet name="Jacuzzi" sheetId="26" r:id="rId28"/>
    <x:sheet name="Bedroom" sheetId="27" r:id="rId29"/>
    <x:sheet name="Kitchen" sheetId="28" r:id="rId30"/>
    <x:sheet name="Wall Panels" sheetId="29" r:id="rId31"/>
    <x:sheet name="Office" sheetId="30" r:id="rId32"/>
    <x:sheet name="Office Tables" sheetId="31" r:id="rId33"/>
    <x:sheet name="Living Room" sheetId="32" r:id="rId34"/>
    <x:sheet name="Storage Units" sheetId="33" r:id="rId35"/>
    <x:sheet name="Custom Furniture" sheetId="34" r:id="rId36"/>
    <x:sheet name="Garden " sheetId="35" r:id="rId37"/>
    <x:sheet name="Outdoor Furniture" sheetId="36" r:id="rId38"/>
    <x:sheet name="Wallpapers" sheetId="37" r:id="rId39"/>
    <x:sheet name="Trimwork" sheetId="38" r:id="rId40"/>
    <x:sheet name="House Decor" sheetId="39" r:id="rId41"/>
    <x:sheet name="Business Cards" sheetId="40" r:id="rId42"/>
    <x:sheet name="Laundry room" sheetId="41" r:id="rId43"/>
    <x:sheet name="Window Films" sheetId="42" r:id="rId44"/>
    <x:sheet name="Blinds" sheetId="43" r:id="rId45"/>
    <x:sheet name="Systems " sheetId="44" r:id="rId46"/>
    <x:sheet name="Water tank" sheetId="45" r:id="rId47"/>
    <x:sheet name="STO" sheetId="46" r:id="rId48"/>
    <x:sheet name="MEP Services" sheetId="47" r:id="rId49"/>
    <x:sheet name="Lifts" sheetId="48" r:id="rId50"/>
    <x:sheet name="Flooring" sheetId="49" r:id="rId51"/>
    <x:sheet name="Tilers" sheetId="50" r:id="rId52"/>
    <x:sheet name="Tiles" sheetId="51" r:id="rId53"/>
    <x:sheet name="Seamless flooring " sheetId="52" r:id="rId54"/>
    <x:sheet name="Resin Flooring" sheetId="53" r:id="rId55"/>
    <x:sheet name="Epoxy Flooring" sheetId="54" r:id="rId56"/>
    <x:sheet name="Vinyl Flooring" sheetId="55" r:id="rId57"/>
    <x:sheet name="Underfloor Heating" sheetId="56" r:id="rId58"/>
    <x:sheet name="Floor Levelling" sheetId="57" r:id="rId59"/>
    <x:sheet name="Garage doors" sheetId="58" r:id="rId60"/>
    <x:sheet name="BBQ" sheetId="59" r:id="rId61"/>
    <x:sheet name="Alum Apertures" sheetId="60" r:id="rId62"/>
    <x:sheet name="Aluminum" sheetId="61" r:id="rId63"/>
    <x:sheet name="Skylight" sheetId="62" r:id="rId64"/>
    <x:sheet name="Timber Apertures" sheetId="63" r:id="rId65"/>
    <x:sheet name="PVC Appertures" sheetId="64" r:id="rId66"/>
    <x:sheet name="uPVC Apertures" sheetId="65" r:id="rId67"/>
    <x:sheet name="Pocket Doors &amp; Sliding Doors" sheetId="66" r:id="rId68"/>
    <x:sheet name="Restoration" sheetId="67" r:id="rId69"/>
    <x:sheet name="Cherry Pickers" sheetId="68" r:id="rId70"/>
    <x:sheet name="Turnkey Companies" sheetId="69" r:id="rId71"/>
    <x:sheet name="Construction" sheetId="70" r:id="rId72"/>
    <x:sheet name="Electrical &amp; Plumbing" sheetId="71" r:id="rId73"/>
    <x:sheet name="Lighting" sheetId="72" r:id="rId74"/>
    <x:sheet name="Scaffolding" sheetId="73" r:id="rId75"/>
    <x:sheet name="Awnings &amp; Pergolas" sheetId="74" r:id="rId76"/>
    <x:sheet name="Doors" sheetId="75" r:id="rId77"/>
    <x:sheet name="Marble suppliers " sheetId="76" r:id="rId78"/>
    <x:sheet name="Pocket doors" sheetId="77" r:id="rId79"/>
    <x:sheet name="Internal doors " sheetId="78" r:id="rId80"/>
    <x:sheet name="Air conditioners" sheetId="79" r:id="rId81"/>
    <x:sheet name="Outdoor decking" sheetId="80" r:id="rId82"/>
    <x:sheet name="Raised flooring" sheetId="81" r:id="rId83"/>
    <x:sheet name="Iglus " sheetId="82" r:id="rId84"/>
    <x:sheet name="T Beams" sheetId="83" r:id="rId85"/>
    <x:sheet name="Plotters " sheetId="84" r:id="rId86"/>
    <x:sheet name="3D Rendering Services" sheetId="85" r:id="rId87"/>
    <x:sheet name="Sign Makers" sheetId="86" r:id="rId88"/>
    <x:sheet name="Stone suppliers" sheetId="87" r:id="rId89"/>
    <x:sheet name="Plasterers" sheetId="88" r:id="rId90"/>
    <x:sheet name="Microcement" sheetId="89" r:id="rId91"/>
    <x:sheet name="Insulation" sheetId="90" r:id="rId92"/>
    <x:sheet name="Metal works " sheetId="91" r:id="rId93"/>
    <x:sheet name="Glass" sheetId="92" r:id="rId94"/>
    <x:sheet name="Wood working" sheetId="93" r:id="rId95"/>
  </x:sheets>
  <x:definedNames/>
  <x:calcPr calcId="125725"/>
</x:workbook>
</file>

<file path=xl/calcChain.xml><?xml version="1.0" encoding="utf-8"?>
<x:calcChain xmlns:x="http://schemas.openxmlformats.org/spreadsheetml/2006/main">
  <x:c r="H1" i="1"/>
  <x:c r="D2" i="1"/>
  <x:c r="D3" i="1"/>
  <x:c r="D4" i="1"/>
  <x:c r="D5" i="1"/>
  <x:c r="D6" i="1"/>
  <x:c r="H1" i="2"/>
  <x:c r="D2" i="2"/>
  <x:c r="D3" i="2"/>
  <x:c r="D4" i="2"/>
  <x:c r="D5" i="2"/>
  <x:c r="D6" i="2"/>
  <x:c r="D7" i="2"/>
  <x:c r="D8" i="2"/>
  <x:c r="D9" i="2"/>
  <x:c r="D10" i="2"/>
  <x:c r="D11" i="2"/>
  <x:c r="D12" i="2"/>
  <x:c r="I1" i="3"/>
  <x:c r="D2" i="3"/>
  <x:c r="D3" i="3"/>
  <x:c r="D4" i="3"/>
  <x:c r="D5" i="3"/>
  <x:c r="D6" i="3"/>
  <x:c r="D7" i="3"/>
  <x:c r="D8" i="3"/>
  <x:c r="D9" i="3"/>
  <x:c r="D10" i="3"/>
  <x:c r="D11" i="3"/>
  <x:c r="D12" i="3"/>
  <x:c r="D13" i="3"/>
  <x:c r="D14" i="3"/>
  <x:c r="D15" i="3"/>
  <x:c r="D16" i="3"/>
  <x:c r="D17" i="3"/>
  <x:c r="D18" i="3"/>
  <x:c r="D19" i="3"/>
  <x:c r="D20" i="3"/>
  <x:c r="D21" i="3"/>
  <x:c r="D22" i="3"/>
  <x:c r="D23" i="3"/>
  <x:c r="D25" i="3"/>
  <x:c r="D26" i="3"/>
  <x:c r="I1" i="4"/>
  <x:c r="D2" i="4"/>
  <x:c r="D3" i="4"/>
  <x:c r="D4" i="4"/>
  <x:c r="D5" i="4"/>
  <x:c r="D9" i="4"/>
  <x:c r="D10" i="4"/>
  <x:c r="D11" i="4"/>
  <x:c r="D12" i="4"/>
  <x:c r="D13" i="4"/>
  <x:c r="D14" i="4"/>
  <x:c r="G1" i="5"/>
  <x:c r="G1" i="6"/>
  <x:c r="D2" i="6"/>
  <x:c r="D3" i="6"/>
  <x:c r="D4" i="6"/>
  <x:c r="D5" i="6"/>
  <x:c r="D6" i="6"/>
  <x:c r="D7" i="6"/>
  <x:c r="D8" i="6"/>
  <x:c r="D9" i="6"/>
  <x:c r="D10" i="6"/>
  <x:c r="D11" i="6"/>
  <x:c r="G1" i="7"/>
  <x:c r="D2" i="7"/>
  <x:c r="D3" i="7"/>
  <x:c r="D4" i="7"/>
  <x:c r="D5" i="7"/>
  <x:c r="D6" i="7"/>
  <x:c r="D7" i="7"/>
  <x:c r="D8" i="7"/>
  <x:c r="D9" i="7"/>
  <x:c r="D10" i="7"/>
  <x:c r="D11" i="7"/>
  <x:c r="D12" i="7"/>
  <x:c r="D13" i="7"/>
  <x:c r="D14" i="7"/>
  <x:c r="D15" i="7"/>
  <x:c r="D16" i="7"/>
  <x:c r="D17" i="7"/>
  <x:c r="D18" i="7"/>
  <x:c r="D19" i="7"/>
  <x:c r="D20" i="7"/>
  <x:c r="D21" i="7"/>
  <x:c r="D22" i="7"/>
  <x:c r="D23" i="7"/>
  <x:c r="D24" i="7"/>
  <x:c r="D25" i="7"/>
  <x:c r="D26" i="7"/>
  <x:c r="D27" i="7"/>
  <x:c r="D28" i="7"/>
  <x:c r="D29" i="7"/>
  <x:c r="D30" i="7"/>
  <x:c r="D31" i="7"/>
  <x:c r="D32" i="7"/>
  <x:c r="D33" i="7"/>
  <x:c r="D34" i="7"/>
  <x:c r="D35" i="7"/>
  <x:c r="G1" i="8"/>
  <x:c r="I1" i="9"/>
  <x:c r="D2" i="9"/>
  <x:c r="D3" i="9"/>
  <x:c r="D4" i="9"/>
  <x:c r="D5" i="9"/>
  <x:c r="D6" i="9"/>
  <x:c r="D7" i="9"/>
  <x:c r="D8" i="9"/>
  <x:c r="D9" i="9"/>
  <x:c r="D10" i="9"/>
  <x:c r="D11" i="9"/>
  <x:c r="D12" i="9"/>
  <x:c r="D13" i="9"/>
  <x:c r="L1" i="10"/>
  <x:c r="K1" i="11"/>
  <x:c r="D2" i="11"/>
  <x:c r="H1" i="12"/>
  <x:c r="D2" i="12"/>
  <x:c r="D3" i="12"/>
  <x:c r="D4" i="12"/>
  <x:c r="D5" i="12"/>
  <x:c r="D6" i="12"/>
  <x:c r="D7" i="12"/>
  <x:c r="D8" i="12"/>
  <x:c r="D9" i="12"/>
  <x:c r="D10" i="12"/>
  <x:c r="D11" i="12"/>
  <x:c r="D12" i="12"/>
  <x:c r="D13" i="12"/>
  <x:c r="G1" i="13"/>
  <x:c r="D2" i="13"/>
  <x:c r="D4" i="13"/>
  <x:c r="D6" i="13"/>
  <x:c r="D8" i="13"/>
  <x:c r="D10" i="13"/>
  <x:c r="D12" i="13"/>
  <x:c r="D14" i="13"/>
  <x:c r="G1" i="14"/>
  <x:c r="D2" i="14"/>
  <x:c r="D3" i="14"/>
  <x:c r="D4" i="14"/>
  <x:c r="D5" i="14"/>
  <x:c r="D6" i="14"/>
  <x:c r="D7" i="14"/>
  <x:c r="D8" i="14"/>
  <x:c r="D9" i="14"/>
  <x:c r="D10" i="14"/>
  <x:c r="D11" i="14"/>
  <x:c r="D12" i="14"/>
  <x:c r="D13" i="14"/>
  <x:c r="D14" i="14"/>
  <x:c r="D15" i="14"/>
  <x:c r="D16" i="14"/>
  <x:c r="L1" i="15"/>
  <x:c r="D2" i="15"/>
  <x:c r="D3" i="15"/>
  <x:c r="D4" i="15"/>
  <x:c r="D5" i="15"/>
  <x:c r="D6" i="15"/>
  <x:c r="D7" i="15"/>
  <x:c r="D8" i="15"/>
  <x:c r="D9" i="15"/>
  <x:c r="D10" i="15"/>
  <x:c r="D11" i="15"/>
  <x:c r="D12" i="15"/>
  <x:c r="D13" i="15"/>
  <x:c r="D14" i="15"/>
  <x:c r="D15" i="15"/>
  <x:c r="D16" i="15"/>
  <x:c r="D17" i="15"/>
  <x:c r="D18" i="15"/>
  <x:c r="G1" i="16"/>
  <x:c r="L1" i="17"/>
  <x:c r="D2" i="17"/>
  <x:c r="D3" i="17"/>
  <x:c r="D5" i="17"/>
  <x:c r="D6" i="17"/>
  <x:c r="D8" i="17"/>
  <x:c r="L1" i="18"/>
  <x:c r="D2" i="18"/>
  <x:c r="D3" i="18"/>
  <x:c r="D4" i="18"/>
  <x:c r="D5" i="18"/>
  <x:c r="D6" i="18"/>
  <x:c r="D7" i="18"/>
  <x:c r="D8" i="18"/>
  <x:c r="D9" i="18"/>
  <x:c r="D10" i="18"/>
  <x:c r="D12" i="18"/>
  <x:c r="D13" i="18"/>
  <x:c r="D14" i="18"/>
  <x:c r="D15" i="18"/>
  <x:c r="D16" i="18"/>
  <x:c r="D17" i="18"/>
  <x:c r="D18" i="18"/>
  <x:c r="D19" i="18"/>
  <x:c r="D20" i="18"/>
  <x:c r="D21" i="18"/>
  <x:c r="D22" i="18"/>
  <x:c r="D23" i="18"/>
  <x:c r="D24" i="18"/>
  <x:c r="L1" i="19"/>
  <x:c r="D2" i="19"/>
  <x:c r="D3" i="19"/>
  <x:c r="D4" i="19"/>
  <x:c r="D5" i="19"/>
  <x:c r="D6" i="19"/>
  <x:c r="D7" i="19"/>
  <x:c r="D8" i="19"/>
  <x:c r="D9" i="19"/>
  <x:c r="D10" i="19"/>
  <x:c r="D11" i="19"/>
  <x:c r="D12" i="19"/>
  <x:c r="D13" i="19"/>
  <x:c r="D14" i="19"/>
  <x:c r="D15" i="19"/>
  <x:c r="D16" i="19"/>
  <x:c r="L1" i="20"/>
  <x:c r="D2" i="20"/>
  <x:c r="D4" i="20"/>
  <x:c r="D5" i="20"/>
  <x:c r="D6" i="20"/>
  <x:c r="D7" i="20"/>
  <x:c r="D8" i="20"/>
  <x:c r="D9" i="20"/>
  <x:c r="D10" i="20"/>
  <x:c r="D11" i="20"/>
  <x:c r="D12" i="20"/>
  <x:c r="D13" i="20"/>
  <x:c r="D14" i="20"/>
  <x:c r="D15" i="20"/>
  <x:c r="D16" i="20"/>
  <x:c r="D17" i="20"/>
  <x:c r="D18" i="20"/>
  <x:c r="D19" i="20"/>
  <x:c r="D20" i="20"/>
  <x:c r="D21" i="20"/>
  <x:c r="D22" i="20"/>
  <x:c r="D23" i="20"/>
  <x:c r="D24" i="20"/>
  <x:c r="H1" i="21"/>
  <x:c r="D2" i="21"/>
  <x:c r="D3" i="21"/>
  <x:c r="D4" i="21"/>
  <x:c r="D5" i="21"/>
  <x:c r="G1" i="22"/>
  <x:c r="D2" i="22"/>
  <x:c r="D4" i="22"/>
  <x:c r="L1" i="23"/>
  <x:c r="D2" i="23"/>
  <x:c r="D3" i="23"/>
  <x:c r="D4" i="23"/>
  <x:c r="D5" i="23"/>
  <x:c r="D6" i="23"/>
  <x:c r="D7" i="23"/>
  <x:c r="D8" i="23"/>
  <x:c r="D9" i="23"/>
  <x:c r="D10" i="23"/>
  <x:c r="D11" i="23"/>
  <x:c r="D12" i="23"/>
  <x:c r="D13" i="23"/>
  <x:c r="D14" i="23"/>
  <x:c r="D15" i="23"/>
  <x:c r="D16" i="23"/>
  <x:c r="L1" i="24"/>
  <x:c r="D2" i="24"/>
  <x:c r="D3" i="24"/>
  <x:c r="D4" i="24"/>
  <x:c r="D5" i="24"/>
  <x:c r="D6" i="24"/>
  <x:c r="G1" i="25"/>
  <x:c r="D2" i="25"/>
  <x:c r="D4" i="25"/>
  <x:c r="D5" i="25"/>
  <x:c r="D6" i="25"/>
  <x:c r="D7" i="25"/>
  <x:c r="D8" i="25"/>
  <x:c r="D9" i="25"/>
  <x:c r="D10" i="25"/>
  <x:c r="D11" i="25"/>
  <x:c r="D12" i="25"/>
  <x:c r="D13" i="25"/>
  <x:c r="D14" i="25"/>
  <x:c r="D15" i="25"/>
  <x:c r="D16" i="25"/>
  <x:c r="D17" i="25"/>
  <x:c r="D18" i="25"/>
  <x:c r="D19" i="25"/>
  <x:c r="D20" i="25"/>
  <x:c r="D21" i="25"/>
  <x:c r="D22" i="25"/>
  <x:c r="D23" i="25"/>
  <x:c r="D24" i="25"/>
  <x:c r="D25" i="25"/>
  <x:c r="D26" i="25"/>
  <x:c r="D27" i="25"/>
  <x:c r="D28" i="25"/>
  <x:c r="D29" i="25"/>
  <x:c r="D30" i="25"/>
  <x:c r="D31" i="25"/>
  <x:c r="D32" i="25"/>
  <x:c r="D33" i="25"/>
  <x:c r="D34" i="25"/>
  <x:c r="D35" i="25"/>
  <x:c r="D36" i="25"/>
  <x:c r="D37" i="25"/>
  <x:c r="D38" i="25"/>
  <x:c r="D39" i="25"/>
  <x:c r="D40" i="25"/>
  <x:c r="D41" i="25"/>
  <x:c r="D42" i="25"/>
  <x:c r="D43" i="25"/>
  <x:c r="D45" i="25"/>
  <x:c r="D46" i="25"/>
  <x:c r="D47" i="25"/>
  <x:c r="D48" i="25"/>
  <x:c r="D49" i="25"/>
  <x:c r="D50" i="25"/>
  <x:c r="D51" i="25"/>
  <x:c r="D52" i="25"/>
  <x:c r="D53" i="25"/>
  <x:c r="D54" i="25"/>
  <x:c r="D55" i="25"/>
  <x:c r="D56" i="25"/>
  <x:c r="D57" i="25"/>
  <x:c r="D58" i="25"/>
  <x:c r="D60" i="25"/>
  <x:c r="D61" i="25"/>
  <x:c r="D62" i="25"/>
  <x:c r="D63" i="25"/>
  <x:c r="D64" i="25"/>
  <x:c r="D65" i="25"/>
  <x:c r="D66" i="25"/>
  <x:c r="D67" i="25"/>
  <x:c r="D68" i="25"/>
  <x:c r="D69" i="25"/>
  <x:c r="D70" i="25"/>
  <x:c r="D71" i="25"/>
  <x:c r="D72" i="25"/>
  <x:c r="D73" i="25"/>
  <x:c r="D74" i="25"/>
  <x:c r="D75" i="25"/>
  <x:c r="D76" i="25"/>
  <x:c r="D77" i="25"/>
  <x:c r="D78" i="25"/>
  <x:c r="D79" i="25"/>
  <x:c r="D80" i="25"/>
  <x:c r="D81" i="25"/>
  <x:c r="D82" i="25"/>
  <x:c r="D83" i="25"/>
  <x:c r="D84" i="25"/>
  <x:c r="D85" i="25"/>
  <x:c r="D86" i="25"/>
  <x:c r="D87" i="25"/>
  <x:c r="D88" i="25"/>
  <x:c r="D89" i="25"/>
  <x:c r="D90" i="25"/>
  <x:c r="D91" i="25"/>
  <x:c r="D93" i="25"/>
  <x:c r="D94" i="25"/>
  <x:c r="D95" i="25"/>
  <x:c r="D96" i="25"/>
  <x:c r="D97" i="25"/>
  <x:c r="D98" i="25"/>
  <x:c r="D99" i="25"/>
  <x:c r="D100" i="25"/>
  <x:c r="D101" i="25"/>
  <x:c r="D102" i="25"/>
  <x:c r="D103" i="25"/>
  <x:c r="D104" i="25"/>
  <x:c r="D105" i="25"/>
  <x:c r="D106" i="25"/>
  <x:c r="D107" i="25"/>
  <x:c r="D108" i="25"/>
  <x:c r="D109" i="25"/>
  <x:c r="D110" i="25"/>
  <x:c r="D111" i="25"/>
  <x:c r="D112" i="25"/>
  <x:c r="D113" i="25"/>
  <x:c r="D114" i="25"/>
  <x:c r="D115" i="25"/>
  <x:c r="D116" i="25"/>
  <x:c r="D117" i="25"/>
  <x:c r="D118" i="25"/>
  <x:c r="D119" i="25"/>
  <x:c r="D120" i="25"/>
  <x:c r="D121" i="25"/>
  <x:c r="D122" i="25"/>
  <x:c r="D123" i="25"/>
  <x:c r="D124" i="25"/>
  <x:c r="D125" i="25"/>
  <x:c r="D126" i="25"/>
  <x:c r="D127" i="25"/>
  <x:c r="D129" i="25"/>
  <x:c r="D130" i="25"/>
  <x:c r="D131" i="25"/>
  <x:c r="D132" i="25"/>
  <x:c r="D133" i="25"/>
  <x:c r="D134" i="25"/>
  <x:c r="D135" i="25"/>
  <x:c r="D136" i="25"/>
  <x:c r="D137" i="25"/>
  <x:c r="D138" i="25"/>
  <x:c r="D139" i="25"/>
  <x:c r="D140" i="25"/>
  <x:c r="D141" i="25"/>
  <x:c r="D142" i="25"/>
  <x:c r="D143" i="25"/>
  <x:c r="D144" i="25"/>
  <x:c r="D145" i="25"/>
  <x:c r="G1" i="26"/>
  <x:c r="D2" i="26"/>
  <x:c r="D3" i="26"/>
  <x:c r="D4" i="26"/>
  <x:c r="D5" i="26"/>
  <x:c r="D6" i="26"/>
  <x:c r="D7" i="26"/>
  <x:c r="D8" i="26"/>
  <x:c r="D9" i="26"/>
  <x:c r="D10" i="26"/>
  <x:c r="D11" i="26"/>
  <x:c r="D12" i="26"/>
  <x:c r="D13" i="26"/>
  <x:c r="D14" i="26"/>
  <x:c r="D15" i="26"/>
  <x:c r="D16" i="26"/>
  <x:c r="D17" i="26"/>
  <x:c r="D18" i="26"/>
  <x:c r="D19" i="26"/>
  <x:c r="D20" i="26"/>
  <x:c r="D21" i="26"/>
  <x:c r="D22" i="26"/>
  <x:c r="D23" i="26"/>
  <x:c r="G1" i="27"/>
  <x:c r="D2" i="27"/>
  <x:c r="D3" i="27"/>
  <x:c r="D4" i="27"/>
  <x:c r="D5" i="27"/>
  <x:c r="D6" i="27"/>
  <x:c r="D7" i="27"/>
  <x:c r="D8" i="27"/>
  <x:c r="D9" i="27"/>
  <x:c r="D10" i="27"/>
  <x:c r="D11" i="27"/>
  <x:c r="D12" i="27"/>
  <x:c r="D13" i="27"/>
  <x:c r="D14" i="27"/>
  <x:c r="D15" i="27"/>
  <x:c r="D16" i="27"/>
  <x:c r="D17" i="27"/>
  <x:c r="D18" i="27"/>
  <x:c r="D19" i="27"/>
  <x:c r="D20" i="27"/>
  <x:c r="D21" i="27"/>
  <x:c r="D22" i="27"/>
  <x:c r="D23" i="27"/>
  <x:c r="D24" i="27"/>
  <x:c r="D25" i="27"/>
  <x:c r="D26" i="27"/>
  <x:c r="D27" i="27"/>
  <x:c r="D28" i="27"/>
  <x:c r="D29" i="27"/>
  <x:c r="D30" i="27"/>
  <x:c r="D31" i="27"/>
  <x:c r="D32" i="27"/>
  <x:c r="D33" i="27"/>
  <x:c r="D34" i="27"/>
  <x:c r="D35" i="27"/>
  <x:c r="D36" i="27"/>
  <x:c r="D37" i="27"/>
  <x:c r="D38" i="27"/>
  <x:c r="D39" i="27"/>
  <x:c r="D40" i="27"/>
  <x:c r="D41" i="27"/>
  <x:c r="D42" i="27"/>
  <x:c r="D43" i="27"/>
  <x:c r="D44" i="27"/>
  <x:c r="D45" i="27"/>
  <x:c r="D46" i="27"/>
  <x:c r="D47" i="27"/>
  <x:c r="D48" i="27"/>
  <x:c r="D49" i="27"/>
  <x:c r="D50" i="27"/>
  <x:c r="D51" i="27"/>
  <x:c r="D52" i="27"/>
  <x:c r="D53" i="27"/>
  <x:c r="D54" i="27"/>
  <x:c r="D55" i="27"/>
  <x:c r="D56" i="27"/>
  <x:c r="D57" i="27"/>
  <x:c r="D58" i="27"/>
  <x:c r="D59" i="27"/>
  <x:c r="D60" i="27"/>
  <x:c r="D61" i="27"/>
  <x:c r="D62" i="27"/>
  <x:c r="D63" i="27"/>
  <x:c r="D64" i="27"/>
  <x:c r="D65" i="27"/>
  <x:c r="D66" i="27"/>
  <x:c r="D67" i="27"/>
  <x:c r="D68" i="27"/>
  <x:c r="D69" i="27"/>
  <x:c r="D70" i="27"/>
  <x:c r="D71" i="27"/>
  <x:c r="D72" i="27"/>
  <x:c r="D73" i="27"/>
  <x:c r="D74" i="27"/>
  <x:c r="D75" i="27"/>
  <x:c r="D76" i="27"/>
  <x:c r="D77" i="27"/>
  <x:c r="D78" i="27"/>
  <x:c r="D79" i="27"/>
  <x:c r="D80" i="27"/>
  <x:c r="D81" i="27"/>
  <x:c r="D82" i="27"/>
  <x:c r="D83" i="27"/>
  <x:c r="D84" i="27"/>
  <x:c r="D85" i="27"/>
  <x:c r="D86" i="27"/>
  <x:c r="D87" i="27"/>
  <x:c r="D88" i="27"/>
  <x:c r="D89" i="27"/>
  <x:c r="D90" i="27"/>
  <x:c r="D91" i="27"/>
  <x:c r="D92" i="27"/>
  <x:c r="D93" i="27"/>
  <x:c r="D94" i="27"/>
  <x:c r="D95" i="27"/>
  <x:c r="D96" i="27"/>
  <x:c r="D97" i="27"/>
  <x:c r="D98" i="27"/>
  <x:c r="D99" i="27"/>
  <x:c r="D100" i="27"/>
  <x:c r="D101" i="27"/>
  <x:c r="D102" i="27"/>
  <x:c r="D103" i="27"/>
  <x:c r="D104" i="27"/>
  <x:c r="D105" i="27"/>
  <x:c r="D106" i="27"/>
  <x:c r="D107" i="27"/>
  <x:c r="D108" i="27"/>
  <x:c r="D109" i="27"/>
  <x:c r="D110" i="27"/>
  <x:c r="D111" i="27"/>
  <x:c r="D112" i="27"/>
  <x:c r="D113" i="27"/>
  <x:c r="D114" i="27"/>
  <x:c r="D115" i="27"/>
  <x:c r="H1" i="28"/>
  <x:c r="D2" i="28"/>
  <x:c r="D3" i="28"/>
  <x:c r="D4" i="28"/>
  <x:c r="D5" i="28"/>
  <x:c r="D6" i="28"/>
  <x:c r="D7" i="28"/>
  <x:c r="D8" i="28"/>
  <x:c r="D9" i="28"/>
  <x:c r="D10" i="28"/>
  <x:c r="D11" i="28"/>
  <x:c r="D12" i="28"/>
  <x:c r="D13" i="28"/>
  <x:c r="D14" i="28"/>
  <x:c r="D15" i="28"/>
  <x:c r="D16" i="28"/>
  <x:c r="D17" i="28"/>
  <x:c r="D18" i="28"/>
  <x:c r="D19" i="28"/>
  <x:c r="D20" i="28"/>
  <x:c r="D21" i="28"/>
  <x:c r="D22" i="28"/>
  <x:c r="D23" i="28"/>
  <x:c r="D24" i="28"/>
  <x:c r="D25" i="28"/>
  <x:c r="D26" i="28"/>
  <x:c r="D27" i="28"/>
  <x:c r="D28" i="28"/>
  <x:c r="D29" i="28"/>
  <x:c r="D30" i="28"/>
  <x:c r="D31" i="28"/>
  <x:c r="D32" i="28"/>
  <x:c r="D33" i="28"/>
  <x:c r="D34" i="28"/>
  <x:c r="D35" i="28"/>
  <x:c r="D36" i="28"/>
  <x:c r="D37" i="28"/>
  <x:c r="D38" i="28"/>
  <x:c r="D39" i="28"/>
  <x:c r="D40" i="28"/>
  <x:c r="D41" i="28"/>
  <x:c r="D42" i="28"/>
  <x:c r="D43" i="28"/>
  <x:c r="D44" i="28"/>
  <x:c r="D45" i="28"/>
  <x:c r="D46" i="28"/>
  <x:c r="D47" i="28"/>
  <x:c r="D48" i="28"/>
  <x:c r="D49" i="28"/>
  <x:c r="D50" i="28"/>
  <x:c r="D51" i="28"/>
  <x:c r="D52" i="28"/>
  <x:c r="D53" i="28"/>
  <x:c r="D54" i="28"/>
  <x:c r="D55" i="28"/>
  <x:c r="D56" i="28"/>
  <x:c r="D57" i="28"/>
  <x:c r="D58" i="28"/>
  <x:c r="D59" i="28"/>
  <x:c r="D60" i="28"/>
  <x:c r="D61" i="28"/>
  <x:c r="D62" i="28"/>
  <x:c r="D63" i="28"/>
  <x:c r="D64" i="28"/>
  <x:c r="D65" i="28"/>
  <x:c r="D66" i="28"/>
  <x:c r="D67" i="28"/>
  <x:c r="D68" i="28"/>
  <x:c r="D69" i="28"/>
  <x:c r="D70" i="28"/>
  <x:c r="D71" i="28"/>
  <x:c r="D72" i="28"/>
  <x:c r="D73" i="28"/>
  <x:c r="D74" i="28"/>
  <x:c r="D75" i="28"/>
  <x:c r="D76" i="28"/>
  <x:c r="D77" i="28"/>
  <x:c r="D78" i="28"/>
  <x:c r="D79" i="28"/>
  <x:c r="D80" i="28"/>
  <x:c r="D81" i="28"/>
  <x:c r="D82" i="28"/>
  <x:c r="D83" i="28"/>
  <x:c r="D84" i="28"/>
  <x:c r="D85" i="28"/>
  <x:c r="D86" i="28"/>
  <x:c r="D87" i="28"/>
  <x:c r="D88" i="28"/>
  <x:c r="D89" i="28"/>
  <x:c r="D90" i="28"/>
  <x:c r="D91" i="28"/>
  <x:c r="D92" i="28"/>
  <x:c r="D93" i="28"/>
  <x:c r="D94" i="28"/>
  <x:c r="D95" i="28"/>
  <x:c r="D96" i="28"/>
  <x:c r="D97" i="28"/>
  <x:c r="D98" i="28"/>
  <x:c r="D99" i="28"/>
  <x:c r="D100" i="28"/>
  <x:c r="D101" i="28"/>
  <x:c r="D102" i="28"/>
  <x:c r="D103" i="28"/>
  <x:c r="D104" i="28"/>
  <x:c r="D105" i="28"/>
  <x:c r="D106" i="28"/>
  <x:c r="D107" i="28"/>
  <x:c r="D108" i="28"/>
  <x:c r="D109" i="28"/>
  <x:c r="D110" i="28"/>
  <x:c r="D111" i="28"/>
  <x:c r="D112" i="28"/>
  <x:c r="D113" i="28"/>
  <x:c r="D114" i="28"/>
  <x:c r="D115" i="28"/>
  <x:c r="D116" i="28"/>
  <x:c r="D117" i="28"/>
  <x:c r="D118" i="28"/>
  <x:c r="D119" i="28"/>
  <x:c r="D120" i="28"/>
  <x:c r="D121" i="28"/>
  <x:c r="D122" i="28"/>
  <x:c r="D123" i="28"/>
  <x:c r="D124" i="28"/>
  <x:c r="D125" i="28"/>
  <x:c r="D126" i="28"/>
  <x:c r="D127" i="28"/>
  <x:c r="D128" i="28"/>
  <x:c r="D129" i="28"/>
  <x:c r="D130" i="28"/>
  <x:c r="D131" i="28"/>
  <x:c r="D132" i="28"/>
  <x:c r="D133" i="28"/>
  <x:c r="D134" i="28"/>
  <x:c r="D135" i="28"/>
  <x:c r="D136" i="28"/>
  <x:c r="D137" i="28"/>
  <x:c r="D138" i="28"/>
  <x:c r="D139" i="28"/>
  <x:c r="D140" i="28"/>
  <x:c r="D141" i="28"/>
  <x:c r="D142" i="28"/>
  <x:c r="D143" i="28"/>
  <x:c r="D144" i="28"/>
  <x:c r="D145" i="28"/>
  <x:c r="D146" i="28"/>
  <x:c r="D147" i="28"/>
  <x:c r="D148" i="28"/>
  <x:c r="D149" i="28"/>
  <x:c r="D150" i="28"/>
  <x:c r="D151" i="28"/>
  <x:c r="D152" i="28"/>
  <x:c r="D153" i="28"/>
  <x:c r="D154" i="28"/>
  <x:c r="D155" i="28"/>
  <x:c r="D156" i="28"/>
  <x:c r="D157" i="28"/>
  <x:c r="D158" i="28"/>
  <x:c r="D159" i="28"/>
  <x:c r="D160" i="28"/>
  <x:c r="D161" i="28"/>
  <x:c r="D162" i="28"/>
  <x:c r="D163" i="28"/>
  <x:c r="D164" i="28"/>
  <x:c r="D165" i="28"/>
  <x:c r="D166" i="28"/>
  <x:c r="D167" i="28"/>
  <x:c r="D168" i="28"/>
  <x:c r="D169" i="28"/>
  <x:c r="D170" i="28"/>
  <x:c r="D171" i="28"/>
  <x:c r="D172" i="28"/>
  <x:c r="D173" i="28"/>
  <x:c r="D174" i="28"/>
  <x:c r="D175" i="28"/>
  <x:c r="D176" i="28"/>
  <x:c r="D177" i="28"/>
  <x:c r="D178" i="28"/>
  <x:c r="D179" i="28"/>
  <x:c r="D180" i="28"/>
  <x:c r="D181" i="28"/>
  <x:c r="D182" i="28"/>
  <x:c r="D183" i="28"/>
  <x:c r="D184" i="28"/>
  <x:c r="D185" i="28"/>
  <x:c r="D186" i="28"/>
  <x:c r="G1" i="29"/>
  <x:c r="D2" i="29"/>
  <x:c r="D3" i="29"/>
  <x:c r="D4" i="29"/>
  <x:c r="D5" i="29"/>
  <x:c r="D6" i="29"/>
  <x:c r="D7" i="29"/>
  <x:c r="D8" i="29"/>
  <x:c r="D10" i="29"/>
  <x:c r="D12" i="29"/>
  <x:c r="D13" i="29"/>
  <x:c r="D14" i="29"/>
  <x:c r="D15" i="29"/>
  <x:c r="D16" i="29"/>
  <x:c r="D17" i="29"/>
  <x:c r="D18" i="29"/>
  <x:c r="I1" i="30"/>
  <x:c r="D2" i="30"/>
  <x:c r="D3" i="30"/>
  <x:c r="D4" i="30"/>
  <x:c r="D5" i="30"/>
  <x:c r="D6" i="30"/>
  <x:c r="D7" i="30"/>
  <x:c r="D8" i="30"/>
  <x:c r="D9" i="30"/>
  <x:c r="D10" i="30"/>
  <x:c r="D12" i="30"/>
  <x:c r="D13" i="30"/>
  <x:c r="F1" i="31"/>
  <x:c r="H1" i="32"/>
  <x:c r="D2" i="32"/>
  <x:c r="D3" i="32"/>
  <x:c r="D4" i="32"/>
  <x:c r="D5" i="32"/>
  <x:c r="D6" i="32"/>
  <x:c r="D7" i="32"/>
  <x:c r="D8" i="32"/>
  <x:c r="D9" i="32"/>
  <x:c r="D10" i="32"/>
  <x:c r="D11" i="32"/>
  <x:c r="D12" i="32"/>
  <x:c r="D13" i="32"/>
  <x:c r="D14" i="32"/>
  <x:c r="D15" i="32"/>
  <x:c r="D16" i="32"/>
  <x:c r="D17" i="32"/>
  <x:c r="D18" i="32"/>
  <x:c r="D19" i="32"/>
  <x:c r="D20" i="32"/>
  <x:c r="D21" i="32"/>
  <x:c r="D22" i="32"/>
  <x:c r="D23" i="32"/>
  <x:c r="D24" i="32"/>
  <x:c r="D25" i="32"/>
  <x:c r="D26" i="32"/>
  <x:c r="D27" i="32"/>
  <x:c r="D28" i="32"/>
  <x:c r="D29" i="32"/>
  <x:c r="D30" i="32"/>
  <x:c r="D31" i="32"/>
  <x:c r="D32" i="32"/>
  <x:c r="D33" i="32"/>
  <x:c r="D34" i="32"/>
  <x:c r="D35" i="32"/>
  <x:c r="D36" i="32"/>
  <x:c r="D37" i="32"/>
  <x:c r="D38" i="32"/>
  <x:c r="D39" i="32"/>
  <x:c r="D40" i="32"/>
  <x:c r="H1" i="33"/>
  <x:c r="G1" i="34"/>
  <x:c r="G1" i="35"/>
  <x:c r="D2" i="35"/>
  <x:c r="D3" i="35"/>
  <x:c r="D4" i="35"/>
  <x:c r="D5" i="35"/>
  <x:c r="D6" i="35"/>
  <x:c r="D7" i="35"/>
  <x:c r="D8" i="35"/>
  <x:c r="D9" i="35"/>
  <x:c r="D10" i="35"/>
  <x:c r="D11" i="35"/>
  <x:c r="D12" i="35"/>
  <x:c r="D13" i="35"/>
  <x:c r="D14" i="35"/>
  <x:c r="D15" i="35"/>
  <x:c r="D16" i="35"/>
  <x:c r="D17" i="35"/>
  <x:c r="D18" i="35"/>
  <x:c r="D19" i="35"/>
  <x:c r="D20" i="35"/>
  <x:c r="D21" i="35"/>
  <x:c r="D22" i="35"/>
  <x:c r="D23" i="35"/>
  <x:c r="D24" i="35"/>
  <x:c r="D25" i="35"/>
  <x:c r="D26" i="35"/>
  <x:c r="D27" i="35"/>
  <x:c r="D28" i="35"/>
  <x:c r="D29" i="35"/>
  <x:c r="D30" i="35"/>
  <x:c r="D31" i="35"/>
  <x:c r="D32" i="35"/>
  <x:c r="D33" i="35"/>
  <x:c r="D34" i="35"/>
  <x:c r="D35" i="35"/>
  <x:c r="D36" i="35"/>
  <x:c r="D37" i="35"/>
  <x:c r="D38" i="35"/>
  <x:c r="D39" i="35"/>
  <x:c r="D40" i="35"/>
  <x:c r="D41" i="35"/>
  <x:c r="D42" i="35"/>
  <x:c r="D43" i="35"/>
  <x:c r="D44" i="35"/>
  <x:c r="D45" i="35"/>
  <x:c r="D46" i="35"/>
  <x:c r="D47" i="35"/>
  <x:c r="D48" i="35"/>
  <x:c r="D49" i="35"/>
  <x:c r="D50" i="35"/>
  <x:c r="D51" i="35"/>
  <x:c r="D52" i="35"/>
  <x:c r="D53" i="35"/>
  <x:c r="D54" i="35"/>
  <x:c r="D55" i="35"/>
  <x:c r="D56" i="35"/>
  <x:c r="D57" i="35"/>
  <x:c r="D58" i="35"/>
  <x:c r="D59" i="35"/>
  <x:c r="D60" i="35"/>
  <x:c r="D61" i="35"/>
  <x:c r="D62" i="35"/>
  <x:c r="D63" i="35"/>
  <x:c r="D64" i="35"/>
  <x:c r="D65" i="35"/>
  <x:c r="D66" i="35"/>
  <x:c r="D67" i="35"/>
  <x:c r="D68" i="35"/>
  <x:c r="D69" i="35"/>
  <x:c r="D70" i="35"/>
  <x:c r="D71" i="35"/>
  <x:c r="D72" i="35"/>
  <x:c r="D73" i="35"/>
  <x:c r="D74" i="35"/>
  <x:c r="D75" i="35"/>
  <x:c r="D76" i="35"/>
  <x:c r="D77" i="35"/>
  <x:c r="D78" i="35"/>
  <x:c r="D79" i="35"/>
  <x:c r="D80" i="35"/>
  <x:c r="G1" i="36"/>
  <x:c r="D2" i="36"/>
  <x:c r="D3" i="36"/>
  <x:c r="D4" i="36"/>
  <x:c r="D5" i="36"/>
  <x:c r="D6" i="36"/>
  <x:c r="G1" i="37"/>
  <x:c r="I1" i="38"/>
  <x:c r="G1" i="39"/>
  <x:c r="D2" i="39"/>
  <x:c r="D4" i="39"/>
  <x:c r="D6" i="39"/>
  <x:c r="D7" i="39"/>
  <x:c r="D8" i="39"/>
  <x:c r="D9" i="39"/>
  <x:c r="D11" i="39"/>
  <x:c r="G1" i="40"/>
  <x:c r="D2" i="40"/>
  <x:c r="G1" i="41"/>
  <x:c r="D2" i="41"/>
  <x:c r="D3" i="41"/>
  <x:c r="D4" i="41"/>
  <x:c r="D5" i="41"/>
  <x:c r="D6" i="41"/>
  <x:c r="D7" i="41"/>
  <x:c r="D8" i="41"/>
  <x:c r="D9" i="41"/>
  <x:c r="D10" i="41"/>
  <x:c r="D11" i="41"/>
  <x:c r="D12" i="41"/>
  <x:c r="D13" i="41"/>
  <x:c r="D14" i="41"/>
  <x:c r="D15" i="41"/>
  <x:c r="D16" i="41"/>
  <x:c r="D17" i="41"/>
  <x:c r="D18" i="41"/>
  <x:c r="D19" i="41"/>
  <x:c r="D20" i="41"/>
  <x:c r="D21" i="41"/>
  <x:c r="D22" i="41"/>
  <x:c r="D23" i="41"/>
  <x:c r="D24" i="41"/>
  <x:c r="D25" i="41"/>
  <x:c r="D26" i="41"/>
  <x:c r="D27" i="41"/>
  <x:c r="D28" i="41"/>
  <x:c r="D29" i="41"/>
  <x:c r="D30" i="41"/>
  <x:c r="D31" i="41"/>
  <x:c r="D32" i="41"/>
  <x:c r="D33" i="41"/>
  <x:c r="D34" i="41"/>
  <x:c r="D35" i="41"/>
  <x:c r="D36" i="41"/>
  <x:c r="D37" i="41"/>
  <x:c r="D38" i="41"/>
  <x:c r="D39" i="41"/>
  <x:c r="D40" i="41"/>
  <x:c r="D41" i="41"/>
  <x:c r="D42" i="41"/>
  <x:c r="D43" i="41"/>
  <x:c r="D44" i="41"/>
  <x:c r="D45" i="41"/>
  <x:c r="D46" i="41"/>
  <x:c r="D47" i="41"/>
  <x:c r="D48" i="41"/>
  <x:c r="D49" i="41"/>
  <x:c r="D50" i="41"/>
  <x:c r="D51" i="41"/>
  <x:c r="D52" i="41"/>
  <x:c r="D53" i="41"/>
  <x:c r="G1" i="42"/>
  <x:c r="D2" i="42"/>
  <x:c r="D4" i="42"/>
  <x:c r="D5" i="42"/>
  <x:c r="D6" i="42"/>
  <x:c r="D7" i="42"/>
  <x:c r="D8" i="42"/>
  <x:c r="D9" i="42"/>
  <x:c r="D10" i="42"/>
  <x:c r="D11" i="42"/>
  <x:c r="G1" i="43"/>
  <x:c r="D2" i="43"/>
  <x:c r="D3" i="43"/>
  <x:c r="D4" i="43"/>
  <x:c r="D5" i="43"/>
  <x:c r="D6" i="43"/>
  <x:c r="D7" i="43"/>
  <x:c r="D8" i="43"/>
  <x:c r="D9" i="43"/>
  <x:c r="D10" i="43"/>
  <x:c r="D11" i="43"/>
  <x:c r="D12" i="43"/>
  <x:c r="D13" i="43"/>
  <x:c r="D14" i="43"/>
  <x:c r="D15" i="43"/>
  <x:c r="D16" i="43"/>
  <x:c r="D17" i="43"/>
  <x:c r="D18" i="43"/>
  <x:c r="D19" i="43"/>
  <x:c r="D20" i="43"/>
  <x:c r="D21" i="43"/>
  <x:c r="D22" i="43"/>
  <x:c r="D23" i="43"/>
  <x:c r="D24" i="43"/>
  <x:c r="D25" i="43"/>
  <x:c r="D26" i="43"/>
  <x:c r="D27" i="43"/>
  <x:c r="G1" i="44"/>
  <x:c r="D2" i="44"/>
  <x:c r="D3" i="44"/>
  <x:c r="D4" i="44"/>
  <x:c r="D5" i="44"/>
  <x:c r="D6" i="44"/>
  <x:c r="D7" i="44"/>
  <x:c r="D8" i="44"/>
  <x:c r="D9" i="44"/>
  <x:c r="D10" i="44"/>
  <x:c r="D11" i="44"/>
  <x:c r="D12" i="44"/>
  <x:c r="D13" i="44"/>
  <x:c r="D14" i="44"/>
  <x:c r="D15" i="44"/>
  <x:c r="D16" i="44"/>
  <x:c r="D17" i="44"/>
  <x:c r="D18" i="44"/>
  <x:c r="D19" i="44"/>
  <x:c r="D20" i="44"/>
  <x:c r="D21" i="44"/>
  <x:c r="D22" i="44"/>
  <x:c r="D23" i="44"/>
  <x:c r="D24" i="44"/>
  <x:c r="D25" i="44"/>
  <x:c r="D26" i="44"/>
  <x:c r="D27" i="44"/>
  <x:c r="D28" i="44"/>
  <x:c r="D29" i="44"/>
  <x:c r="D30" i="44"/>
  <x:c r="D31" i="44"/>
  <x:c r="D32" i="44"/>
  <x:c r="D33" i="44"/>
  <x:c r="D34" i="44"/>
  <x:c r="D35" i="44"/>
  <x:c r="D36" i="44"/>
  <x:c r="D37" i="44"/>
  <x:c r="D38" i="44"/>
  <x:c r="D39" i="44"/>
  <x:c r="D40" i="44"/>
  <x:c r="D41" i="44"/>
  <x:c r="D42" i="44"/>
  <x:c r="D43" i="44"/>
  <x:c r="D44" i="44"/>
  <x:c r="D45" i="44"/>
  <x:c r="D46" i="44"/>
  <x:c r="D47" i="44"/>
  <x:c r="D48" i="44"/>
  <x:c r="D49" i="44"/>
  <x:c r="D50" i="44"/>
  <x:c r="D51" i="44"/>
  <x:c r="D52" i="44"/>
  <x:c r="D53" i="44"/>
  <x:c r="D54" i="44"/>
  <x:c r="D55" i="44"/>
  <x:c r="D56" i="44"/>
  <x:c r="D57" i="44"/>
  <x:c r="G1" i="45"/>
  <x:c r="D2" i="45"/>
  <x:c r="D3" i="45"/>
  <x:c r="D4" i="45"/>
  <x:c r="D5" i="45"/>
  <x:c r="D6" i="45"/>
  <x:c r="D7" i="45"/>
  <x:c r="D8" i="45"/>
  <x:c r="D9" i="45"/>
  <x:c r="D10" i="45"/>
  <x:c r="D11" i="45"/>
  <x:c r="D12" i="45"/>
  <x:c r="D13" i="45"/>
  <x:c r="D14" i="45"/>
  <x:c r="D15" i="45"/>
  <x:c r="G1" i="46"/>
  <x:c r="C2" i="46"/>
  <x:c r="C3" i="46"/>
  <x:c r="C4" i="46"/>
  <x:c r="C5" i="46"/>
  <x:c r="C6" i="46"/>
  <x:c r="C7" i="46"/>
  <x:c r="C8" i="46"/>
  <x:c r="C9" i="46"/>
  <x:c r="C10" i="46"/>
  <x:c r="C11" i="46"/>
  <x:c r="C12" i="46"/>
  <x:c r="C13" i="46"/>
  <x:c r="G1" i="47"/>
  <x:c r="C2" i="47"/>
  <x:c r="G1" i="48"/>
  <x:c r="C2" i="48"/>
  <x:c r="C3" i="48"/>
  <x:c r="C4" i="48"/>
  <x:c r="C5" i="48"/>
  <x:c r="C6" i="48"/>
  <x:c r="C7" i="48"/>
  <x:c r="C8" i="48"/>
  <x:c r="C9" i="48"/>
  <x:c r="C10" i="48"/>
  <x:c r="C11" i="48"/>
  <x:c r="C12" i="48"/>
  <x:c r="C13" i="48"/>
  <x:c r="C14" i="48"/>
  <x:c r="C15" i="48"/>
  <x:c r="C16" i="48"/>
  <x:c r="C17" i="48"/>
  <x:c r="C18" i="48"/>
  <x:c r="C20" i="48"/>
  <x:c r="G1" i="49"/>
  <x:c r="D2" i="49"/>
  <x:c r="D4" i="49"/>
  <x:c r="D5" i="49"/>
  <x:c r="D6" i="49"/>
  <x:c r="G1" i="50"/>
  <x:c r="D2" i="50"/>
  <x:c r="D4" i="50"/>
  <x:c r="D6" i="50"/>
  <x:c r="D8" i="50"/>
  <x:c r="D10" i="50"/>
  <x:c r="D12" i="50"/>
  <x:c r="D13" i="50"/>
  <x:c r="D14" i="50"/>
  <x:c r="D15" i="50"/>
  <x:c r="D16" i="50"/>
  <x:c r="D17" i="50"/>
  <x:c r="D18" i="50"/>
  <x:c r="D19" i="50"/>
  <x:c r="D20" i="50"/>
  <x:c r="D21" i="50"/>
  <x:c r="D22" i="50"/>
  <x:c r="D23" i="50"/>
  <x:c r="D24" i="50"/>
  <x:c r="D25" i="50"/>
  <x:c r="D26" i="50"/>
  <x:c r="D27" i="50"/>
  <x:c r="D28" i="50"/>
  <x:c r="D29" i="50"/>
  <x:c r="D30" i="50"/>
  <x:c r="D31" i="50"/>
  <x:c r="D32" i="50"/>
  <x:c r="D33" i="50"/>
  <x:c r="D34" i="50"/>
  <x:c r="D35" i="50"/>
  <x:c r="D36" i="50"/>
  <x:c r="D37" i="50"/>
  <x:c r="D38" i="50"/>
  <x:c r="G1" i="51"/>
  <x:c r="D2" i="51"/>
  <x:c r="G1" i="52"/>
  <x:c r="D2" i="52"/>
  <x:c r="D3" i="52"/>
  <x:c r="D4" i="52"/>
  <x:c r="D5" i="52"/>
  <x:c r="D6" i="52"/>
  <x:c r="D7" i="52"/>
  <x:c r="D8" i="52"/>
  <x:c r="G1" i="53"/>
  <x:c r="D2" i="53"/>
  <x:c r="D4" i="53"/>
  <x:c r="D5" i="53"/>
  <x:c r="D6" i="53"/>
  <x:c r="D7" i="53"/>
  <x:c r="D8" i="53"/>
  <x:c r="D9" i="53"/>
  <x:c r="D10" i="53"/>
  <x:c r="D11" i="53"/>
  <x:c r="D12" i="53"/>
  <x:c r="D13" i="53"/>
  <x:c r="G1" i="54"/>
  <x:c r="D2" i="54"/>
  <x:c r="D3" i="54"/>
  <x:c r="G1" i="55"/>
  <x:c r="D2" i="55"/>
  <x:c r="D3" i="55"/>
  <x:c r="D4" i="55"/>
  <x:c r="D5" i="55"/>
  <x:c r="H1" i="56"/>
  <x:c r="D2" i="56"/>
  <x:c r="D3" i="56"/>
  <x:c r="D4" i="56"/>
  <x:c r="D5" i="56"/>
  <x:c r="D6" i="56"/>
  <x:c r="D7" i="56"/>
  <x:c r="D8" i="56"/>
  <x:c r="D9" i="56"/>
  <x:c r="D10" i="56"/>
  <x:c r="G1" i="57"/>
  <x:c r="H1" i="58"/>
  <x:c r="G1" i="59"/>
  <x:c r="D2" i="59"/>
  <x:c r="D3" i="59"/>
  <x:c r="D4" i="59"/>
  <x:c r="D5" i="59"/>
  <x:c r="D6" i="59"/>
  <x:c r="D7" i="59"/>
  <x:c r="D8" i="59"/>
  <x:c r="D9" i="59"/>
  <x:c r="D10" i="59"/>
  <x:c r="D11" i="59"/>
  <x:c r="D12" i="59"/>
  <x:c r="D13" i="59"/>
  <x:c r="D14" i="59"/>
  <x:c r="D15" i="59"/>
  <x:c r="D16" i="59"/>
  <x:c r="H1" i="60"/>
  <x:c r="D2" i="60"/>
  <x:c r="D3" i="60"/>
  <x:c r="D4" i="60"/>
  <x:c r="D5" i="60"/>
  <x:c r="D6" i="60"/>
  <x:c r="D7" i="60"/>
  <x:c r="D8" i="60"/>
  <x:c r="D9" i="60"/>
  <x:c r="D10" i="60"/>
  <x:c r="D11" i="60"/>
  <x:c r="D12" i="60"/>
  <x:c r="D13" i="60"/>
  <x:c r="D14" i="60"/>
  <x:c r="D15" i="60"/>
  <x:c r="D16" i="60"/>
  <x:c r="D17" i="60"/>
  <x:c r="D18" i="60"/>
  <x:c r="D19" i="60"/>
  <x:c r="D20" i="60"/>
  <x:c r="D21" i="60"/>
  <x:c r="D22" i="60"/>
  <x:c r="D23" i="60"/>
  <x:c r="D24" i="60"/>
  <x:c r="D25" i="60"/>
  <x:c r="D26" i="60"/>
  <x:c r="D27" i="60"/>
  <x:c r="D28" i="60"/>
  <x:c r="D29" i="60"/>
  <x:c r="D30" i="60"/>
  <x:c r="D31" i="60"/>
  <x:c r="D32" i="60"/>
  <x:c r="D33" i="60"/>
  <x:c r="D34" i="60"/>
  <x:c r="D35" i="60"/>
  <x:c r="D36" i="60"/>
  <x:c r="D37" i="60"/>
  <x:c r="D38" i="60"/>
  <x:c r="D39" i="60"/>
  <x:c r="D40" i="60"/>
  <x:c r="D41" i="60"/>
  <x:c r="D42" i="60"/>
  <x:c r="D43" i="60"/>
  <x:c r="D44" i="60"/>
  <x:c r="D45" i="60"/>
  <x:c r="D46" i="60"/>
  <x:c r="D47" i="60"/>
  <x:c r="D48" i="60"/>
  <x:c r="D49" i="60"/>
  <x:c r="D50" i="60"/>
  <x:c r="D51" i="60"/>
  <x:c r="D52" i="60"/>
  <x:c r="D53" i="60"/>
  <x:c r="D54" i="60"/>
  <x:c r="D55" i="60"/>
  <x:c r="D56" i="60"/>
  <x:c r="D57" i="60"/>
  <x:c r="D58" i="60"/>
  <x:c r="D59" i="60"/>
  <x:c r="D60" i="60"/>
  <x:c r="D61" i="60"/>
  <x:c r="D62" i="60"/>
  <x:c r="D63" i="60"/>
  <x:c r="D64" i="60"/>
  <x:c r="D65" i="60"/>
  <x:c r="D66" i="60"/>
  <x:c r="D67" i="60"/>
  <x:c r="D68" i="60"/>
  <x:c r="D69" i="60"/>
  <x:c r="D70" i="60"/>
  <x:c r="D71" i="60"/>
  <x:c r="D72" i="60"/>
  <x:c r="D73" i="60"/>
  <x:c r="D74" i="60"/>
  <x:c r="D75" i="60"/>
  <x:c r="D76" i="60"/>
  <x:c r="D77" i="60"/>
  <x:c r="D78" i="60"/>
  <x:c r="D79" i="60"/>
  <x:c r="D80" i="60"/>
  <x:c r="D81" i="60"/>
  <x:c r="D82" i="60"/>
  <x:c r="D83" i="60"/>
  <x:c r="D84" i="60"/>
  <x:c r="D85" i="60"/>
  <x:c r="D86" i="60"/>
  <x:c r="D87" i="60"/>
  <x:c r="D88" i="60"/>
  <x:c r="D89" i="60"/>
  <x:c r="D90" i="60"/>
  <x:c r="D91" i="60"/>
  <x:c r="D92" i="60"/>
  <x:c r="D93" i="60"/>
  <x:c r="D94" i="60"/>
  <x:c r="D95" i="60"/>
  <x:c r="D96" i="60"/>
  <x:c r="D97" i="60"/>
  <x:c r="D98" i="60"/>
  <x:c r="D99" i="60"/>
  <x:c r="D100" i="60"/>
  <x:c r="D101" i="60"/>
  <x:c r="D102" i="60"/>
  <x:c r="D103" i="60"/>
  <x:c r="D104" i="60"/>
  <x:c r="D105" i="60"/>
  <x:c r="D106" i="60"/>
  <x:c r="D107" i="60"/>
  <x:c r="D108" i="60"/>
  <x:c r="D109" i="60"/>
  <x:c r="D110" i="60"/>
  <x:c r="D111" i="60"/>
  <x:c r="D112" i="60"/>
  <x:c r="D113" i="60"/>
  <x:c r="D114" i="60"/>
  <x:c r="D115" i="60"/>
  <x:c r="D116" i="60"/>
  <x:c r="D117" i="60"/>
  <x:c r="D118" i="60"/>
  <x:c r="D119" i="60"/>
  <x:c r="D120" i="60"/>
  <x:c r="D121" i="60"/>
  <x:c r="D122" i="60"/>
  <x:c r="D123" i="60"/>
  <x:c r="D124" i="60"/>
  <x:c r="D125" i="60"/>
  <x:c r="D126" i="60"/>
  <x:c r="D127" i="60"/>
  <x:c r="D128" i="60"/>
  <x:c r="D129" i="60"/>
  <x:c r="D130" i="60"/>
  <x:c r="D131" i="60"/>
  <x:c r="D132" i="60"/>
  <x:c r="D133" i="60"/>
  <x:c r="D134" i="60"/>
  <x:c r="D135" i="60"/>
  <x:c r="D136" i="60"/>
  <x:c r="D137" i="60"/>
  <x:c r="D138" i="60"/>
  <x:c r="D139" i="60"/>
  <x:c r="D140" i="60"/>
  <x:c r="D141" i="60"/>
  <x:c r="D142" i="60"/>
  <x:c r="D143" i="60"/>
  <x:c r="D144" i="60"/>
  <x:c r="D145" i="60"/>
  <x:c r="D146" i="60"/>
  <x:c r="D147" i="60"/>
  <x:c r="D148" i="60"/>
  <x:c r="D149" i="60"/>
  <x:c r="D150" i="60"/>
  <x:c r="D151" i="60"/>
  <x:c r="D152" i="60"/>
  <x:c r="D153" i="60"/>
  <x:c r="D154" i="60"/>
  <x:c r="D155" i="60"/>
  <x:c r="D156" i="60"/>
  <x:c r="D157" i="60"/>
  <x:c r="D158" i="60"/>
  <x:c r="D159" i="60"/>
  <x:c r="D160" i="60"/>
  <x:c r="D161" i="60"/>
  <x:c r="D162" i="60"/>
  <x:c r="D163" i="60"/>
  <x:c r="D164" i="60"/>
  <x:c r="D165" i="60"/>
  <x:c r="D166" i="60"/>
  <x:c r="D167" i="60"/>
  <x:c r="D168" i="60"/>
  <x:c r="D169" i="60"/>
  <x:c r="D170" i="60"/>
  <x:c r="H1" i="61"/>
  <x:c r="D2" i="61"/>
  <x:c r="D3" i="61"/>
  <x:c r="D4" i="61"/>
  <x:c r="D5" i="61"/>
  <x:c r="D6" i="61"/>
  <x:c r="D7" i="61"/>
  <x:c r="D8" i="61"/>
  <x:c r="G1" i="62"/>
  <x:c r="D2" i="62"/>
  <x:c r="D3" i="62"/>
  <x:c r="D4" i="62"/>
  <x:c r="G1" i="63"/>
  <x:c r="D2" i="63"/>
  <x:c r="D4" i="63"/>
  <x:c r="D5" i="63"/>
  <x:c r="D6" i="63"/>
  <x:c r="D8" i="63"/>
  <x:c r="D9" i="63"/>
  <x:c r="D10" i="63"/>
  <x:c r="D11" i="63"/>
  <x:c r="D12" i="63"/>
  <x:c r="D13" i="63"/>
  <x:c r="D14" i="63"/>
  <x:c r="D15" i="63"/>
  <x:c r="D16" i="63"/>
  <x:c r="D17" i="63"/>
  <x:c r="D18" i="63"/>
  <x:c r="D19" i="63"/>
  <x:c r="D20" i="63"/>
  <x:c r="D21" i="63"/>
  <x:c r="D22" i="63"/>
  <x:c r="D23" i="63"/>
  <x:c r="D24" i="63"/>
  <x:c r="D25" i="63"/>
  <x:c r="D26" i="63"/>
  <x:c r="D28" i="63"/>
  <x:c r="D29" i="63"/>
  <x:c r="D30" i="63"/>
  <x:c r="G1" i="64"/>
  <x:c r="D2" i="64"/>
  <x:c r="D4" i="64"/>
  <x:c r="D5" i="64"/>
  <x:c r="D6" i="64"/>
  <x:c r="D7" i="64"/>
  <x:c r="D8" i="64"/>
  <x:c r="D9" i="64"/>
  <x:c r="D10" i="64"/>
  <x:c r="D11" i="64"/>
  <x:c r="D12" i="64"/>
  <x:c r="D13" i="64"/>
  <x:c r="G1" i="65"/>
  <x:c r="D2" i="65"/>
  <x:c r="D3" i="65"/>
  <x:c r="D4" i="65"/>
  <x:c r="D5" i="65"/>
  <x:c r="D6" i="65"/>
  <x:c r="G1" i="66"/>
  <x:c r="D2" i="66"/>
  <x:c r="G1" i="67"/>
  <x:c r="D2" i="67"/>
  <x:c r="D4" i="67"/>
  <x:c r="D6" i="67"/>
  <x:c r="D7" i="67"/>
  <x:c r="D9" i="67"/>
  <x:c r="D10" i="67"/>
  <x:c r="D12" i="67"/>
  <x:c r="D14" i="67"/>
  <x:c r="D15" i="67"/>
  <x:c r="D16" i="67"/>
  <x:c r="D17" i="67"/>
  <x:c r="D18" i="67"/>
  <x:c r="D19" i="67"/>
  <x:c r="D20" i="67"/>
  <x:c r="D21" i="67"/>
  <x:c r="D22" i="67"/>
  <x:c r="D23" i="67"/>
  <x:c r="D25" i="67"/>
  <x:c r="D26" i="67"/>
  <x:c r="D27" i="67"/>
  <x:c r="D28" i="67"/>
  <x:c r="D30" i="67"/>
  <x:c r="D32" i="67"/>
  <x:c r="D33" i="67"/>
  <x:c r="G1" i="68"/>
  <x:c r="D2" i="68"/>
  <x:c r="D3" i="68"/>
  <x:c r="D4" i="68"/>
  <x:c r="D5" i="68"/>
  <x:c r="D6" i="68"/>
  <x:c r="D7" i="68"/>
  <x:c r="D8" i="68"/>
  <x:c r="D9" i="68"/>
  <x:c r="D10" i="68"/>
  <x:c r="D11" i="68"/>
  <x:c r="D12" i="68"/>
  <x:c r="D13" i="68"/>
  <x:c r="D14" i="68"/>
  <x:c r="D15" i="68"/>
  <x:c r="D16" i="68"/>
  <x:c r="D17" i="68"/>
  <x:c r="D18" i="68"/>
  <x:c r="D19" i="68"/>
  <x:c r="D20" i="68"/>
  <x:c r="D21" i="68"/>
  <x:c r="D22" i="68"/>
  <x:c r="D23" i="68"/>
  <x:c r="D24" i="68"/>
  <x:c r="D25" i="68"/>
  <x:c r="D26" i="68"/>
  <x:c r="D27" i="68"/>
  <x:c r="D29" i="68"/>
  <x:c r="D30" i="68"/>
  <x:c r="D31" i="68"/>
  <x:c r="D32" i="68"/>
  <x:c r="D33" i="68"/>
  <x:c r="D34" i="68"/>
  <x:c r="G1" i="69"/>
  <x:c r="D2" i="69"/>
  <x:c r="D3" i="69"/>
  <x:c r="D4" i="69"/>
  <x:c r="D5" i="69"/>
  <x:c r="D6" i="69"/>
  <x:c r="D7" i="69"/>
  <x:c r="D8" i="69"/>
  <x:c r="D9" i="69"/>
  <x:c r="D10" i="69"/>
  <x:c r="D11" i="69"/>
  <x:c r="D12" i="69"/>
  <x:c r="D13" i="69"/>
  <x:c r="D14" i="69"/>
  <x:c r="D15" i="69"/>
  <x:c r="D16" i="69"/>
  <x:c r="D17" i="69"/>
  <x:c r="D18" i="69"/>
  <x:c r="D19" i="69"/>
  <x:c r="D20" i="69"/>
  <x:c r="D21" i="69"/>
  <x:c r="D22" i="69"/>
  <x:c r="D23" i="69"/>
  <x:c r="D24" i="69"/>
  <x:c r="D25" i="69"/>
  <x:c r="D26" i="69"/>
  <x:c r="D27" i="69"/>
  <x:c r="D28" i="69"/>
  <x:c r="D29" i="69"/>
  <x:c r="G1" i="70"/>
  <x:c r="D2" i="70"/>
  <x:c r="D4" i="70"/>
  <x:c r="D5" i="70"/>
  <x:c r="D6" i="70"/>
  <x:c r="D7" i="70"/>
  <x:c r="D8" i="70"/>
  <x:c r="D9" i="70"/>
  <x:c r="D10" i="70"/>
  <x:c r="D11" i="70"/>
  <x:c r="D12" i="70"/>
  <x:c r="D13" i="70"/>
  <x:c r="D14" i="70"/>
  <x:c r="D15" i="70"/>
  <x:c r="D16" i="70"/>
  <x:c r="D17" i="70"/>
  <x:c r="D18" i="70"/>
  <x:c r="D19" i="70"/>
  <x:c r="D20" i="70"/>
  <x:c r="D21" i="70"/>
  <x:c r="D22" i="70"/>
  <x:c r="D23" i="70"/>
  <x:c r="D24" i="70"/>
  <x:c r="D25" i="70"/>
  <x:c r="D27" i="70"/>
  <x:c r="D29" i="70"/>
  <x:c r="D30" i="70"/>
  <x:c r="D31" i="70"/>
  <x:c r="D32" i="70"/>
  <x:c r="D33" i="70"/>
  <x:c r="D34" i="70"/>
  <x:c r="D35" i="70"/>
  <x:c r="G1" i="71"/>
  <x:c r="D2" i="71"/>
  <x:c r="D3" i="71"/>
  <x:c r="D4" i="71"/>
  <x:c r="D5" i="71"/>
  <x:c r="D6" i="71"/>
  <x:c r="D7" i="71"/>
  <x:c r="D8" i="71"/>
  <x:c r="D9" i="71"/>
  <x:c r="D10" i="71"/>
  <x:c r="D11" i="71"/>
  <x:c r="D12" i="71"/>
  <x:c r="D13" i="71"/>
  <x:c r="D15" i="71"/>
  <x:c r="D16" i="71"/>
  <x:c r="D18" i="71"/>
  <x:c r="D19" i="71"/>
  <x:c r="D20" i="71"/>
  <x:c r="D21" i="71"/>
  <x:c r="G1" i="72"/>
  <x:c r="G1" i="73"/>
  <x:c r="G1" i="74"/>
  <x:c r="D2" i="74"/>
  <x:c r="D4" i="74"/>
  <x:c r="D5" i="74"/>
  <x:c r="D6" i="74"/>
  <x:c r="D7" i="74"/>
  <x:c r="G1" i="75"/>
  <x:c r="D2" i="75"/>
  <x:c r="D3" i="75"/>
  <x:c r="D4" i="75"/>
  <x:c r="D5" i="75"/>
  <x:c r="D6" i="75"/>
  <x:c r="D7" i="75"/>
  <x:c r="D8" i="75"/>
  <x:c r="D9" i="75"/>
  <x:c r="D10" i="75"/>
  <x:c r="D11" i="75"/>
  <x:c r="D12" i="75"/>
  <x:c r="D13" i="75"/>
  <x:c r="D14" i="75"/>
  <x:c r="D15" i="75"/>
  <x:c r="D16" i="75"/>
  <x:c r="D17" i="75"/>
  <x:c r="D18" i="75"/>
  <x:c r="D19" i="75"/>
  <x:c r="D20" i="75"/>
  <x:c r="D21" i="75"/>
  <x:c r="D22" i="75"/>
  <x:c r="D23" i="75"/>
  <x:c r="D24" i="75"/>
  <x:c r="D25" i="75"/>
  <x:c r="D26" i="75"/>
  <x:c r="D27" i="75"/>
  <x:c r="D28" i="75"/>
  <x:c r="D29" i="75"/>
  <x:c r="D30" i="75"/>
  <x:c r="D31" i="75"/>
  <x:c r="D32" i="75"/>
  <x:c r="D33" i="75"/>
  <x:c r="D34" i="75"/>
  <x:c r="D35" i="75"/>
  <x:c r="D36" i="75"/>
  <x:c r="D37" i="75"/>
  <x:c r="D38" i="75"/>
  <x:c r="D39" i="75"/>
  <x:c r="D40" i="75"/>
  <x:c r="D41" i="75"/>
  <x:c r="D42" i="75"/>
  <x:c r="D43" i="75"/>
  <x:c r="D44" i="75"/>
  <x:c r="D45" i="75"/>
  <x:c r="D46" i="75"/>
  <x:c r="D47" i="75"/>
  <x:c r="D48" i="75"/>
  <x:c r="D49" i="75"/>
  <x:c r="D50" i="75"/>
  <x:c r="D51" i="75"/>
  <x:c r="D52" i="75"/>
  <x:c r="D53" i="75"/>
  <x:c r="D54" i="75"/>
  <x:c r="D55" i="75"/>
  <x:c r="D56" i="75"/>
  <x:c r="D57" i="75"/>
  <x:c r="D58" i="75"/>
  <x:c r="D59" i="75"/>
  <x:c r="D60" i="75"/>
  <x:c r="D61" i="75"/>
  <x:c r="D62" i="75"/>
  <x:c r="D63" i="75"/>
  <x:c r="D64" i="75"/>
  <x:c r="D65" i="75"/>
  <x:c r="D66" i="75"/>
  <x:c r="D67" i="75"/>
  <x:c r="D68" i="75"/>
  <x:c r="D69" i="75"/>
  <x:c r="D70" i="75"/>
  <x:c r="D71" i="75"/>
  <x:c r="D72" i="75"/>
  <x:c r="D73" i="75"/>
  <x:c r="D74" i="75"/>
  <x:c r="D75" i="75"/>
  <x:c r="D76" i="75"/>
  <x:c r="D77" i="75"/>
  <x:c r="D78" i="75"/>
  <x:c r="D79" i="75"/>
  <x:c r="D80" i="75"/>
  <x:c r="D81" i="75"/>
  <x:c r="D82" i="75"/>
  <x:c r="D83" i="75"/>
  <x:c r="D84" i="75"/>
  <x:c r="D85" i="75"/>
  <x:c r="D86" i="75"/>
  <x:c r="D87" i="75"/>
  <x:c r="D88" i="75"/>
  <x:c r="D89" i="75"/>
  <x:c r="D90" i="75"/>
  <x:c r="D91" i="75"/>
  <x:c r="D92" i="75"/>
  <x:c r="D93" i="75"/>
  <x:c r="D94" i="75"/>
  <x:c r="D95" i="75"/>
  <x:c r="D96" i="75"/>
  <x:c r="D97" i="75"/>
  <x:c r="D98" i="75"/>
  <x:c r="D99" i="75"/>
  <x:c r="D100" i="75"/>
  <x:c r="D101" i="75"/>
  <x:c r="D103" i="75"/>
  <x:c r="D104" i="75"/>
  <x:c r="D105" i="75"/>
  <x:c r="D106" i="75"/>
  <x:c r="D107" i="75"/>
  <x:c r="D108" i="75"/>
  <x:c r="D109" i="75"/>
  <x:c r="D110" i="75"/>
  <x:c r="D111" i="75"/>
  <x:c r="D112" i="75"/>
  <x:c r="D113" i="75"/>
  <x:c r="D114" i="75"/>
  <x:c r="D115" i="75"/>
  <x:c r="D116" i="75"/>
  <x:c r="D117" i="75"/>
  <x:c r="D118" i="75"/>
  <x:c r="D119" i="75"/>
  <x:c r="D120" i="75"/>
  <x:c r="D121" i="75"/>
  <x:c r="D122" i="75"/>
  <x:c r="D124" i="75"/>
  <x:c r="D125" i="75"/>
  <x:c r="D126" i="75"/>
  <x:c r="D127" i="75"/>
  <x:c r="D128" i="75"/>
  <x:c r="D129" i="75"/>
  <x:c r="D130" i="75"/>
  <x:c r="D132" i="75"/>
  <x:c r="D133" i="75"/>
  <x:c r="D134" i="75"/>
  <x:c r="D135" i="75"/>
  <x:c r="D136" i="75"/>
  <x:c r="G1" i="76"/>
  <x:c r="D2" i="76"/>
  <x:c r="D3" i="76"/>
  <x:c r="D4" i="76"/>
  <x:c r="D5" i="76"/>
  <x:c r="D6" i="76"/>
  <x:c r="D7" i="76"/>
  <x:c r="D8" i="76"/>
  <x:c r="D9" i="76"/>
  <x:c r="D10" i="76"/>
  <x:c r="D11" i="76"/>
  <x:c r="D12" i="76"/>
  <x:c r="D13" i="76"/>
  <x:c r="D14" i="76"/>
  <x:c r="G1" i="77"/>
  <x:c r="D2" i="77"/>
  <x:c r="D3" i="77"/>
  <x:c r="D4" i="77"/>
  <x:c r="G1" i="78"/>
  <x:c r="D2" i="78"/>
  <x:c r="D3" i="78"/>
  <x:c r="D4" i="78"/>
  <x:c r="D5" i="78"/>
  <x:c r="D6" i="78"/>
  <x:c r="D7" i="78"/>
  <x:c r="D8" i="78"/>
  <x:c r="D9" i="78"/>
  <x:c r="D10" i="78"/>
  <x:c r="D11" i="78"/>
  <x:c r="D12" i="78"/>
  <x:c r="D13" i="78"/>
  <x:c r="D14" i="78"/>
  <x:c r="D15" i="78"/>
  <x:c r="D16" i="78"/>
  <x:c r="D17" i="78"/>
  <x:c r="D18" i="78"/>
  <x:c r="D19" i="78"/>
  <x:c r="D20" i="78"/>
  <x:c r="D21" i="78"/>
  <x:c r="G1" i="79"/>
  <x:c r="D2" i="79"/>
  <x:c r="D3" i="79"/>
  <x:c r="D4" i="79"/>
  <x:c r="D5" i="79"/>
  <x:c r="D6" i="79"/>
  <x:c r="D7" i="79"/>
  <x:c r="D8" i="79"/>
  <x:c r="D9" i="79"/>
  <x:c r="D10" i="79"/>
  <x:c r="D11" i="79"/>
  <x:c r="D12" i="79"/>
  <x:c r="D13" i="79"/>
  <x:c r="D14" i="79"/>
  <x:c r="D15" i="79"/>
  <x:c r="D16" i="79"/>
  <x:c r="D17" i="79"/>
  <x:c r="D18" i="79"/>
  <x:c r="D19" i="79"/>
  <x:c r="D20" i="79"/>
  <x:c r="D21" i="79"/>
  <x:c r="D22" i="79"/>
  <x:c r="D23" i="79"/>
  <x:c r="D24" i="79"/>
  <x:c r="D25" i="79"/>
  <x:c r="D26" i="79"/>
  <x:c r="D27" i="79"/>
  <x:c r="D28" i="79"/>
  <x:c r="D29" i="79"/>
  <x:c r="D30" i="79"/>
  <x:c r="D31" i="79"/>
  <x:c r="D32" i="79"/>
  <x:c r="G1" i="80"/>
  <x:c r="D2" i="80"/>
  <x:c r="D3" i="80"/>
  <x:c r="D4" i="80"/>
  <x:c r="D5" i="80"/>
  <x:c r="D6" i="80"/>
  <x:c r="D7" i="80"/>
  <x:c r="D8" i="80"/>
  <x:c r="D9" i="80"/>
  <x:c r="D10" i="80"/>
  <x:c r="D11" i="80"/>
  <x:c r="D12" i="80"/>
  <x:c r="D13" i="80"/>
  <x:c r="D14" i="80"/>
  <x:c r="D15" i="80"/>
  <x:c r="D16" i="80"/>
  <x:c r="D17" i="80"/>
  <x:c r="H1" i="81"/>
  <x:c r="D2" i="81"/>
  <x:c r="D3" i="81"/>
  <x:c r="D4" i="81"/>
  <x:c r="D5" i="81"/>
  <x:c r="D6" i="81"/>
  <x:c r="D7" i="81"/>
  <x:c r="D8" i="81"/>
  <x:c r="D9" i="81"/>
  <x:c r="D10" i="81"/>
  <x:c r="D11" i="81"/>
  <x:c r="D12" i="81"/>
  <x:c r="D13" i="81"/>
  <x:c r="D14" i="81"/>
  <x:c r="G1" i="82"/>
  <x:c r="D2" i="82"/>
  <x:c r="D3" i="82"/>
  <x:c r="D4" i="82"/>
  <x:c r="D5" i="82"/>
  <x:c r="D6" i="82"/>
  <x:c r="D7" i="82"/>
  <x:c r="G1" i="83"/>
  <x:c r="G1" i="84"/>
  <x:c r="D2" i="84"/>
  <x:c r="D3" i="84"/>
  <x:c r="D4" i="84"/>
  <x:c r="D5" i="84"/>
  <x:c r="D6" i="84"/>
  <x:c r="H1" i="85"/>
  <x:c r="D2" i="85"/>
  <x:c r="D3" i="85"/>
  <x:c r="D4" i="85"/>
  <x:c r="D5" i="85"/>
  <x:c r="D6" i="85"/>
  <x:c r="D7" i="85"/>
  <x:c r="D8" i="85"/>
  <x:c r="D9" i="85"/>
  <x:c r="D10" i="85"/>
  <x:c r="D11" i="85"/>
  <x:c r="D12" i="85"/>
  <x:c r="D13" i="85"/>
  <x:c r="D14" i="85"/>
  <x:c r="D15" i="85"/>
  <x:c r="G1" i="86"/>
  <x:c r="D2" i="86"/>
  <x:c r="D3" i="86"/>
  <x:c r="D4" i="86"/>
  <x:c r="D5" i="86"/>
  <x:c r="D6" i="86"/>
  <x:c r="D7" i="86"/>
  <x:c r="D8" i="86"/>
  <x:c r="D9" i="86"/>
  <x:c r="D10" i="86"/>
  <x:c r="D11" i="86"/>
  <x:c r="D12" i="86"/>
  <x:c r="D13" i="86"/>
  <x:c r="D14" i="86"/>
  <x:c r="D15" i="86"/>
  <x:c r="D16" i="86"/>
  <x:c r="D17" i="86"/>
  <x:c r="D18" i="86"/>
  <x:c r="D19" i="86"/>
  <x:c r="D20" i="86"/>
  <x:c r="D21" i="86"/>
  <x:c r="D22" i="86"/>
  <x:c r="D23" i="86"/>
  <x:c r="D24" i="86"/>
  <x:c r="G1" i="87"/>
  <x:c r="D2" i="87"/>
  <x:c r="D4" i="87"/>
  <x:c r="D5" i="87"/>
  <x:c r="D6" i="87"/>
  <x:c r="D7" i="87"/>
  <x:c r="D8" i="87"/>
  <x:c r="D9" i="87"/>
  <x:c r="D10" i="87"/>
  <x:c r="D11" i="87"/>
  <x:c r="D12" i="87"/>
  <x:c r="D13" i="87"/>
  <x:c r="D14" i="87"/>
  <x:c r="D15" i="87"/>
  <x:c r="D16" i="87"/>
  <x:c r="D18" i="87"/>
  <x:c r="D20" i="87"/>
  <x:c r="D22" i="87"/>
  <x:c r="D23" i="87"/>
  <x:c r="D25" i="87"/>
  <x:c r="D26" i="87"/>
  <x:c r="D27" i="87"/>
  <x:c r="D28" i="87"/>
  <x:c r="D29" i="87"/>
  <x:c r="D30" i="87"/>
  <x:c r="D31" i="87"/>
  <x:c r="D32" i="87"/>
  <x:c r="G1" i="88"/>
  <x:c r="D2" i="88"/>
  <x:c r="D3" i="88"/>
  <x:c r="D4" i="88"/>
  <x:c r="D5" i="88"/>
  <x:c r="D6" i="88"/>
  <x:c r="D7" i="88"/>
  <x:c r="D8" i="88"/>
  <x:c r="D9" i="88"/>
  <x:c r="D10" i="88"/>
  <x:c r="G1" i="89"/>
  <x:c r="D2" i="89"/>
  <x:c r="D3" i="89"/>
  <x:c r="D4" i="89"/>
  <x:c r="D5" i="89"/>
  <x:c r="D6" i="89"/>
  <x:c r="D7" i="89"/>
  <x:c r="D8" i="89"/>
  <x:c r="D9" i="89"/>
  <x:c r="D10" i="89"/>
  <x:c r="D11" i="89"/>
  <x:c r="D12" i="89"/>
  <x:c r="G1" i="90"/>
  <x:c r="G1" i="91"/>
  <x:c r="D2" i="91"/>
  <x:c r="D4" i="91"/>
  <x:c r="D5" i="91"/>
  <x:c r="D6" i="91"/>
  <x:c r="D7" i="91"/>
  <x:c r="D8" i="91"/>
  <x:c r="D9" i="91"/>
  <x:c r="D10" i="91"/>
  <x:c r="D11" i="91"/>
  <x:c r="D12" i="91"/>
  <x:c r="D13" i="91"/>
  <x:c r="G1" i="92"/>
  <x:c r="D2" i="92"/>
  <x:c r="D3" i="92"/>
  <x:c r="D4" i="92"/>
  <x:c r="D5" i="92"/>
  <x:c r="D6" i="92"/>
  <x:c r="D7" i="92"/>
  <x:c r="D8" i="92"/>
  <x:c r="D9" i="92"/>
  <x:c r="D10" i="92"/>
  <x:c r="D11" i="92"/>
  <x:c r="D12" i="92"/>
  <x:c r="D13" i="92"/>
  <x:c r="D14" i="92"/>
  <x:c r="D15" i="92"/>
  <x:c r="D16" i="92"/>
  <x:c r="D17" i="92"/>
  <x:c r="D18" i="92"/>
  <x:c r="D19" i="92"/>
  <x:c r="D20" i="92"/>
  <x:c r="G1" i="93"/>
  <x:c r="D2" i="93"/>
  <x:c r="D3" i="93"/>
  <x:c r="D5" i="93"/>
  <x:c r="D6" i="93"/>
  <x:c r="A2" i="94"/>
  <x:c r="B2" i="94"/>
  <x:c r="C2" i="94"/>
  <x:c r="D2" i="94"/>
  <x:c r="E2" i="94"/>
  <x:c r="F2" i="94"/>
  <x:c r="G2" i="94"/>
  <x:c r="A3" i="94"/>
  <x:c r="B3" i="94"/>
  <x:c r="C3" i="94"/>
  <x:c r="D3" i="94"/>
  <x:c r="E3" i="94"/>
  <x:c r="F3" i="94"/>
  <x:c r="G3" i="94"/>
  <x:c r="A4" i="94"/>
  <x:c r="B4" i="94"/>
  <x:c r="C4" i="94"/>
  <x:c r="D4" i="94"/>
  <x:c r="E4" i="94"/>
  <x:c r="F4" i="94"/>
  <x:c r="G4" i="94"/>
  <x:c r="A5" i="94"/>
  <x:c r="B5" i="94"/>
  <x:c r="C5" i="94"/>
  <x:c r="D5" i="94"/>
  <x:c r="E5" i="94"/>
  <x:c r="F5" i="94"/>
  <x:c r="G5" i="94"/>
  <x:c r="A6" i="94"/>
  <x:c r="B6" i="94"/>
  <x:c r="C6" i="94"/>
  <x:c r="D6" i="94"/>
  <x:c r="E6" i="94"/>
  <x:c r="F6" i="94"/>
  <x:c r="G6" i="94"/>
  <x:c r="A7" i="94"/>
  <x:c r="B7" i="94"/>
  <x:c r="C7" i="94"/>
  <x:c r="D7" i="94"/>
  <x:c r="E7" i="94"/>
  <x:c r="F7" i="94"/>
  <x:c r="G7" i="94"/>
  <x:c r="A8" i="94"/>
  <x:c r="B8" i="94"/>
  <x:c r="C8" i="94"/>
  <x:c r="D8" i="94"/>
  <x:c r="E8" i="94"/>
  <x:c r="F8" i="94"/>
  <x:c r="G8" i="94"/>
  <x:c r="A9" i="94"/>
  <x:c r="B9" i="94"/>
  <x:c r="C9" i="94"/>
  <x:c r="D9" i="94"/>
  <x:c r="E9" i="94"/>
  <x:c r="F9" i="94"/>
  <x:c r="G9" i="94"/>
  <x:c r="A10" i="94"/>
  <x:c r="B10" i="94"/>
  <x:c r="C10" i="94"/>
  <x:c r="D10" i="94"/>
  <x:c r="E10" i="94"/>
  <x:c r="F10" i="94"/>
  <x:c r="G10" i="94"/>
  <x:c r="A11" i="94"/>
  <x:c r="B11" i="94"/>
  <x:c r="C11" i="94"/>
  <x:c r="D11" i="94"/>
  <x:c r="E11" i="94"/>
  <x:c r="F11" i="94"/>
  <x:c r="G11" i="94"/>
  <x:c r="A12" i="94"/>
  <x:c r="B12" i="94"/>
  <x:c r="C12" i="94"/>
  <x:c r="D12" i="94"/>
  <x:c r="E12" i="94"/>
  <x:c r="F12" i="94"/>
  <x:c r="G12" i="94"/>
  <x:c r="A13" i="94"/>
  <x:c r="B13" i="94"/>
  <x:c r="C13" i="94"/>
  <x:c r="D13" i="94"/>
  <x:c r="E13" i="94"/>
  <x:c r="F13" i="94"/>
  <x:c r="G13" i="94"/>
  <x:c r="A14" i="94"/>
  <x:c r="B14" i="94"/>
  <x:c r="C14" i="94"/>
  <x:c r="D14" i="94"/>
  <x:c r="E14" i="94"/>
  <x:c r="F14" i="94"/>
  <x:c r="G14" i="94"/>
  <x:c r="A15" i="94"/>
  <x:c r="B15" i="94"/>
  <x:c r="C15" i="94"/>
  <x:c r="D15" i="94"/>
  <x:c r="E15" i="94"/>
  <x:c r="F15" i="94"/>
  <x:c r="G15" i="94"/>
  <x:c r="A16" i="94"/>
  <x:c r="B16" i="94"/>
  <x:c r="C16" i="94"/>
  <x:c r="D16" i="94"/>
  <x:c r="E16" i="94"/>
  <x:c r="F16" i="94"/>
  <x:c r="G16" i="94"/>
  <x:c r="A17" i="94"/>
  <x:c r="B17" i="94"/>
  <x:c r="C17" i="94"/>
  <x:c r="D17" i="94"/>
  <x:c r="E17" i="94"/>
  <x:c r="F17" i="94"/>
  <x:c r="G17" i="94"/>
  <x:c r="A18" i="94"/>
  <x:c r="B18" i="94"/>
  <x:c r="C18" i="94"/>
  <x:c r="D18" i="94"/>
  <x:c r="E18" i="94"/>
  <x:c r="F18" i="94"/>
  <x:c r="G18" i="94"/>
  <x:c r="A19" i="94"/>
  <x:c r="B19" i="94"/>
  <x:c r="C19" i="94"/>
  <x:c r="D19" i="94"/>
  <x:c r="E19" i="94"/>
  <x:c r="F19" i="94"/>
  <x:c r="G19" i="94"/>
  <x:c r="A20" i="94"/>
  <x:c r="B20" i="94"/>
  <x:c r="C20" i="94"/>
  <x:c r="D20" i="94"/>
  <x:c r="E20" i="94"/>
  <x:c r="F20" i="94"/>
  <x:c r="G20" i="94"/>
  <x:c r="A21" i="94"/>
  <x:c r="B21" i="94"/>
  <x:c r="C21" i="94"/>
  <x:c r="D21" i="94"/>
  <x:c r="E21" i="94"/>
  <x:c r="F21" i="94"/>
  <x:c r="G21" i="94"/>
  <x:c r="A22" i="94"/>
  <x:c r="B22" i="94"/>
  <x:c r="C22" i="94"/>
  <x:c r="D22" i="94"/>
  <x:c r="E22" i="94"/>
  <x:c r="F22" i="94"/>
  <x:c r="G22" i="94"/>
  <x:c r="A23" i="94"/>
  <x:c r="B23" i="94"/>
  <x:c r="C23" i="94"/>
  <x:c r="D23" i="94"/>
  <x:c r="E23" i="94"/>
  <x:c r="F23" i="94"/>
  <x:c r="G23" i="94"/>
  <x:c r="A24" i="94"/>
  <x:c r="B24" i="94"/>
  <x:c r="C24" i="94"/>
  <x:c r="D24" i="94"/>
  <x:c r="E24" i="94"/>
  <x:c r="F24" i="94"/>
  <x:c r="G24" i="94"/>
  <x:c r="A25" i="94"/>
  <x:c r="B25" i="94"/>
  <x:c r="C25" i="94"/>
  <x:c r="D25" i="94"/>
  <x:c r="E25" i="94"/>
  <x:c r="F25" i="94"/>
  <x:c r="G25" i="94"/>
  <x:c r="A26" i="94"/>
  <x:c r="B26" i="94"/>
  <x:c r="C26" i="94"/>
  <x:c r="D26" i="94"/>
  <x:c r="E26" i="94"/>
  <x:c r="F26" i="94"/>
  <x:c r="G26" i="94"/>
  <x:c r="A27" i="94"/>
  <x:c r="B27" i="94"/>
  <x:c r="C27" i="94"/>
  <x:c r="D27" i="94"/>
  <x:c r="E27" i="94"/>
  <x:c r="F27" i="94"/>
  <x:c r="G27" i="94"/>
  <x:c r="A28" i="94"/>
  <x:c r="B28" i="94"/>
  <x:c r="C28" i="94"/>
  <x:c r="D28" i="94"/>
  <x:c r="E28" i="94"/>
  <x:c r="F28" i="94"/>
  <x:c r="G28" i="94"/>
  <x:c r="A29" i="94"/>
  <x:c r="B29" i="94"/>
  <x:c r="C29" i="94"/>
  <x:c r="D29" i="94"/>
  <x:c r="E29" i="94"/>
  <x:c r="F29" i="94"/>
  <x:c r="G29" i="94"/>
  <x:c r="A30" i="94"/>
  <x:c r="B30" i="94"/>
  <x:c r="C30" i="94"/>
  <x:c r="D30" i="94"/>
  <x:c r="E30" i="94"/>
  <x:c r="F30" i="94"/>
  <x:c r="G30" i="94"/>
  <x:c r="A31" i="94"/>
  <x:c r="B31" i="94"/>
  <x:c r="C31" i="94"/>
  <x:c r="D31" i="94"/>
  <x:c r="E31" i="94"/>
  <x:c r="F31" i="94"/>
  <x:c r="G31" i="94"/>
  <x:c r="A32" i="94"/>
  <x:c r="B32" i="94"/>
  <x:c r="C32" i="94"/>
  <x:c r="D32" i="94"/>
  <x:c r="E32" i="94"/>
  <x:c r="F32" i="94"/>
  <x:c r="G32" i="94"/>
  <x:c r="A33" i="94"/>
  <x:c r="B33" i="94"/>
  <x:c r="C33" i="94"/>
  <x:c r="D33" i="94"/>
  <x:c r="E33" i="94"/>
  <x:c r="F33" i="94"/>
  <x:c r="G33" i="94"/>
  <x:c r="A34" i="94"/>
  <x:c r="B34" i="94"/>
  <x:c r="C34" i="94"/>
  <x:c r="D34" i="94"/>
  <x:c r="E34" i="94"/>
  <x:c r="F34" i="94"/>
  <x:c r="G34" i="94"/>
  <x:c r="A35" i="94"/>
  <x:c r="B35" i="94"/>
  <x:c r="C35" i="94"/>
  <x:c r="D35" i="94"/>
  <x:c r="E35" i="94"/>
  <x:c r="F35" i="94"/>
  <x:c r="G35" i="94"/>
  <x:c r="A36" i="94"/>
  <x:c r="B36" i="94"/>
  <x:c r="C36" i="94"/>
  <x:c r="D36" i="94"/>
  <x:c r="E36" i="94"/>
  <x:c r="F36" i="94"/>
  <x:c r="G36" i="94"/>
  <x:c r="A37" i="94"/>
  <x:c r="B37" i="94"/>
  <x:c r="C37" i="94"/>
  <x:c r="D37" i="94"/>
  <x:c r="E37" i="94"/>
  <x:c r="F37" i="94"/>
  <x:c r="G37" i="94"/>
  <x:c r="A38" i="94"/>
  <x:c r="B38" i="94"/>
  <x:c r="C38" i="94"/>
  <x:c r="D38" i="94"/>
  <x:c r="E38" i="94"/>
  <x:c r="F38" i="94"/>
  <x:c r="G38" i="94"/>
  <x:c r="A39" i="94"/>
  <x:c r="B39" i="94"/>
  <x:c r="C39" i="94"/>
  <x:c r="D39" i="94"/>
  <x:c r="E39" i="94"/>
  <x:c r="F39" i="94"/>
  <x:c r="G39" i="94"/>
  <x:c r="A40" i="94"/>
  <x:c r="B40" i="94"/>
  <x:c r="C40" i="94"/>
  <x:c r="D40" i="94"/>
  <x:c r="E40" i="94"/>
  <x:c r="F40" i="94"/>
  <x:c r="G40" i="94"/>
  <x:c r="A41" i="94"/>
  <x:c r="B41" i="94"/>
  <x:c r="C41" i="94"/>
  <x:c r="D41" i="94"/>
  <x:c r="E41" i="94"/>
  <x:c r="F41" i="94"/>
  <x:c r="G41" i="94"/>
  <x:c r="A42" i="94"/>
  <x:c r="B42" i="94"/>
  <x:c r="C42" i="94"/>
  <x:c r="D42" i="94"/>
  <x:c r="E42" i="94"/>
  <x:c r="F42" i="94"/>
  <x:c r="G42" i="94"/>
  <x:c r="A43" i="94"/>
  <x:c r="B43" i="94"/>
  <x:c r="C43" i="94"/>
  <x:c r="D43" i="94"/>
  <x:c r="E43" i="94"/>
  <x:c r="F43" i="94"/>
  <x:c r="G43" i="94"/>
  <x:c r="A44" i="94"/>
  <x:c r="B44" i="94"/>
  <x:c r="C44" i="94"/>
  <x:c r="D44" i="94"/>
  <x:c r="E44" i="94"/>
  <x:c r="F44" i="94"/>
  <x:c r="G44" i="94"/>
  <x:c r="A45" i="94"/>
  <x:c r="B45" i="94"/>
  <x:c r="C45" i="94"/>
  <x:c r="D45" i="94"/>
  <x:c r="E45" i="94"/>
  <x:c r="F45" i="94"/>
  <x:c r="G45" i="94"/>
  <x:c r="A46" i="94"/>
  <x:c r="B46" i="94"/>
  <x:c r="C46" i="94"/>
  <x:c r="D46" i="94"/>
  <x:c r="E46" i="94"/>
  <x:c r="F46" i="94"/>
  <x:c r="G46" i="94"/>
  <x:c r="A47" i="94"/>
  <x:c r="B47" i="94"/>
  <x:c r="C47" i="94"/>
  <x:c r="D47" i="94"/>
  <x:c r="E47" i="94"/>
  <x:c r="F47" i="94"/>
  <x:c r="G47" i="94"/>
  <x:c r="A48" i="94"/>
  <x:c r="B48" i="94"/>
  <x:c r="C48" i="94"/>
  <x:c r="D48" i="94"/>
  <x:c r="E48" i="94"/>
  <x:c r="F48" i="94"/>
  <x:c r="G48" i="94"/>
  <x:c r="A49" i="94"/>
  <x:c r="B49" i="94"/>
  <x:c r="C49" i="94"/>
  <x:c r="D49" i="94"/>
  <x:c r="E49" i="94"/>
  <x:c r="F49" i="94"/>
  <x:c r="G49" i="94"/>
  <x:c r="A50" i="94"/>
  <x:c r="B50" i="94"/>
  <x:c r="C50" i="94"/>
  <x:c r="D50" i="94"/>
  <x:c r="E50" i="94"/>
  <x:c r="F50" i="94"/>
  <x:c r="G50" i="94"/>
  <x:c r="A51" i="94"/>
  <x:c r="B51" i="94"/>
  <x:c r="C51" i="94"/>
  <x:c r="D51" i="94"/>
  <x:c r="E51" i="94"/>
  <x:c r="F51" i="94"/>
  <x:c r="G51" i="94"/>
  <x:c r="A52" i="94"/>
  <x:c r="B52" i="94"/>
  <x:c r="C52" i="94"/>
  <x:c r="D52" i="94"/>
  <x:c r="E52" i="94"/>
  <x:c r="F52" i="94"/>
  <x:c r="G52" i="94"/>
  <x:c r="A53" i="94"/>
  <x:c r="B53" i="94"/>
  <x:c r="C53" i="94"/>
  <x:c r="D53" i="94"/>
  <x:c r="E53" i="94"/>
  <x:c r="F53" i="94"/>
  <x:c r="G53" i="94"/>
  <x:c r="A54" i="94"/>
  <x:c r="B54" i="94"/>
  <x:c r="C54" i="94"/>
  <x:c r="D54" i="94"/>
  <x:c r="E54" i="94"/>
  <x:c r="F54" i="94"/>
  <x:c r="G54" i="94"/>
  <x:c r="A55" i="94"/>
  <x:c r="B55" i="94"/>
  <x:c r="C55" i="94"/>
  <x:c r="D55" i="94"/>
  <x:c r="E55" i="94"/>
  <x:c r="F55" i="94"/>
  <x:c r="G55" i="94"/>
  <x:c r="A56" i="94"/>
  <x:c r="B56" i="94"/>
  <x:c r="C56" i="94"/>
  <x:c r="D56" i="94"/>
  <x:c r="E56" i="94"/>
  <x:c r="F56" i="94"/>
  <x:c r="G56" i="94"/>
  <x:c r="A57" i="94"/>
  <x:c r="B57" i="94"/>
  <x:c r="C57" i="94"/>
  <x:c r="D57" i="94"/>
  <x:c r="E57" i="94"/>
  <x:c r="F57" i="94"/>
  <x:c r="G57" i="94"/>
  <x:c r="A58" i="94"/>
  <x:c r="B58" i="94"/>
  <x:c r="C58" i="94"/>
  <x:c r="D58" i="94"/>
  <x:c r="E58" i="94"/>
  <x:c r="F58" i="94"/>
  <x:c r="G58" i="94"/>
  <x:c r="A59" i="94"/>
  <x:c r="B59" i="94"/>
  <x:c r="C59" i="94"/>
  <x:c r="D59" i="94"/>
  <x:c r="E59" i="94"/>
  <x:c r="F59" i="94"/>
  <x:c r="G59" i="94"/>
  <x:c r="A60" i="94"/>
  <x:c r="B60" i="94"/>
  <x:c r="C60" i="94"/>
  <x:c r="D60" i="94"/>
  <x:c r="E60" i="94"/>
  <x:c r="F60" i="94"/>
  <x:c r="G60" i="94"/>
  <x:c r="A61" i="94"/>
  <x:c r="B61" i="94"/>
  <x:c r="C61" i="94"/>
  <x:c r="D61" i="94"/>
  <x:c r="E61" i="94"/>
  <x:c r="F61" i="94"/>
  <x:c r="G61" i="94"/>
  <x:c r="A62" i="94"/>
  <x:c r="B62" i="94"/>
  <x:c r="C62" i="94"/>
  <x:c r="D62" i="94"/>
  <x:c r="E62" i="94"/>
  <x:c r="F62" i="94"/>
  <x:c r="G62" i="94"/>
  <x:c r="A63" i="94"/>
  <x:c r="B63" i="94"/>
  <x:c r="C63" i="94"/>
  <x:c r="D63" i="94"/>
  <x:c r="E63" i="94"/>
  <x:c r="F63" i="94"/>
  <x:c r="G63" i="94"/>
  <x:c r="A64" i="94"/>
  <x:c r="B64" i="94"/>
  <x:c r="C64" i="94"/>
  <x:c r="D64" i="94"/>
  <x:c r="E64" i="94"/>
  <x:c r="F64" i="94"/>
  <x:c r="G64" i="94"/>
  <x:c r="A65" i="94"/>
  <x:c r="B65" i="94"/>
  <x:c r="C65" i="94"/>
  <x:c r="D65" i="94"/>
  <x:c r="E65" i="94"/>
  <x:c r="F65" i="94"/>
  <x:c r="G65" i="94"/>
  <x:c r="A66" i="94"/>
  <x:c r="B66" i="94"/>
  <x:c r="C66" i="94"/>
  <x:c r="D66" i="94"/>
  <x:c r="E66" i="94"/>
  <x:c r="F66" i="94"/>
  <x:c r="G66" i="94"/>
  <x:c r="A67" i="94"/>
  <x:c r="B67" i="94"/>
  <x:c r="C67" i="94"/>
  <x:c r="D67" i="94"/>
  <x:c r="E67" i="94"/>
  <x:c r="F67" i="94"/>
  <x:c r="G67" i="94"/>
  <x:c r="A68" i="94"/>
  <x:c r="B68" i="94"/>
  <x:c r="C68" i="94"/>
  <x:c r="D68" i="94"/>
  <x:c r="E68" i="94"/>
  <x:c r="F68" i="94"/>
  <x:c r="G68" i="94"/>
  <x:c r="A69" i="94"/>
  <x:c r="B69" i="94"/>
  <x:c r="C69" i="94"/>
  <x:c r="D69" i="94"/>
  <x:c r="E69" i="94"/>
  <x:c r="F69" i="94"/>
  <x:c r="G69" i="94"/>
  <x:c r="A70" i="94"/>
  <x:c r="B70" i="94"/>
  <x:c r="C70" i="94"/>
  <x:c r="D70" i="94"/>
  <x:c r="E70" i="94"/>
  <x:c r="F70" i="94"/>
  <x:c r="G70" i="94"/>
  <x:c r="A71" i="94"/>
  <x:c r="B71" i="94"/>
  <x:c r="C71" i="94"/>
  <x:c r="D71" i="94"/>
  <x:c r="E71" i="94"/>
  <x:c r="F71" i="94"/>
  <x:c r="G71" i="94"/>
  <x:c r="A72" i="94"/>
  <x:c r="B72" i="94"/>
  <x:c r="C72" i="94"/>
  <x:c r="D72" i="94"/>
  <x:c r="E72" i="94"/>
  <x:c r="F72" i="94"/>
  <x:c r="G72" i="94"/>
  <x:c r="A73" i="94"/>
  <x:c r="B73" i="94"/>
  <x:c r="C73" i="94"/>
  <x:c r="D73" i="94"/>
  <x:c r="E73" i="94"/>
  <x:c r="F73" i="94"/>
  <x:c r="G73" i="94"/>
  <x:c r="A74" i="94"/>
  <x:c r="B74" i="94"/>
  <x:c r="C74" i="94"/>
  <x:c r="D74" i="94"/>
  <x:c r="E74" i="94"/>
  <x:c r="F74" i="94"/>
  <x:c r="G74" i="94"/>
  <x:c r="A75" i="94"/>
  <x:c r="B75" i="94"/>
  <x:c r="C75" i="94"/>
  <x:c r="D75" i="94"/>
  <x:c r="E75" i="94"/>
  <x:c r="F75" i="94"/>
  <x:c r="G75" i="94"/>
  <x:c r="A76" i="94"/>
  <x:c r="B76" i="94"/>
  <x:c r="C76" i="94"/>
  <x:c r="D76" i="94"/>
  <x:c r="E76" i="94"/>
  <x:c r="F76" i="94"/>
  <x:c r="G76" i="94"/>
  <x:c r="A77" i="94"/>
  <x:c r="B77" i="94"/>
  <x:c r="C77" i="94"/>
  <x:c r="D77" i="94"/>
  <x:c r="E77" i="94"/>
  <x:c r="F77" i="94"/>
  <x:c r="G77" i="94"/>
  <x:c r="A78" i="94"/>
  <x:c r="B78" i="94"/>
  <x:c r="C78" i="94"/>
  <x:c r="D78" i="94"/>
  <x:c r="E78" i="94"/>
  <x:c r="F78" i="94"/>
  <x:c r="G78" i="94"/>
  <x:c r="A79" i="94"/>
  <x:c r="B79" i="94"/>
  <x:c r="C79" i="94"/>
  <x:c r="D79" i="94"/>
  <x:c r="E79" i="94"/>
  <x:c r="F79" i="94"/>
  <x:c r="G79" i="94"/>
  <x:c r="A80" i="94"/>
  <x:c r="B80" i="94"/>
  <x:c r="C80" i="94"/>
  <x:c r="D80" i="94"/>
  <x:c r="E80" i="94"/>
  <x:c r="F80" i="94"/>
  <x:c r="G80" i="94"/>
  <x:c r="A81" i="94"/>
  <x:c r="B81" i="94"/>
  <x:c r="C81" i="94"/>
  <x:c r="D81" i="94"/>
  <x:c r="E81" i="94"/>
  <x:c r="F81" i="94"/>
  <x:c r="G81" i="94"/>
  <x:c r="A82" i="94"/>
  <x:c r="B82" i="94"/>
  <x:c r="C82" i="94"/>
  <x:c r="D82" i="94"/>
  <x:c r="E82" i="94"/>
  <x:c r="F82" i="94"/>
  <x:c r="G82" i="94"/>
  <x:c r="A83" i="94"/>
  <x:c r="B83" i="94"/>
  <x:c r="C83" i="94"/>
  <x:c r="D83" i="94"/>
  <x:c r="E83" i="94"/>
  <x:c r="F83" i="94"/>
  <x:c r="G83" i="94"/>
  <x:c r="A84" i="94"/>
  <x:c r="B84" i="94"/>
  <x:c r="C84" i="94"/>
  <x:c r="D84" i="94"/>
  <x:c r="E84" i="94"/>
  <x:c r="F84" i="94"/>
  <x:c r="G84" i="94"/>
  <x:c r="A85" i="94"/>
  <x:c r="B85" i="94"/>
  <x:c r="C85" i="94"/>
  <x:c r="D85" i="94"/>
  <x:c r="E85" i="94"/>
  <x:c r="F85" i="94"/>
  <x:c r="G85" i="94"/>
  <x:c r="A86" i="94"/>
  <x:c r="B86" i="94"/>
  <x:c r="C86" i="94"/>
  <x:c r="D86" i="94"/>
  <x:c r="E86" i="94"/>
  <x:c r="F86" i="94"/>
  <x:c r="G86" i="94"/>
  <x:c r="A87" i="94"/>
  <x:c r="B87" i="94"/>
  <x:c r="C87" i="94"/>
  <x:c r="D87" i="94"/>
  <x:c r="E87" i="94"/>
  <x:c r="F87" i="94"/>
  <x:c r="G87" i="94"/>
  <x:c r="A88" i="94"/>
  <x:c r="B88" i="94"/>
  <x:c r="C88" i="94"/>
  <x:c r="D88" i="94"/>
  <x:c r="E88" i="94"/>
  <x:c r="F88" i="94"/>
  <x:c r="G88" i="94"/>
  <x:c r="A89" i="94"/>
  <x:c r="B89" i="94"/>
  <x:c r="C89" i="94"/>
  <x:c r="D89" i="94"/>
  <x:c r="E89" i="94"/>
  <x:c r="F89" i="94"/>
  <x:c r="G89" i="94"/>
  <x:c r="A90" i="94"/>
  <x:c r="B90" i="94"/>
  <x:c r="C90" i="94"/>
  <x:c r="D90" i="94"/>
  <x:c r="E90" i="94"/>
  <x:c r="F90" i="94"/>
  <x:c r="G90" i="94"/>
  <x:c r="A91" i="94"/>
  <x:c r="B91" i="94"/>
  <x:c r="C91" i="94"/>
  <x:c r="D91" i="94"/>
  <x:c r="E91" i="94"/>
  <x:c r="F91" i="94"/>
  <x:c r="G91" i="94"/>
  <x:c r="A92" i="94"/>
  <x:c r="B92" i="94"/>
  <x:c r="C92" i="94"/>
  <x:c r="D92" i="94"/>
  <x:c r="E92" i="94"/>
  <x:c r="F92" i="94"/>
  <x:c r="G92" i="94"/>
  <x:c r="A93" i="94"/>
  <x:c r="B93" i="94"/>
  <x:c r="C93" i="94"/>
  <x:c r="D93" i="94"/>
  <x:c r="E93" i="94"/>
  <x:c r="F93" i="94"/>
  <x:c r="G93" i="94"/>
  <x:c r="A94" i="94"/>
  <x:c r="B94" i="94"/>
  <x:c r="C94" i="94"/>
  <x:c r="D94" i="94"/>
  <x:c r="E94" i="94"/>
  <x:c r="F94" i="94"/>
  <x:c r="G94" i="94"/>
</x:calcChain>
</file>

<file path=xl/sharedStrings.xml><?xml version="1.0" encoding="utf-8"?>
<x:sst xmlns:x="http://schemas.openxmlformats.org/spreadsheetml/2006/main">
  <x:si>
    <x:t>item</x:t>
  </x:si>
  <x:si>
    <x:t>Glassfibre Industries</x:t>
  </x:si>
  <x:si>
    <x:t>Crown Fibreglass</x:t>
  </x:si>
  <x:si>
    <x:t>Silvercraft Products Ltd</x:t>
  </x:si>
  <x:si>
    <x:t>Fashion Fibreglass</x:t>
  </x:si>
  <x:si>
    <x:t>Seabrave Marine</x:t>
  </x:si>
  <x:si>
    <x:t>info@micalleffibreglassworks.com</x:t>
  </x:si>
  <x:si>
    <x:t>info@silvercraftltd.com</x:t>
  </x:si>
  <x:si>
    <x:t>etienne@silvercraftltd.com</x:t>
  </x:si>
  <x:si>
    <x:t>angela@silvercraftltd.com</x:t>
  </x:si>
  <x:si>
    <x:t>info@crownfibreglass.com</x:t>
  </x:si>
  <x:si>
    <x:t>info@micallefpools.com</x:t>
  </x:si>
  <x:si>
    <x:t>natasha@glassfibreindustries.net</x:t>
  </x:si>
  <x:si>
    <x:t>fashionfibre@hotmail.com</x:t>
  </x:si>
  <x:si>
    <x:t>info@seabravemarine.com</x:t>
  </x:si>
  <x:si>
    <x:t>Birkirkara</x:t>
  </x:si>
  <x:si>
    <x:t>Zetjun</x:t>
  </x:si>
  <x:si>
    <x:t>Marsa</x:t>
  </x:si>
  <x:si>
    <x:t>Qormi</x:t>
  </x:si>
  <x:si>
    <x:t>Birzebbugia</x:t>
  </x:si>
  <x:si>
    <x:t>crownfibreglass.com/?utm_source=Yellow&amp;utm_medium=Yellow-Website&amp;utm_campaign=Landing-Page</x:t>
  </x:si>
  <x:si>
    <x:t>silvercraftltd.com/?utm_source=Yellow&amp;utm_medium=Yellow-Website&amp;utm_campaign=Landing-Page</x:t>
  </x:si>
  <x:si>
    <x:t>facebook.com/people/Seabrave-Marine/100057368593400/</x:t>
  </x:si>
  <x:si>
    <x:t>Website</x:t>
  </x:si>
  <x:si>
    <x:t>Name</x:t>
  </x:si>
  <x:si>
    <x:t>Ventilation</x:t>
  </x:si>
  <x:si>
    <x:t>Econova</x:t>
  </x:si>
  <x:si>
    <x:t>Titan</x:t>
  </x:si>
  <x:si>
    <x:t>HVAC</x:t>
  </x:si>
  <x:si>
    <x:t>Cutrico</x:t>
  </x:si>
  <x:si>
    <x:t>Comfortek</x:t>
  </x:si>
  <x:si>
    <x:t>Bezzina Bros</x:t>
  </x:si>
  <x:si>
    <x:t>GI Maintenance</x:t>
  </x:si>
  <x:si>
    <x:t>C&amp;D Electrical &amp; Mechanical Installations</x:t>
  </x:si>
  <x:si>
    <x:t>Energex</x:t>
  </x:si>
  <x:si>
    <x:t>Cooltec</x:t>
  </x:si>
  <x:si>
    <x:t>DR Installations</x:t>
  </x:si>
  <x:si>
    <x:t>CE Installations</x:t>
  </x:si>
  <x:si>
    <x:t>WeDuct</x:t>
  </x:si>
  <x:si>
    <x:t>Proklima</x:t>
  </x:si>
  <x:si>
    <x:t>Midea Malta</x:t>
  </x:si>
  <x:si>
    <x:t>Callejja</x:t>
  </x:si>
  <x:si>
    <x:t>Tabone Direct</x:t>
  </x:si>
  <x:si>
    <x:t>Geoholistic</x:t>
  </x:si>
  <x:si>
    <x:t>RS</x:t>
  </x:si>
  <x:si>
    <x:t>MFF Industrial Supplies</x:t>
  </x:si>
  <x:si>
    <x:t>Smart Effects</x:t>
  </x:si>
  <x:si>
    <x:t>MV System</x:t>
  </x:si>
  <x:si>
    <x:t>Nonstop forced cross ventilation</x:t>
  </x:si>
  <x:si>
    <x:t>You need a fresh air system together with the ac unit</x:t>
  </x:si>
  <x:si>
    <x:t>We need to draft up an email to these guys to tell us what our options are.</x:t>
  </x:si>
  <x:si>
    <x:t>Econova is suggesting a tailored ventilation system (we need enough height in the room).</x:t>
  </x:si>
  <x:si>
    <x:t>They intall a bulkhead (to hide the ventilation pipes) and created a filtrated ventilation system.</x:t>
  </x:si>
  <x:si>
    <x:t>econovamalta@gmail.com</x:t>
  </x:si>
  <x:si>
    <x:t>info@hvacsupplies.eu</x:t>
  </x:si>
  <x:si>
    <x:t>info@cutrico.com</x:t>
  </x:si>
  <x:si>
    <x:t>dpcomfortek@gmail.com</x:t>
  </x:si>
  <x:si>
    <x:t>info@bezzbros.com</x:t>
  </x:si>
  <x:si>
    <x:t>info@cdinstallations.com.mt</x:t>
  </x:si>
  <x:si>
    <x:t>energexservices@gmail.com</x:t>
  </x:si>
  <x:si>
    <x:t>info@cooltekservices.com.mt</x:t>
  </x:si>
  <x:si>
    <x:t>rosamonddesira@gmail.com</x:t>
  </x:si>
  <x:si>
    <x:t>info@ceinstallations.com.mt</x:t>
  </x:si>
  <x:si>
    <x:t>projects@proklimamalta.com</x:t>
  </x:si>
  <x:si>
    <x:t>info@weduct.com.mt</x:t>
  </x:si>
  <x:si>
    <x:t>sales@midea.mt</x:t>
  </x:si>
  <x:si>
    <x:t>webshop@calleja.com.mt</x:t>
  </x:si>
  <x:si>
    <x:t>sales@tabonedirect.com</x:t>
  </x:si>
  <x:si>
    <x:t>info@geoholistic.com</x:t>
  </x:si>
  <x:si>
    <x:t>sales@thetccgroup.org</x:t>
  </x:si>
  <x:si>
    <x:t>sales@mff-isl.com</x:t>
  </x:si>
  <x:si>
    <x:t>afenech@smarteffects.com.mt</x:t>
  </x:si>
  <x:si>
    <x:t>50, Triq Salvu Psaila, Birkirkara, Malta, BKR9072</x:t>
  </x:si>
  <x:si>
    <x:t>Triq Ħal Luqa, Qormi, QRM 9070, Malta</x:t>
  </x:si>
  <x:si>
    <x:t>Cutrico Ltd,
Mriehel By-pass, Mriehel,
Malta</x:t>
  </x:si>
  <x:si>
    <x:t>94 Triq wied hal-Balzan, Balzan, Malta</x:t>
  </x:si>
  <x:si>
    <x:t>Aldo Moro Rd., Marsa, Malta, MRS9065</x:t>
  </x:si>
  <x:si>
    <x:t>28, Triq Borg, Fleur-De-Lys, Birkirkara, BKR 4963</x:t>
  </x:si>
  <x:si>
    <x:t>Garage V15 Warehouse First Floor, Binja San Guzepp Haddiem Triq Indri Psaila
Qormi</x:t>
  </x:si>
  <x:si>
    <x:t>Geo Holistic Co. Ltd.
G1, Five Star Business Park,
Triq il-Belt Valletta,
Ghaxaq</x:t>
  </x:si>
  <x:si>
    <x:t>hvacsupplies.eu/about-us/</x:t>
  </x:si>
  <x:si>
    <x:t>cutrico.com/en/home.htm</x:t>
  </x:si>
  <x:si>
    <x:t>panta.mt/</x:t>
  </x:si>
  <x:si>
    <x:t>comfortek.mt</x:t>
  </x:si>
  <x:si>
    <x:t>cdinstallations.com.mt/</x:t>
  </x:si>
  <x:si>
    <x:t>cooltekservices.com.mt/contact-us/</x:t>
  </x:si>
  <x:si>
    <x:t>ceinstallations.com.mt/</x:t>
  </x:si>
  <x:si>
    <x:t>proklimamalta.com/</x:t>
  </x:si>
  <x:si>
    <x:t>midea.mt/contact/</x:t>
  </x:si>
  <x:si>
    <x:t>facebook.com/profile.php?id=61571161208722</x:t>
  </x:si>
  <x:si>
    <x:t>ess.com.mt/home/contact</x:t>
  </x:si>
  <x:si>
    <x:t>Wants us to book a consultation (but costs 50euro for them to come on site)
https://docs.google.com/forms/d/e/1FAIpQLSeB6v8JWo79RIujHFRtUz1Z2D1YFwtXp6QogrjMGIh5-JjSqw/viewform</x:t>
  </x:si>
  <x:si>
    <x:t xml:space="preserve">Installation </x:t>
  </x:si>
  <x:si>
    <x:t>Handyman</x:t>
  </x:si>
  <x:si>
    <x:t>Ewi home services Limited</x:t>
  </x:si>
  <x:si>
    <x:t>Mr. Handy</x:t>
  </x:si>
  <x:si>
    <x:t>WS Installations</x:t>
  </x:si>
  <x:si>
    <x:t>Handyman Solutions Ltd</x:t>
  </x:si>
  <x:si>
    <x:t>24/7 Handyman Services (Kevin Bonnici)</x:t>
  </x:si>
  <x:si>
    <x:t>Homecare Malta</x:t>
  </x:si>
  <x:si>
    <x:t>J D Maintenance &amp; High-Up</x:t>
  </x:si>
  <x:si>
    <x:t>NLP Force Ltd</x:t>
  </x:si>
  <x:si>
    <x:t>Joseph's Handy Solutions</x:t>
  </x:si>
  <x:si>
    <x:t>AB Installations By Formosa</x:t>
  </x:si>
  <x:si>
    <x:t>Marco Vella Handyman Services</x:t>
  </x:si>
  <x:si>
    <x:t>Briiz (Mr. Handyman)</x:t>
  </x:si>
  <x:si>
    <x:t>Swift Solutions</x:t>
  </x:si>
  <x:si>
    <x:t>Better Call Tyrone</x:t>
  </x:si>
  <x:si>
    <x:t>JC Handyman &amp; Turnkey</x:t>
  </x:si>
  <x:si>
    <x:t>ZAG - Services &amp; Finishes Malta</x:t>
  </x:si>
  <x:si>
    <x:t>EC Installations</x:t>
  </x:si>
  <x:si>
    <x:t>ACM Maintanace</x:t>
  </x:si>
  <x:si>
    <x:t>GF Installations</x:t>
  </x:si>
  <x:si>
    <x:t>Brian Handyman &amp; Gypsum Works</x:t>
  </x:si>
  <x:si>
    <x:t>Gino Handyman Service</x:t>
  </x:si>
  <x:si>
    <x:t>MB Handyman Services</x:t>
  </x:si>
  <x:si>
    <x:t>Emilio Bilocca Handyman Services</x:t>
  </x:si>
  <x:si>
    <x:t>Manutek</x:t>
  </x:si>
  <x:si>
    <x:t>Pj Handyman</x:t>
  </x:si>
  <x:si>
    <x:t>info@mrhandy.mt</x:t>
  </x:si>
  <x:si>
    <x:t>info@ewihomeservices.com</x:t>
  </x:si>
  <x:si>
    <x:t>info@wsinstallations.com</x:t>
  </x:si>
  <x:si>
    <x:t>ilenia@actsmart.com.mt</x:t>
  </x:si>
  <x:si>
    <x:t>kevin.bonnici76@gmail.com</x:t>
  </x:si>
  <x:si>
    <x:t>info@homecaremalta.com</x:t>
  </x:si>
  <x:si>
    <x:t>demicolijo@gmail.com</x:t>
  </x:si>
  <x:si>
    <x:t>nikola.pejovic@nlpforce.com</x:t>
  </x:si>
  <x:si>
    <x:t>schembrijoseph91@gmail.com</x:t>
  </x:si>
  <x:si>
    <x:t>abinstallationsbyformosa@gmail.com</x:t>
  </x:si>
  <x:si>
    <x:t>Contact via website form</x:t>
  </x:si>
  <x:si>
    <x:t>info@briiz.com.mt</x:t>
  </x:si>
  <x:si>
    <x:t>swiftsolution2025@gmail.com</x:t>
  </x:si>
  <x:si>
    <x:t>tyrone.vassallo01@gmail.com</x:t>
  </x:si>
  <x:si>
    <x:t>jason.cordina79@gmail.com</x:t>
  </x:si>
  <x:si>
    <x:t>ZAGinfo@gmail.com</x:t>
  </x:si>
  <x:si>
    <x:t>clivesammut@hotmail.co.uk</x:t>
  </x:si>
  <x:si>
    <x:t>esteliocini@gmail.com</x:t>
  </x:si>
  <x:si>
    <x:t>gfinstallations@gmail.com</x:t>
  </x:si>
  <x:si>
    <x:t>brifor06@hotmail.com</x:t>
  </x:si>
  <x:si>
    <x:t>gino.bonnici.11@gmail.com</x:t>
  </x:si>
  <x:si>
    <x:t>mb.handymanservice@libero.it</x:t>
  </x:si>
  <x:si>
    <x:t>info@emiliohandyman.com</x:t>
  </x:si>
  <x:si>
    <x:t>Manutek@kompleto.com.mt</x:t>
  </x:si>
  <x:si>
    <x:t>pjhandyman@mail.com</x:t>
  </x:si>
  <x:si>
    <x:t/>
  </x:si>
  <x:si>
    <x:t>682, Triq il-Kbira San Ġużepp, Ħamrun, Malta</x:t>
  </x:si>
  <x:si>
    <x:t>Registered in Malta (Service area: All Malta, no public storefront)</x:t>
  </x:si>
  <x:si>
    <x:t>Triq Ċensu Busuttil, L-Iklin</x:t>
  </x:si>
  <x:si>
    <x:t>58c, Triq Patri Feliċjan Bilocca, Marsa</x:t>
  </x:si>
  <x:si>
    <x:t>Registered in Qormi (Mobile contractor, no public storefront)</x:t>
  </x:si>
  <x:si>
    <x:t>881, Triq il-Kbira San Ġużepp, Ħamrun, HMR 1010</x:t>
  </x:si>
  <x:si>
    <x:t>Registered in Mosta (Mobile contractor, no public storefront)</x:t>
  </x:si>
  <x:si>
    <x:t>Triq Ġużeppi Xuereb ix-Xhudi, Swatar, Birkirkara</x:t>
  </x:si>
  <x:si>
    <x:t>Registered in Żejtun (Mobile contractor, no public storefront)</x:t>
  </x:si>
  <x:si>
    <x:t>Registered in Żabbar (Mobile contractor, no public storefront)</x:t>
  </x:si>
  <x:si>
    <x:t>31, Triq il-Merill, Mellieħa, MLH 2572</x:t>
  </x:si>
  <x:si>
    <x:t>Registered in Mosta (Service area: All Malta, no public storefront)</x:t>
  </x:si>
  <x:si>
    <x:t>176, Triq San Bastjan, Qormi</x:t>
  </x:si>
  <x:si>
    <x:t>373, St Joseph High Street, Mosta</x:t>
  </x:si>
  <x:si>
    <x:t>45, Indri Borg Street, Rabat</x:t>
  </x:si>
  <x:si>
    <x:t>152, St. Peter Paul, Triq il-Kbira, Qormi</x:t>
  </x:si>
  <x:si>
    <x:t>Garage 64, Triq is-Sajjied, Qawra, San Pawl il-Baħar</x:t>
  </x:si>
  <x:si>
    <x:t>Registered in Tarxien (Mobile contractor, no public storefront)</x:t>
  </x:si>
  <x:si>
    <x:t>Registered in Buġibba / St. Paul's Bay (Mobile contractor, no public storefront)</x:t>
  </x:si>
  <x:si>
    <x:t>17 Madonnina, Triq il-Pluvieri, Gudja (Also lists: Milicent Garage, Triq il-Magħsar, Gudja)</x:t>
  </x:si>
  <x:si>
    <x:t>GPL Business Centre, Office 1, Level 2, Sqaq il-Ghadam, Mriehel, BKR3000</x:t>
  </x:si>
  <x:si>
    <x:t>briiz.com.mt/handyman</x:t>
  </x:si>
  <x:si>
    <x:t>ewihomeservices.com</x:t>
  </x:si>
  <x:si>
    <x:t>homecaremalta.com</x:t>
  </x:si>
  <x:si>
    <x:t>nlpforce.com</x:t>
  </x:si>
  <x:si>
    <x:t>marcovella.com</x:t>
  </x:si>
  <x:si>
    <x:t>gfonlinestore.com</x:t>
  </x:si>
  <x:si>
    <x:t>emiliohandyman.com</x:t>
  </x:si>
  <x:si>
    <x:t>Corporate/Self Employed</x:t>
  </x:si>
  <x:si>
    <x:t>Corporate</x:t>
  </x:si>
  <x:si>
    <x:t>Self-Employed</x:t>
  </x:si>
  <x:si>
    <x:t>Note</x:t>
  </x:si>
  <x:si>
    <x:t>Agreed to the tems. Self-Employed, just one worker</x:t>
  </x:si>
  <x:si>
    <x:t>Reqiures a meeting to discuss further</x:t>
  </x:si>
  <x:si>
    <x:t>Chanrges 40EUR/hr Per Person</x:t>
  </x:si>
  <x:si>
    <x:t>Does not work on fixed rates but by quote on site.</x:t>
  </x:si>
  <x:si>
    <x:t>Electrician</x:t>
  </x:si>
  <x:si>
    <x:t>Aaron Agius</x:t>
  </x:si>
  <x:si>
    <x:t>Anthony D'Anastasi</x:t>
  </x:si>
  <x:si>
    <x:t>Aaron Zammit</x:t>
  </x:si>
  <x:si>
    <x:t>Stefan (AC's By Stefan)</x:t>
  </x:si>
  <x:si>
    <x:t>Dorian Sciortino</x:t>
  </x:si>
  <x:si>
    <x:t>HandySalv</x:t>
  </x:si>
  <x:si>
    <x:t>Roderick Attard</x:t>
  </x:si>
  <x:si>
    <x:t>Michelle Colombo</x:t>
  </x:si>
  <x:si>
    <x:t>Salvu Fenech Ta' Spekna</x:t>
  </x:si>
  <x:si>
    <x:t>Carmel Carabott</x:t>
  </x:si>
  <x:si>
    <x:t>JC Electrical Plumbing Installation</x:t>
  </x:si>
  <x:si>
    <x:t>Stephen Micallef (Electrical &amp; Plumbing)</x:t>
  </x:si>
  <x:si>
    <x:t>aaronagius82@gmail.com</x:t>
  </x:si>
  <x:si>
    <x:t>danastasi.rt@outlook.com</x:t>
  </x:si>
  <x:si>
    <x:t>Contact via REWS registry</x:t>
  </x:si>
  <x:si>
    <x:t>Contact via StarOfService directory</x:t>
  </x:si>
  <x:si>
    <x:t>salvufenech@gmail.com</x:t>
  </x:si>
  <x:si>
    <x:t>jcelectricalmalta@gmail.com</x:t>
  </x:si>
  <x:si>
    <x:t>Id-Dwejra, Triq il-Fidwa, Gudja, Malta</x:t>
  </x:si>
  <x:si>
    <x:t>32 Virgo, Triq il-Battaljun, Mosta, MST 2721, Malta</x:t>
  </x:si>
  <x:si>
    <x:t>Cawsli Court, Flt 4, Triq L-Imdina, Ħal Qormi, Malta</x:t>
  </x:si>
  <x:si>
    <x:t>Registered in Qormi (Mobile contractor, no public street address listed)</x:t>
  </x:si>
  <x:si>
    <x:t>Registered in Malta (Mobile contractor, no public street address listed)</x:t>
  </x:si>
  <x:si>
    <x:t>Blk C6 Flat 2, Triq il-Fraxxnu, Ħaż-Żebbuġ, Malta</x:t>
  </x:si>
  <x:si>
    <x:t>Registered in Birżebbuġa, BBG 1606, Malta (Mobile contractor)</x:t>
  </x:si>
  <x:si>
    <x:t>Registered in Central Malta (Mobile domestic electrician)</x:t>
  </x:si>
  <x:si>
    <x:t>92 Triq Blanche Huber, Sliema, Malta</x:t>
  </x:si>
  <x:si>
    <x:t>39 Siskina, Triq Raddet Ir-Roti, Mosta, Malta</x:t>
  </x:si>
  <x:si>
    <x:t>Registered in Marsaxlokk (Mobile domestic electrician)</x:t>
  </x:si>
  <x:si>
    <x:t>Registered in Qormi (Mobile contractor)</x:t>
  </x:si>
  <x:si>
    <x:t>Registered in Naxxar (Mobile contractor)</x:t>
  </x:si>
  <x:si>
    <x:t>Carpenter</x:t>
  </x:si>
  <x:si>
    <x:t>Domestica</x:t>
  </x:si>
  <x:si>
    <x:t>FV Carpentry</x:t>
  </x:si>
  <x:si>
    <x:t>Refalo Woodworks Ltd</x:t>
  </x:si>
  <x:si>
    <x:t>Gauci Woodworks</x:t>
  </x:si>
  <x:si>
    <x:t>BP Woodworks</x:t>
  </x:si>
  <x:si>
    <x:t>Armstrong Woodworks Ltd</x:t>
  </x:si>
  <x:si>
    <x:t>Shalom Woodworks</x:t>
  </x:si>
  <x:si>
    <x:t>Joseph Briffa Woodworks</x:t>
  </x:si>
  <x:si>
    <x:t>Jomasero Woodworks</x:t>
  </x:si>
  <x:si>
    <x:t>Baldacchino Woodworks Ltd</x:t>
  </x:si>
  <x:si>
    <x:t>info@domestica.com.mt</x:t>
  </x:si>
  <x:si>
    <x:t>fran@fvcarpentry.com</x:t>
  </x:si>
  <x:si>
    <x:t>info@refalowoodworksltd.com</x:t>
  </x:si>
  <x:si>
    <x:t>pdgl1969@gmail.com</x:t>
  </x:si>
  <x:si>
    <x:t>info@bpwoodworks.com</x:t>
  </x:si>
  <x:si>
    <x:t>info@armstrong.com.mt</x:t>
  </x:si>
  <x:si>
    <x:t>sales@shalomwoodworks.com</x:t>
  </x:si>
  <x:si>
    <x:t>joseph.briffa.woodworks@hotmail.com</x:t>
  </x:si>
  <x:si>
    <x:t>joseph.taekwondo@gmail.com</x:t>
  </x:si>
  <x:si>
    <x:t>info@baldacchinogroup.com</x:t>
  </x:si>
  <x:si>
    <x:t>fvcarpentry.com</x:t>
  </x:si>
  <x:si>
    <x:t>refalowoodworks.com</x:t>
  </x:si>
  <x:si>
    <x:t>findit.com.mt/en/directory/listings/3682/gauci-woodworks.htm</x:t>
  </x:si>
  <x:si>
    <x:t>bpwoodworks.com</x:t>
  </x:si>
  <x:si>
    <x:t>armstrong.com.mt</x:t>
  </x:si>
  <x:si>
    <x:t>shalomwoodworks.com</x:t>
  </x:si>
  <x:si>
    <x:t>baldacchinogroup.com/left-menu/woodworks.html</x:t>
  </x:si>
  <x:si>
    <x:t>aacarimports.com.mt/</x:t>
  </x:si>
  <x:si>
    <x:t>Car Dealer</x:t>
  </x:si>
  <x:si>
    <x:t>A&amp;A</x:t>
  </x:si>
  <x:si>
    <x:t>A1 Autodealers</x:t>
  </x:si>
  <x:si>
    <x:t>ABS Auto Dealer</x:t>
  </x:si>
  <x:si>
    <x:t>AJ Motors</x:t>
  </x:si>
  <x:si>
    <x:t>Alan Motors</x:t>
  </x:si>
  <x:si>
    <x:t>Attard Auto Dealer</x:t>
  </x:si>
  <x:si>
    <x:t>Attards Motors</x:t>
  </x:si>
  <x:si>
    <x:t>AutoGama</x:t>
  </x:si>
  <x:si>
    <x:t>Autozone Autodealer</x:t>
  </x:si>
  <x:si>
    <x:t>Avis Malta</x:t>
  </x:si>
  <x:si>
    <x:t>Brincat Auto Imports</x:t>
  </x:si>
  <x:si>
    <x:t>BTL Autodealer</x:t>
  </x:si>
  <x:si>
    <x:t>Canadis Autodealer</x:t>
  </x:si>
  <x:si>
    <x:t>CarHub</x:t>
  </x:si>
  <x:si>
    <x:t>Caromotors</x:t>
  </x:si>
  <x:si>
    <x:t>Cars and More</x:t>
  </x:si>
  <x:si>
    <x:t>Cars Unlimited</x:t>
  </x:si>
  <x:si>
    <x:t>Charlie Auto Dealer</x:t>
  </x:si>
  <x:si>
    <x:t>Chevron Auto Dealer</x:t>
  </x:si>
  <x:si>
    <x:t>CR Cars</x:t>
  </x:si>
  <x:si>
    <x:t>D &amp; G Auto Dealer</x:t>
  </x:si>
  <x:si>
    <x:t>D &amp; S Auto Dealer</x:t>
  </x:si>
  <x:si>
    <x:t>DC Motors</x:t>
  </x:si>
  <x:si>
    <x:t>Dino's Motor Centre</x:t>
  </x:si>
  <x:si>
    <x:t>Drive Automotive Co Ltd</x:t>
  </x:si>
  <x:si>
    <x:t>DRM Auto Sales</x:t>
  </x:si>
  <x:si>
    <x:t>Emotion Car Imports</x:t>
  </x:si>
  <x:si>
    <x:t>Eucharist Mercieca Auto Ltd</x:t>
  </x:si>
  <x:si>
    <x:t>Fava Auto Dealers</x:t>
  </x:si>
  <x:si>
    <x:t>Galea General Services Ltd (GGS)</x:t>
  </x:si>
  <x:si>
    <x:t>Gasan Enterprises Ltd</x:t>
  </x:si>
  <x:si>
    <x:t>Gauci Automobiles Co Ltd</x:t>
  </x:si>
  <x:si>
    <x:t>George and Rocco Car Centre</x:t>
  </x:si>
  <x:si>
    <x:t>George Autodealer</x:t>
  </x:si>
  <x:si>
    <x:t>Glenn's Highway Auto Dealer</x:t>
  </x:si>
  <x:si>
    <x:t>Horace Auto Dealer</x:t>
  </x:si>
  <x:si>
    <x:t>J Auto Malta</x:t>
  </x:si>
  <x:si>
    <x:t>J C Car Sales</x:t>
  </x:si>
  <x:si>
    <x:t>J F Motors</x:t>
  </x:si>
  <x:si>
    <x:t>J M Motors</x:t>
  </x:si>
  <x:si>
    <x:t>Jason Imports</x:t>
  </x:si>
  <x:si>
    <x:t>Joe AutoDealer</x:t>
  </x:si>
  <x:si>
    <x:t>Justin Autodealer</x:t>
  </x:si>
  <x:si>
    <x:t>Kenky Cars</x:t>
  </x:si>
  <x:si>
    <x:t>Kind's Auto Sales</x:t>
  </x:si>
  <x:si>
    <x:t>Kurt's Auto Sales</x:t>
  </x:si>
  <x:si>
    <x:t>LF Motors</x:t>
  </x:si>
  <x:si>
    <x:t>Mario Galea</x:t>
  </x:si>
  <x:si>
    <x:t>Mark's Motors 4 x 4</x:t>
  </x:si>
  <x:si>
    <x:t>Melliehi Garage</x:t>
  </x:si>
  <x:si>
    <x:t>Mibrum Co. Ltd</x:t>
  </x:si>
  <x:si>
    <x:t>Michael Debono</x:t>
  </x:si>
  <x:si>
    <x:t>Mizzi Motors Ltd</x:t>
  </x:si>
  <x:si>
    <x:t>Montebello Enterprises Ltd</x:t>
  </x:si>
  <x:si>
    <x:t>Mosta Auto Dealers</x:t>
  </x:si>
  <x:si>
    <x:t>Motors Inc</x:t>
  </x:si>
  <x:si>
    <x:t>Naxxar Motors</x:t>
  </x:si>
  <x:si>
    <x:t>Noel Second Hand Auto Dealer</x:t>
  </x:si>
  <x:si>
    <x:t>Owen Auto Dealer</x:t>
  </x:si>
  <x:si>
    <x:t>P Y M C A Auto Dealer</x:t>
  </x:si>
  <x:si>
    <x:t>Pajsu</x:t>
  </x:si>
  <x:si>
    <x:t>Paola Car Centre</x:t>
  </x:si>
  <x:si>
    <x:t>PC Motors</x:t>
  </x:si>
  <x:si>
    <x:t>Portelli - Auto Dealer</x:t>
  </x:si>
  <x:si>
    <x:t>Premier Car Sales</x:t>
  </x:si>
  <x:si>
    <x:t>Puli Motors</x:t>
  </x:si>
  <x:si>
    <x:t>Regina Auto Dealer Ltd</x:t>
  </x:si>
  <x:si>
    <x:t>Rocky Auto Dealer</x:t>
  </x:si>
  <x:si>
    <x:t>Rokku Auto Dealer</x:t>
  </x:si>
  <x:si>
    <x:t>Route 66</x:t>
  </x:si>
  <x:si>
    <x:t>Sant Brothers Commercials Ltd</x:t>
  </x:si>
  <x:si>
    <x:t>SB Autocentre Ltd / SB Auto Centre Ltd</x:t>
  </x:si>
  <x:si>
    <x:t>Scotch Automobiles</x:t>
  </x:si>
  <x:si>
    <x:t>Sonic Auto Dealer / Sonic Car Importers</x:t>
  </x:si>
  <x:si>
    <x:t>Spiteri Autos</x:t>
  </x:si>
  <x:si>
    <x:t>Tal-Qasab Auto Dealer / Alexander Auto Sales</x:t>
  </x:si>
  <x:si>
    <x:t>Tasika Auto Ltd / Complete Motors</x:t>
  </x:si>
  <x:si>
    <x:t>Tonna Auto Dealer</x:t>
  </x:si>
  <x:si>
    <x:t>Ventur Motors</x:t>
  </x:si>
  <x:si>
    <x:t>Vince Auto Dealer</x:t>
  </x:si>
  <x:si>
    <x:t>Welcome Auto Dealer</x:t>
  </x:si>
  <x:si>
    <x:t>Winter Auto Dealer</x:t>
  </x:si>
  <x:si>
    <x:t>X Automobiles</x:t>
  </x:si>
  <x:si>
    <x:t>Xclusv Auto Dealer</x:t>
  </x:si>
  <x:si>
    <x:t>info@aacarimports.com.mt</x:t>
  </x:si>
  <x:si>
    <x:t>dowlinga@go.net.mt</x:t>
  </x:si>
  <x:si>
    <x:t>abs@onvol.net</x:t>
  </x:si>
  <x:si>
    <x:t>ajmotorsales@gmail.com</x:t>
  </x:si>
  <x:si>
    <x:t>info@alanmotors.com.mt</x:t>
  </x:si>
  <x:si>
    <x:t>attardautodealer@gmail.com</x:t>
  </x:si>
  <x:si>
    <x:t>taattardmotors@gmail.com</x:t>
  </x:si>
  <x:si>
    <x:t>autozoneautodealer@gmail.com</x:t>
  </x:si>
  <x:si>
    <x:t>info@aviscarsales.mt</x:t>
  </x:si>
  <x:si>
    <x:t>info@brincatautoimports.com</x:t>
  </x:si>
  <x:si>
    <x:t>btlautodealer@gmail.com</x:t>
  </x:si>
  <x:si>
    <x:t>canadisautodealer@gmail.com</x:t>
  </x:si>
  <x:si>
    <x:t>info@carhub.mt</x:t>
  </x:si>
  <x:si>
    <x:t>info@cam.com.mt</x:t>
  </x:si>
  <x:si>
    <x:t>info@carsunlimitedmalta.com</x:t>
  </x:si>
  <x:si>
    <x:t>sales@chevronautodealer.mt</x:t>
  </x:si>
  <x:si>
    <x:t>sales@fordsparesmalta.com</x:t>
  </x:si>
  <x:si>
    <x:t>dandsautodealer@hotmail.com</x:t>
  </x:si>
  <x:si>
    <x:t>dcmotorsbkara@gmail.com</x:t>
  </x:si>
  <x:si>
    <x:t>dinosreception@gmail.com</x:t>
  </x:si>
  <x:si>
    <x:t>info@drive.com.mt</x:t>
  </x:si>
  <x:si>
    <x:t>philmar87@hotmail.co.uk</x:t>
  </x:si>
  <x:si>
    <x:t>sales@emotionimports.com</x:t>
  </x:si>
  <x:si>
    <x:t>info@emauto.com.mt</x:t>
  </x:si>
  <x:si>
    <x:t>clivefava@gmail.com</x:t>
  </x:si>
  <x:si>
    <x:t>info@ggs.com.mt</x:t>
  </x:si>
  <x:si>
    <x:t>automotive@gasan.com</x:t>
  </x:si>
  <x:si>
    <x:t>sales@gauciautomobiles.com</x:t>
  </x:si>
  <x:si>
    <x:t>rocco@georgeandrocco.com</x:t>
  </x:si>
  <x:si>
    <x:t>georgeautodealer95@gmail.com</x:t>
  </x:si>
  <x:si>
    <x:t>highwayauto@onvol.net</x:t>
  </x:si>
  <x:si>
    <x:t>craigscicluna@gmail.com</x:t>
  </x:si>
  <x:si>
    <x:t>jautoimports@gmail.com</x:t>
  </x:si>
  <x:si>
    <x:t>jeanpazzopardi@gmail.com</x:t>
  </x:si>
  <x:si>
    <x:t>jfmotorsgozo@gmail.com</x:t>
  </x:si>
  <x:si>
    <x:t>info@jmmotorsmalta.com</x:t>
  </x:si>
  <x:si>
    <x:t>sales@jasoncarimports.com</x:t>
  </x:si>
  <x:si>
    <x:t>info@joeautodealer.com</x:t>
  </x:si>
  <x:si>
    <x:t>justinauto@hotmail.com</x:t>
  </x:si>
  <x:si>
    <x:t>kennethsch3mbri@gmail.com</x:t>
  </x:si>
  <x:si>
    <x:t>info@autosales.com.mt</x:t>
  </x:si>
  <x:si>
    <x:t>kurtsautosales@hotmail.com</x:t>
  </x:si>
  <x:si>
    <x:t>falzonluca@gmail.com</x:t>
  </x:si>
  <x:si>
    <x:t>mariogalea@msn.com</x:t>
  </x:si>
  <x:si>
    <x:t>pajsurebus74@gimel.com</x:t>
  </x:si>
  <x:si>
    <x:t>info@michaeldebonoused.mt</x:t>
  </x:si>
  <x:si>
    <x:t>gattsammy@yahoo.com</x:t>
  </x:si>
  <x:si>
    <x:t>rokkuautodealer@gmail.com</x:t>
  </x:si>
  <x:si>
    <x:t>venturmotors@gmail.com</x:t>
  </x:si>
  <x:si>
    <x:t>xautomobiles@gmail.com</x:t>
  </x:si>
  <x:si>
    <x:t>yellow.com.mt/a-1-auto-dealers_auto-dealers+mosta/</x:t>
  </x:si>
  <x:si>
    <x:t>Dino's Motor Centre,
Mosta Road, Lija. LJA9012.</x:t>
  </x:si>
  <x:si>
    <x:t>facebook.com/p/ABS-Auto-Dealer-100057348224337/</x:t>
  </x:si>
  <x:si>
    <x:t>yellow.com.mt/aj-motors/auto-dealers/</x:t>
  </x:si>
  <x:si>
    <x:t>alanmotors.com.mt/</x:t>
  </x:si>
  <x:si>
    <x:t>facebook.com/p/Attard-Auto-Dealer-100057253586326/</x:t>
  </x:si>
  <x:si>
    <x:t>facebook.com/attardsmotors/</x:t>
  </x:si>
  <x:si>
    <x:t>facebook.com/autogamaimports/</x:t>
  </x:si>
  <x:si>
    <x:t>facebook.com/autozonemalta/</x:t>
  </x:si>
  <x:si>
    <x:t>facebook.com/AvisMaltaUsedCarSales/</x:t>
  </x:si>
  <x:si>
    <x:t>brincatautoimports.com/</x:t>
  </x:si>
  <x:si>
    <x:t>facebook.com/Btlautodeater/</x:t>
  </x:si>
  <x:si>
    <x:t>facebook.com/p/Canadis-Auto-Dealer-100063715533716/</x:t>
  </x:si>
  <x:si>
    <x:t>facebook.com/carhubmalta/</x:t>
  </x:si>
  <x:si>
    <x:t>facebook.com/Caromotors/</x:t>
  </x:si>
  <x:si>
    <x:t>facebook.com/carsandmoremalta</x:t>
  </x:si>
  <x:si>
    <x:t>carsunlimitedmalta.com/</x:t>
  </x:si>
  <x:si>
    <x:t>facebook.com/p/Charlie-Auto-Dealer-100054340519565/</x:t>
  </x:si>
  <x:si>
    <x:t>facebook.com/ChevronCarsAndmore/</x:t>
  </x:si>
  <x:si>
    <x:t>facebook.com/crcarsmalta/</x:t>
  </x:si>
  <x:si>
    <x:t>facebook.com/dandsautodealer/</x:t>
  </x:si>
  <x:si>
    <x:t>facebook.com/p/DC-motors-Auto-Sales-100057442128124/</x:t>
  </x:si>
  <x:si>
    <x:t>dinosmotors.com/contact-form/</x:t>
  </x:si>
  <x:si>
    <x:t>facebook.com/DriveAutomotiveCoLtd/</x:t>
  </x:si>
  <x:si>
    <x:t>facebook.com/p/DRM-Autosales-100054512857141/</x:t>
  </x:si>
  <x:si>
    <x:t>facebook.com/EmotionImports/</x:t>
  </x:si>
  <x:si>
    <x:t>facebook.com/emautoltd/</x:t>
  </x:si>
  <x:si>
    <x:t>facebook.com/favacardealers/</x:t>
  </x:si>
  <x:si>
    <x:t>facebook.com/GaleaGeneralServicesLtd/</x:t>
  </x:si>
  <x:si>
    <x:t>facebook.com/georgeandroccocarcentre/?locale=mt_MT</x:t>
  </x:si>
  <x:si>
    <x:t>jasoncarimports.com/</x:t>
  </x:si>
  <x:si>
    <x:t>joeautodealer.com/</x:t>
  </x:si>
  <x:si>
    <x:t>autosales.com.mt/</x:t>
  </x:si>
  <x:si>
    <x:t>facebook.com/p/Mario-Galea-New-Second-Hand-Cars-100050330211879/</x:t>
  </x:si>
  <x:si>
    <x:t>michaeldebonoused.mt/</x:t>
  </x:si>
  <x:si>
    <x:t>facebook.com/www.pajsudealer.com.mt/</x:t>
  </x:si>
  <x:si>
    <x:t>facebook.com/PremiereCarSales/</x:t>
  </x:si>
  <x:si>
    <x:t>facebook.com/rokkuautodealer/</x:t>
  </x:si>
  <x:si>
    <x:t>venturmotors.mt/</x:t>
  </x:si>
  <x:si>
    <x:t>facebook.com/xauto007/</x:t>
  </x:si>
  <x:si>
    <x:t>wjadistributors.com/product/bosch-cross-line-laser-advancedlevel-360/</x:t>
  </x:si>
  <x:si>
    <x:t>Monitor</x:t>
  </x:si>
  <x:si>
    <x:t>Ader Charlene</x:t>
  </x:si>
  <x:si>
    <x:t>Besancon Jeremy</x:t>
  </x:si>
  <x:si>
    <x:t>Bossini Samuela</x:t>
  </x:si>
  <x:si>
    <x:t>Borg Marlene</x:t>
  </x:si>
  <x:si>
    <x:t>Borg Daniel</x:t>
  </x:si>
  <x:si>
    <x:t>Busuttil Christopher</x:t>
  </x:si>
  <x:si>
    <x:t>Cachia Karl</x:t>
  </x:si>
  <x:si>
    <x:t>Calleja Joseph</x:t>
  </x:si>
  <x:si>
    <x:t>Cardona David</x:t>
  </x:si>
  <x:si>
    <x:t>Caruana Josef</x:t>
  </x:si>
  <x:si>
    <x:t>Cassar Chantal</x:t>
  </x:si>
  <x:si>
    <x:t>Cherubini Rossano</x:t>
  </x:si>
  <x:si>
    <x:t>Cherubini Vincenzo</x:t>
  </x:si>
  <x:si>
    <x:t>D’Amato Luisana</x:t>
  </x:si>
  <x:si>
    <x:t>Farrugia Glenn</x:t>
  </x:si>
  <x:si>
    <x:t>Fontanelli Francesco</x:t>
  </x:si>
  <x:si>
    <x:t>Grima Joseph</x:t>
  </x:si>
  <x:si>
    <x:t>Hallett Karl</x:t>
  </x:si>
  <x:si>
    <x:t>Jerkin Erak Ivana</x:t>
  </x:si>
  <x:si>
    <x:t>Jovicic Marija</x:t>
  </x:si>
  <x:si>
    <x:t>Kingswell Tamsin Marie</x:t>
  </x:si>
  <x:si>
    <x:t>Macchione Vincenzo Elio Jr.</x:t>
  </x:si>
  <x:si>
    <x:t>Micallef Nicole Faye</x:t>
  </x:si>
  <x:si>
    <x:t>Mintoff Christian</x:t>
  </x:si>
  <x:si>
    <x:t>Mion Marco</x:t>
  </x:si>
  <x:si>
    <x:t>Muscat Iona</x:t>
  </x:si>
  <x:si>
    <x:t>Muscat Kim</x:t>
  </x:si>
  <x:si>
    <x:t>O’Dea Balzan Kurt</x:t>
  </x:si>
  <x:si>
    <x:t>Padovani Michelle</x:t>
  </x:si>
  <x:si>
    <x:t>Pecoraro Patrizia</x:t>
  </x:si>
  <x:si>
    <x:t>Samuele Serini</x:t>
  </x:si>
  <x:si>
    <x:t>Theuma Kirsten</x:t>
  </x:si>
  <x:si>
    <x:t>Vella Ernest</x:t>
  </x:si>
  <x:si>
    <x:t>Zarb Martina</x:t>
  </x:si>
  <x:si>
    <x:t>arkeomalta@gmail.com</x:t>
  </x:si>
  <x:si>
    <x:t>jeremy@jbarchteam.com</x:t>
  </x:si>
  <x:si>
    <x:t>samuelabossini@gmail.com</x:t>
  </x:si>
  <x:si>
    <x:t>ascoopltdmalta@gmail.com</x:t>
  </x:si>
  <x:si>
    <x:t>chrisbu.su@gmail.com</x:t>
  </x:si>
  <x:si>
    <x:t>karloco621@gmail.com</x:t>
  </x:si>
  <x:si>
    <x:t>skavarc@digiarc.mt</x:t>
  </x:si>
  <x:si>
    <x:t>josefcaruana1@googlemail.com</x:t>
  </x:si>
  <x:si>
    <x:t>projects@aecmalta.com.mt</x:t>
  </x:si>
  <x:si>
    <x:t>rossano.cherubini@qpml.com</x:t>
  </x:si>
  <x:si>
    <x:t>vincenzo.cherubini@ais.com.mt</x:t>
  </x:si>
  <x:si>
    <x:t>luisana_damato@yahoo.co.uk</x:t>
  </x:si>
  <x:si>
    <x:t>farrugia.glenn@gmail.com</x:t>
  </x:si>
  <x:si>
    <x:t>joseph.grima.19@gmail.com</x:t>
  </x:si>
  <x:si>
    <x:t>karl@jbarchteam.com</x:t>
  </x:si>
  <x:si>
    <x:t>jerkinerak@gmail.com</x:t>
  </x:si>
  <x:si>
    <x:t>info@jbarchteam.com</x:t>
  </x:si>
  <x:si>
    <x:t>tamsin.kingswell@qpml.com</x:t>
  </x:si>
  <x:si>
    <x:t>nickybb777@gmail.com</x:t>
  </x:si>
  <x:si>
    <x:t>chrimint@gmail.com</x:t>
  </x:si>
  <x:si>
    <x:t>iona.muscat@hotmail.com</x:t>
  </x:si>
  <x:si>
    <x:t>kim.muscat@gmail.com</x:t>
  </x:si>
  <x:si>
    <x:t>patriziapec@gmail.com</x:t>
  </x:si>
  <x:si>
    <x:t>samuele.serini@ais.com.mt</x:t>
  </x:si>
  <x:si>
    <x:t>kirsten.theuma@qpml.com</x:t>
  </x:si>
  <x:si>
    <x:t>martinazarb@gmail.com</x:t>
  </x:si>
  <x:si>
    <x:t xml:space="preserve">Item </x:t>
  </x:si>
  <x:si>
    <x:t>Wall mounted speakers</x:t>
  </x:si>
  <x:si>
    <x:t>Wall mounted Speakers</x:t>
  </x:si>
  <x:si>
    <x:t xml:space="preserve">Supplier </x:t>
  </x:si>
  <x:si>
    <x:t>wall mounted speakers</x:t>
  </x:si>
  <x:si>
    <x:t>wall mounted sspakers</x:t>
  </x:si>
  <x:si>
    <x:t>Wall mouunted Speakers</x:t>
  </x:si>
  <x:si>
    <x:t>A to Z</x:t>
  </x:si>
  <x:si>
    <x:t>DONEO CO LTD</x:t>
  </x:si>
  <x:si>
    <x:t>ASTRAL Enterprises LTD</x:t>
  </x:si>
  <x:si>
    <x:t>Audiotech</x:t>
  </x:si>
  <x:si>
    <x:t>Powerhouse Malta</x:t>
  </x:si>
  <x:si>
    <x:t>Digital Zone</x:t>
  </x:si>
  <x:si>
    <x:t>Olimpus</x:t>
  </x:si>
  <x:si>
    <x:t>Ultimate Malta</x:t>
  </x:si>
  <x:si>
    <x:t>AUDIO Malta</x:t>
  </x:si>
  <x:si>
    <x:t>Audio Hub Malta</x:t>
  </x:si>
  <x:si>
    <x:t>Futuretech pro Malta</x:t>
  </x:si>
  <x:si>
    <x:t>studio7</x:t>
  </x:si>
  <x:si>
    <x:t>Megatekk</x:t>
  </x:si>
  <x:si>
    <x:t>The sound system Co Ltd</x:t>
  </x:si>
  <x:si>
    <x:t>Audiophonic</x:t>
  </x:si>
  <x:si>
    <x:t>Scan</x:t>
  </x:si>
  <x:si>
    <x:t>Email</x:t>
  </x:si>
  <x:si>
    <x:t>Genaudio Ltd</x:t>
  </x:si>
  <x:si>
    <x:t>nfo@doneo.com.mt</x:t>
  </x:si>
  <x:si>
    <x:t>website@astral.com.mt</x:t>
  </x:si>
  <x:si>
    <x:t>info@audiotech.mt</x:t>
  </x:si>
  <x:si>
    <x:t>nfo@powerhousemalta.com</x:t>
  </x:si>
  <x:si>
    <x:t>marketing@atoz.com.mt</x:t>
  </x:si>
  <x:si>
    <x:t>info@digitalzone.com.mt</x:t>
  </x:si>
  <x:si>
    <x:t>info@olimpusmusic.com</x:t>
  </x:si>
  <x:si>
    <x:t>info@audiomalta.com</x:t>
  </x:si>
  <x:si>
    <x:t>info@audiohub.mt</x:t>
  </x:si>
  <x:si>
    <x:t>info@futuretech-malta.com</x:t>
  </x:si>
  <x:si>
    <x:t>sales@ultimate.com.mt</x:t>
  </x:si>
  <x:si>
    <x:t>info@studioseven.com.mt</x:t>
  </x:si>
  <x:si>
    <x:t>info@soundsystem.com.mt</x:t>
  </x:si>
  <x:si>
    <x:t>info@megatekk.mt</x:t>
  </x:si>
  <x:si>
    <x:t>jc.audiophonic@gmail.com</x:t>
  </x:si>
  <x:si>
    <x:t>info@scanmalta.com</x:t>
  </x:si>
  <x:si>
    <x:t>joe@genaudiomalta.com</x:t>
  </x:si>
  <x:si>
    <x:t xml:space="preserve">Phone number </x:t>
  </x:si>
  <x:si>
    <x:t xml:space="preserve">Location </x:t>
  </x:si>
  <x:si>
    <x:t>Attard, Qormi, Swatar, Birkirkara</x:t>
  </x:si>
  <x:si>
    <x:t>Hamrun</x:t>
  </x:si>
  <x:si>
    <x:t>Ta' Xbiex</x:t>
  </x:si>
  <x:si>
    <x:t>Xghara, Gozo</x:t>
  </x:si>
  <x:si>
    <x:t>Swieqi</x:t>
  </x:si>
  <x:si>
    <x:t>sales division of Lito’s Place</x:t>
  </x:si>
  <x:si>
    <x:t xml:space="preserve">Website </x:t>
  </x:si>
  <x:si>
    <x:t>San Gwann</x:t>
  </x:si>
  <x:si>
    <x:t>San Gwann, Paola, Qormi</x:t>
  </x:si>
  <x:si>
    <x:t>Msida</x:t>
  </x:si>
  <x:si>
    <x:t>Home page - Doneo</x:t>
  </x:si>
  <x:si>
    <x:t>ASTRAL Enterprises LTD | TV | Hifi | Custom Installations</x:t>
  </x:si>
  <x:si>
    <x:t>Audiotech Malta - your local electronics shop for Malta and Gozo - we deliver</x:t>
  </x:si>
  <x:si>
    <x:t>Powerhouse Malta – AV (Audiovisuals) and Events Malta</x:t>
  </x:si>
  <x:si>
    <x:t>AtoZ Electronics | Malta's Shop of Choice in 2026!</x:t>
  </x:si>
  <x:si>
    <x:t>Audio Malta – Shop Smart, Rent Easy</x:t>
  </x:si>
  <x:si>
    <x:t>Audio Hub Malta – Acoustics &amp; Audio Equipment</x:t>
  </x:si>
  <x:si>
    <x:t>Futuretech Pro Malta – Audio/Visual Specialists</x:t>
  </x:si>
  <x:si>
    <x:t>Homepage - Ultimate | Electronics | Home Appliances | Deliveries in Malta &amp; Gozo</x:t>
  </x:si>
  <x:si>
    <x:t>The sound system you need | The Sound System Malta</x:t>
  </x:si>
  <x:si>
    <x:t>Studo7.com.mt</x:t>
  </x:si>
  <x:si>
    <x:t>Contact – Genaudio Ltd</x:t>
  </x:si>
  <x:si>
    <x:t xml:space="preserve">Physical store </x:t>
  </x:si>
  <x:si>
    <x:t xml:space="preserve">Installations </x:t>
  </x:si>
  <x:si>
    <x:t>yes</x:t>
  </x:si>
  <x:si>
    <x:t>no</x:t>
  </x:si>
  <x:si>
    <x:t>Compact monitor bracket</x:t>
  </x:si>
  <x:si>
    <x:t>SCAN</x:t>
  </x:si>
  <x:si>
    <x:t>Klikk</x:t>
  </x:si>
  <x:si>
    <x:t>Game Breaker</x:t>
  </x:si>
  <x:si>
    <x:t>AtoZ</x:t>
  </x:si>
  <x:si>
    <x:t>Xpert</x:t>
  </x:si>
  <x:si>
    <x:t>Computer Bargains</x:t>
  </x:si>
  <x:si>
    <x:t>HomeMate</x:t>
  </x:si>
  <x:si>
    <x:t>MaltaZon</x:t>
  </x:si>
  <x:si>
    <x:t>Forestals</x:t>
  </x:si>
  <x:si>
    <x:t>Top Choice</x:t>
  </x:si>
  <x:si>
    <x:t>Intercomp</x:t>
  </x:si>
  <x:si>
    <x:t>Astral</x:t>
  </x:si>
  <x:si>
    <x:t>Digiline</x:t>
  </x:si>
  <x:si>
    <x:t>Ultimate</x:t>
  </x:si>
  <x:si>
    <x:t>Tablets &amp; More</x:t>
  </x:si>
  <x:si>
    <x:t>The Notebook Center</x:t>
  </x:si>
  <x:si>
    <x:t>sales@klikk.com.mt</x:t>
  </x:si>
  <x:si>
    <x:t>info@gamebreakermalta.com</x:t>
  </x:si>
  <x:si>
    <x:t>sales@xpert.mt</x:t>
  </x:si>
  <x:si>
    <x:t>info@computerbargainsmalta.com</x:t>
  </x:si>
  <x:si>
    <x:t>customercare@homemate.com.mt</x:t>
  </x:si>
  <x:si>
    <x:t>info@maltazon.com</x:t>
  </x:si>
  <x:si>
    <x:t>info@forestals.com</x:t>
  </x:si>
  <x:si>
    <x:t>info@topchoice.com.mt</x:t>
  </x:si>
  <x:si>
    <x:t>infosales@intercomp.com.mt</x:t>
  </x:si>
  <x:si>
    <x:t>info@digiline.mt</x:t>
  </x:si>
  <x:si>
    <x:t>tabletsandmoreelectronics@yahoo.com</x:t>
  </x:si>
  <x:si>
    <x:t>info@thenotebookcentre.com.mt</x:t>
  </x:si>
  <x:si>
    <x:t>Https://noble.mt/moulding-and-wall-panelling/</x:t>
  </x:si>
  <x:si>
    <x:t xml:space="preserve">G </x:t>
  </x:si>
  <x:si>
    <x:t>laser</x:t>
  </x:si>
  <x:si>
    <x:t>WJA Distributor</x:t>
  </x:si>
  <x:si>
    <x:t>info@wjadistributors.com</x:t>
  </x:si>
  <x:si>
    <x:t>Dejma Road, Tarxien</x:t>
  </x:si>
  <x:si>
    <x:t>cmsurveying.com/</x:t>
  </x:si>
  <x:si>
    <x:t xml:space="preserve">Import </x:t>
  </x:si>
  <x:si>
    <x:t>Intallation</x:t>
  </x:si>
  <x:si>
    <x:t>surveyor</x:t>
  </x:si>
  <x:si>
    <x:t>GeoMatix</x:t>
  </x:si>
  <x:si>
    <x:t>CM Surveying</x:t>
  </x:si>
  <x:si>
    <x:t>NC Surveying</x:t>
  </x:si>
  <x:si>
    <x:t>Matsurv &amp; Associates Ltd</x:t>
  </x:si>
  <x:si>
    <x:t>Alan Micallef Surveying Services</x:t>
  </x:si>
  <x:si>
    <x:t>AR Surveying</x:t>
  </x:si>
  <x:si>
    <x:t>Atlas Surveying</x:t>
  </x:si>
  <x:si>
    <x:t>Impact Design</x:t>
  </x:si>
  <x:si>
    <x:t>Peter P Caruana</x:t>
  </x:si>
  <x:si>
    <x:t>D&amp;A Surveying</x:t>
  </x:si>
  <x:si>
    <x:t>EllulSRV</x:t>
  </x:si>
  <x:si>
    <x:t>Malta Surveys (Shonnery Spiteri)</x:t>
  </x:si>
  <x:si>
    <x:t>PSS DNA (Christopher Cassar)</x:t>
  </x:si>
  <x:si>
    <x:t>info@surveyingmalta.com</x:t>
  </x:si>
  <x:si>
    <x:t>chris@cmsurveying.com.mt</x:t>
  </x:si>
  <x:si>
    <x:t>info@matsurv.eu</x:t>
  </x:si>
  <x:si>
    <x:t>ncsurveying23@gmail.com</x:t>
  </x:si>
  <x:si>
    <x:t>alan@micallefsurveying.com</x:t>
  </x:si>
  <x:si>
    <x:t>arsurveyingmalta@gmail.com</x:t>
  </x:si>
  <x:si>
    <x:t>info@atlas-surveying.com</x:t>
  </x:si>
  <x:si>
    <x:t>impact.design.18@gmail.com</x:t>
  </x:si>
  <x:si>
    <x:t>lms@onvol.net</x:t>
  </x:si>
  <x:si>
    <x:t>surveying.da@gmail.com</x:t>
  </x:si>
  <x:si>
    <x:t>ellulsrv@gmail.com</x:t>
  </x:si>
  <x:si>
    <x:t>maltasurveys.rs@gmail.com</x:t>
  </x:si>
  <x:si>
    <x:t>chris@pss-dna.com</x:t>
  </x:si>
  <x:si>
    <x:t>8, Triq il-Laring, Attard, ATD 2531 Malta</x:t>
  </x:si>
  <x:si>
    <x:t>No. 2, Triq Papa Piju XII, Birkirkara, Malta.</x:t>
  </x:si>
  <x:si>
    <x:t>89, Suite 1, ATL Business Centre, Triq Il-Kanun, Santa Venera, Malta</x:t>
  </x:si>
  <x:si>
    <x:t>NC Surveying
1 Joelle Triq Dun Guzepp Demicoli ,
Ghaxaq, Malta</x:t>
  </x:si>
  <x:si>
    <x:t>Alan Micallef Surveying Services
67 Flat 1 Triq Vince Dimech ,
Zurrieq, Malta ZRQ 2402</x:t>
  </x:si>
  <x:si>
    <x:t>AR Surveying
Triq it-Tahhan ,
B’Kara, Malta</x:t>
  </x:si>
  <x:si>
    <x:t>182 Triq Bormla
Paola, PLA 1905, MT,</x:t>
  </x:si>
  <x:si>
    <x:t>IMPACT design
56 Triq il-Vittmi tal-Gwerra Swatar ,
B’Kara, Malta</x:t>
  </x:si>
  <x:si>
    <x:t>Peter P Caruana
Shamrock Triq ta’ Giorni ,
San Giljan, Malta STJ 1615</x:t>
  </x:si>
  <x:si>
    <x:t>Geomatix Surveying</x:t>
  </x:si>
  <x:si>
    <x:t>facebook.com/matsurv/</x:t>
  </x:si>
  <x:si>
    <x:t>facebook.com/profile.php?id=100063536049877&amp;utm_source=Yellow&amp;utm_medium=Yellow-Website&amp;utm_campaign=Landing-Page</x:t>
  </x:si>
  <x:si>
    <x:t>atlas-surveying.com/?utm_source=Yellow&amp;utm_medium=Yellow-Website&amp;utm_campaign=Landing-Page</x:t>
  </x:si>
  <x:si>
    <x:t>checkyourtraders.com/listing/__trashed-19?fromCat=property-surveyor-surveying</x:t>
  </x:si>
  <x:si>
    <x:t>Does land surveying, 3D scanning and drone surveying</x:t>
  </x:si>
  <x:si>
    <x:t>They also offer courses</x:t>
  </x:si>
  <x:si>
    <x:t>Topographic surveys, 3D laser scanning,...</x:t>
  </x:si>
  <x:si>
    <x:t>1. Logbook</x:t>
  </x:si>
  <x:si>
    <x:t>2. Registration number plate</x:t>
  </x:si>
  <x:si>
    <x:t>3. Circulation license disc</x:t>
  </x:si>
  <x:si>
    <x:t>4. Application form VEH13</x:t>
  </x:si>
  <x:si>
    <x:t>5. Vehicle desctruction certificate</x:t>
  </x:si>
  <x:si>
    <x:t>AFTER the vehicle is taken to the treatment facility, the registered owner must call personally at the offices of TM and present the following documents:</x:t>
  </x:si>
  <x:si>
    <x:t>CALL THE ABOVE AND ASK THEM TO EXPLAIN WHAT THE PROCESS IS AND HOW IT WORKS SO WE GET MORE INFO</x:t>
  </x:si>
  <x:si>
    <x:t>Car scrapping</x:t>
  </x:si>
  <x:si>
    <x:t>PROCEDURE WITH TM</x:t>
  </x:si>
  <x:si>
    <x:t>The authorised desctruction facility will issue a Certificate of Destruction. The certificate must be presented to TM during the scrapping process.</x:t>
  </x:si>
  <x:si>
    <x:t>TM will only de-register and scrap a vehicle if the owner presents a certificate of desctruction issued by an approved desctruction facility.</x:t>
  </x:si>
  <x:si>
    <x:t>Tar-Robba Recycling Centre Ltd.</x:t>
  </x:si>
  <x:si>
    <x:t>Fredu Auto Parts</x:t>
  </x:si>
  <x:si>
    <x:t>Gasparell Baling Plant Ltd.</x:t>
  </x:si>
  <x:si>
    <x:t>ELA Ltd.</x:t>
  </x:si>
  <x:si>
    <x:t>Auto Check Ltd.</x:t>
  </x:si>
  <x:si>
    <x:t>DDE Attard</x:t>
  </x:si>
  <x:si>
    <x:t>Roc-A-Go Services Ltd</x:t>
  </x:si>
  <x:si>
    <x:t>johnghigo53@gmail.com</x:t>
  </x:si>
  <x:si>
    <x:t>freduautoparts@melita.com</x:t>
  </x:si>
  <x:si>
    <x:t>gasparell.b@gmail.com</x:t>
  </x:si>
  <x:si>
    <x:t>criszu75@gmail.com</x:t>
  </x:si>
  <x:si>
    <x:t>repairs@mile-end.mt</x:t>
  </x:si>
  <x:si>
    <x:t>info@ddeattard.com</x:t>
  </x:si>
  <x:si>
    <x:t>rocagoltd@gmail.com</x:t>
  </x:si>
  <x:si>
    <x:t>Limits of Kirkop</x:t>
  </x:si>
  <x:si>
    <x:t>Plot, 6/7, Nassab Street, Qormi</x:t>
  </x:si>
  <x:si>
    <x:t>Ħal Far Ind Estate, Birzebbuga</x:t>
  </x:si>
  <x:si>
    <x:t>31, Wied Ghammieq Road
Kalkara</x:t>
  </x:si>
  <x:si>
    <x:t>19/20/47, Triq l-Inginerija ma’Triq
l-Iskola Teknika, Mriehel,
Birkirkara</x:t>
  </x:si>
  <x:si>
    <x:t>Scrap Lane, Valletta Road, Luqa,
LQA 1764</x:t>
  </x:si>
  <x:si>
    <x:t>design hub Store Malta</x:t>
  </x:si>
  <x:si>
    <x:t>Triq Tal-Barrani, Zejtun</x:t>
  </x:si>
  <x:si>
    <x:t>window sills</x:t>
  </x:si>
  <x:si>
    <x:t>Building Materials Supplies Ltd(BMS Malta )</x:t>
  </x:si>
  <x:si>
    <x:t>Soll Malta</x:t>
  </x:si>
  <x:si>
    <x:t>Rabat marbles</x:t>
  </x:si>
  <x:si>
    <x:t>Lawrence Fenech Ltd</x:t>
  </x:si>
  <x:si>
    <x:t>AM Projects Malta</x:t>
  </x:si>
  <x:si>
    <x:t>Finestral Malta</x:t>
  </x:si>
  <x:si>
    <x:t>Attard Bros</x:t>
  </x:si>
  <x:si>
    <x:t>Graham Aluminium &amp; Sons Ltd</x:t>
  </x:si>
  <x:si>
    <x:t>Meli Bugeja Ltd</x:t>
  </x:si>
  <x:si>
    <x:t>window World International</x:t>
  </x:si>
  <x:si>
    <x:t>Wilga Stores</x:t>
  </x:si>
  <x:si>
    <x:t>Nicholas aluminium</x:t>
  </x:si>
  <x:si>
    <x:t>Dingli Aluminium</x:t>
  </x:si>
  <x:si>
    <x:t>Schembri Marbles</x:t>
  </x:si>
  <x:si>
    <x:t>R Lautier</x:t>
  </x:si>
  <x:si>
    <x:t>Floors of Stone</x:t>
  </x:si>
  <x:si>
    <x:t>Desana Marbles</x:t>
  </x:si>
  <x:si>
    <x:t>Cini Marbles</x:t>
  </x:si>
  <x:si>
    <x:t>Seamless</x:t>
  </x:si>
  <x:si>
    <x:t>AMA Architectural Surfaces</x:t>
  </x:si>
  <x:si>
    <x:t>RGP Marbleware</x:t>
  </x:si>
  <x:si>
    <x:t>Tiles and Marble</x:t>
  </x:si>
  <x:si>
    <x:t>Helmann Vella</x:t>
  </x:si>
  <x:si>
    <x:t>Quality Stone Malta</x:t>
  </x:si>
  <x:si>
    <x:t>Marble Innovation</x:t>
  </x:si>
  <x:si>
    <x:t>C. Grech Marbles</x:t>
  </x:si>
  <x:si>
    <x:t>Show Tiles and More</x:t>
  </x:si>
  <x:si>
    <x:t>Keith Bugeja Marble Works</x:t>
  </x:si>
  <x:si>
    <x:t>info@designhubmalta.com.mt</x:t>
  </x:si>
  <x:si>
    <x:t>info@rabatmarbles.com</x:t>
  </x:si>
  <x:si>
    <x:t>info@soll.mt</x:t>
  </x:si>
  <x:si>
    <x:t>info@lawrencefenech.com</x:t>
  </x:si>
  <x:si>
    <x:t>info@pvc.com.mt</x:t>
  </x:si>
  <x:si>
    <x:t>info@finestralmalta.com</x:t>
  </x:si>
  <x:si>
    <x:t>bmsltdmalta@gmail.com</x:t>
  </x:si>
  <x:si>
    <x:t>info@grahamaluminium.com</x:t>
  </x:si>
  <x:si>
    <x:t>info@windowworldinternational.net</x:t>
  </x:si>
  <x:si>
    <x:t>info@melibugeja.com.mt</x:t>
  </x:si>
  <x:si>
    <x:t>info@nicholas.mt</x:t>
  </x:si>
  <x:si>
    <x:t>wilgastores@gmail.com</x:t>
  </x:si>
  <x:si>
    <x:t>info@dinglialuminium.com</x:t>
  </x:si>
  <x:si>
    <x:t>schembrimarbles@yahoo.com</x:t>
  </x:si>
  <x:si>
    <x:t>info@attardbros.com</x:t>
  </x:si>
  <x:si>
    <x:t>info@rlautier.com</x:t>
  </x:si>
  <x:si>
    <x:t>sales@floorsofstone.com.mt</x:t>
  </x:si>
  <x:si>
    <x:t>info@desanamarbles.com</x:t>
  </x:si>
  <x:si>
    <x:t>info@cinimarbles.com</x:t>
  </x:si>
  <x:si>
    <x:t>sales@seamless.com.mt</x:t>
  </x:si>
  <x:si>
    <x:t>info@amaasurfaces.com</x:t>
  </x:si>
  <x:si>
    <x:t>portellirennie@hotmail.com</x:t>
  </x:si>
  <x:si>
    <x:t>tilesandmarbleinfo@gmail.com</x:t>
  </x:si>
  <x:si>
    <x:t>info@halmannvella.com</x:t>
  </x:si>
  <x:si>
    <x:t>info@qualitystonemalta.com</x:t>
  </x:si>
  <x:si>
    <x:t>sales@marbleinnovation.com</x:t>
  </x:si>
  <x:si>
    <x:t>frankvassallo22@gmail.com</x:t>
  </x:si>
  <x:si>
    <x:t>keithbugeja@hotmail.com</x:t>
  </x:si>
  <x:si>
    <x:t>dimech-ent.com/outdoors</x:t>
  </x:si>
  <x:si>
    <x:t>casconehome.com/en/index.php</x:t>
  </x:si>
  <x:si>
    <x:t>Triq il-Kostituzzjoni, Mosta, Malta</x:t>
  </x:si>
  <x:si>
    <x:t>59 triq Domenico Cachia ,Birkirkara BKR 4019 ,MALTA</x:t>
  </x:si>
  <x:si>
    <x:t>triq il-Kalkara , Marsa , Malta</x:t>
  </x:si>
  <x:si>
    <x:t>triq-il-Kbira , Rabat ,Malta</x:t>
  </x:si>
  <x:si>
    <x:t>triq il-Labour ,Birkirkara, Malta</x:t>
  </x:si>
  <x:si>
    <x:t>triq il-Ferrovija, Ħamrun, Malta</x:t>
  </x:si>
  <x:si>
    <x:t>Mdina Road, Qormi QRM 9011, Malta</x:t>
  </x:si>
  <x:si>
    <x:t>Zircon Suites, Triq ta' Zejfa, Mosta, Malta</x:t>
  </x:si>
  <x:si>
    <x:t>Triq il-Mithna,Qormi</x:t>
  </x:si>
  <x:si>
    <x:t>Wilga Street, Luqa LQA 1530, Malta</x:t>
  </x:si>
  <x:si>
    <x:t>designhubstores.com</x:t>
  </x:si>
  <x:si>
    <x:t>33,Angelo A,Melilli ,HAz Zebugg ZBG 2802</x:t>
  </x:si>
  <x:si>
    <x:t>triq Anthony John Coleiro , hAL Qormi</x:t>
  </x:si>
  <x:si>
    <x:t>Triq Dwardu Buttigieg ,Hal Ghaxaq,Malta  GXQ 1253</x:t>
  </x:si>
  <x:si>
    <x:t>rabatmarbles.com</x:t>
  </x:si>
  <x:si>
    <x:t>soll.mt</x:t>
  </x:si>
  <x:si>
    <x:t>lawrencefenech.com</x:t>
  </x:si>
  <x:si>
    <x:t>pvc.com.mt</x:t>
  </x:si>
  <x:si>
    <x:t>finestralmalta.com</x:t>
  </x:si>
  <x:si>
    <x:t>wilgastores.com</x:t>
  </x:si>
  <x:si>
    <x:t>bms-malta.com</x:t>
  </x:si>
  <x:si>
    <x:t>grahamaluminium.com</x:t>
  </x:si>
  <x:si>
    <x:t>meliobugeja.com.mt</x:t>
  </x:si>
  <x:si>
    <x:t>windowworld.eu</x:t>
  </x:si>
  <x:si>
    <x:t>nicholas.mt</x:t>
  </x:si>
  <x:si>
    <x:t>dinglialuminium.com</x:t>
  </x:si>
  <x:si>
    <x:t>findit.com.mt</x:t>
  </x:si>
  <x:si>
    <x:t>Waterproofing</x:t>
  </x:si>
  <x:si>
    <x:t>The Resin &amp; Membrane Centre</x:t>
  </x:si>
  <x:si>
    <x:t>Kenda Waterproofing</x:t>
  </x:si>
  <x:si>
    <x:t>AG Waterproofing Services</x:t>
  </x:si>
  <x:si>
    <x:t>CP Waterproofing</x:t>
  </x:si>
  <x:si>
    <x:t>Air Solutions</x:t>
  </x:si>
  <x:si>
    <x:t>TN Waterproofing Services Ltd</x:t>
  </x:si>
  <x:si>
    <x:t>Maximum Waterproofing</x:t>
  </x:si>
  <x:si>
    <x:t>De Valtech</x:t>
  </x:si>
  <x:si>
    <x:t>WP ltd</x:t>
  </x:si>
  <x:si>
    <x:t>389 co Ltd</x:t>
  </x:si>
  <x:si>
    <x:t>Mr Lee Waterproofing</x:t>
  </x:si>
  <x:si>
    <x:t>C &amp; Plastering</x:t>
  </x:si>
  <x:si>
    <x:t>Kibitec</x:t>
  </x:si>
  <x:si>
    <x:t>CHR Home Improvements</x:t>
  </x:si>
  <x:si>
    <x:t>Azzopardi Waterproofing</x:t>
  </x:si>
  <x:si>
    <x:t>Coverite Waterproofing</x:t>
  </x:si>
  <x:si>
    <x:t>D &amp; G Waterproofing Membrane</x:t>
  </x:si>
  <x:si>
    <x:t>JM Vassallo Vibro Steel Ltd</x:t>
  </x:si>
  <x:si>
    <x:t>Andew Vassallo</x:t>
  </x:si>
  <x:si>
    <x:t>Norob Installations</x:t>
  </x:si>
  <x:si>
    <x:t>Forever Waterproofing</x:t>
  </x:si>
  <x:si>
    <x:t>L.C Waterproofing</x:t>
  </x:si>
  <x:si>
    <x:t>Martin's Waterproofing</x:t>
  </x:si>
  <x:si>
    <x:t>Matuel Waterproofing</x:t>
  </x:si>
  <x:si>
    <x:t>MP Liquid Membrane</x:t>
  </x:si>
  <x:si>
    <x:t>Thermaseal</x:t>
  </x:si>
  <x:si>
    <x:t>Rosman Waterproofing</x:t>
  </x:si>
  <x:si>
    <x:t>Joseph Stivala</x:t>
  </x:si>
  <x:si>
    <x:t>BCF Solutions</x:t>
  </x:si>
  <x:si>
    <x:t>info@theresincentre.com</x:t>
  </x:si>
  <x:si>
    <x:t>OIJ - Leak Detection and Maintenance</x:t>
  </x:si>
  <x:si>
    <x:t>kwaterproofing@melita.com</x:t>
  </x:si>
  <x:si>
    <x:t>alexgrech.waterproofing@gmail.com</x:t>
  </x:si>
  <x:si>
    <x:t>colin@cpwaterproofing.com</x:t>
  </x:si>
  <x:si>
    <x:t>airsolutions@ezee.mt</x:t>
  </x:si>
  <x:si>
    <x:t>tnwaterproof@gmail.com</x:t>
  </x:si>
  <x:si>
    <x:t>danielschembri71@gmail.com</x:t>
  </x:si>
  <x:si>
    <x:t>info@devalier.com.mt</x:t>
  </x:si>
  <x:si>
    <x:t>wp.ltd123@gmail.com</x:t>
  </x:si>
  <x:si>
    <x:t>info@389.com.mt</x:t>
  </x:si>
  <x:si>
    <x:t>clintsaliba3@gmail.com</x:t>
  </x:si>
  <x:si>
    <x:t>mrleewaterproofing26@gmail.com</x:t>
  </x:si>
  <x:si>
    <x:t>contact@kibitec.com</x:t>
  </x:si>
  <x:si>
    <x:t>azzopardiwp@gmail.com</x:t>
  </x:si>
  <x:si>
    <x:t>caruana.chris@hotmail.com</x:t>
  </x:si>
  <x:si>
    <x:t>jasonmartin777@hotmail.com</x:t>
  </x:si>
  <x:si>
    <x:t>jurgendalli@gmail.com</x:t>
  </x:si>
  <x:si>
    <x:t>sales@jmvibro.com</x:t>
  </x:si>
  <x:si>
    <x:t>info@andrewvassallo.com</x:t>
  </x:si>
  <x:si>
    <x:t>norob@onvol.net</x:t>
  </x:si>
  <x:si>
    <x:t>forever.waterproofing@gmail.com</x:t>
  </x:si>
  <x:si>
    <x:t>ludvic1979@gmail.com</x:t>
  </x:si>
  <x:si>
    <x:t>vmhome@go.net.mt</x:t>
  </x:si>
  <x:si>
    <x:t>matuelwaterproofing@gmail.com</x:t>
  </x:si>
  <x:si>
    <x:t>michael.portelli81@gmail.com</x:t>
  </x:si>
  <x:si>
    <x:t>admin@thermasealmalta.com</x:t>
  </x:si>
  <x:si>
    <x:t>rosmanwaterproofing@hotmail.com</x:t>
  </x:si>
  <x:si>
    <x:t>jostiv@live.com</x:t>
  </x:si>
  <x:si>
    <x:t>bcf_solutions@outlook.com</x:t>
  </x:si>
  <x:si>
    <x:t>oijwatermaintenance@gmail.com</x:t>
  </x:si>
  <x:si>
    <x:t>facebook.com/p/Epoxy-Malta-100067612150590/</x:t>
  </x:si>
  <x:si>
    <x:t>bitmacltd.com</x:t>
  </x:si>
  <x:si>
    <x:t>264, Old Railway Track Santa Venera</x:t>
  </x:si>
  <x:si>
    <x:t>24, Triq Indri Micallef,Luqa, Malta</x:t>
  </x:si>
  <x:si>
    <x:t>2, Triq tal-Habaq, Luqa, Malta</x:t>
  </x:si>
  <x:si>
    <x:t>Garage No 3, Pjazza l-Eroj,Swatar B'Kara BKR 4250</x:t>
  </x:si>
  <x:si>
    <x:t>58, Donato del Piano Street, Zurrieq,ZRQ 2240</x:t>
  </x:si>
  <x:si>
    <x:t>Cherry Blossom Triq Lorenzo Manche’, Attard, ATD 2906</x:t>
  </x:si>
  <x:si>
    <x:t>102 Block A Flat 2 Triq Lapsi,
Siggiewi</x:t>
  </x:si>
  <x:si>
    <x:t>The Old Factory, San Gwakkin Str, Zone 3, Central Business District, Mriehel, B’kara, CBD 3030, Malta</x:t>
  </x:si>
  <x:si>
    <x:t>WP Ltd
Marcelle Triq ix-Xitwa ,
Qormi, Malta QRM 5234</x:t>
  </x:si>
  <x:si>
    <x:t>Three eight nine Co ltd (389 co Ltd)
22, 26 Triq Dun Xand Cortis ,
B’Kara, Malta BKR 1531</x:t>
  </x:si>
  <x:si>
    <x:t>C &amp; R Plastering
Trejqet il-Barrieri ,
Zurrieq, Malta ZRQ 3602</x:t>
  </x:si>
  <x:si>
    <x:t>Azzopardi Waterproofing Ltd
67 Triq il-Belt Valletta ,
Attard, Malta ATD 9056</x:t>
  </x:si>
  <x:si>
    <x:t>CHR home improvements
Triq Mikielang Sapiano ,
Luqa, Malta LQA 1803</x:t>
  </x:si>
  <x:si>
    <x:t>Coverite Waterproofing
3 Pretty Lodge Pjazza San Leonardu ,
Mosta, Malta MST 1061</x:t>
  </x:si>
  <x:si>
    <x:t>kendawaterproofing.com/contactV3.html#</x:t>
  </x:si>
  <x:si>
    <x:t>agwaterproofingmalta.com/</x:t>
  </x:si>
  <x:si>
    <x:t>cpwaterproofing.com/</x:t>
  </x:si>
  <x:si>
    <x:t>airsolutionslimited.com/</x:t>
  </x:si>
  <x:si>
    <x:t>dv.mt/de-valtech-category/waterproofing/</x:t>
  </x:si>
  <x:si>
    <x:t>wpmalta.com/?utm_source=Yellow&amp;utm_medium=Yellow-Website&amp;utm_campaign=Landing-Page</x:t>
  </x:si>
  <x:si>
    <x:t>yellow.com.mt/c-r-plastering/waterproofing-contractors/</x:t>
  </x:si>
  <x:si>
    <x:t>facebook.com/mrleewaterproofing/</x:t>
  </x:si>
  <x:si>
    <x:t>kibitec.com/waterproof-membrane-malta/</x:t>
  </x:si>
  <x:si>
    <x:t>yellow.com.mt/azzopardi-waterproofing-ltd_waterproofing-contractors+attard/</x:t>
  </x:si>
  <x:si>
    <x:t>facebook.com/CHR.home.improvements/?utm_source=Yellow&amp;utm_medium=Yellow-Website&amp;utm_campaign=Landing-Page</x:t>
  </x:si>
  <x:si>
    <x:t>yellow.com.mt/coverite-waterproofing_waterproofing-contractors+mosta/</x:t>
  </x:si>
  <x:si>
    <x:t>Phone number</x:t>
  </x:si>
  <x:si>
    <x:t>Terrazzo</x:t>
  </x:si>
  <x:si>
    <x:t>Terrazzo Slab</x:t>
  </x:si>
  <x:si>
    <x:t>Carra.design</x:t>
  </x:si>
  <x:si>
    <x:t>Absolute</x:t>
  </x:si>
  <x:si>
    <x:t>Pitre Bathrooms</x:t>
  </x:si>
  <x:si>
    <x:t>Iperceramica</x:t>
  </x:si>
  <x:si>
    <x:t>Rado Flooring</x:t>
  </x:si>
  <x:si>
    <x:t>Cordina</x:t>
  </x:si>
  <x:si>
    <x:t>MRCD</x:t>
  </x:si>
  <x:si>
    <x:t>CP Marbles</x:t>
  </x:si>
  <x:si>
    <x:t>Seamless Surfaces</x:t>
  </x:si>
  <x:si>
    <x:t>c.demirkiran@carradesign.com</x:t>
  </x:si>
  <x:si>
    <x:t>info@absolute.com.mt</x:t>
  </x:si>
  <x:si>
    <x:t>info@jpitre.com</x:t>
  </x:si>
  <x:si>
    <x:t>msida@iperceramica.mt</x:t>
  </x:si>
  <x:si>
    <x:t>info@radosystems.eu</x:t>
  </x:si>
  <x:si>
    <x:t>steve@cordina.eu</x:t>
  </x:si>
  <x:si>
    <x:t>info@mrcd.com.mt</x:t>
  </x:si>
  <x:si>
    <x:t>cpcamilleripatrick@gmail.com</x:t>
  </x:si>
  <x:si>
    <x:t>info@cgaleamarble.com</x:t>
  </x:si>
  <x:si>
    <x:t>info@chicliving.com.mt</x:t>
  </x:si>
  <x:si>
    <x:t>info@distincthomes.com.mt</x:t>
  </x:si>
  <x:si>
    <x:t>info@bfmarbles.com</x:t>
  </x:si>
  <x:si>
    <x:t>desanamarbles.com/materials/terrazzo</x:t>
  </x:si>
  <x:si>
    <x:t>facebook.com/p/Carradesign-100086413076922/</x:t>
  </x:si>
  <x:si>
    <x:t>absolute.com.mt/terrazzo/</x:t>
  </x:si>
  <x:si>
    <x:t>marbleinnovation.com/contact</x:t>
  </x:si>
  <x:si>
    <x:t>pitrebathrooms.com/contact-us</x:t>
  </x:si>
  <x:si>
    <x:t>facebook.com/radoflooring/</x:t>
  </x:si>
  <x:si>
    <x:t>flockimage.com/</x:t>
  </x:si>
  <x:si>
    <x:t>mrcd.com.mt/en/home.htm</x:t>
  </x:si>
  <x:si>
    <x:t>facebook.com/seamlessmalta/</x:t>
  </x:si>
  <x:si>
    <x:t>Other</x:t>
  </x:si>
  <x:si>
    <x:t>WashingMachinesMalta</x:t>
  </x:si>
  <x:si>
    <x:t>washing machines</x:t>
  </x:si>
  <x:si>
    <x:t>Flamingo malta</x:t>
  </x:si>
  <x:si>
    <x:t>Petroni Ltd.</x:t>
  </x:si>
  <x:si>
    <x:t>Teckline Discount Store</x:t>
  </x:si>
  <x:si>
    <x:t>. Sound Machine</x:t>
  </x:si>
  <x:si>
    <x:t>KCL Home Centre</x:t>
  </x:si>
  <x:si>
    <x:t>Hotpoint Malta</x:t>
  </x:si>
  <x:si>
    <x:t>JS Household</x:t>
  </x:si>
  <x:si>
    <x:t>Lava.mt (</x:t>
  </x:si>
  <x:si>
    <x:t>Crosscraft</x:t>
  </x:si>
  <x:si>
    <x:t>Audio Malta</x:t>
  </x:si>
  <x:si>
    <x:t>ElectroFix Malta</x:t>
  </x:si>
  <x:si>
    <x:t>Ventura General Gas Ltd</x:t>
  </x:si>
  <x:si>
    <x:t>AtoZ Electronics</x:t>
  </x:si>
  <x:si>
    <x:t>Borg Repairs</x:t>
  </x:si>
  <x:si>
    <x:t>Soundsmart</x:t>
  </x:si>
  <x:si>
    <x:t>Futura Home Appliances</x:t>
  </x:si>
  <x:si>
    <x:t>Appliances Repair Centre</x:t>
  </x:si>
  <x:si>
    <x:t>Freddie's Household</x:t>
  </x:si>
  <x:si>
    <x:t>info@washingmachinesmalta.com</x:t>
  </x:si>
  <x:si>
    <x:t>info@flamingo.com.mt</x:t>
  </x:si>
  <x:si>
    <x:t>info@petroni.com.mt</x:t>
  </x:si>
  <x:si>
    <x:t>info@teckline.com.mt</x:t>
  </x:si>
  <x:si>
    <x:t>info@soundmachine.com.mt</x:t>
  </x:si>
  <x:si>
    <x:t>info@kcl.com.mt</x:t>
  </x:si>
  <x:si>
    <x:t>info@jshousehold.com</x:t>
  </x:si>
  <x:si>
    <x:t>info@hotpointmalta.com</x:t>
  </x:si>
  <x:si>
    <x:t>info@lava.mt</x:t>
  </x:si>
  <x:si>
    <x:t>info@crosscraft.com.mt</x:t>
  </x:si>
  <x:si>
    <x:t>info@electrofix.com.mt</x:t>
  </x:si>
  <x:si>
    <x:t>info@atoz.com.mt</x:t>
  </x:si>
  <x:si>
    <x:t>adriangrech@venturamalta.com</x:t>
  </x:si>
  <x:si>
    <x:t>info@soundsmart.com.mt</x:t>
  </x:si>
  <x:si>
    <x:t>futurahomeappliances@gmail.com</x:t>
  </x:si>
  <x:si>
    <x:t>lorrainevassallofabri@gmail.com</x:t>
  </x:si>
  <x:si>
    <x:t>freddies@onvol.net</x:t>
  </x:si>
  <x:si>
    <x:t>homemate.com.mt/product/midea-free-standing-tumble-dryer-white-10kg-a-class</x:t>
  </x:si>
  <x:si>
    <x:t>summit.com.mt</x:t>
  </x:si>
  <x:si>
    <x:t>cagypsummalta.com</x:t>
  </x:si>
  <x:si>
    <x:t>gad.com.mt/</x:t>
  </x:si>
  <x:si>
    <x:t>Location</x:t>
  </x:si>
  <x:si>
    <x:t>Item</x:t>
  </x:si>
  <x:si>
    <x:t>Distribution Warehouse Center, Qormi, Malta</x:t>
  </x:si>
  <x:si>
    <x:t>Mrieħel, Malta</x:t>
  </x:si>
  <x:si>
    <x:t>Il-Ħamrun y San Pawl il-Baħar, Malta</x:t>
  </x:si>
  <x:si>
    <x:t>Msida, Malta</x:t>
  </x:si>
  <x:si>
    <x:t>Il-Ħamrun, Malta</x:t>
  </x:si>
  <x:si>
    <x:t>Psaila Street, Birkirkara, Malta</x:t>
  </x:si>
  <x:si>
    <x:t>22, Triq Sant' Elija, Birkirkara, Fleur-De-Lys, Malta BKR 4942</x:t>
  </x:si>
  <x:si>
    <x:t>71, Triq Il-Buqexrem, Il-Fgura, Malta</x:t>
  </x:si>
  <x:si>
    <x:t>Valley Road, Birkirkara BKR9010, Malta</x:t>
  </x:si>
  <x:si>
    <x:t>Zachary House, Marsa Industrial Estate, Marsa MRS 3000, Malta</x:t>
  </x:si>
  <x:si>
    <x:t>Mriehel Bypass, Qormi, Malta</x:t>
  </x:si>
  <x:si>
    <x:t>26C Triq Lispiera, Swieqi, Malta</x:t>
  </x:si>
  <x:si>
    <x:t>Triq il-Kanun, Qormi, Malta</x:t>
  </x:si>
  <x:si>
    <x:t>Mrieħel Bypass, Birkirkara, Malta</x:t>
  </x:si>
  <x:si>
    <x:t>Valley Road, Msida, Malta</x:t>
  </x:si>
  <x:si>
    <x:t>BLB 021 Qasam Industrijali, Bulebel ,
Zejtun, Malta ZTN 3000</x:t>
  </x:si>
  <x:si>
    <x:t>6 Triq Alessju Xuereb ,
San Gwann, Malta SGN 3057</x:t>
  </x:si>
  <x:si>
    <x:t>22, Triq Sant’ Elija ,
B’Kara, Malta BKR 2064</x:t>
  </x:si>
  <x:si>
    <x:t>12 Triq il-Hammieri ,
Qormi, Malta</x:t>
  </x:si>
  <x:si>
    <x:t>Triq il-Kostituzzjoni ,
Mosta, Malta MST 9050</x:t>
  </x:si>
  <x:si>
    <x:t>220 Triq in-Naxxar ,
San Gwann, Malta SGN 9030</x:t>
  </x:si>
  <x:si>
    <x:t>60, Triq Dun Filippo Calleja ,
Zebbug, Malta</x:t>
  </x:si>
  <x:si>
    <x:t>Eucharistic Congress Road, Mosta, Malta</x:t>
  </x:si>
  <x:si>
    <x:t>flamingo.com.mt</x:t>
  </x:si>
  <x:si>
    <x:t>washingmachinesmalta.com</x:t>
  </x:si>
  <x:si>
    <x:t>topchoice.com.mt</x:t>
  </x:si>
  <x:si>
    <x:t>petroni.com.mt</x:t>
  </x:si>
  <x:si>
    <x:t>teckline.com.mt</x:t>
  </x:si>
  <x:si>
    <x:t>soundmachine.com.mt</x:t>
  </x:si>
  <x:si>
    <x:t>vitelmalta.com/shop/domestic-appliances/laundry-appliances/tumble-dryers/keen-tumble-dryer-10kg-dhb1053ba/</x:t>
  </x:si>
  <x:si>
    <x:t>jshousehold.com</x:t>
  </x:si>
  <x:si>
    <x:t>hotpointmalta.com</x:t>
  </x:si>
  <x:si>
    <x:t>lava.mt</x:t>
  </x:si>
  <x:si>
    <x:t>crosscraft.com.mt</x:t>
  </x:si>
  <x:si>
    <x:t>audiomalta.com</x:t>
  </x:si>
  <x:si>
    <x:t>venturamalta.com</x:t>
  </x:si>
  <x:si>
    <x:t>atoz.com.mt</x:t>
  </x:si>
  <x:si>
    <x:t>forestals.com</x:t>
  </x:si>
  <x:si>
    <x:t>Tumble Dryer</x:t>
  </x:si>
  <x:si>
    <x:t>Homemate</x:t>
  </x:si>
  <x:si>
    <x:t>Sound Machine</x:t>
  </x:si>
  <x:si>
    <x:t>Vitel Home</x:t>
  </x:si>
  <x:si>
    <x:t>Triple A</x:t>
  </x:si>
  <x:si>
    <x:t>Paulson</x:t>
  </x:si>
  <x:si>
    <x:t>ProChimps</x:t>
  </x:si>
  <x:si>
    <x:t>Right Deal</x:t>
  </x:si>
  <x:si>
    <x:t>info@vitelmalta.com</x:t>
  </x:si>
  <x:si>
    <x:t>info@triplea.mt</x:t>
  </x:si>
  <x:si>
    <x:t>paulsonmalta@gmail.com</x:t>
  </x:si>
  <x:si>
    <x:t>info@prochimps.com</x:t>
  </x:si>
  <x:si>
    <x:t>Mriehel</x:t>
  </x:si>
  <x:si>
    <x:t>Triq R. Caruana Dingli San Gwann, SGN 1035 Malta.</x:t>
  </x:si>
  <x:si>
    <x:t>Triple A Luqa
1, St. Thomas Street,, Ħal Luqa LQA 9031</x:t>
  </x:si>
  <x:si>
    <x:t>Paulson Home &amp; Hi-Fi Centre,
Bir Deheb Road, Zejtun,
Malta</x:t>
  </x:si>
  <x:si>
    <x:t>Santa Venera, Canon Road, Malta</x:t>
  </x:si>
  <x:si>
    <x:t>triplea.mt/contactus</x:t>
  </x:si>
  <x:si>
    <x:t>paulson.com.mt/en/shop/webshop/683/concorde-10kg-tumble-dryer---condenser</x:t>
  </x:si>
  <x:si>
    <x:t>prochimps.com/collections/tumble-dryer</x:t>
  </x:si>
  <x:si>
    <x:t>Cement Boards</x:t>
  </x:si>
  <x:si>
    <x:t>gypsum</x:t>
  </x:si>
  <x:si>
    <x:t>Gypsum</x:t>
  </x:si>
  <x:si>
    <x:t>Meli Bugeja</x:t>
  </x:si>
  <x:si>
    <x:t>Summit Importers &amp; Distributors</x:t>
  </x:si>
  <x:si>
    <x:t>CA Gypsum</x:t>
  </x:si>
  <x:si>
    <x:t>D Gypsum and Lights</x:t>
  </x:si>
  <x:si>
    <x:t>Grant's Gypsum Work</x:t>
  </x:si>
  <x:si>
    <x:t>Galea &amp; Tonna Gypsum Works</x:t>
  </x:si>
  <x:si>
    <x:t>Buffa Malta</x:t>
  </x:si>
  <x:si>
    <x:t>P J Gypsum Works</x:t>
  </x:si>
  <x:si>
    <x:t>Pierre Chircop Gypsum Works</x:t>
  </x:si>
  <x:si>
    <x:t>Grima Interiors</x:t>
  </x:si>
  <x:si>
    <x:t>Donovan Plastering</x:t>
  </x:si>
  <x:si>
    <x:t>Bitmac Ltd</x:t>
  </x:si>
  <x:si>
    <x:t>JCR Imports Ltd</x:t>
  </x:si>
  <x:si>
    <x:t>Ceilings &amp; Walls</x:t>
  </x:si>
  <x:si>
    <x:t>Mediterranean Building Finishes Ltd</x:t>
  </x:si>
  <x:si>
    <x:t>GRF Malta</x:t>
  </x:si>
  <x:si>
    <x:t>O&amp;M Gypsum</x:t>
  </x:si>
  <x:si>
    <x:t>Perfectum</x:t>
  </x:si>
  <x:si>
    <x:t>GAD Finishings</x:t>
  </x:si>
  <x:si>
    <x:t>JG Gypsum</x:t>
  </x:si>
  <x:si>
    <x:t>Xuereb Instalations Ltd</x:t>
  </x:si>
  <x:si>
    <x:t>Deo's Interiors</x:t>
  </x:si>
  <x:si>
    <x:t>sales@summit.com.mt</x:t>
  </x:si>
  <x:si>
    <x:t>cagypsum@onvol.net</x:t>
  </x:si>
  <x:si>
    <x:t>dgypsumandlights@gmail.com</x:t>
  </x:si>
  <x:si>
    <x:t>grantgypsumwork@gmail.com</x:t>
  </x:si>
  <x:si>
    <x:t>gplusgypsum@gmail.com</x:t>
  </x:si>
  <x:si>
    <x:t>buffamalta@t4bservices.com</x:t>
  </x:si>
  <x:si>
    <x:t>pjgypsumworks@gmail.com</x:t>
  </x:si>
  <x:si>
    <x:t>pchircop76@gmail.com</x:t>
  </x:si>
  <x:si>
    <x:t>grimainteriors@hotmail.com</x:t>
  </x:si>
  <x:si>
    <x:t>donovanplastermalta@gmail.com</x:t>
  </x:si>
  <x:si>
    <x:t>jattard@jcrimports.com.mt</x:t>
  </x:si>
  <x:si>
    <x:t>info@ceilingsandwalls.com.mt</x:t>
  </x:si>
  <x:si>
    <x:t>info@bitmacltd.com</x:t>
  </x:si>
  <x:si>
    <x:t>info@mbfmalta.com</x:t>
  </x:si>
  <x:si>
    <x:t>info@grfmalta.com</x:t>
  </x:si>
  <x:si>
    <x:t>oandmgypsum.com@gmail.com</x:t>
  </x:si>
  <x:si>
    <x:t>Info@perfectum.mt</x:t>
  </x:si>
  <x:si>
    <x:t>alex@gad.com.mt</x:t>
  </x:si>
  <x:si>
    <x:t>xil@xuerebinstall.com</x:t>
  </x:si>
  <x:si>
    <x:t>josephgiordano54@gmail.com</x:t>
  </x:si>
  <x:si>
    <x:t>lukeattard89@gmail.com</x:t>
  </x:si>
  <x:si>
    <x:t>2137 4454</x:t>
  </x:si>
  <x:si>
    <x:t>Xwieki Road, Triq Tal-Balal, Tal-Balal, Iklin, IKL 9013, Malta</x:t>
  </x:si>
  <x:si>
    <x:t>107, Triq L-Istadju, Gzira, GZR 1301, Malta</x:t>
  </x:si>
  <x:si>
    <x:t>Triq Hal Tarxien, Il-Gudja, Malta</x:t>
  </x:si>
  <x:si>
    <x:t>13, Triq Ignazio Saverio Mifsud, Birkirkara, BKR1017, Malta</x:t>
  </x:si>
  <x:si>
    <x:t>43, Triq Qrajten, Tal-Pieta', Malta</x:t>
  </x:si>
  <x:si>
    <x:t>Valletta Road, Qormi (frente a Maltapost), Malta</x:t>
  </x:si>
  <x:si>
    <x:t>94, Emmant, Triq Salvu Aquilina, Mosta, MST 3162, Malta</x:t>
  </x:si>
  <x:si>
    <x:t>Marsaxlokk, Malta</x:t>
  </x:si>
  <x:si>
    <x:t>Triq Luret Cutajar, Ħaż-Żebbuġ ZBG 273, Malta</x:t>
  </x:si>
  <x:si>
    <x:t>49 Triq Spadaro, Ħaż-Żabbar, Malta</x:t>
  </x:si>
  <x:si>
    <x:t>Triq In-Negozju, Mrieħel, Birkirkara BKR 3000, Malta</x:t>
  </x:si>
  <x:si>
    <x:t>27 Triq Il-Vittmi Tax-Xogħol, Paola, Malta</x:t>
  </x:si>
  <x:si>
    <x:t>Triq Tal-Balal, San Ġwann, Malta</x:t>
  </x:si>
  <x:si>
    <x:t>Riviera Court/2, Triq Forrest, San Ġiljan, Malta</x:t>
  </x:si>
  <x:si>
    <x:t>117 Triq L-Assemblea Nazzjonali,
San Gwann SGN 3034, Malta</x:t>
  </x:si>
  <x:si>
    <x:t>69, Triq John Borg, Birkirkara, Malta BKR 1284</x:t>
  </x:si>
  <x:si>
    <x:t>Valletta, Malta</x:t>
  </x:si>
  <x:si>
    <x:t>Hal Mula Street, Garage number 5.</x:t>
  </x:si>
  <x:si>
    <x:t>21, Triq Gellewza Sewda,
Midland Park, D7
Burmarrad Road, Burmarrad LO Naxxar
Malta</x:t>
  </x:si>
  <x:si>
    <x:t>Xuereb Installations Ltd. Tal-Hlas Road, Qormi QRM 5011. Malta</x:t>
  </x:si>
  <x:si>
    <x:t>melibugeja.com.mt</x:t>
  </x:si>
  <x:si>
    <x:t>grimainteriors.com</x:t>
  </x:si>
  <x:si>
    <x:t>dgypsumworks.com</x:t>
  </x:si>
  <x:si>
    <x:t>grantsgypsumwork.com</x:t>
  </x:si>
  <x:si>
    <x:t>pjgypsumworks.com</x:t>
  </x:si>
  <x:si>
    <x:t>findit.com.mt/en/directory/listings/441/oandampm-gypsum-malta.htm</x:t>
  </x:si>
  <x:si>
    <x:t>donovan-plastering.com</x:t>
  </x:si>
  <x:si>
    <x:t>jcrimports.com.mt</x:t>
  </x:si>
  <x:si>
    <x:t>ceilingsandwalls.com.mt</x:t>
  </x:si>
  <x:si>
    <x:t>bitmacltd.com/</x:t>
  </x:si>
  <x:si>
    <x:t>grfmalta.com/</x:t>
  </x:si>
  <x:si>
    <x:t>facebook.com/perfectummt/</x:t>
  </x:si>
  <x:si>
    <x:t>facebook.com/profile.php?id=61560664902130</x:t>
  </x:si>
  <x:si>
    <x:t>crcmalta.com/shop/category/partitions-cubicles-for-showers-or-w-cs-656</x:t>
  </x:si>
  <x:si>
    <x:t>partition</x:t>
  </x:si>
  <x:si>
    <x:t>CRC Group</x:t>
  </x:si>
  <x:si>
    <x:t>Quality Postform</x:t>
  </x:si>
  <x:si>
    <x:t>ProBuild</x:t>
  </x:si>
  <x:si>
    <x:t>BSL Lifestyles</x:t>
  </x:si>
  <x:si>
    <x:t>Da Valier</x:t>
  </x:si>
  <x:si>
    <x:t>Xuereb Installations</x:t>
  </x:si>
  <x:si>
    <x:t>Trends</x:t>
  </x:si>
  <x:si>
    <x:t>Dimech Enterprises</x:t>
  </x:si>
  <x:si>
    <x:t>Sham Decorations</x:t>
  </x:si>
  <x:si>
    <x:t>Shaker</x:t>
  </x:si>
  <x:si>
    <x:t>Jialifu (CHINA)</x:t>
  </x:si>
  <x:si>
    <x:t>marketing@crcmalta.com</x:t>
  </x:si>
  <x:si>
    <x:t>qualitypostform@gmail.com</x:t>
  </x:si>
  <x:si>
    <x:t>sales@probuildmalta.com</x:t>
  </x:si>
  <x:si>
    <x:t>sales@bsl-lifestyles.com</x:t>
  </x:si>
  <x:si>
    <x:t>info@trendsltdmalta.com</x:t>
  </x:si>
  <x:si>
    <x:t>sales@shaker.com.mt</x:t>
  </x:si>
  <x:si>
    <x:t>sales@dimech-ent.com</x:t>
  </x:si>
  <x:si>
    <x:t>sales@jialifucn.com</x:t>
  </x:si>
  <x:si>
    <x:t>qualitypostform.com/en/products/products/21/algonquin-anti-vandal-cubicles</x:t>
  </x:si>
  <x:si>
    <x:t>probuildmalta.com/</x:t>
  </x:si>
  <x:si>
    <x:t>bsl-lifestyles.com/product-category/partitions-panels/?offset=4</x:t>
  </x:si>
  <x:si>
    <x:t>dv.mt/showroom-category/office-partitions/</x:t>
  </x:si>
  <x:si>
    <x:t>xuerebinstall.com/our-service/demountable-partitions/</x:t>
  </x:si>
  <x:si>
    <x:t>trendsltdmalta.com/products/commercial-bathrooms/cubicles/</x:t>
  </x:si>
  <x:si>
    <x:t>dimech-ent.com/</x:t>
  </x:si>
  <x:si>
    <x:t>glassdesignmalta.com/copy-of-glass-walls</x:t>
  </x:si>
  <x:si>
    <x:t>vellabrothersandsons.com/index.html</x:t>
  </x:si>
  <x:si>
    <x:t>Carting away</x:t>
  </x:si>
  <x:si>
    <x:t>Tile remover/torba, Carting away of materials</x:t>
  </x:si>
  <x:si>
    <x:t>Vella Brothers &amp; Sons</x:t>
  </x:si>
  <x:si>
    <x:t>Fardell Home Maintenance</x:t>
  </x:si>
  <x:si>
    <x:t>info@vellabrothersandsons.com</x:t>
  </x:si>
  <x:si>
    <x:t>fardellhonda@gmail.com</x:t>
  </x:si>
  <x:si>
    <x:t>TA' DMIEREK QUARRY
c/o Maghlaq Quarry - Panoramic Road,
Qrendi</x:t>
  </x:si>
  <x:si>
    <x:t>111-113 Hompesch Road, Fgura</x:t>
  </x:si>
  <x:si>
    <x:t>fardellhonda.wixsite.com/fardellmaintenance</x:t>
  </x:si>
  <x:si>
    <x:t>industrial shelving</x:t>
  </x:si>
  <x:si>
    <x:t>Ennegi Enterprises Ltd</x:t>
  </x:si>
  <x:si>
    <x:t>Storage Systems Ltd</x:t>
  </x:si>
  <x:si>
    <x:t>Caravel Ltd</x:t>
  </x:si>
  <x:si>
    <x:t>AGP Systems Ltd</x:t>
  </x:si>
  <x:si>
    <x:t>T4B Services Ltd</x:t>
  </x:si>
  <x:si>
    <x:t>ALFEN Displays</x:t>
  </x:si>
  <x:si>
    <x:t>UDS Limited (Upward Door Systems Ltd)</x:t>
  </x:si>
  <x:si>
    <x:t>360 Retail Supplies Ltd</x:t>
  </x:si>
  <x:si>
    <x:t>deValtech Co Ltd</x:t>
  </x:si>
  <x:si>
    <x:t>de Valier</x:t>
  </x:si>
  <x:si>
    <x:t>Metalock Malta Ltd</x:t>
  </x:si>
  <x:si>
    <x:t>Ramilene Office Supplies Ltd</x:t>
  </x:si>
  <x:si>
    <x:t>Intervisions Ltd</x:t>
  </x:si>
  <x:si>
    <x:t>Petrolea Ltd</x:t>
  </x:si>
  <x:si>
    <x:t>SC Engineering</x:t>
  </x:si>
  <x:si>
    <x:t>sales@ennegiltd.com</x:t>
  </x:si>
  <x:si>
    <x:t>storagesys@vol.net.mt</x:t>
  </x:si>
  <x:si>
    <x:t>info@agps.com.mt</x:t>
  </x:si>
  <x:si>
    <x:t>dario@caravelmalta.com</x:t>
  </x:si>
  <x:si>
    <x:t>info@t4bservices.com</x:t>
  </x:si>
  <x:si>
    <x:t>alfen@maltanet.net</x:t>
  </x:si>
  <x:si>
    <x:t>uds@maltanet.net</x:t>
  </x:si>
  <x:si>
    <x:t>info@360rs.com.mt</x:t>
  </x:si>
  <x:si>
    <x:t>info@devaltech.com</x:t>
  </x:si>
  <x:si>
    <x:t>info@metalock.com.mt</x:t>
  </x:si>
  <x:si>
    <x:t>info@ramilenemalta.com</x:t>
  </x:si>
  <x:si>
    <x:t>info@intervisions.com.mt</x:t>
  </x:si>
  <x:si>
    <x:t>info@petroleamalta.com</x:t>
  </x:si>
  <x:si>
    <x:t>sales@scengineering.com.mt</x:t>
  </x:si>
  <x:si>
    <x:t>237, Triq Hal Qormi, Marsa, MRS 9045, Malta</x:t>
  </x:si>
  <x:si>
    <x:t>KW12, Zona Industrijali Ta' Kordin, Coradino, Paola, Malta</x:t>
  </x:si>
  <x:si>
    <x:t>‘Raycop’, Plot 13/15, Sqaq iz-Ziemel, Handaq, Qormi QRM-4003, Malta</x:t>
  </x:si>
  <x:si>
    <x:t>Zamco Buildings, Triq Il-Mithna, Hal Qormi, QRM 3103, Malta</x:t>
  </x:si>
  <x:si>
    <x:t>Canter Business Centre, Triq Patri Felicjan Bilocca, Il-Marsa, Malta</x:t>
  </x:si>
  <x:si>
    <x:t>96, Triq Il-Kbira San Guzepp, Il-Hamrun, Malta</x:t>
  </x:si>
  <x:si>
    <x:t>Factory C, Triq L-Industrija, Ix-Xewkija (Gozo) XWK 3000, Malta</x:t>
  </x:si>
  <x:si>
    <x:t>360 Business Center, Mdina Road, Ħaż-Żebbuġ, ZBG 9014, Malta</x:t>
  </x:si>
  <x:si>
    <x:t>de Valtech Building, San Gwakkin Street, Zone 3, Central Businees District, Mriehel CBD 3030 Birkirkara, Malta</x:t>
  </x:si>
  <x:si>
    <x:t>The Old Factory, San Gwakkin str, Mriehel,Central Business District Birkirkara CBD, 3030</x:t>
  </x:si>
  <x:si>
    <x:t>The Hillock - Block North C 8, Triq Il-Qolla S-Safra, Marsalforn, MFN 1405, Gozo</x:t>
  </x:si>
  <x:si>
    <x:t>50/51, Triq It-Torri, Birkirkara, Is-Swatar, Malta BKR 4011</x:t>
  </x:si>
  <x:si>
    <x:t>Hard Rocks Industrial Park, Triq Burmarrad, Naxxar, Malta NXR 6345</x:t>
  </x:si>
  <x:si>
    <x:t>322, Qasam Industrijali Ta' Hal Luqa Hal Luqa, Malta</x:t>
  </x:si>
  <x:si>
    <x:t>storagesystems.com.mt</x:t>
  </x:si>
  <x:si>
    <x:t>caravelmalta.com</x:t>
  </x:si>
  <x:si>
    <x:t>agps.com.mt</x:t>
  </x:si>
  <x:si>
    <x:t>t4bservices.com</x:t>
  </x:si>
  <x:si>
    <x:t>alfendisplays.com</x:t>
  </x:si>
  <x:si>
    <x:t>udsmalta.com</x:t>
  </x:si>
  <x:si>
    <x:t>360retailsupplies.com</x:t>
  </x:si>
  <x:si>
    <x:t>dv.mt/de-valtech/</x:t>
  </x:si>
  <x:si>
    <x:t>facebook.com/BTCommercialMalta/</x:t>
  </x:si>
  <x:si>
    <x:t>malta-design.com/en/57007-pergolas</x:t>
  </x:si>
  <x:si>
    <x:t>metalock.com.mt</x:t>
  </x:si>
  <x:si>
    <x:t>maltadiy.com/product-category/lights-and-tech/lights/</x:t>
  </x:si>
  <x:si>
    <x:t>petroleamalta.com</x:t>
  </x:si>
  <x:si>
    <x:t>noriva.com.mt</x:t>
  </x:si>
  <x:si>
    <x:t>scengineering.com.mt/</x:t>
  </x:si>
  <x:si>
    <x:t>Multisensory room</x:t>
  </x:si>
  <x:si>
    <x:t>Fiber Optic Lighting</x:t>
  </x:si>
  <x:si>
    <x:t>Sensory Cushions</x:t>
  </x:si>
  <x:si>
    <x:t>Unicare Ltd</x:t>
  </x:si>
  <x:si>
    <x:t>multi sensory equipment and furniture</x:t>
  </x:si>
  <x:si>
    <x:t>Edusell Malta</x:t>
  </x:si>
  <x:si>
    <x:t>noriva ltd</x:t>
  </x:si>
  <x:si>
    <x:t>AIM enterprises ltd</x:t>
  </x:si>
  <x:si>
    <x:t>info@unicare.com.mt</x:t>
  </x:si>
  <x:si>
    <x:t>TJ novelty</x:t>
  </x:si>
  <x:si>
    <x:t>info@edusell.com.mt</x:t>
  </x:si>
  <x:si>
    <x:t>info@noriva.com.mt</x:t>
  </x:si>
  <x:si>
    <x:t>info@aim.com.mt</x:t>
  </x:si>
  <x:si>
    <x:t>info@tjnovelty.com</x:t>
  </x:si>
  <x:si>
    <x:t>Birkirkara, Malta</x:t>
  </x:si>
  <x:si>
    <x:t>Hamrun, Malta</x:t>
  </x:si>
  <x:si>
    <x:t>mosta ,malta</x:t>
  </x:si>
  <x:si>
    <x:t>54 telghet rahal gdid,PAOLA,MALTA,PLA 1706</x:t>
  </x:si>
  <x:si>
    <x:t>triq Dun Karm Schembri,Mosta MST 2440-MALTA</x:t>
  </x:si>
  <x:si>
    <x:t>unicare.com.mt</x:t>
  </x:si>
  <x:si>
    <x:t>edusell.com.mt</x:t>
  </x:si>
  <x:si>
    <x:t>tjnovelty.com</x:t>
  </x:si>
  <x:si>
    <x:t>facebook.com/AimEnterprisesLtd</x:t>
  </x:si>
  <x:si>
    <x:t>Accessories</x:t>
  </x:si>
  <x:si>
    <x:t>bath</x:t>
  </x:si>
  <x:si>
    <x:t>shower</x:t>
  </x:si>
  <x:si>
    <x:t>sink</x:t>
  </x:si>
  <x:si>
    <x:t>tiles</x:t>
  </x:si>
  <x:si>
    <x:t>toilet</x:t>
  </x:si>
  <x:si>
    <x:t>Deluxe Bathrooms</x:t>
  </x:si>
  <x:si>
    <x:t>E Grech Cristal Bath Ltd</x:t>
  </x:si>
  <x:si>
    <x:t>Alfred Hili &amp; Co Ltd</x:t>
  </x:si>
  <x:si>
    <x:t>Halmann Vella Ltd</x:t>
  </x:si>
  <x:si>
    <x:t>Bugeja Marbles</x:t>
  </x:si>
  <x:si>
    <x:t>Custo Bathrooms</x:t>
  </x:si>
  <x:si>
    <x:t>Alex Mercieca Bathroom Centre Limited</x:t>
  </x:si>
  <x:si>
    <x:t>Faenza</x:t>
  </x:si>
  <x:si>
    <x:t>A F Ellis Ltd</x:t>
  </x:si>
  <x:si>
    <x:t>Absolute bathrooms</x:t>
  </x:si>
  <x:si>
    <x:t>Avante Bathrooms</x:t>
  </x:si>
  <x:si>
    <x:t>Banju Boutique Ltd</x:t>
  </x:si>
  <x:si>
    <x:t>Bathline</x:t>
  </x:si>
  <x:si>
    <x:t>Bhome</x:t>
  </x:si>
  <x:si>
    <x:t>Bathroom Design Ltd</x:t>
  </x:si>
  <x:si>
    <x:t>BC Bathrooms</x:t>
  </x:si>
  <x:si>
    <x:t>Blaugrana Ceramics</x:t>
  </x:si>
  <x:si>
    <x:t>Bubbles Bathrooms</x:t>
  </x:si>
  <x:si>
    <x:t>C Grech Marbles Ltd</x:t>
  </x:si>
  <x:si>
    <x:t>Calbros Bathroom Ltd</x:t>
  </x:si>
  <x:si>
    <x:t>Casa Mia</x:t>
  </x:si>
  <x:si>
    <x:t>Chic Living</x:t>
  </x:si>
  <x:si>
    <x:t>Creations The Ultimate In Bathroom Elegance</x:t>
  </x:si>
  <x:si>
    <x:t>Farell Bathrooms</x:t>
  </x:si>
  <x:si>
    <x:t>Hauz</x:t>
  </x:si>
  <x:si>
    <x:t>Josies Bathroom Centre</x:t>
  </x:si>
  <x:si>
    <x:t>Keramit Bathroom Centre</x:t>
  </x:si>
  <x:si>
    <x:t>M &amp; S Bathroom Centre</x:t>
  </x:si>
  <x:si>
    <x:t>Magri Bathroom Centre</x:t>
  </x:si>
  <x:si>
    <x:t>Moda Bagno</x:t>
  </x:si>
  <x:si>
    <x:t>Nuova Bagno</x:t>
  </x:si>
  <x:si>
    <x:t>Property Services Ltd</x:t>
  </x:si>
  <x:si>
    <x:t>S &amp; S Bathrooms Ltd</x:t>
  </x:si>
  <x:si>
    <x:t>Sogno Bagno Bathroom Centre</x:t>
  </x:si>
  <x:si>
    <x:t>The Tub</x:t>
  </x:si>
  <x:si>
    <x:t>Vella Falzon Home</x:t>
  </x:si>
  <x:si>
    <x:t>Vellmann Ltd</x:t>
  </x:si>
  <x:si>
    <x:t>VIVO Bathrooms &amp; Ceramics Ltd</x:t>
  </x:si>
  <x:si>
    <x:t>Classic Bathrooms</x:t>
  </x:si>
  <x:si>
    <x:t>F Zammit Glass Ltd</x:t>
  </x:si>
  <x:si>
    <x:t>Verre-De-Mic</x:t>
  </x:si>
  <x:si>
    <x:t>Ideal Bathrooms</x:t>
  </x:si>
  <x:si>
    <x:t>Carini Stores Ltd.</x:t>
  </x:si>
  <x:si>
    <x:t>Pitre' Bathrooms</x:t>
  </x:si>
  <x:si>
    <x:t>Falzon's Bathroom</x:t>
  </x:si>
  <x:si>
    <x:t>B&amp;M</x:t>
  </x:si>
  <x:si>
    <x:t>S&amp;S</x:t>
  </x:si>
  <x:si>
    <x:t>Float  Glass Limited</x:t>
  </x:si>
  <x:si>
    <x:t>KL Glass</x:t>
  </x:si>
  <x:si>
    <x:t>Glass Design Malta</x:t>
  </x:si>
  <x:si>
    <x:t>BridgePoint</x:t>
  </x:si>
  <x:si>
    <x:t>Farell bathrooms</x:t>
  </x:si>
  <x:si>
    <x:t>Bridgepoint Ltd</x:t>
  </x:si>
  <x:si>
    <x:t>Firm B Pullicino</x:t>
  </x:si>
  <x:si>
    <x:t>Ultra Taps</x:t>
  </x:si>
  <x:si>
    <x:t>Satarino Tiles</x:t>
  </x:si>
  <x:si>
    <x:t>Newline Living Concepts</x:t>
  </x:si>
  <x:si>
    <x:t>Newline Living Concept</x:t>
  </x:si>
  <x:si>
    <x:t>Banju Boutique</x:t>
  </x:si>
  <x:si>
    <x:t>Gozo Baths Ceramics</x:t>
  </x:si>
  <x:si>
    <x:t>D Floorings Parquet and more</x:t>
  </x:si>
  <x:si>
    <x:t>SBM Marble &amp; Granite</x:t>
  </x:si>
  <x:si>
    <x:t>NSN TILES AND CERAMICS</x:t>
  </x:si>
  <x:si>
    <x:t>Vella Falzon</x:t>
  </x:si>
  <x:si>
    <x:t>Vellmann</x:t>
  </x:si>
  <x:si>
    <x:t>Magri Bathrooms</x:t>
  </x:si>
  <x:si>
    <x:t>JCR Imports Limited</x:t>
  </x:si>
  <x:si>
    <x:t>Malta DIY</x:t>
  </x:si>
  <x:si>
    <x:t>The Tile</x:t>
  </x:si>
  <x:si>
    <x:t>Bathroom Design</x:t>
  </x:si>
  <x:si>
    <x:t>Malta Tile Centre</x:t>
  </x:si>
  <x:si>
    <x:t>MRCD Ltd</x:t>
  </x:si>
  <x:si>
    <x:t>Waterart Concepts</x:t>
  </x:si>
  <x:si>
    <x:t>JYSK</x:t>
  </x:si>
  <x:si>
    <x:t>C. Fino + Sons</x:t>
  </x:si>
  <x:si>
    <x:t>IPERCEAMICA</x:t>
  </x:si>
  <x:si>
    <x:t>Golden House</x:t>
  </x:si>
  <x:si>
    <x:t>E.Grech Cristal Bath</x:t>
  </x:si>
  <x:si>
    <x:t>Waterless WC</x:t>
  </x:si>
  <x:si>
    <x:t>BMS</x:t>
  </x:si>
  <x:si>
    <x:t>deluxebathroomsmanagement@gmail.com</x:t>
  </x:si>
  <x:si>
    <x:t>info@egrechcristalbath.com</x:t>
  </x:si>
  <x:si>
    <x:t>sales@alfredhili.com</x:t>
  </x:si>
  <x:si>
    <x:t>info@hallmannvella.com</x:t>
  </x:si>
  <x:si>
    <x:t>bugejamarbles@gmail.com</x:t>
  </x:si>
  <x:si>
    <x:t>custobathrooms@gmail.com</x:t>
  </x:si>
  <x:si>
    <x:t>info@alexmercieca.com</x:t>
  </x:si>
  <x:si>
    <x:t>faenzabathroomsmalta@gmail.com</x:t>
  </x:si>
  <x:si>
    <x:t>mail@afellis.com.tm</x:t>
  </x:si>
  <x:si>
    <x:t>meli@avantebathrooms.com</x:t>
  </x:si>
  <x:si>
    <x:t>info@banjuboutique.com</x:t>
  </x:si>
  <x:si>
    <x:t>info@bathlinemalta.com</x:t>
  </x:si>
  <x:si>
    <x:t>info@bathroomdesign.com.mt</x:t>
  </x:si>
  <x:si>
    <x:t>bc.bathrooms@gmail.com</x:t>
  </x:si>
  <x:si>
    <x:t>purchases@bhome.com.mt</x:t>
  </x:si>
  <x:si>
    <x:t>info@blaugrana.com.mt</x:t>
  </x:si>
  <x:si>
    <x:t>bubblesbathrooms@gmail.com</x:t>
  </x:si>
  <x:si>
    <x:t>cgrarbles@gmail.com</x:t>
  </x:si>
  <x:si>
    <x:t>calbrosltd@gmail.com</x:t>
  </x:si>
  <x:si>
    <x:t>info@casamiamalta.com</x:t>
  </x:si>
  <x:si>
    <x:t>info@creationsomni.com</x:t>
  </x:si>
  <x:si>
    <x:t>info@farellbathrooms.com</x:t>
  </x:si>
  <x:si>
    <x:t>info@hauz.mt</x:t>
  </x:si>
  <x:si>
    <x:t>info@bayker.it</x:t>
  </x:si>
  <x:si>
    <x:t>josies@josies.com.mt</x:t>
  </x:si>
  <x:si>
    <x:t>jovanpisani@keramitbathrooms.com</x:t>
  </x:si>
  <x:si>
    <x:t>bugejamalcolm@gmail.com</x:t>
  </x:si>
  <x:si>
    <x:t>info@magribathrooms.com</x:t>
  </x:si>
  <x:si>
    <x:t>modabagnor@gmail.com</x:t>
  </x:si>
  <x:si>
    <x:t>michaelnuovobagno@gmail.com</x:t>
  </x:si>
  <x:si>
    <x:t>adrian@esclmalta.com</x:t>
  </x:si>
  <x:si>
    <x:t>info@ssbathrooms.com</x:t>
  </x:si>
  <x:si>
    <x:t>jg375@maltanet.net</x:t>
  </x:si>
  <x:si>
    <x:t>sales@thetubmalta.com</x:t>
  </x:si>
  <x:si>
    <x:t>info@vellafalzon.com</x:t>
  </x:si>
  <x:si>
    <x:t>info@vellmann.com</x:t>
  </x:si>
  <x:si>
    <x:t>info@vivo.com.mt</x:t>
  </x:si>
  <x:si>
    <x:t>classic-bathrooms@outlook.com</x:t>
  </x:si>
  <x:si>
    <x:t>info@fzammitglass.com</x:t>
  </x:si>
  <x:si>
    <x:t>verredemic@onvol.net</x:t>
  </x:si>
  <x:si>
    <x:t>info@idealbathrooms.com.mt</x:t>
  </x:si>
  <x:si>
    <x:t>sales@carinibathrooms.com</x:t>
  </x:si>
  <x:si>
    <x:t>info@falzons.com</x:t>
  </x:si>
  <x:si>
    <x:t>sales@bmsupplies.com</x:t>
  </x:si>
  <x:si>
    <x:t>info@floatglassltd.com</x:t>
  </x:si>
  <x:si>
    <x:t>kl.glass@outlook.com</x:t>
  </x:si>
  <x:si>
    <x:t>info@glassdesignmalta.com ; glassdesignmalta@gmail.com</x:t>
  </x:si>
  <x:si>
    <x:t>sales@bridgepoint.com.mt</x:t>
  </x:si>
  <x:si>
    <x:t>info@fbpmalta.com</x:t>
  </x:si>
  <x:si>
    <x:t>info@satarino.com</x:t>
  </x:si>
  <x:si>
    <x:t>newlineliving@gmail.com</x:t>
  </x:si>
  <x:si>
    <x:t>gozobaths@gmail.com</x:t>
  </x:si>
  <x:si>
    <x:t>dfloorings@gmail.com</x:t>
  </x:si>
  <x:si>
    <x:t>simonbonnicimarble@gmail.com</x:t>
  </x:si>
  <x:si>
    <x:t>naasan.co@gmail.com</x:t>
  </x:si>
  <x:si>
    <x:t>info@vellafalzon.com / aaquilina@vellafalzon.com</x:t>
  </x:si>
  <x:si>
    <x:t>info@jcrimports</x:t>
  </x:si>
  <x:si>
    <x:t>info@the-tile.com</x:t>
  </x:si>
  <x:si>
    <x:t>info@tilewarehousemalta.com</x:t>
  </x:si>
  <x:si>
    <x:t>info@waterartconcepts.com</x:t>
  </x:si>
  <x:si>
    <x:t>jysk@jysk.com.mt</x:t>
  </x:si>
  <x:si>
    <x:t>info@bmsupplies.com</x:t>
  </x:si>
  <x:si>
    <x:t>info@fino.com.mt</x:t>
  </x:si>
  <x:si>
    <x:t>malta@iperceamica.it</x:t>
  </x:si>
  <x:si>
    <x:t>info@goldenhouse.com.mt</x:t>
  </x:si>
  <x:si>
    <x:t>cristalbath@onvol.net</x:t>
  </x:si>
  <x:si>
    <x:t>sales@wc.mt</x:t>
  </x:si>
  <x:si>
    <x:t>absolute.com.mt/</x:t>
  </x:si>
  <x:si>
    <x:t>bc-bathrooms.com</x:t>
  </x:si>
  <x:si>
    <x:t>facebook.com/bathlinemalta/</x:t>
  </x:si>
  <x:si>
    <x:t>banjuboutique.com</x:t>
  </x:si>
  <x:si>
    <x:t>facebook.com/avantebathrooms/</x:t>
  </x:si>
  <x:si>
    <x:t>absolute.com.mt</x:t>
  </x:si>
  <x:si>
    <x:t>afellis.com.mt</x:t>
  </x:si>
  <x:si>
    <x:t>faenzabathrooms.com</x:t>
  </x:si>
  <x:si>
    <x:t>alexmercieca.com</x:t>
  </x:si>
  <x:si>
    <x:t>halmannvella.com</x:t>
  </x:si>
  <x:si>
    <x:t>alfredhili.com</x:t>
  </x:si>
  <x:si>
    <x:t>egrechcristalbath.com</x:t>
  </x:si>
  <x:si>
    <x:t>deluxe-bathrooms.com</x:t>
  </x:si>
  <x:si>
    <x:t>orienta.mt/</x:t>
  </x:si>
  <x:si>
    <x:t>MRCD Building,
Karmenu Camilleri Street,
Qormi, QRM4631</x:t>
  </x:si>
  <x:si>
    <x:t>Triq Benghazi, Ghajnsielem-Gozo, GSM 1624</x:t>
  </x:si>
  <x:si>
    <x:t>Triq Salvu Psaila, B'Kara, Matla BKR 9076</x:t>
  </x:si>
  <x:si>
    <x:t>17 Triq Guze' Galea Qormi, Malta QRM 2106</x:t>
  </x:si>
  <x:si>
    <x:t>The Factory Triq il-Mosta, Lija, Malta LJA 9016</x:t>
  </x:si>
  <x:si>
    <x:t>Zone 3 Triq San Gwakkin Central Business District, B'kara, Malta CBD 3030</x:t>
  </x:si>
  <x:si>
    <x:t>Triq Joe Sciberras, Hamrun, Malta HMR 1550</x:t>
  </x:si>
  <x:si>
    <x:t>25th November Avenue, Zejtun, ZTN2019</x:t>
  </x:si>
  <x:si>
    <x:t>7 Triq I-Erba' Qaddisin</x:t>
  </x:si>
  <x:si>
    <x:t>Triq il-Taflija Qasam Industrijali, Xewkija-Gozo, Gozo XWK 3000</x:t>
  </x:si>
  <x:si>
    <x:t>Triq Pantar, Hal Lija</x:t>
  </x:si>
  <x:si>
    <x:t>181 Triq Salvu Psaila, B'Kara, Malta BKR 9076</x:t>
  </x:si>
  <x:si>
    <x:t>Triq I-Arkata, Paola, Malta PLA 1212</x:t>
  </x:si>
  <x:si>
    <x:t>Triq Manwel Borg Qasam Indrustrijali, Tal-Handaq, Qormi, Malta QRM 4000</x:t>
  </x:si>
  <x:si>
    <x:t>358 Triq in-Naxxar, B'Kara, Malta BKR 9040</x:t>
  </x:si>
  <x:si>
    <x:t>Triq Dun Karm B'Kara By Pass, B'Kara, Malta BKR 2940</x:t>
  </x:si>
  <x:si>
    <x:t>Bilom T/G fi triq l-Imdina, Zebbug, Malta</x:t>
  </x:si>
  <x:si>
    <x:t>Triq il-Kbira, Mgarr, Malta MGR 1430</x:t>
  </x:si>
  <x:si>
    <x:t>Triq Fortunato Mizzi, Victoria-Gozo, Gozo VCT 2687</x:t>
  </x:si>
  <x:si>
    <x:t>11 Triq I-Imdina, Attard, Malta ATD 9036</x:t>
  </x:si>
  <x:si>
    <x:t>1 Triq I-Isqof Labini, B'Kara, Malta BKR 1270</x:t>
  </x:si>
  <x:si>
    <x:t>Triq Ninu Ceremona, Victoria-Gozo, Gozo VCT 2563</x:t>
  </x:si>
  <x:si>
    <x:t>Triq Durumblat, II-Mosta, MST 4816</x:t>
  </x:si>
  <x:si>
    <x:t>Liland Bldgs Triq l-Imdina, Attard, Malta ATD 9036</x:t>
  </x:si>
  <x:si>
    <x:t>115 Vjal iI-Blue Grotto, Zurrieq, Malta ZRQ 4015</x:t>
  </x:si>
  <x:si>
    <x:t>123 Triq Dun Karm Sant, Tarxien, Malta</x:t>
  </x:si>
  <x:si>
    <x:t>Triq iI-Wied ta' I-Imsida, Msida, Malta</x:t>
  </x:si>
  <x:si>
    <x:t>Naxxar, Malta NXR 6345</x:t>
  </x:si>
  <x:si>
    <x:t>Triq in-Naxxar, Lija, Malta</x:t>
  </x:si>
  <x:si>
    <x:t>137 Triq Parades, San Pawl II-Bahar, Malta SPB 3430</x:t>
  </x:si>
  <x:si>
    <x:t>Triq iI-Kanun, Qormi, Malta QRM 9039</x:t>
  </x:si>
  <x:si>
    <x:t>Zone 3 Triq I-Intornjatur, Zona Industrjali, Mriehel, B'Kara, Malta BKR 3000</x:t>
  </x:si>
  <x:si>
    <x:t>M'Skala By Pass, Zabbar, Malta ZBR 9042</x:t>
  </x:si>
  <x:si>
    <x:t>Triq San Bartolomew, Qormi, Malta</x:t>
  </x:si>
  <x:si>
    <x:t>Triq il-Mosta, Lija, Malta LJA 9012</x:t>
  </x:si>
  <x:si>
    <x:t>120 Triq il-Kullegg, Rabat, Malta RBT 1408</x:t>
  </x:si>
  <x:si>
    <x:t>Misrah il-Barrieri, Sta Venera, Malta</x:t>
  </x:si>
  <x:si>
    <x:t>Triq il-Wied ta'Imsida, Msida, Malta MSD 9022</x:t>
  </x:si>
  <x:si>
    <x:t>Pantar Estate Triq Pantar</x:t>
  </x:si>
  <x:si>
    <x:t>9 Triq Geronimo Abos, Iklin, Malta IKL 1022</x:t>
  </x:si>
  <x:si>
    <x:t>118 Triq iI-Kullegg, Rabat, Malta RBT 1408</x:t>
  </x:si>
  <x:si>
    <x:t>Triq il-Kummerc, Qormi, Malta</x:t>
  </x:si>
  <x:si>
    <x:t>Building 46 Crafts Village Ta' Qali, Attard, Malta ATD 4000</x:t>
  </x:si>
  <x:si>
    <x:t>Constitution Street, Mosta, Malta</x:t>
  </x:si>
  <x:si>
    <x:t>435 St. Joseph High Road, St. Venera, Malta</x:t>
  </x:si>
  <x:si>
    <x:t>Triq I-Imdina, Qormi QRM 9011</x:t>
  </x:si>
  <x:si>
    <x:t>Falzon's Bathroom &amp; Ceramics, Triq il-Kummerc, Qormi, Malta</x:t>
  </x:si>
  <x:si>
    <x:t>Triq Dun Karm Birkirkara, BKR9035, Malta</x:t>
  </x:si>
  <x:si>
    <x:t>New Street, Vjal Il-Labour, Nax, Malta</x:t>
  </x:si>
  <x:si>
    <x:t>26B, Marsa Industrial Estate, Marsa MRS 3000</x:t>
  </x:si>
  <x:si>
    <x:t>Plot 34, Qasam Industrijali LQA 3000 Luqa MT</x:t>
  </x:si>
  <x:si>
    <x:t>12 Olt Trafford, Dun Filippu Borg, Birkirkara, Malta</x:t>
  </x:si>
  <x:si>
    <x:t>3, Triq Ferdinandu Inglott, Ħ'Attard</x:t>
  </x:si>
  <x:si>
    <x:t>No 3, Triq Ferdinand Inglott, Attard ATD 3134</x:t>
  </x:si>
  <x:si>
    <x:t>139, Bajada Street ZBR 3011 Zabbar, Malta</x:t>
  </x:si>
  <x:si>
    <x:t>122, Msida Valley Road, B'kara, BKR 9024</x:t>
  </x:si>
  <x:si>
    <x:t>Triq Papa Gwanni Pawlu II, Victoria-Gozo, Gozo VCT 9046</x:t>
  </x:si>
  <x:si>
    <x:t>Triq Papa Gwanni Pawlu ll, Victoria-Gozo, Gozo VCT 9046</x:t>
  </x:si>
  <x:si>
    <x:t>Mdina Road, Qormi, QRM 9011, Malta</x:t>
  </x:si>
  <x:si>
    <x:t>Paola Outlet Arcade Street, Paola PLA1212</x:t>
  </x:si>
  <x:si>
    <x:t>Triq Dun Karm, Birkirkara, Malta</x:t>
  </x:si>
  <x:si>
    <x:t>Vjal il-Helsen, Zebbug, Malta</x:t>
  </x:si>
  <x:si>
    <x:t>5 Triq Profs Carmelo Coleiro Tal-Handaq, Qormi, Malta QRM 4000</x:t>
  </x:si>
  <x:si>
    <x:t>226, Triq Alfred Cachia Zammit, Zejtun, Malta</x:t>
  </x:si>
  <x:si>
    <x:t>13, Triq il-Furnar Qormi QRM 3504, Malta</x:t>
  </x:si>
  <x:si>
    <x:t>Pantar Road Hal Lija LJA, 2023</x:t>
  </x:si>
  <x:si>
    <x:t>Triq il-Kanun, al Qormi, Malta</x:t>
  </x:si>
  <x:si>
    <x:t>Zone 3, Triq In-Negozju Central Business District Birkirkara CBD 3010</x:t>
  </x:si>
  <x:si>
    <x:t>160, Mdina Road, Zebbug ZBG9015</x:t>
  </x:si>
  <x:si>
    <x:t>Triq Bella Vista, San Gwann, Malta SGN 2690</x:t>
  </x:si>
  <x:si>
    <x:t>356 Naxxar Road, B'Kara, BKR 9040, Malta</x:t>
  </x:si>
  <x:si>
    <x:t>Triq iI-Qoton, Santa Lucija, Malta</x:t>
  </x:si>
  <x:si>
    <x:t>313A, Triq il-Barrieri, St Venera</x:t>
  </x:si>
  <x:si>
    <x:t>Karmenu Camilleri Street, Qormi, QRM46</x:t>
  </x:si>
  <x:si>
    <x:t>Mill Street, Qormi QRM 3102, Malta</x:t>
  </x:si>
  <x:si>
    <x:t>Triq II-Mosta, Lija, Malta</x:t>
  </x:si>
  <x:si>
    <x:t>Triq Dun Karm, B'Kara Bypass, Birkirkara BKR 2940</x:t>
  </x:si>
  <x:si>
    <x:t>Triq Dun Karm, Kirkirkara, BKR 9035</x:t>
  </x:si>
  <x:si>
    <x:t>Triq I-Imdina, Zone 4, Meriehel/Central Business District CBD 2010, Malta</x:t>
  </x:si>
  <x:si>
    <x:t>Velley Road, Msida, MSD 9020, Malta</x:t>
  </x:si>
  <x:si>
    <x:t>Ħal Qormi, Malta</x:t>
  </x:si>
  <x:si>
    <x:t>E.Grech Cristal Bath, 
Psaila Street,
Birkirkara, BKR 9076, Malta.</x:t>
  </x:si>
  <x:si>
    <x:t>1 Lenger, Court A, Triq Mons Pawlu Mallia, Gudja, Malta</x:t>
  </x:si>
  <x:si>
    <x:t>okhome.com.mt</x:t>
  </x:si>
  <x:si>
    <x:t>mrcd.com.mt</x:t>
  </x:si>
  <x:si>
    <x:t>custobathrooms.com</x:t>
  </x:si>
  <x:si>
    <x:t>theatrium.com.mt</x:t>
  </x:si>
  <x:si>
    <x:t>jysk.com.mt</x:t>
  </x:si>
  <x:si>
    <x:t>iperceramica.it/en/ita</x:t>
  </x:si>
  <x:si>
    <x:t>oxfordhouse.com.mt</x:t>
  </x:si>
  <x:si>
    <x:t>bathroomdesign.com.mt</x:t>
  </x:si>
  <x:si>
    <x:t>blaugrana.com.mt</x:t>
  </x:si>
  <x:si>
    <x:t>facebook.com/bubblesbathroomsmalta/</x:t>
  </x:si>
  <x:si>
    <x:t>cgremarbles.com.mt</x:t>
  </x:si>
  <x:si>
    <x:t>morfeus.com.mt</x:t>
  </x:si>
  <x:si>
    <x:t>facebook.com/tilewarehousemalta/</x:t>
  </x:si>
  <x:si>
    <x:t>shaker.com.mt</x:t>
  </x:si>
  <x:si>
    <x:t>royaltybedding.com</x:t>
  </x:si>
  <x:si>
    <x:t>farellbathrooms.com</x:t>
  </x:si>
  <x:si>
    <x:t>mattresscollection.com.mt</x:t>
  </x:si>
  <x:si>
    <x:t>iperceramica.it</x:t>
  </x:si>
  <x:si>
    <x:t>maltadiy.com</x:t>
  </x:si>
  <x:si>
    <x:t>vellmann.com</x:t>
  </x:si>
  <x:si>
    <x:t>dinofino.com</x:t>
  </x:si>
  <x:si>
    <x:t>krea.com.mt</x:t>
  </x:si>
  <x:si>
    <x:t>dfloorings.com</x:t>
  </x:si>
  <x:si>
    <x:t>facebook.com/p/Gozo-Baths-Ceramics-100063540523723/</x:t>
  </x:si>
  <x:si>
    <x:t>satariano.com</x:t>
  </x:si>
  <x:si>
    <x:t>bridgepoint.com</x:t>
  </x:si>
  <x:si>
    <x:t>vellafalzon.com</x:t>
  </x:si>
  <x:si>
    <x:t>facebook.com/Vellmann/</x:t>
  </x:si>
  <x:si>
    <x:t>wc.mt</x:t>
  </x:si>
  <x:si>
    <x:t>the-tile.com</x:t>
  </x:si>
  <x:si>
    <x:t>facebook.com/verredemic/</x:t>
  </x:si>
  <x:si>
    <x:t>idealbathrooms.com.mt</x:t>
  </x:si>
  <x:si>
    <x:t>pitrebathrooms.com</x:t>
  </x:si>
  <x:si>
    <x:t>klglassmalta.com</x:t>
  </x:si>
  <x:si>
    <x:t>glassdesignmalta.com</x:t>
  </x:si>
  <x:si>
    <x:t>bridgepointmalta.com/</x:t>
  </x:si>
  <x:si>
    <x:t>homemate.com.mt</x:t>
  </x:si>
  <x:si>
    <x:t>fbpmalta.com</x:t>
  </x:si>
  <x:si>
    <x:t>newline.com.mt</x:t>
  </x:si>
  <x:si>
    <x:t>fbpmalta.com/index.php/products/household/chairs-tables</x:t>
  </x:si>
  <x:si>
    <x:t>sbmmarble.com</x:t>
  </x:si>
  <x:si>
    <x:t>nsntilesandceramics.com</x:t>
  </x:si>
  <x:si>
    <x:t>wvellafalzon.com</x:t>
  </x:si>
  <x:si>
    <x:t>wwwjcrimports.com.mt</x:t>
  </x:si>
  <x:si>
    <x:t>thetub.com</x:t>
  </x:si>
  <x:si>
    <x:t>waterartconcepts.com</x:t>
  </x:si>
  <x:si>
    <x:t>orienta.mt</x:t>
  </x:si>
  <x:si>
    <x:t>goldenhouse.mt</x:t>
  </x:si>
  <x:si>
    <x:t>egrechcristalbath.com/en/home.htm</x:t>
  </x:si>
  <x:si>
    <x:t>cbrltd.com</x:t>
  </x:si>
  <x:si>
    <x:t>Spa</x:t>
  </x:si>
  <x:si>
    <x:t>Dolphin Pools</x:t>
  </x:si>
  <x:si>
    <x:t>Home Decor</x:t>
  </x:si>
  <x:si>
    <x:t>Chris Imgarr Pools</x:t>
  </x:si>
  <x:si>
    <x:t>RC Pool Services</x:t>
  </x:si>
  <x:si>
    <x:t>Splash Store</x:t>
  </x:si>
  <x:si>
    <x:t>Crystal Pools</x:t>
  </x:si>
  <x:si>
    <x:t>HomeTrends</x:t>
  </x:si>
  <x:si>
    <x:t>Casafini</x:t>
  </x:si>
  <x:si>
    <x:t>BigMat</x:t>
  </x:si>
  <x:si>
    <x:t>Malta Hot Tub Store</x:t>
  </x:si>
  <x:si>
    <x:t>The Great Outdoors Malta</x:t>
  </x:si>
  <x:si>
    <x:t>sales@maltadiy.com</x:t>
  </x:si>
  <x:si>
    <x:t>info@dolphinpools.com.mt</x:t>
  </x:si>
  <x:si>
    <x:t>mail@afellis.com.mt</x:t>
  </x:si>
  <x:si>
    <x:t>pools@muscatpools.com</x:t>
  </x:si>
  <x:si>
    <x:t>rodneycolombo@gmail.com</x:t>
  </x:si>
  <x:si>
    <x:t>info@crystalpools.com.mt</x:t>
  </x:si>
  <x:si>
    <x:t>info@splashstoremalta.com</x:t>
  </x:si>
  <x:si>
    <x:t>shop@hometrends.com.mt</x:t>
  </x:si>
  <x:si>
    <x:t>sales@casafini.com.mt</x:t>
  </x:si>
  <x:si>
    <x:t>info@thegreatoutdoorsmalta.com</x:t>
  </x:si>
  <x:si>
    <x:t>info@bigmatmalta.com</x:t>
  </x:si>
  <x:si>
    <x:t>Bedroom</x:t>
  </x:si>
  <x:si>
    <x:t>bed</x:t>
  </x:si>
  <x:si>
    <x:t>closet</x:t>
  </x:si>
  <x:si>
    <x:t>nightstand</x:t>
  </x:si>
  <x:si>
    <x:t>dresser</x:t>
  </x:si>
  <x:si>
    <x:t>mattress</x:t>
  </x:si>
  <x:si>
    <x:t>EuroIm JSM</x:t>
  </x:si>
  <x:si>
    <x:t>style interni</x:t>
  </x:si>
  <x:si>
    <x:t>Homistic Homes</x:t>
  </x:si>
  <x:si>
    <x:t>Foam &amp; Leather Bedding &amp; Home</x:t>
  </x:si>
  <x:si>
    <x:t>C B R</x:t>
  </x:si>
  <x:si>
    <x:t>Furniture &amp; Hardware Gozo Ltd</x:t>
  </x:si>
  <x:si>
    <x:t>Hastens</x:t>
  </x:si>
  <x:si>
    <x:t>PoweHouse</x:t>
  </x:si>
  <x:si>
    <x:t>KREA</x:t>
  </x:si>
  <x:si>
    <x:t>Dino Fino Home &amp; Contract</x:t>
  </x:si>
  <x:si>
    <x:t>Mattres Collection</x:t>
  </x:si>
  <x:si>
    <x:t>Royalty Bedding</x:t>
  </x:si>
  <x:si>
    <x:t>Dreams Malta</x:t>
  </x:si>
  <x:si>
    <x:t>Morfeus Malta</x:t>
  </x:si>
  <x:si>
    <x:t>Oxford House</x:t>
  </x:si>
  <x:si>
    <x:t>OK Home</x:t>
  </x:si>
  <x:si>
    <x:t>The Atrium</x:t>
  </x:si>
  <x:si>
    <x:t>C. Fino &amp; Sons Ltd</x:t>
  </x:si>
  <x:si>
    <x:t>Vitafoam</x:t>
  </x:si>
  <x:si>
    <x:t>Sylvia Bazaar</x:t>
  </x:si>
  <x:si>
    <x:t>Omajco Bedding</x:t>
  </x:si>
  <x:si>
    <x:t>Boris Arcidicano</x:t>
  </x:si>
  <x:si>
    <x:t>Wellbeing Bedding Ltd</x:t>
  </x:si>
  <x:si>
    <x:t>Channel Trade Marketing</x:t>
  </x:si>
  <x:si>
    <x:t>Perer Camilleri &amp; Sons</x:t>
  </x:si>
  <x:si>
    <x:t>Malta Design</x:t>
  </x:si>
  <x:si>
    <x:t>ProMan Interiors</x:t>
  </x:si>
  <x:si>
    <x:t>DARI</x:t>
  </x:si>
  <x:si>
    <x:t>FairDeal Furniture</x:t>
  </x:si>
  <x:si>
    <x:t>Homes by BDI</x:t>
  </x:si>
  <x:si>
    <x:t>Bo Concept</x:t>
  </x:si>
  <x:si>
    <x:t>Brands International Ltd</x:t>
  </x:si>
  <x:si>
    <x:t>R Living</x:t>
  </x:si>
  <x:si>
    <x:t>Kubek</x:t>
  </x:si>
  <x:si>
    <x:t>Abela Norbert Joiners</x:t>
  </x:si>
  <x:si>
    <x:t>Bed And Sofa</x:t>
  </x:si>
  <x:si>
    <x:t>Bed&amp;Sofa</x:t>
  </x:si>
  <x:si>
    <x:t>Cascone Home</x:t>
  </x:si>
  <x:si>
    <x:t>Cieffe Joinery</x:t>
  </x:si>
  <x:si>
    <x:t>Construct Furniture Co Ltd</x:t>
  </x:si>
  <x:si>
    <x:t>Domal</x:t>
  </x:si>
  <x:si>
    <x:t>Eric Kuster</x:t>
  </x:si>
  <x:si>
    <x:t>Estea</x:t>
  </x:si>
  <x:si>
    <x:t>Fillmore Furniture</x:t>
  </x:si>
  <x:si>
    <x:t>Gozoarts Furnishings Ltd</x:t>
  </x:si>
  <x:si>
    <x:t>Form Ltd</x:t>
  </x:si>
  <x:si>
    <x:t>Immaginecasa Ltd</x:t>
  </x:si>
  <x:si>
    <x:t>JDS Furniture</x:t>
  </x:si>
  <x:si>
    <x:t>JTS Trading</x:t>
  </x:si>
  <x:si>
    <x:t>Marvin's Warehouse</x:t>
  </x:si>
  <x:si>
    <x:t>Muccio Mobili</x:t>
  </x:si>
  <x:si>
    <x:t>onepercent</x:t>
  </x:si>
  <x:si>
    <x:t>Real Woodworks</x:t>
  </x:si>
  <x:si>
    <x:t>Rustica Home</x:t>
  </x:si>
  <x:si>
    <x:t>Karrari</x:t>
  </x:si>
  <x:si>
    <x:t>Orienta</x:t>
  </x:si>
  <x:si>
    <x:t>Luxonas</x:t>
  </x:si>
  <x:si>
    <x:t>E' Casa Ltd</x:t>
  </x:si>
  <x:si>
    <x:t>GL Reclaim</x:t>
  </x:si>
  <x:si>
    <x:t>Objects</x:t>
  </x:si>
  <x:si>
    <x:t>Top Drawer Ltd</x:t>
  </x:si>
  <x:si>
    <x:t>Casaform Furniture</x:t>
  </x:si>
  <x:si>
    <x:t>Ciantar woodworks 3rd Generation Ltd</x:t>
  </x:si>
  <x:si>
    <x:t>Daniel Woodworks</x:t>
  </x:si>
  <x:si>
    <x:t>Farrugia Group</x:t>
  </x:si>
  <x:si>
    <x:t>Ferraracasa</x:t>
  </x:si>
  <x:si>
    <x:t>Flamant Malta</x:t>
  </x:si>
  <x:si>
    <x:t>Granny Smith Dine Furniture &amp; Home Interiors</x:t>
  </x:si>
  <x:si>
    <x:t>J C R Furniture</x:t>
  </x:si>
  <x:si>
    <x:t>James Agius Woodworks Ltd</x:t>
  </x:si>
  <x:si>
    <x:t>Rags And Riches Buy &amp; Sell</x:t>
  </x:si>
  <x:si>
    <x:t>Richard Furniture</x:t>
  </x:si>
  <x:si>
    <x:t>Rondor</x:t>
  </x:si>
  <x:si>
    <x:t>Spaces</x:t>
  </x:si>
  <x:si>
    <x:t>Shabby Chic</x:t>
  </x:si>
  <x:si>
    <x:t>Style Furniture Ltd</x:t>
  </x:si>
  <x:si>
    <x:t>Tal- Lira Home Styles</x:t>
  </x:si>
  <x:si>
    <x:t>Wood Creations</x:t>
  </x:si>
  <x:si>
    <x:t>Mattress Collection</x:t>
  </x:si>
  <x:si>
    <x:t>Bond's (Materassi)</x:t>
  </x:si>
  <x:si>
    <x:t>Form (Bed Boutique)</x:t>
  </x:si>
  <x:si>
    <x:t>Eurotex Enterprises</x:t>
  </x:si>
  <x:si>
    <x:t>Wellbeing Bedding</x:t>
  </x:si>
  <x:si>
    <x:t>Foam &amp; Leather</x:t>
  </x:si>
  <x:si>
    <x:t>Vitafoam Malta</x:t>
  </x:si>
  <x:si>
    <x:t>JYSK Malta</x:t>
  </x:si>
  <x:si>
    <x:t>sales@euroimjsm.com</x:t>
  </x:si>
  <x:si>
    <x:t>info@styleinterni.com</x:t>
  </x:si>
  <x:si>
    <x:t>homistic@yahoo.com</x:t>
  </x:si>
  <x:si>
    <x:t>foam.leather@gmail.com</x:t>
  </x:si>
  <x:si>
    <x:t>cbrltd1@go.net.mt</x:t>
  </x:si>
  <x:si>
    <x:t>lawrenceagalea@yahoo.com</x:t>
  </x:si>
  <x:si>
    <x:t>marketing@form.com.mt</x:t>
  </x:si>
  <x:si>
    <x:t>sales@powerhousemalta.eu</x:t>
  </x:si>
  <x:si>
    <x:t>info@krea.com.mt</x:t>
  </x:si>
  <x:si>
    <x:t>info@dinofino.com</x:t>
  </x:si>
  <x:si>
    <x:t>help@mattresscollection.com.mt</x:t>
  </x:si>
  <x:si>
    <x:t>info@royaltybedding.com</x:t>
  </x:si>
  <x:si>
    <x:t>info@dreamsmalta.com</x:t>
  </x:si>
  <x:si>
    <x:t>estevan@morfeus.com.mt</x:t>
  </x:si>
  <x:si>
    <x:t>info@oxfordhouse.com.mt</x:t>
  </x:si>
  <x:si>
    <x:t>info@okhome.com.mt</x:t>
  </x:si>
  <x:si>
    <x:t>contactus@theatrium.com.mt</x:t>
  </x:si>
  <x:si>
    <x:t>mosta@homemate.com.mt</x:t>
  </x:si>
  <x:si>
    <x:t>info@vitafoammalta.com</x:t>
  </x:si>
  <x:si>
    <x:t>sales@sylviabazaar.com</x:t>
  </x:si>
  <x:si>
    <x:t>sales@omajco.net</x:t>
  </x:si>
  <x:si>
    <x:t>help@wellbeingbedding.com</x:t>
  </x:si>
  <x:si>
    <x:t>info@ctmliving.com</x:t>
  </x:si>
  <x:si>
    <x:t>info@pcs.com.mt</x:t>
  </x:si>
  <x:si>
    <x:t>sales@malta-design.com</x:t>
  </x:si>
  <x:si>
    <x:t>info@promaninteriors.com</x:t>
  </x:si>
  <x:si>
    <x:t>info@dari.mt</x:t>
  </x:si>
  <x:si>
    <x:t>info@fairdealfurniture.com.mt</x:t>
  </x:si>
  <x:si>
    <x:t>info@bdi.com.mt</x:t>
  </x:si>
  <x:si>
    <x:t>info@boconcept.com.mt</x:t>
  </x:si>
  <x:si>
    <x:t>info@brands.com.mt</x:t>
  </x:si>
  <x:si>
    <x:t>stephen@rliving.com.mt</x:t>
  </x:si>
  <x:si>
    <x:t>info@kubekgroup.com</x:t>
  </x:si>
  <x:si>
    <x:t>abelanorbertjoiners@gmail.com</x:t>
  </x:si>
  <x:si>
    <x:t>info@antoniocaruso.it</x:t>
  </x:si>
  <x:si>
    <x:t>bedandsofamalta@gmail.com</x:t>
  </x:si>
  <x:si>
    <x:t>info@casconehome.com</x:t>
  </x:si>
  <x:si>
    <x:t>cieffejoinery@fsh.com.mt</x:t>
  </x:si>
  <x:si>
    <x:t>info@constructfurniture.com.mt</x:t>
  </x:si>
  <x:si>
    <x:t>sales@domal.mt</x:t>
  </x:si>
  <x:si>
    <x:t>rachel@erickuster.com</x:t>
  </x:si>
  <x:si>
    <x:t>gaspare@esteamt.com</x:t>
  </x:si>
  <x:si>
    <x:t>agius65@hotmail.com</x:t>
  </x:si>
  <x:si>
    <x:t>info@gozoarts.com.mt</x:t>
  </x:si>
  <x:si>
    <x:t>info@formltd.com</x:t>
  </x:si>
  <x:si>
    <x:t>info@immaginecasamalta.com</x:t>
  </x:si>
  <x:si>
    <x:t>info@jdsfurniture.com</x:t>
  </x:si>
  <x:si>
    <x:t>jurgen@jtstrading.com</x:t>
  </x:si>
  <x:si>
    <x:t>marvinfurniture@gmail.com</x:t>
  </x:si>
  <x:si>
    <x:t>info@mucciomobili.it</x:t>
  </x:si>
  <x:si>
    <x:t>info@onepercent.com.mt</x:t>
  </x:si>
  <x:si>
    <x:t>realwoodworks1@gmail.com</x:t>
  </x:si>
  <x:si>
    <x:t>info@rusticahome.com.mt</x:t>
  </x:si>
  <x:si>
    <x:t>sales@karrari.shop</x:t>
  </x:si>
  <x:si>
    <x:t>info@luxonas.com</x:t>
  </x:si>
  <x:si>
    <x:t>info@ecasa.com.mt</x:t>
  </x:si>
  <x:si>
    <x:t>restorer@glreclaim.com</x:t>
  </x:si>
  <x:si>
    <x:t>sales@objects.mt</x:t>
  </x:si>
  <x:si>
    <x:t>topdrawer@topdrawermalta.com</x:t>
  </x:si>
  <x:si>
    <x:t>casaform@onvol.net</x:t>
  </x:si>
  <x:si>
    <x:t>jasoakwalnut@yahoo.com</x:t>
  </x:si>
  <x:si>
    <x:t>danwoodworks@yahoo.co.uk</x:t>
  </x:si>
  <x:si>
    <x:t>info@farrugiagroup.com</x:t>
  </x:si>
  <x:si>
    <x:t>info@ferraramalta.com</x:t>
  </x:si>
  <x:si>
    <x:t>sales@flamant.com.mt</x:t>
  </x:si>
  <x:si>
    <x:t>info@grannysmithshop.com</x:t>
  </x:si>
  <x:si>
    <x:t>info@jcrfurniture.com</x:t>
  </x:si>
  <x:si>
    <x:t>info@jagiuswoodworks.com</x:t>
  </x:si>
  <x:si>
    <x:t>ragsandrichesbuyandsell@gmail.com</x:t>
  </x:si>
  <x:si>
    <x:t>seguna@onvol.net</x:t>
  </x:si>
  <x:si>
    <x:t>ronaldmarmara@gmail.com</x:t>
  </x:si>
  <x:si>
    <x:t>info@spaces.com.mt</x:t>
  </x:si>
  <x:si>
    <x:t>deals@shabbychicmalta.com</x:t>
  </x:si>
  <x:si>
    <x:t>info@stylefurnituremalta.com</x:t>
  </x:si>
  <x:si>
    <x:t>marketing@tal-lira.com</x:t>
  </x:si>
  <x:si>
    <x:t>lcwoodcreations@gmail.com</x:t>
  </x:si>
  <x:si>
    <x:t>info@bondsmalta.com</x:t>
  </x:si>
  <x:si>
    <x:t>info@form.com.mt</x:t>
  </x:si>
  <x:si>
    <x:t>eurotexmalta@gmail.com</x:t>
  </x:si>
  <x:si>
    <x:t>2149 6473</x:t>
  </x:si>
  <x:si>
    <x:t>homesbybdi.com/en/home</x:t>
  </x:si>
  <x:si>
    <x:t>arkomalta.com</x:t>
  </x:si>
  <x:si>
    <x:t>foamandleather.com</x:t>
  </x:si>
  <x:si>
    <x:t>styleinterni.com/</x:t>
  </x:si>
  <x:si>
    <x:t>bigmatmalta.com</x:t>
  </x:si>
  <x:si>
    <x:t>euroimjsm.com/</x:t>
  </x:si>
  <x:si>
    <x:t>grfmalta.com/contact/</x:t>
  </x:si>
  <x:si>
    <x:t>sherriesestates.com</x:t>
  </x:si>
  <x:si>
    <x:t>homisticrooms.com/</x:t>
  </x:si>
  <x:si>
    <x:t>joinwell.com.mt/</x:t>
  </x:si>
  <x:si>
    <x:t>facebook.com/venezianocreazioni/?locale=it_IT</x:t>
  </x:si>
  <x:si>
    <x:t>2, Industrial Estate
Mdina Road
Attard, ATD3000</x:t>
  </x:si>
  <x:si>
    <x:t>260 Old Railway Track, Santa Venera SVR 9019</x:t>
  </x:si>
  <x:si>
    <x:t>22/23 Triq hal mula Haz-zebbug ZBG</x:t>
  </x:si>
  <x:si>
    <x:t>836, 838 Triq il-Kbira San Guzepp, Hamrun, Malta HMR 1018</x:t>
  </x:si>
  <x:si>
    <x:t>Triq Hal Tarxien, Luqa, Malta LQA 1814</x:t>
  </x:si>
  <x:si>
    <x:t>City Pearl Shopping Arcades Triq Fortunato Mizzi, Victoria-Gozo, Gozo VCT 2571</x:t>
  </x:si>
  <x:si>
    <x:t>Triq il-Wied ta' I-Imsida, Msida, Malta MSD 9023</x:t>
  </x:si>
  <x:si>
    <x:t>13 Censu Bugeja, L-Iklin BZN 1170</x:t>
  </x:si>
  <x:si>
    <x:t>Triq I-Imdina, Qormi, Malta QRM 9011</x:t>
  </x:si>
  <x:si>
    <x:t>Triq il-Mosta, Lija, Malta LIJA 9012</x:t>
  </x:si>
  <x:si>
    <x:t>Triq il-Wied Ta' L-Imsida, B'Kara, Malta BKR 9025</x:t>
  </x:si>
  <x:si>
    <x:t>Mdina Road Zebbug, Malta</x:t>
  </x:si>
  <x:si>
    <x:t>Zone 5, Central Business District Triq il-Kummerc Qormi, CBD 5050</x:t>
  </x:si>
  <x:si>
    <x:t>3, Triq il Dibjun, San Gwann, SGN 052, Malta</x:t>
  </x:si>
  <x:si>
    <x:t>GB Building Triq il-Watar, Ta' Xbiex XBX1301 Malta</x:t>
  </x:si>
  <x:si>
    <x:t>Triq San Pawl tal-Qliegha, MST9096 Mosta, Malta</x:t>
  </x:si>
  <x:si>
    <x:t>Triq L-mdina, Zone 2, Central Business District, Birkirkara CBD 2010, Malta</x:t>
  </x:si>
  <x:si>
    <x:t>Pantar Road, Lija, Malta</x:t>
  </x:si>
  <x:si>
    <x:t>Giovanni Felice Street, Zone 3, Central Business District, Birkirkara CBD 3120</x:t>
  </x:si>
  <x:si>
    <x:t>Triq I-Imdina, Zone 4, Mriehel/Central Business District CBD 4010, Malta</x:t>
  </x:si>
  <x:si>
    <x:t>Vjal 25 ta' Novembru, Tal-Barrani, Zejtun</x:t>
  </x:si>
  <x:si>
    <x:t>Galeas, San Gwann</x:t>
  </x:si>
  <x:si>
    <x:t>Triq A Caligari Zabbar Malta ZBR 2806</x:t>
  </x:si>
  <x:si>
    <x:t>San Gwann Nexxar Road</x:t>
  </x:si>
  <x:si>
    <x:t>233 Tower Road, Sliema SLM 1601</x:t>
  </x:si>
  <x:si>
    <x:t>5/6 Msida Valley Road Birkirkara BKR 9022 Malta</x:t>
  </x:si>
  <x:si>
    <x:t>5/7 Triq Censu Bugeja, L-Iklin</x:t>
  </x:si>
  <x:si>
    <x:t>31, Cross Road, Marsa MRS 1548, Malta</x:t>
  </x:si>
  <x:si>
    <x:t>Malta Design
33 Triq l-Oleandru ,
San Giljan, Malta</x:t>
  </x:si>
  <x:si>
    <x:t>Proman Interiors,
115, Valley Road,
B'Kara. BKR 9022.
Malta.</x:t>
  </x:si>
  <x:si>
    <x:t>Triq tal-Balal, San Gwann, Malta SGN 9016</x:t>
  </x:si>
  <x:si>
    <x:t>Dawert I-Imriehel, Qormi, Malta QRM 9052</x:t>
  </x:si>
  <x:si>
    <x:t>HF 5A Qasam Industrijali, Hal Far, B'Bugia, Malta BBG 3000</x:t>
  </x:si>
  <x:si>
    <x:t>59 Triq in-Nahal, Mellieha, Malta MLH 2166</x:t>
  </x:si>
  <x:si>
    <x:t>119 Triq il-Kappillan Mifsud, Sta Venera, Malta</x:t>
  </x:si>
  <x:si>
    <x:t>57 Naxxar road, San Gwann sgn 9032, Malta</x:t>
  </x:si>
  <x:si>
    <x:t>146, Balzan Valley, Hal Balzan, Malta</x:t>
  </x:si>
  <x:si>
    <x:t>Triq il-Wied Ta' L-Imsida, B'Kara, Malta BKR 9022</x:t>
  </x:si>
  <x:si>
    <x:t>Triq Hal Far, B'Budia, Malta</x:t>
  </x:si>
  <x:si>
    <x:t>40 Qasam Industrijali, Luqa, Malta LQA 3000</x:t>
  </x:si>
  <x:si>
    <x:t>192 Triq in-Naxxar, B'Kara, Malta BKR 9044</x:t>
  </x:si>
  <x:si>
    <x:t>Triq Wied Ghomor, San Giljan, Malta STJ 2040</x:t>
  </x:si>
  <x:si>
    <x:t>Monpalau Building Triq it-Torri, Msida, Malta</x:t>
  </x:si>
  <x:si>
    <x:t>69 Triq Hal Qormi, Hamrun, Malta HMR 2183</x:t>
  </x:si>
  <x:si>
    <x:t>Triq il-Wied ta'lmsida, Msida, Malta MSD 9023</x:t>
  </x:si>
  <x:si>
    <x:t>Triq Gorg Borg Olivier, Vicotria-Gozo, Gozo VCT 2515</x:t>
  </x:si>
  <x:si>
    <x:t>Triq il-Wied Ta' L'lmsida, B'Kara, Malta BKR 3000</x:t>
  </x:si>
  <x:si>
    <x:t>Triq il-Kbira, Mellieha, Malta MLH 2317</x:t>
  </x:si>
  <x:si>
    <x:t>Zone 5 Triq ll-Kummerc Central Business District, Qormi, Malta</x:t>
  </x:si>
  <x:si>
    <x:t>Triq il-Qoton, Sta Lucija, Malta SLC 1010</x:t>
  </x:si>
  <x:si>
    <x:t>154 Triq il-Kappilan Mifsud, Sta Venera, Malta</x:t>
  </x:si>
  <x:si>
    <x:t>Triq il-Wied ta' I-Imsida, Msida, Malta MSD 9022</x:t>
  </x:si>
  <x:si>
    <x:t>Binja San Guzepp Haddiem Triq Indri Psaila, Qormi Malta</x:t>
  </x:si>
  <x:si>
    <x:t>32 II-Moll tal-Hatab, Marsa, Malta MRS 1440</x:t>
  </x:si>
  <x:si>
    <x:t>77 Commerce St, Birkirkara, CBD3010</x:t>
  </x:si>
  <x:si>
    <x:t>Triq L-Imdina, Zone 2, Central Business District, Birkirkara</x:t>
  </x:si>
  <x:si>
    <x:t>Triq L-Mdina, Haz-Zebbug, ZBG09018</x:t>
  </x:si>
  <x:si>
    <x:t>San Gwakkin Building Triq Gwakkin Central Business District, B'Kara, Malta CBD 4020</x:t>
  </x:si>
  <x:si>
    <x:t>Blk A No 7, Upper Level, Midland Mico Enterprise Park, Burmarrad Road, Naxxar</x:t>
  </x:si>
  <x:si>
    <x:t>25, Triq San Gorg, Naxxar, Malta</x:t>
  </x:si>
  <x:si>
    <x:t>Triq il-Kappar, Mosta, Malta MST 4003</x:t>
  </x:si>
  <x:si>
    <x:t>T/G fi triq l-Imdina, Zebbug, Malta ZBG 5011</x:t>
  </x:si>
  <x:si>
    <x:t>Triq I-Isqof Buhagiar, Paola, Malta PLA 1111</x:t>
  </x:si>
  <x:si>
    <x:t>86 Triq Valletta Hal Luqa, Malta LQA 1762</x:t>
  </x:si>
  <x:si>
    <x:t>61 St Liberata Triq Santa Liberata, Kalkara, Malta KKR 1612</x:t>
  </x:si>
  <x:si>
    <x:t>Triq il-Wied, B'Kara, Malta</x:t>
  </x:si>
  <x:si>
    <x:t>Pjazza Tigne' Tigne' Point, Slimea, Malta</x:t>
  </x:si>
  <x:si>
    <x:t>Triq Gorg Borg Olivier, Victoria-Gozo, Gozo VCT 2515</x:t>
  </x:si>
  <x:si>
    <x:t>Triq San Pawl, Naxxar, Malta NXR 4016</x:t>
  </x:si>
  <x:si>
    <x:t>Triq il-Labour, Marsa, Malta MRS 9030</x:t>
  </x:si>
  <x:si>
    <x:t>28 Qasam Industrijali, Luqa, Malta LQA 3000</x:t>
  </x:si>
  <x:si>
    <x:t>Triq il-Kbita, Mellieha, Malta</x:t>
  </x:si>
  <x:si>
    <x:t>154 Triq il-Kappillan Mifsud, Sta Venera, Malta</x:t>
  </x:si>
  <x:si>
    <x:t>Flat 9, Harmony Court Triq tal-Gardiel, M'Skala, Malta MSK 3807</x:t>
  </x:si>
  <x:si>
    <x:t>91 Triq il-Kbira San Guzepp, Hamrun, Malta HMR 1017</x:t>
  </x:si>
  <x:si>
    <x:t>210 Triq il-Ferrovija, Sta Venera, Malta SVR 9019</x:t>
  </x:si>
  <x:si>
    <x:t>Triq il-Wied, B'Kara, Malta BKR 9021</x:t>
  </x:si>
  <x:si>
    <x:t>17 Triq Ganu, B'Kara</x:t>
  </x:si>
  <x:si>
    <x:t>Triq il-Ferrovija, Sta Venera, Malta SVR 9019</x:t>
  </x:si>
  <x:si>
    <x:t>Triq Ponosonby, Mosta, Malta MST 4039</x:t>
  </x:si>
  <x:si>
    <x:t>Triq il-Kungress Ewkaristiku</x:t>
  </x:si>
  <x:si>
    <x:t>Mdina Road, Zebbug</x:t>
  </x:si>
  <x:si>
    <x:t>Mdina Road, Attard</x:t>
  </x:si>
  <x:si>
    <x:t>Triq il-Wied ta' (multiple)</x:t>
  </x:si>
  <x:si>
    <x:t>163 Triq il-Ferrovija, Santa Venera</x:t>
  </x:si>
  <x:si>
    <x:t>Abate Rigord St, Ta' Xbiex</x:t>
  </x:si>
  <x:si>
    <x:t>5/6 Msida Valley Road, Birkirkara</x:t>
  </x:si>
  <x:si>
    <x:t>Triq il-Kummerc, Qormi</x:t>
  </x:si>
  <x:si>
    <x:t>836/838 High Street, Hamrun</x:t>
  </x:si>
  <x:si>
    <x:t>Triq A Caligari, Zabbar</x:t>
  </x:si>
  <x:si>
    <x:t>Triq San Pawl, Mosta</x:t>
  </x:si>
  <x:si>
    <x:t>Lija / Qormi stores</x:t>
  </x:si>
  <x:si>
    <x:t>luxonas.com/</x:t>
  </x:si>
  <x:si>
    <x:t>turbosignsmalta.com/</x:t>
  </x:si>
  <x:si>
    <x:t>arkomalta.com/</x:t>
  </x:si>
  <x:si>
    <x:t>facebook.com/4mHome</x:t>
  </x:si>
  <x:si>
    <x:t>powerhousemalta.eu</x:t>
  </x:si>
  <x:si>
    <x:t>homesbybdi.com</x:t>
  </x:si>
  <x:si>
    <x:t>sgwoodworks.com</x:t>
  </x:si>
  <x:si>
    <x:t>bondsmalta.com</x:t>
  </x:si>
  <x:si>
    <x:t>dreamsmalta.com</x:t>
  </x:si>
  <x:si>
    <x:t>piscopogardens.com</x:t>
  </x:si>
  <x:si>
    <x:t>wellbeingbedding.com</x:t>
  </x:si>
  <x:si>
    <x:t>pcs.com.mt</x:t>
  </x:si>
  <x:si>
    <x:t>promaninteriors.com/</x:t>
  </x:si>
  <x:si>
    <x:t>facebook.com/woodworksfava/</x:t>
  </x:si>
  <x:si>
    <x:t>renovamalta.com</x:t>
  </x:si>
  <x:si>
    <x:t>facebook.com/photo/?fbid=518605750070651&amp;set=a.518605710070655</x:t>
  </x:si>
  <x:si>
    <x:t>bedsofa.mypos.site/en</x:t>
  </x:si>
  <x:si>
    <x:t>instagram.com/casafini_malta/?hl=en</x:t>
  </x:si>
  <x:si>
    <x:t>ciantarwoodworks.com</x:t>
  </x:si>
  <x:si>
    <x:t>facebook.com/people/Freddies-Household/100063498252557/?utm_source=Yellow&amp;utm_medium=Yellow-Website&amp;utm_campaign=Landing-Page#</x:t>
  </x:si>
  <x:si>
    <x:t>danielwoodworksmalta.com</x:t>
  </x:si>
  <x:si>
    <x:t>consiglio.com.mt</x:t>
  </x:si>
  <x:si>
    <x:t>ferraracasa.com.mt</x:t>
  </x:si>
  <x:si>
    <x:t>fg.com.mt</x:t>
  </x:si>
  <x:si>
    <x:t>gozoarts.com.mt</x:t>
  </x:si>
  <x:si>
    <x:t>centrocasalinga.com</x:t>
  </x:si>
  <x:si>
    <x:t>eurotexmalta.com</x:t>
  </x:si>
  <x:si>
    <x:t>jdsfurniture.com</x:t>
  </x:si>
  <x:si>
    <x:t>mobiliapenza.com</x:t>
  </x:si>
  <x:si>
    <x:t>facebook.com/p/Rags-and-Riches-Buy-and-Sell-100041339592117/</x:t>
  </x:si>
  <x:si>
    <x:t>mucciomobili.it</x:t>
  </x:si>
  <x:si>
    <x:t>rightdealmalta.com</x:t>
  </x:si>
  <x:si>
    <x:t>facebook.com/Orienta.mt/</x:t>
  </x:si>
  <x:si>
    <x:t>rusticahome.com.mt</x:t>
  </x:si>
  <x:si>
    <x:t>karrari.shop</x:t>
  </x:si>
  <x:si>
    <x:t>glreclaim.com</x:t>
  </x:si>
  <x:si>
    <x:t>luxonas.com</x:t>
  </x:si>
  <x:si>
    <x:t>ecasa.com.mt</x:t>
  </x:si>
  <x:si>
    <x:t>cutajarhifi.com</x:t>
  </x:si>
  <x:si>
    <x:t>objects.mt</x:t>
  </x:si>
  <x:si>
    <x:t>facebook.com/people/Top-Drawer-Ltd/100057222588942/</x:t>
  </x:si>
  <x:si>
    <x:t>boconcept.com/en-mt/</x:t>
  </x:si>
  <x:si>
    <x:t>gda.com.mt</x:t>
  </x:si>
  <x:si>
    <x:t>forestalsgroup.com</x:t>
  </x:si>
  <x:si>
    <x:t>rusticahome.com.mt/site/</x:t>
  </x:si>
  <x:si>
    <x:t>fxb.com.mt</x:t>
  </x:si>
  <x:si>
    <x:t>facebook.com/grannysmithfurnitureandinteriors</x:t>
  </x:si>
  <x:si>
    <x:t>jcrfurniture.com</x:t>
  </x:si>
  <x:si>
    <x:t>jagiuswoodworks.com</x:t>
  </x:si>
  <x:si>
    <x:t>spaces.com.mt</x:t>
  </x:si>
  <x:si>
    <x:t>lepseg.wix.com/richard-furniture</x:t>
  </x:si>
  <x:si>
    <x:t>facebook.com/TaGulinu/info?tab=page%5Cuinfo</x:t>
  </x:si>
  <x:si>
    <x:t>facebook.com/akkwist</x:t>
  </x:si>
  <x:si>
    <x:t>stylefurnituremalta.com</x:t>
  </x:si>
  <x:si>
    <x:t>tabletsandmoreelectronics.com</x:t>
  </x:si>
  <x:si>
    <x:t>tornelloarredamenti.it</x:t>
  </x:si>
  <x:si>
    <x:t>ferraramalta.com/</x:t>
  </x:si>
  <x:si>
    <x:t>Https://dari.mt/</x:t>
  </x:si>
  <x:si>
    <x:t>Kitchen counter</x:t>
  </x:si>
  <x:si>
    <x:t>Kitchen cabinets</x:t>
  </x:si>
  <x:si>
    <x:t>Kitchen islands</x:t>
  </x:si>
  <x:si>
    <x:t>Dining chair</x:t>
  </x:si>
  <x:si>
    <x:t>Kitchen storage</x:t>
  </x:si>
  <x:si>
    <x:t>Dining table</x:t>
  </x:si>
  <x:si>
    <x:t>Fridge</x:t>
  </x:si>
  <x:si>
    <x:t>Freezer</x:t>
  </x:si>
  <x:si>
    <x:t>Dishwasher</x:t>
  </x:si>
  <x:si>
    <x:t>Oven</x:t>
  </x:si>
  <x:si>
    <x:t>Kitchen Sink</x:t>
  </x:si>
  <x:si>
    <x:t>Kitchen</x:t>
  </x:si>
  <x:si>
    <x:t>Sghendo Woodworks</x:t>
  </x:si>
  <x:si>
    <x:t>Fairdeal Furniture</x:t>
  </x:si>
  <x:si>
    <x:t>Art At Home</x:t>
  </x:si>
  <x:si>
    <x:t>Low Cost Furniture by Fairdeal</x:t>
  </x:si>
  <x:si>
    <x:t>Domestica Ltd</x:t>
  </x:si>
  <x:si>
    <x:t>Core</x:t>
  </x:si>
  <x:si>
    <x:t>Distinct Homes</x:t>
  </x:si>
  <x:si>
    <x:t>Grixti Mobili Ltd</x:t>
  </x:si>
  <x:si>
    <x:t>JDS Manufacturing Ltd</x:t>
  </x:si>
  <x:si>
    <x:t>Paul B Furniture</x:t>
  </x:si>
  <x:si>
    <x:t>Petroni Ltd</x:t>
  </x:si>
  <x:si>
    <x:t>S G Woodworks</x:t>
  </x:si>
  <x:si>
    <x:t>Well Made Woodworks</x:t>
  </x:si>
  <x:si>
    <x:t>Tree D (Jonathan Grech)</x:t>
  </x:si>
  <x:si>
    <x:t>Ciantar Woodworks 3rd Generation Ltd</x:t>
  </x:si>
  <x:si>
    <x:t>Renova Co Ltd</x:t>
  </x:si>
  <x:si>
    <x:t>Mercieca Chairs &amp; Tables Hire</x:t>
  </x:si>
  <x:si>
    <x:t>Silvio's Chairs</x:t>
  </x:si>
  <x:si>
    <x:t>M F Company Ltd</x:t>
  </x:si>
  <x:si>
    <x:t>Home by BDI</x:t>
  </x:si>
  <x:si>
    <x:t>Maltashopper</x:t>
  </x:si>
  <x:si>
    <x:t>ABRA</x:t>
  </x:si>
  <x:si>
    <x:t>Fino</x:t>
  </x:si>
  <x:si>
    <x:t>Petrolea</x:t>
  </x:si>
  <x:si>
    <x:t>BoConcept</x:t>
  </x:si>
  <x:si>
    <x:t>Index Furniture</x:t>
  </x:si>
  <x:si>
    <x:t>Fava Woodworks Co Ltd</x:t>
  </x:si>
  <x:si>
    <x:t>ACF Furniture</x:t>
  </x:si>
  <x:si>
    <x:t>Epcak International Ltd</x:t>
  </x:si>
  <x:si>
    <x:t>FXB Ltd</x:t>
  </x:si>
  <x:si>
    <x:t>JDS</x:t>
  </x:si>
  <x:si>
    <x:t>Mobilia Penza Ltd</x:t>
  </x:si>
  <x:si>
    <x:t>Queen's Furniture Ltd</x:t>
  </x:si>
  <x:si>
    <x:t>Tornello Arredamenti</x:t>
  </x:si>
  <x:si>
    <x:t>Akkwist</x:t>
  </x:si>
  <x:si>
    <x:t>Ta' Gulinu</x:t>
  </x:si>
  <x:si>
    <x:t>Right Deal Ltd</x:t>
  </x:si>
  <x:si>
    <x:t>Centro Casalinga</x:t>
  </x:si>
  <x:si>
    <x:t>Consiglio</x:t>
  </x:si>
  <x:si>
    <x:t>Bakers Point</x:t>
  </x:si>
  <x:si>
    <x:t>Cutajar Hi-Fi Video Centre</x:t>
  </x:si>
  <x:si>
    <x:t>Flamingo</x:t>
  </x:si>
  <x:si>
    <x:t>Forestals Group of Companies</x:t>
  </x:si>
  <x:si>
    <x:t>Freddie's Household Co Ltd</x:t>
  </x:si>
  <x:si>
    <x:t>General Domestic Appliances</x:t>
  </x:si>
  <x:si>
    <x:t>Hotpoint</x:t>
  </x:si>
  <x:si>
    <x:t>ITC Ltd</x:t>
  </x:si>
  <x:si>
    <x:t>Oxford House Ltd</x:t>
  </x:si>
  <x:si>
    <x:t>Rotunda Ltd</x:t>
  </x:si>
  <x:si>
    <x:t>Divine Appliances</x:t>
  </x:si>
  <x:si>
    <x:t>X-Treme Technologies</x:t>
  </x:si>
  <x:si>
    <x:t>Refcold</x:t>
  </x:si>
  <x:si>
    <x:t>Fair Deal</x:t>
  </x:si>
  <x:si>
    <x:t>Joinwell</x:t>
  </x:si>
  <x:si>
    <x:t>Form</x:t>
  </x:si>
  <x:si>
    <x:t>C. Fino &amp; Sons</x:t>
  </x:si>
  <x:si>
    <x:t>Scavolini</x:t>
  </x:si>
  <x:si>
    <x:t>Carmelo Delia</x:t>
  </x:si>
  <x:si>
    <x:t>info@sghendowoodworks.com</x:t>
  </x:si>
  <x:si>
    <x:t>artathomeltd@gmail.com</x:t>
  </x:si>
  <x:si>
    <x:t>arnold@lowcostfurniture.com.mt</x:t>
  </x:si>
  <x:si>
    <x:t>igor@domestica.com.mt</x:t>
  </x:si>
  <x:si>
    <x:t>info@core.com.mt</x:t>
  </x:si>
  <x:si>
    <x:t>sales@grixtimobili.com</x:t>
  </x:si>
  <x:si>
    <x:t>snfgrima@maltanet.net</x:t>
  </x:si>
  <x:si>
    <x:t>bjorn@wellmadewoodworks.com.mt</x:t>
  </x:si>
  <x:si>
    <x:t>info@treedfurniture.com</x:t>
  </x:si>
  <x:si>
    <x:t>info@renovamalta.com ; bjornzammit@gmail.com</x:t>
  </x:si>
  <x:si>
    <x:t>mchire4@gmail.com</x:t>
  </x:si>
  <x:si>
    <x:t>silviochairs@gmail.com</x:t>
  </x:si>
  <x:si>
    <x:t>office.mfcoltd@gmail.com</x:t>
  </x:si>
  <x:si>
    <x:t>sales@maltashopper.com</x:t>
  </x:si>
  <x:si>
    <x:t>info@abra.com.mt</x:t>
  </x:si>
  <x:si>
    <x:t>info@petroleamalta.com ; sales@petroleamalta.com</x:t>
  </x:si>
  <x:si>
    <x:t>info@indexmalta.com</x:t>
  </x:si>
  <x:si>
    <x:t>fava@maltanet.net</x:t>
  </x:si>
  <x:si>
    <x:t>acf1@melita.com</x:t>
  </x:si>
  <x:si>
    <x:t>epack@onvol.net</x:t>
  </x:si>
  <x:si>
    <x:t>sales@fxb.com.mt</x:t>
  </x:si>
  <x:si>
    <x:t>info@mobiliapenza.com</x:t>
  </x:si>
  <x:si>
    <x:t>info@orienta.com.mt</x:t>
  </x:si>
  <x:si>
    <x:t>info@queensfurniture.com</x:t>
  </x:si>
  <x:si>
    <x:t>info@tornelli.net</x:t>
  </x:si>
  <x:si>
    <x:t>www.vanturamalta.com</x:t>
  </x:si>
  <x:si>
    <x:t>camrugun@hotmail.com</x:t>
  </x:si>
  <x:si>
    <x:t>tagulinu@onvol.net</x:t>
  </x:si>
  <x:si>
    <x:t>etv@etvhomeline.com</x:t>
  </x:si>
  <x:si>
    <x:t>rightdealcosp@onvol.net</x:t>
  </x:si>
  <x:si>
    <x:t>sales@jjscerri.com</x:t>
  </x:si>
  <x:si>
    <x:t>consigliohomeappliances@gmail.com</x:t>
  </x:si>
  <x:si>
    <x:t>bakerspoint1@gmail.com</x:t>
  </x:si>
  <x:si>
    <x:t>cutajarhifivideocentre@outlook.com</x:t>
  </x:si>
  <x:si>
    <x:t>sales@flamingo.com.mt</x:t>
  </x:si>
  <x:si>
    <x:t>gdatrade@waldonet.net.mt</x:t>
  </x:si>
  <x:si>
    <x:t>showroom@itc-malta.com</x:t>
  </x:si>
  <x:si>
    <x:t>rotunda@maltanet.net</x:t>
  </x:si>
  <x:si>
    <x:t>info@ultimate.com.mt</x:t>
  </x:si>
  <x:si>
    <x:t>info@divine.com.mt</x:t>
  </x:si>
  <x:si>
    <x:t>x.treme@onvol.net</x:t>
  </x:si>
  <x:si>
    <x:t>refcold@maltanet.net</x:t>
  </x:si>
  <x:si>
    <x:t>info@joinwellfxb.com</x:t>
  </x:si>
  <x:si>
    <x:t>infodesk@form.com.mt</x:t>
  </x:si>
  <x:si>
    <x:t>info@scavolini.mt</x:t>
  </x:si>
  <x:si>
    <x:t>info@carmelodelia.com</x:t>
  </x:si>
  <x:si>
    <x:t>C</x:t>
  </x:si>
  <x:si>
    <x:t>Physical store</x:t>
  </x:si>
  <x:si>
    <x:t>Installation</x:t>
  </x:si>
  <x:si>
    <x:t>Delivery</x:t>
  </x:si>
  <x:si>
    <x:t>Local supply</x:t>
  </x:si>
  <x:si>
    <x:t>7938 7690 / 2138 7686</x:t>
  </x:si>
  <x:si>
    <x:t>form.com.mt/living/</x:t>
  </x:si>
  <x:si>
    <x:t>homemate.com.mt/</x:t>
  </x:si>
  <x:si>
    <x:t>Ferraracasa Warehouse
Triq is-Salib ta l-Mriehel
CBD3020 Birkirkara
Malta</x:t>
  </x:si>
  <x:si>
    <x:t>Triq Mastru Gorg Cachia Tal-Handaq, Qormi, Malta WRM 4000</x:t>
  </x:si>
  <x:si>
    <x:t>Triq il-Buskett, Dingli, Malta DGL 2709</x:t>
  </x:si>
  <x:si>
    <x:t>Triq I-Imdina, Zebbug, Malta ZBG 4351</x:t>
  </x:si>
  <x:si>
    <x:t>Triq I-Imdina, Attard, Malta ATD 9037</x:t>
  </x:si>
  <x:si>
    <x:t>42 Triq ix-Xwieni Albert Town, Marsa, Malta</x:t>
  </x:si>
  <x:si>
    <x:t>Triq I-Imdina, Zebbug, Malta</x:t>
  </x:si>
  <x:si>
    <x:t>Triq il-Wied ta' I-Imsida, Msida, Malta MSD 9091</x:t>
  </x:si>
  <x:si>
    <x:t>Triq Mannarino, B'Kara, Malta BKR 9085</x:t>
  </x:si>
  <x:si>
    <x:t>1 Triq il-Kanun, Qormi, Malta QRM 9036</x:t>
  </x:si>
  <x:si>
    <x:t>A 23 Triq Giuseppe Garibaldi, Marsa, Malta MRS 9082</x:t>
  </x:si>
  <x:si>
    <x:t>135 Triq il-Kuncizzjoni, Qala-Gozo, Gozo QLA 1701</x:t>
  </x:si>
  <x:si>
    <x:t>G G X 0053 Qasam Industrijali, Xewkija-Gozo, Gozo XWK 3000</x:t>
  </x:si>
  <x:si>
    <x:t>Triq Valletta Mosta Technopark, Mosta, Malta MST 3000</x:t>
  </x:si>
  <x:si>
    <x:t>Triq L-Imdina, Zone 2, Central Business District, Birkirkara CBD 2010, Malta</x:t>
  </x:si>
  <x:si>
    <x:t>Triq l-Isqof Buhagiar, Paola, Malta PLA 1111</x:t>
  </x:si>
  <x:si>
    <x:t>86 Triq Vallettaa, Luqa, Malta LQA 1762</x:t>
  </x:si>
  <x:si>
    <x:t>32 ll-Moll tal-Hatab, Marsa, Malta MRS 1440</x:t>
  </x:si>
  <x:si>
    <x:t>Proman Interiors,
115, Valley Road,
B'Kara. BKR 9022.
Malta</x:t>
  </x:si>
  <x:si>
    <x:t>Factory M 10, Zone 4 Triq ll-Furnara Central Business District</x:t>
  </x:si>
  <x:si>
    <x:t>Casa Santa Rita Triq Santa Marta, Victoria-Gozo, Gozo VCT 2552</x:t>
  </x:si>
  <x:si>
    <x:t>25 Triq il-Kataniz, Zebbug, Malta ZBG 2831</x:t>
  </x:si>
  <x:si>
    <x:t>184, 186 Triq Qormi, Marsa, Malta MRS 9044</x:t>
  </x:si>
  <x:si>
    <x:t>1, Triq Pietru Felici, Qormi, Malta</x:t>
  </x:si>
  <x:si>
    <x:t>162 Cannon Road, Santa Venera, SVR 9034, Malta</x:t>
  </x:si>
  <x:si>
    <x:t>ABRA, Triq L-Imdina ATTARD, ATD 9037</x:t>
  </x:si>
  <x:si>
    <x:t>Fino Buildings,
Triq l-Imdina, Zone 4,
Mriehel/Central Business District
CBD 4010, Malta</x:t>
  </x:si>
  <x:si>
    <x:t>Triq I-Isof Labini, B'Kara, Malta BKR 1275</x:t>
  </x:si>
  <x:si>
    <x:t>Tip Top Bldgs Triq Haz-Zabbar</x:t>
  </x:si>
  <x:si>
    <x:t>33 Triq l-Oleandru, San Giljan, Malta</x:t>
  </x:si>
  <x:si>
    <x:t>KW 17b Qasam Industrijali, Kordin, Paola, Malta PLA 3000</x:t>
  </x:si>
  <x:si>
    <x:t>117 Dalli Yard Triq Hal Tarxien, Gudja, Malta</x:t>
  </x:si>
  <x:si>
    <x:t>Triq il-Pitkali, Attard, Malta</x:t>
  </x:si>
  <x:si>
    <x:t>346 Triq I-Imdina, Qormi, Malta QRM 9014</x:t>
  </x:si>
  <x:si>
    <x:t>Qasam Industrijali, Luqa Malta LQA 3000</x:t>
  </x:si>
  <x:si>
    <x:t>Qasam Industrijali Ta' Qali, Attard, Malta ATD 4000</x:t>
  </x:si>
  <x:si>
    <x:t>Kw 19D Qasam Industrijali, Kordin, Paola, Malta PLA 3000</x:t>
  </x:si>
  <x:si>
    <x:t>197 Triq I-Imdina, Qormi, Malta QRM 9012</x:t>
  </x:si>
  <x:si>
    <x:t>BLB 021 Qasam Industrijali, Bulebel, Zejtun, Malta ZTN 3000</x:t>
  </x:si>
  <x:si>
    <x:t>Triq il-Kostituzzjoni, Mosta, Malta MST 9050</x:t>
  </x:si>
  <x:si>
    <x:t>22, Triq Sant' Elija, B'Kara, Malta BKR 2064</x:t>
  </x:si>
  <x:si>
    <x:t>12 Triq il-Hammieri, Qormi, Malta</x:t>
  </x:si>
  <x:si>
    <x:t>18 Wesghat il-Knisja tan-Nattivita, Bormla, Malta BML 1650</x:t>
  </x:si>
  <x:si>
    <x:t>10 Misrah I' Isle Adam, Rabat, Malta RBT 1169</x:t>
  </x:si>
  <x:si>
    <x:t>Triq San Tumas, Luqa, Malta LQA 9031</x:t>
  </x:si>
  <x:si>
    <x:t>Misrah Gavino Gulia, Bormla</x:t>
  </x:si>
  <x:si>
    <x:t>280 Triq il-Kbira San Guzepp, Hamrun</x:t>
  </x:si>
  <x:si>
    <x:t>220 Triq in-Naxxar, San Gwann, Malta SGN 9030</x:t>
  </x:si>
  <x:si>
    <x:t>Triq il-Kappillan Mifsud, Sta Venera</x:t>
  </x:si>
  <x:si>
    <x:t>Vjal I-Infiprndenza, Mosta</x:t>
  </x:si>
  <x:si>
    <x:t>Triq Valetta, Mosta, Malta</x:t>
  </x:si>
  <x:si>
    <x:t>Triq it-Tabib Nikol Zammit, Siggiewi, Malta SHW 3075</x:t>
  </x:si>
  <x:si>
    <x:t>91 Triq is-Santwarju, Zabbar</x:t>
  </x:si>
  <x:si>
    <x:t>Zone 5 Triq ll-Kanun Central Business District, Qormi, Malta CBD 5060</x:t>
  </x:si>
  <x:si>
    <x:t>Zone 3 Triq L-Intornjatur Central Business District, B'Kara, Malta CBD 3050</x:t>
  </x:si>
  <x:si>
    <x:t>Triq il-Kungress Ewkaristiku, Mosta</x:t>
  </x:si>
  <x:si>
    <x:t>146 Triq Sant' Orsla Victoria-Gozo</x:t>
  </x:si>
  <x:si>
    <x:t>Triq il-Wied, B'Kara</x:t>
  </x:si>
  <x:si>
    <x:t>Triq Nazzjonali Blata L-Blajda, Hamrun, Malta HMR 9012</x:t>
  </x:si>
  <x:si>
    <x:t>Zone 2 Triq L-Imdina Central Business District, B'Kara, Malta CBD 2010</x:t>
  </x:si>
  <x:si>
    <x:t>7, 9 Rotunda Dept Stores Triq il-Kungress Ewkaristiku, Mosta</x:t>
  </x:si>
  <x:si>
    <x:t>Triq Salvu Busuttil, San Gwann</x:t>
  </x:si>
  <x:si>
    <x:t>71 Triq il-Buqexrem, Fgura</x:t>
  </x:si>
  <x:si>
    <x:t>Triq Gorg Borg Olivier, Victoria-Gozo, Gozo VCT 2514</x:t>
  </x:si>
  <x:si>
    <x:t>Triq Fortunato Mizzi, Victoria-Gozo</x:t>
  </x:si>
  <x:si>
    <x:t>3, Triq il Gibjun, San Gwann, SGN 052, Malta</x:t>
  </x:si>
  <x:si>
    <x:t>Fairdeal Furniture Malta LTD
Mdina Road
Zebbug, Malta</x:t>
  </x:si>
  <x:si>
    <x:t>JoinwellFXB,
Triq il-Mithna, Central Business District,
Qormi, CBD 5090</x:t>
  </x:si>
  <x:si>
    <x:t>Triq Il-Wied Ta’ L-Imsida, L-Imsida</x:t>
  </x:si>
  <x:si>
    <x:t>Birkirkara by-pass, Birkirkara, Malta, BKR 9037
Links</x:t>
  </x:si>
  <x:si>
    <x:t>Valley Road, Birkirkara</x:t>
  </x:si>
  <x:si>
    <x:t>fairdealfurniture.com.mt</x:t>
  </x:si>
  <x:si>
    <x:t>refcold.com.mt</x:t>
  </x:si>
  <x:si>
    <x:t>foresaksgroup.com</x:t>
  </x:si>
  <x:si>
    <x:t>lowcostfurniture.com.mt</x:t>
  </x:si>
  <x:si>
    <x:t>core.com.mt</x:t>
  </x:si>
  <x:si>
    <x:t>xtmalta.com</x:t>
  </x:si>
  <x:si>
    <x:t>divine.com.mt</x:t>
  </x:si>
  <x:si>
    <x:t>distincthomes.com.mt</x:t>
  </x:si>
  <x:si>
    <x:t>grixtimobili.com</x:t>
  </x:si>
  <x:si>
    <x:t>facebook.com/p/JS-Household-100063545924453/</x:t>
  </x:si>
  <x:si>
    <x:t>wellmadewoodworks.com.mt</x:t>
  </x:si>
  <x:si>
    <x:t>facebook.com/treedfurnituremalta?locale=nn_NO</x:t>
  </x:si>
  <x:si>
    <x:t>soundsmart.com.mt</x:t>
  </x:si>
  <x:si>
    <x:t>shaker.com.mt/</x:t>
  </x:si>
  <x:si>
    <x:t>merciecaeventsuppliers.com</x:t>
  </x:si>
  <x:si>
    <x:t>silvioschairs.com</x:t>
  </x:si>
  <x:si>
    <x:t>facebook.com/mfcompanyltd</x:t>
  </x:si>
  <x:si>
    <x:t>patroleamalta.com</x:t>
  </x:si>
  <x:si>
    <x:t>abra.com.mt</x:t>
  </x:si>
  <x:si>
    <x:t>hometrends.com.mt</x:t>
  </x:si>
  <x:si>
    <x:t>fino.com.mt/</x:t>
  </x:si>
  <x:si>
    <x:t>megahome.mt/</x:t>
  </x:si>
  <x:si>
    <x:t>indexmalta.com</x:t>
  </x:si>
  <x:si>
    <x:t>ultimate.com.mt</x:t>
  </x:si>
  <x:si>
    <x:t>pitreonline.com/</x:t>
  </x:si>
  <x:si>
    <x:t>itc-malta.com</x:t>
  </x:si>
  <x:si>
    <x:t>fb.com/ComfortekMalta</x:t>
  </x:si>
  <x:si>
    <x:t>facebook.com/futurahomeappliances/</x:t>
  </x:si>
  <x:si>
    <x:t>facebook.com/queensfurnitureltd/</x:t>
  </x:si>
  <x:si>
    <x:t>triplealuqa.com</x:t>
  </x:si>
  <x:si>
    <x:t>kcl.com.mt</x:t>
  </x:si>
  <x:si>
    <x:t>resindecordesign.com/</x:t>
  </x:si>
  <x:si>
    <x:t>facebook.com/RGroupMalta</x:t>
  </x:si>
  <x:si>
    <x:t>facebook.com/cathshome</x:t>
  </x:si>
  <x:si>
    <x:t>solartech.com.mt/</x:t>
  </x:si>
  <x:si>
    <x:t>facebook.com/865035916866720
Suggest update</x:t>
  </x:si>
  <x:si>
    <x:t>securtek.com/home</x:t>
  </x:si>
  <x:si>
    <x:t>facebook.com/blinds4allmalta</x:t>
  </x:si>
  <x:si>
    <x:t>blindsandmore.com.mt</x:t>
  </x:si>
  <x:si>
    <x:t>engenuity.com.mt</x:t>
  </x:si>
  <x:si>
    <x:t>opaquemalta.com/</x:t>
  </x:si>
  <x:si>
    <x:t>joinwell.com.mt/contact-us/</x:t>
  </x:si>
  <x:si>
    <x:t>theatrium.com.mt/contact-us</x:t>
  </x:si>
  <x:si>
    <x:t>form.com.mt/contact-us/</x:t>
  </x:si>
  <x:si>
    <x:t>scavolini.mt/</x:t>
  </x:si>
  <x:si>
    <x:t>carmelodelia.com/contact</x:t>
  </x:si>
  <x:si>
    <x:t xml:space="preserve">Pohone number </x:t>
  </x:si>
  <x:si>
    <x:t>3D Wall Panels</x:t>
  </x:si>
  <x:si>
    <x:t>Corrugated Sheet</x:t>
  </x:si>
  <x:si>
    <x:t>Wall Panels</x:t>
  </x:si>
  <x:si>
    <x:t>Big Mat</x:t>
  </x:si>
  <x:si>
    <x:t>Gypsum Works Malta</x:t>
  </x:si>
  <x:si>
    <x:t>AP Homes Malta</x:t>
  </x:si>
  <x:si>
    <x:t>Evolve</x:t>
  </x:si>
  <x:si>
    <x:t>MultiTrade</x:t>
  </x:si>
  <x:si>
    <x:t>Nine Yards</x:t>
  </x:si>
  <x:si>
    <x:t>Mega Home</x:t>
  </x:si>
  <x:si>
    <x:t>BF Marbles</x:t>
  </x:si>
  <x:si>
    <x:t>Quality Wall Panels</x:t>
  </x:si>
  <x:si>
    <x:t>Vicali Interiors</x:t>
  </x:si>
  <x:si>
    <x:t>Panels Hub Malta</x:t>
  </x:si>
  <x:si>
    <x:t>KS Projects</x:t>
  </x:si>
  <x:si>
    <x:t>info@aptc.com.mt</x:t>
  </x:si>
  <x:si>
    <x:t>info@aphomes.com.mt</x:t>
  </x:si>
  <x:si>
    <x:t>info@rsgroup.com.mt</x:t>
  </x:si>
  <x:si>
    <x:t>sales@multitrademalta.com</x:t>
  </x:si>
  <x:si>
    <x:t>info@nineyards.com.mt</x:t>
  </x:si>
  <x:si>
    <x:t>info@megahome.mt</x:t>
  </x:si>
  <x:si>
    <x:t>info@vicalinteriors.com</x:t>
  </x:si>
  <x:si>
    <x:t>sales@panelshubmalta.com</x:t>
  </x:si>
  <x:si>
    <x:t>info@ksprojects.mt</x:t>
  </x:si>
  <x:si>
    <x:t>9997 5737</x:t>
  </x:si>
  <x:si>
    <x:t>7724 4377</x:t>
  </x:si>
  <x:si>
    <x:t>7903 0403</x:t>
  </x:si>
  <x:si>
    <x:t>Mdina Road,
Zebbug, Malta,
ZBG 9019</x:t>
  </x:si>
  <x:si>
    <x:t>Industrial Zone, ATD 4000 Ta' Qali</x:t>
  </x:si>
  <x:si>
    <x:t>No.1, Triq Daniel Sammut, Lija, c/w Triq l-Gherusija, Balzan</x:t>
  </x:si>
  <x:si>
    <x:t>Triq Il-Vitorja, Ħal Qormi QRM 2504</x:t>
  </x:si>
  <x:si>
    <x:t>40, Balzan Valley Road, Balzan BZN 1407 - Malta</x:t>
  </x:si>
  <x:si>
    <x:t>84, Qormi Road, Hamrun</x:t>
  </x:si>
  <x:si>
    <x:t>bigmatmalta.com/collections/wall-panels?utm_source=chatgpt.com</x:t>
  </x:si>
  <x:si>
    <x:t>dv.mt/showroom-category/3d-panels/</x:t>
  </x:si>
  <x:si>
    <x:t>gypsumworksmalta.com/store/c14/Panels</x:t>
  </x:si>
  <x:si>
    <x:t>aphomesmalta.com/store/c3/PVC_panels.html#/</x:t>
  </x:si>
  <x:si>
    <x:t>homemate.com.mt/product-category/feature-wall-planks</x:t>
  </x:si>
  <x:si>
    <x:t>evolve.com.mt/products/wall-decor-malta/#3dwalls</x:t>
  </x:si>
  <x:si>
    <x:t>multitrademalta.com/product-tag/corrugated-sheet/?utm_source=chatgpt.com</x:t>
  </x:si>
  <x:si>
    <x:t>nineyards.com.mt/</x:t>
  </x:si>
  <x:si>
    <x:t>megahome.mt/product/3d-wall-panels/</x:t>
  </x:si>
  <x:si>
    <x:t>bfmarbles.com/#</x:t>
  </x:si>
  <x:si>
    <x:t>beta.com.mt/</x:t>
  </x:si>
  <x:si>
    <x:t>facebook.com/profile.php?id=100091956755959</x:t>
  </x:si>
  <x:si>
    <x:t>theatrium.com.mt/search-site-results?nostock=0&amp;search=panel</x:t>
  </x:si>
  <x:si>
    <x:t>Office Furniture</x:t>
  </x:si>
  <x:si>
    <x:t>Round Table</x:t>
  </x:si>
  <x:si>
    <x:t>Round Table, GLASS</x:t>
  </x:si>
  <x:si>
    <x:t>Tables</x:t>
  </x:si>
  <x:si>
    <x:t>Brands International</x:t>
  </x:si>
  <x:si>
    <x:t>MaltaDIY</x:t>
  </x:si>
  <x:si>
    <x:t>Ferrara Casa</x:t>
  </x:si>
  <x:si>
    <x:t>Office Line Malta</x:t>
  </x:si>
  <x:si>
    <x:t>Link Projects</x:t>
  </x:si>
  <x:si>
    <x:t>Vivendo</x:t>
  </x:si>
  <x:si>
    <x:t>IKEA</x:t>
  </x:si>
  <x:si>
    <x:t>Mega Store</x:t>
  </x:si>
  <x:si>
    <x:t>SATARIANO</x:t>
  </x:si>
  <x:si>
    <x:t>info@officelinemalta.com</x:t>
  </x:si>
  <x:si>
    <x:t>info@linkprojects.com.mt</x:t>
  </x:si>
  <x:si>
    <x:t>info@vivendo.mt</x:t>
  </x:si>
  <x:si>
    <x:t>info@satariano.com</x:t>
  </x:si>
  <x:si>
    <x:t>2034 1569</x:t>
  </x:si>
  <x:si>
    <x:t>vivendo.com</x:t>
  </x:si>
  <x:si>
    <x:t>Ramilene Office Supplies Ltd
50/51 Ramilene Building
Triq it-Torri, Swatar – B’Kara
BKR 4011, Malta</x:t>
  </x:si>
  <x:si>
    <x:t>Triq tal-Balal, San Gwann, Malta</x:t>
  </x:si>
  <x:si>
    <x:t>Baldacchino Building B, Triq Il-Belt Valletta, Zurrieq</x:t>
  </x:si>
  <x:si>
    <x:t>Anthony Valletta Street, Swatar</x:t>
  </x:si>
  <x:si>
    <x:t>70, Ta' Xbiex Seafront , Msida, Malta</x:t>
  </x:si>
  <x:si>
    <x:t>Central Business District, Giovanni Felice Street - Zone 3, Birkirkara CBD 3120, Malta</x:t>
  </x:si>
  <x:si>
    <x:t>122, Valley Road Birkirkara, BKR 9024</x:t>
  </x:si>
  <x:si>
    <x:t>brands.com.mt/</x:t>
  </x:si>
  <x:si>
    <x:t>tuttoparquetmalta.com/index.html</x:t>
  </x:si>
  <x:si>
    <x:t>linkprojects.com.mt/</x:t>
  </x:si>
  <x:si>
    <x:t>madumahomeinteriors.com/</x:t>
  </x:si>
  <x:si>
    <x:t>megastore.com.mt/en_MT/p/MITTZON-Conference-table%2C-round-walnut-veneerblack%2C-120x75-cm/2145800</x:t>
  </x:si>
  <x:si>
    <x:t>https://www.megastore.com.mt/en_MT/p/MITTZON-Conference-table%2C-round-walnut-veneerblack%2C-120x75-cm/2145800</x:t>
  </x:si>
  <x:si>
    <x:t>https://www.theatrium.com.mt/dining/dining-tables/roxby-dining-table-black-oak-105cm/Item?c=267474</x:t>
  </x:si>
  <x:si>
    <x:t>https://www.megastore.com.mt/en_MT/p/VIHALS-Table%2C-whitewhite%2C-107-cm/2237008</x:t>
  </x:si>
  <x:si>
    <x:t>https://www.theatrium.com.mt/dining/dining-tables/atmosphera-ostras-dining-table-diameter-120cm-glass/Item?c=528741</x:t>
  </x:si>
  <x:si>
    <x:t>https://www.theatrium.com.mt/dining/dining-tables/heaven-round-dining-table-with-clear-tempered-glass-top-and-thick-black-metal-legs/Item?c=512388</x:t>
  </x:si>
  <x:si>
    <x:t>sales@ramilenemalta.com</x:t>
  </x:si>
  <x:si>
    <x:t>105cm Diameter</x:t>
  </x:si>
  <x:si>
    <x:t>120cm Diameter</x:t>
  </x:si>
  <x:si>
    <x:t>107cm Diameter</x:t>
  </x:si>
  <x:si>
    <x:t>Price</x:t>
  </x:si>
  <x:si>
    <x:t>200EUR</x:t>
  </x:si>
  <x:si>
    <x:t>240EUR</x:t>
  </x:si>
  <x:si>
    <x:t>275EUR</x:t>
  </x:si>
  <x:si>
    <x:t>101EUR</x:t>
  </x:si>
  <x:si>
    <x:t>202EUR</x:t>
  </x:si>
  <x:si>
    <x:t>365EUR</x:t>
  </x:si>
  <x:si>
    <x:t>Up on Reqquest</x:t>
  </x:si>
  <x:si>
    <x:t>Supplier</x:t>
  </x:si>
  <x:si>
    <x:t>Kave Home</x:t>
  </x:si>
  <x:si>
    <x:t>Type</x:t>
  </x:si>
  <x:si>
    <x:t>Round, 4 Legs</x:t>
  </x:si>
  <x:si>
    <x:t>Round, 1 Leg</x:t>
  </x:si>
  <x:si>
    <x:t>Description</x:t>
  </x:si>
  <x:si>
    <x:t>120cm Diameter, Glass Top</x:t>
  </x:si>
  <x:si>
    <x:t>105cm Diameter, Black Vinyl</x:t>
  </x:si>
  <x:si>
    <x:t>107cm Diameter, White Vinyl</x:t>
  </x:si>
  <x:si>
    <x:t>120cm Diameter, Walnut Veneer</x:t>
  </x:si>
  <x:si>
    <x:t>105cm Diameter, Light Oak Veneer</x:t>
  </x:si>
  <x:si>
    <x:t>110cm Diameter, White Plastic</x:t>
  </x:si>
  <x:si>
    <x:t>110cm Diameter, Black Veneer</x:t>
  </x:si>
  <x:si>
    <x:t>120cm Diameter, White Vinyl</x:t>
  </x:si>
  <x:si>
    <x:t>375EUR</x:t>
  </x:si>
  <x:si>
    <x:t>237EUR</x:t>
  </x:si>
  <x:si>
    <x:t>280EUR</x:t>
  </x:si>
  <x:si>
    <x:t>260EUR</x:t>
  </x:si>
  <x:si>
    <x:t>390EUR</x:t>
  </x:si>
  <x:si>
    <x:t>440EUR</x:t>
  </x:si>
  <x:si>
    <x:t>Link</x:t>
  </x:si>
  <x:si>
    <x:t>https://www.theatrium.com.mt/dining/dining-tables/roxby-dining-table-light-oak-top-black-legs-105cm/Item?c=267475</x:t>
  </x:si>
  <x:si>
    <x:t>https://www.theatrium.com.mt/dining/dining-tables/ibiza-round-table-110cm-diameter-white/Item?c=510667</x:t>
  </x:si>
  <x:si>
    <x:t>https://www.okhome.com.mt/products/matt+table/</x:t>
  </x:si>
  <x:si>
    <x:t>https://kavehome.mt/products/argo-round-table-in-white-melamine-and-steel-legs-with-black-finish-o-120-cm?variant=48354606219497</x:t>
  </x:si>
  <x:si>
    <x:t>Living Room</x:t>
  </x:si>
  <x:si>
    <x:t>Power House</x:t>
  </x:si>
  <x:si>
    <x:t>Domesica</x:t>
  </x:si>
  <x:si>
    <x:t>OnePercent</x:t>
  </x:si>
  <x:si>
    <x:t>form</x:t>
  </x:si>
  <x:si>
    <x:t>Dari</x:t>
  </x:si>
  <x:si>
    <x:t>Satariano</x:t>
  </x:si>
  <x:si>
    <x:t>Dino Fino</x:t>
  </x:si>
  <x:si>
    <x:t>Borge Group</x:t>
  </x:si>
  <x:si>
    <x:t>Bond's</x:t>
  </x:si>
  <x:si>
    <x:t>Immagine Casa</x:t>
  </x:si>
  <x:si>
    <x:t>FerraraCasa</x:t>
  </x:si>
  <x:si>
    <x:t>Construct Furniture</x:t>
  </x:si>
  <x:si>
    <x:t>MaltaShopper.com</x:t>
  </x:si>
  <x:si>
    <x:t>Azeta</x:t>
  </x:si>
  <x:si>
    <x:t>Arko</x:t>
  </x:si>
  <x:si>
    <x:t>Luks Furniture</x:t>
  </x:si>
  <x:si>
    <x:t>Lingonberries</x:t>
  </x:si>
  <x:si>
    <x:t>Loft</x:t>
  </x:si>
  <x:si>
    <x:t>Gauci Woods</x:t>
  </x:si>
  <x:si>
    <x:t>info@joinwell.com.mt</x:t>
  </x:si>
  <x:si>
    <x:t>service@oxfordhouse.com.mt</x:t>
  </x:si>
  <x:si>
    <x:t>info@borgegroup.com</x:t>
  </x:si>
  <x:si>
    <x:t>info@azeta.com.mt</x:t>
  </x:si>
  <x:si>
    <x:t>info@arkomalta.com</x:t>
  </x:si>
  <x:si>
    <x:t>info@luksfurniture.com</x:t>
  </x:si>
  <x:si>
    <x:t>sales@lingonberries.eu</x:t>
  </x:si>
  <x:si>
    <x:t>info@loft.com.mt</x:t>
  </x:si>
  <x:si>
    <x:t>21451718</x:t>
  </x:si>
  <x:si>
    <x:t>2788 3788</x:t>
  </x:si>
  <x:si>
    <x:t>Power House, 13,
Censu Bugeja Street,
Birkirkara, Malta</x:t>
  </x:si>
  <x:si>
    <x:t>Domestica Complex, Level 1, Valley Road
Msida, MSD 9091, Malta</x:t>
  </x:si>
  <x:si>
    <x:t>Valley Road
Msida MSD 9022</x:t>
  </x:si>
  <x:si>
    <x:t>159, Tip Top Buildings,
St Thomas Street, Fgura,  FGR1605</x:t>
  </x:si>
  <x:si>
    <x:t>The Atrium, Giovanni Felice Street, Zone 3, Central Business District, Birkirkara CBD 3120</x:t>
  </x:si>
  <x:si>
    <x:t>OK Home, Pantar Road,
Lija, Malta</x:t>
  </x:si>
  <x:si>
    <x:t>Homemate Mriehel</x:t>
  </x:si>
  <x:si>
    <x:t>Triq il-Wied Ta' L-Imsida, L-Imsida</x:t>
  </x:si>
  <x:si>
    <x:t>Triq L-Imdina,
Zone 2, Central Business District,
Birkirkara CBD 2010, Malta</x:t>
  </x:si>
  <x:si>
    <x:t>Triq-Il Mosta, Lija, Malta</x:t>
  </x:si>
  <x:si>
    <x:t>BDI, 1, Triq Pietru Felici, Qormi, Malta</x:t>
  </x:si>
  <x:si>
    <x:t>122, Msida Valley Road B’kara BKR 9024</x:t>
  </x:si>
  <x:si>
    <x:t>Industrial Estate
Ħandaq Qormi,
QRM 4000, Malta</x:t>
  </x:si>
  <x:si>
    <x:t>Karrari (Showroom), Avenue 77, Commerce Street, Central Business District, , Birkirkara, Malta</x:t>
  </x:si>
  <x:si>
    <x:t>Dino Fino Home + Contract, Msida, Valley Road, Birkirkara, Birkirkara, Malta</x:t>
  </x:si>
  <x:si>
    <x:t>Bond’s Limited Mdina Road, Attard, ATD 9039</x:t>
  </x:si>
  <x:si>
    <x:t>Valley Road, Birkirkara, Malta.</x:t>
  </x:si>
  <x:si>
    <x:t>40, Industrial Estate, Luqa
LQA 3000, Malta</x:t>
  </x:si>
  <x:si>
    <x:t>162 Cannon Road, Santa Venera,
SVR 9034, Malta</x:t>
  </x:si>
  <x:si>
    <x:t>Triq L-Imdina, Zone 2 Central Business District, Birkirkara CBD 2010, Malta</x:t>
  </x:si>
  <x:si>
    <x:t>Azeta Limited
354 Cannon Road,
St Venera
SVR9033
Malta</x:t>
  </x:si>
  <x:si>
    <x:t>86
Triq Valletta
Hal Luqa
Malta  LQA 1762</x:t>
  </x:si>
  <x:si>
    <x:t>Triq is-Salib Ta' l-Imriehel
Business District
Mriehel</x:t>
  </x:si>
  <x:si>
    <x:t>Luks Furniture, Triq L-Imdina, Attard</x:t>
  </x:si>
  <x:si>
    <x:t>27 Triq Wignacourt, Birkirkara</x:t>
  </x:si>
  <x:si>
    <x:t>powerhousemalta.eu/</x:t>
  </x:si>
  <x:si>
    <x:t>fairdealfurniture.com.mt/</x:t>
  </x:si>
  <x:si>
    <x:t>domestica.com.mt/</x:t>
  </x:si>
  <x:si>
    <x:t>onepercent.com.mt/</x:t>
  </x:si>
  <x:si>
    <x:t>distincthomes.com.mt/</x:t>
  </x:si>
  <x:si>
    <x:t>indexmalta.com/</x:t>
  </x:si>
  <x:si>
    <x:t>okhome.com.mt/</x:t>
  </x:si>
  <x:si>
    <x:t>theatrium.com.mt/living</x:t>
  </x:si>
  <x:si>
    <x:t>megastore.com.mt/</x:t>
  </x:si>
  <x:si>
    <x:t>oxfordhouse.com.mt/</x:t>
  </x:si>
  <x:si>
    <x:t>jysk.com.mt/</x:t>
  </x:si>
  <x:si>
    <x:t>latenda.com.mt/</x:t>
  </x:si>
  <x:si>
    <x:t>dari.mt/living-rooms/</x:t>
  </x:si>
  <x:si>
    <x:t>satariano.com/</x:t>
  </x:si>
  <x:si>
    <x:t>karrari.shop/</x:t>
  </x:si>
  <x:si>
    <x:t>dinofino.com/</x:t>
  </x:si>
  <x:si>
    <x:t>borgegroup.com/</x:t>
  </x:si>
  <x:si>
    <x:t>bondsmalta.com/</x:t>
  </x:si>
  <x:si>
    <x:t>immaginecasamalta.com/living-2/</x:t>
  </x:si>
  <x:si>
    <x:t>constructfurniture.com.mt/contact-us/</x:t>
  </x:si>
  <x:si>
    <x:t>maltashopper.com/</x:t>
  </x:si>
  <x:si>
    <x:t>azeta.com.mt/pages/contact</x:t>
  </x:si>
  <x:si>
    <x:t>danielwoodworksmalta.com/en/home.htm</x:t>
  </x:si>
  <x:si>
    <x:t>luksfurniture.com/</x:t>
  </x:si>
  <x:si>
    <x:t>lingonberries.mt/</x:t>
  </x:si>
  <x:si>
    <x:t>vct.com.mt/</x:t>
  </x:si>
  <x:si>
    <x:t>Custom Furniture/Storage Unit</x:t>
  </x:si>
  <x:si>
    <x:t>Also: dorianne@azeta.com.mt OR 77043376</x:t>
  </x:si>
  <x:si>
    <x:t>PM Hobby</x:t>
  </x:si>
  <x:si>
    <x:t>Design Hub</x:t>
  </x:si>
  <x:si>
    <x:t>De Valier</x:t>
  </x:si>
  <x:si>
    <x:t>Def Furniture</x:t>
  </x:si>
  <x:si>
    <x:t>JCR Furniture</x:t>
  </x:si>
  <x:si>
    <x:t>Custom Workshop Malta</x:t>
  </x:si>
  <x:si>
    <x:t>Amets Furniture</x:t>
  </x:si>
  <x:si>
    <x:t>Turnkey Services Malta</x:t>
  </x:si>
  <x:si>
    <x:t>Ciantar Woodworks</x:t>
  </x:si>
  <x:si>
    <x:t>C&amp;M Woodworks</x:t>
  </x:si>
  <x:si>
    <x:t>Kasarreda</x:t>
  </x:si>
  <x:si>
    <x:t>Lupa</x:t>
  </x:si>
  <x:si>
    <x:t>Saliba Woodworks</x:t>
  </x:si>
  <x:si>
    <x:t>Paul Target</x:t>
  </x:si>
  <x:si>
    <x:t>Mon Lung Woodworks</x:t>
  </x:si>
  <x:si>
    <x:t>sales@pmhobby.com.mt</x:t>
  </x:si>
  <x:si>
    <x:t>customer@devalier.com.mt</x:t>
  </x:si>
  <x:si>
    <x:t>info@deffurniture.com</x:t>
  </x:si>
  <x:si>
    <x:t>thecustomworkshop@gmail.com</x:t>
  </x:si>
  <x:si>
    <x:t>info@ametsfurniture.com</x:t>
  </x:si>
  <x:si>
    <x:t>info@ts-malta.com</x:t>
  </x:si>
  <x:si>
    <x:t>candmww@gmail.com</x:t>
  </x:si>
  <x:si>
    <x:t>kasa.arreda@gmail.com</x:t>
  </x:si>
  <x:si>
    <x:t>info@lupa.mt</x:t>
  </x:si>
  <x:si>
    <x:t>chrissaliba295@gmail.com</x:t>
  </x:si>
  <x:si>
    <x:t>info@paultarget.com</x:t>
  </x:si>
  <x:si>
    <x:t>monlung@onvol.net</x:t>
  </x:si>
  <x:si>
    <x:t>Suppliers</x:t>
  </x:si>
  <x:si>
    <x:t>Garden</x:t>
  </x:si>
  <x:si>
    <x:t>Garden chair</x:t>
  </x:si>
  <x:si>
    <x:t>Garden table</x:t>
  </x:si>
  <x:si>
    <x:t>Hanging chair</x:t>
  </x:si>
  <x:si>
    <x:t>Garden umbrellas</x:t>
  </x:si>
  <x:si>
    <x:t>Plants</x:t>
  </x:si>
  <x:si>
    <x:t>Landscaping</x:t>
  </x:si>
  <x:si>
    <x:t>Protrade Decor</x:t>
  </x:si>
  <x:si>
    <x:t>camilleriparismode</x:t>
  </x:si>
  <x:si>
    <x:t>Patrolea</x:t>
  </x:si>
  <x:si>
    <x:t>G D L Trading &amp; Services Ltd</x:t>
  </x:si>
  <x:si>
    <x:t>Piscopo Gardens Ltd</x:t>
  </x:si>
  <x:si>
    <x:t>Pitre Home</x:t>
  </x:si>
  <x:si>
    <x:t>CHL Ltd</x:t>
  </x:si>
  <x:si>
    <x:t>Rattatan</x:t>
  </x:si>
  <x:si>
    <x:t>Garden House</x:t>
  </x:si>
  <x:si>
    <x:t>HomeTrends Home &amp; Garden</x:t>
  </x:si>
  <x:si>
    <x:t>Sherries Estates</x:t>
  </x:si>
  <x:si>
    <x:t>Kenneth Hardware Stores</x:t>
  </x:si>
  <x:si>
    <x:t>Peter Camilleri &amp; Sons</x:t>
  </x:si>
  <x:si>
    <x:t>Butlers</x:t>
  </x:si>
  <x:si>
    <x:t>Rennie Scicluna</x:t>
  </x:si>
  <x:si>
    <x:t>Calypso Mfg Ltd</x:t>
  </x:si>
  <x:si>
    <x:t>de Valier Co Ltd</x:t>
  </x:si>
  <x:si>
    <x:t>Zet Ltd</x:t>
  </x:si>
  <x:si>
    <x:t>Flowe Zone</x:t>
  </x:si>
  <x:si>
    <x:t>Parisio Nursery &amp; Garden Centre</x:t>
  </x:si>
  <x:si>
    <x:t>F M Agius Nurseries</x:t>
  </x:si>
  <x:si>
    <x:t>Innovative Green Ltd</x:t>
  </x:si>
  <x:si>
    <x:t>Jardinland</x:t>
  </x:si>
  <x:si>
    <x:t>Secret Garden</x:t>
  </x:si>
  <x:si>
    <x:t>The Gaia Foundation</x:t>
  </x:si>
  <x:si>
    <x:t>Green Scapes</x:t>
  </x:si>
  <x:si>
    <x:t>Callus Garden Centre</x:t>
  </x:si>
  <x:si>
    <x:t>BSS Ltd</x:t>
  </x:si>
  <x:si>
    <x:t>Derek Garden Centre</x:t>
  </x:si>
  <x:si>
    <x:t>Garland Malta</x:t>
  </x:si>
  <x:si>
    <x:t>All Seasons Home and Garden</x:t>
  </x:si>
  <x:si>
    <x:t>protrade@protrademalta.com</x:t>
  </x:si>
  <x:si>
    <x:t>you@camilleriparismode.com</x:t>
  </x:si>
  <x:si>
    <x:t>sales@patroleamalta.com</x:t>
  </x:si>
  <x:si>
    <x:t>peter@gdl.com.mt</x:t>
  </x:si>
  <x:si>
    <x:t>info@piscopogardens.com</x:t>
  </x:si>
  <x:si>
    <x:t>https://www.malta-design.com/en/1652-chairs-and-tables</x:t>
  </x:si>
  <x:si>
    <x:t>home@jpitre.com</x:t>
  </x:si>
  <x:si>
    <x:t>info@chlmalta.com</x:t>
  </x:si>
  <x:si>
    <x:t>info@rattatanshop.mt</x:t>
  </x:si>
  <x:si>
    <x:t>dicalgroup@gmail.com</x:t>
  </x:si>
  <x:si>
    <x:t>info@sherriesestates.com</x:t>
  </x:si>
  <x:si>
    <x:t>info@khsmalta.com</x:t>
  </x:si>
  <x:si>
    <x:t>customercare@butlers.com.mt</x:t>
  </x:si>
  <x:si>
    <x:t>sciclunarennie@gmail.com</x:t>
  </x:si>
  <x:si>
    <x:t>on website</x:t>
  </x:si>
  <x:si>
    <x:t>info@calypsomfg.com</x:t>
  </x:si>
  <x:si>
    <x:t>suzanne@zetltd</x:t>
  </x:si>
  <x:si>
    <x:t>info@flowerzonemalta.com</x:t>
  </x:si>
  <x:si>
    <x:t>parisio@maltanet.net</x:t>
  </x:si>
  <x:si>
    <x:t>samoaattard14@gmail.com</x:t>
  </x:si>
  <x:si>
    <x:t>info@innogreens.com</x:t>
  </x:si>
  <x:si>
    <x:t>info@jardinland.com.mt</x:t>
  </x:si>
  <x:si>
    <x:t>alanmifsudmt@gmail.com</x:t>
  </x:si>
  <x:si>
    <x:t>admin@projectgaia.org</x:t>
  </x:si>
  <x:si>
    <x:t>info@greenscapes.com.mt</x:t>
  </x:si>
  <x:si>
    <x:t>info@callusgardencentre.com</x:t>
  </x:si>
  <x:si>
    <x:t>info@bssagri.com</x:t>
  </x:si>
  <x:si>
    <x:t>sales@derekmalta.com / flowershop@derekmalta.com</x:t>
  </x:si>
  <x:si>
    <x:t>projects@garlandmalta.com</x:t>
  </x:si>
  <x:si>
    <x:t>customercare@allseasons.mt</x:t>
  </x:si>
  <x:si>
    <x:t>butlers.com.mt</x:t>
  </x:si>
  <x:si>
    <x:t>pitreonline.com</x:t>
  </x:si>
  <x:si>
    <x:t>tabonedirect.com</x:t>
  </x:si>
  <x:si>
    <x:t>camilleriparismode.com</x:t>
  </x:si>
  <x:si>
    <x:t>rattatanshop.mt</x:t>
  </x:si>
  <x:si>
    <x:t>facebook.com/@protrademalta/</x:t>
  </x:si>
  <x:si>
    <x:t>facebook.com/maltawarehousesale/</x:t>
  </x:si>
  <x:si>
    <x:t>khsmalta.com</x:t>
  </x:si>
  <x:si>
    <x:t>Triq tal-Balal, San Gwann</x:t>
  </x:si>
  <x:si>
    <x:t>Triq Pantar, Lija</x:t>
  </x:si>
  <x:si>
    <x:t>Zone 5 Triq Is-Sebh Central Business District, Qormi</x:t>
  </x:si>
  <x:si>
    <x:t>54 Triq Santa Katerina, Rabat</x:t>
  </x:si>
  <x:si>
    <x:t>Triq il-Wied ta' I-Imsida, Msida</x:t>
  </x:si>
  <x:si>
    <x:t>70 Triq is-Salib tal-Marsa</x:t>
  </x:si>
  <x:si>
    <x:t>Triq Toni Camilleri, Burmarrad</x:t>
  </x:si>
  <x:si>
    <x:t>Mdina Road, Qormi</x:t>
  </x:si>
  <x:si>
    <x:t>Kampanja Triq in-Nigret, Rabat</x:t>
  </x:si>
  <x:si>
    <x:t>Sliema, Malta</x:t>
  </x:si>
  <x:si>
    <x:t>Triq Sant' Anton Abbati, Mosta</x:t>
  </x:si>
  <x:si>
    <x:t>Ta Ghadajma l/o Mqabba</x:t>
  </x:si>
  <x:si>
    <x:t>JPR Bldgs Qasam Industrijali, San Gwann</x:t>
  </x:si>
  <x:si>
    <x:t>Burmarrad Road, Burmarrad</x:t>
  </x:si>
  <x:si>
    <x:t>Triq L-Imprendituri, Industrial Zone 3, Central business district, Birkirkara, CBD 3090</x:t>
  </x:si>
  <x:si>
    <x:t>54, Castaldi Street, Zabbar</x:t>
  </x:si>
  <x:si>
    <x:t>31, Cross Road, Marsa</x:t>
  </x:si>
  <x:si>
    <x:t>Triq is-Salib Ta' I-Imriehel Business District Mriehel</x:t>
  </x:si>
  <x:si>
    <x:t>210 Old Railway Track, Santa Venera</x:t>
  </x:si>
  <x:si>
    <x:t>Pjazza A De Paule Rahal Gdid, PLA 1269</x:t>
  </x:si>
  <x:si>
    <x:t>139, Bajada Street, Zabbar, Malta</x:t>
  </x:si>
  <x:si>
    <x:t>Triq Hal Resqun, Gudja</x:t>
  </x:si>
  <x:si>
    <x:t>5 Triq Cospicua, Fgura</x:t>
  </x:si>
  <x:si>
    <x:t>The Old Factory, Zone 3 Triq San Gwakkin Central Business District, B'Kara</x:t>
  </x:si>
  <x:si>
    <x:t>UB 19 Qasam Industrijali, San Gwann</x:t>
  </x:si>
  <x:si>
    <x:t>Triq ta' Dun Luqa, Sannat-Gozo</x:t>
  </x:si>
  <x:si>
    <x:t>73 Triq Sir Ugo Mifsud, Lija</x:t>
  </x:si>
  <x:si>
    <x:t>Redentur Triq San Gilijan, B'Kara</x:t>
  </x:si>
  <x:si>
    <x:t>22 Triq il-Belt Valletta, Qormi</x:t>
  </x:si>
  <x:si>
    <x:t>Triq Ghajn Tuffieha, San Pawl ll-Bahar</x:t>
  </x:si>
  <x:si>
    <x:t>153 Triq il-Kappilan Mifsud, Sta Venera</x:t>
  </x:si>
  <x:si>
    <x:t>The Elysium Tree Nursery And Visitors Centre Triq in-Nahhalija Ghajn Tuffieha, Mellieha</x:t>
  </x:si>
  <x:si>
    <x:t>Zebbug Road Attard</x:t>
  </x:si>
  <x:si>
    <x:t>Triq L-Imqabba, Is-Siggiewi</x:t>
  </x:si>
  <x:si>
    <x:t>Triq L-Imdina, Zebbug</x:t>
  </x:si>
  <x:si>
    <x:t>71 Canon Road, Qormi</x:t>
  </x:si>
  <x:si>
    <x:t>bigbeninteriors.com.mt/</x:t>
  </x:si>
  <x:si>
    <x:t>sciclunarennie.com</x:t>
  </x:si>
  <x:si>
    <x:t>flowerzonemalta.com</x:t>
  </x:si>
  <x:si>
    <x:t>chlmalta.com</x:t>
  </x:si>
  <x:si>
    <x:t>facebook.com/p/Garden-House-100066818242898/</x:t>
  </x:si>
  <x:si>
    <x:t>projectgaia.org</x:t>
  </x:si>
  <x:si>
    <x:t>facebook.com/people/Zet-Ltd/61555689586816/</x:t>
  </x:si>
  <x:si>
    <x:t>livelifemalta.com.mt/</x:t>
  </x:si>
  <x:si>
    <x:t>facebook.com/gejtumarmara/</x:t>
  </x:si>
  <x:si>
    <x:t>devalier.com.mt</x:t>
  </x:si>
  <x:si>
    <x:t>soll.mt/</x:t>
  </x:si>
  <x:si>
    <x:t>facebook.com/p/Parisio-Nursery-Garden-Centre-100057061346114/</x:t>
  </x:si>
  <x:si>
    <x:t>facebook.com/fmagius/?utm_source=Yellow&amp;utm_medium=Yellow-Website&amp;utm_campaign=Landing-Page</x:t>
  </x:si>
  <x:si>
    <x:t>innogreens.com</x:t>
  </x:si>
  <x:si>
    <x:t>jardinland.com.mt</x:t>
  </x:si>
  <x:si>
    <x:t>facebook.com/secretgardenmalta?utm_source=Yellow&amp;utm_medium=Yellow-Website&amp;utm_campaign=Landing-Page</x:t>
  </x:si>
  <x:si>
    <x:t>greenscapes.com.mt</x:t>
  </x:si>
  <x:si>
    <x:t>callusgardencentre.com</x:t>
  </x:si>
  <x:si>
    <x:t>bssagri.com</x:t>
  </x:si>
  <x:si>
    <x:t>derekmalta.com</x:t>
  </x:si>
  <x:si>
    <x:t>garlandmalta.com/</x:t>
  </x:si>
  <x:si>
    <x:t>allseasons.mt/</x:t>
  </x:si>
  <x:si>
    <x:t>spotonmalta.com/</x:t>
  </x:si>
  <x:si>
    <x:t>Furniture</x:t>
  </x:si>
  <x:si>
    <x:t>NOTE: Look up items which are permitted in the Outdoor Catering Area such as tables, chairs, heaters, planters, and serving stations. Excluding shading equipment/structures</x:t>
  </x:si>
  <x:si>
    <x:t>Style Interni</x:t>
  </x:si>
  <x:si>
    <x:t>dprostudio.com/</x:t>
  </x:si>
  <x:si>
    <x:t>bbqworldmalta.mt/?utm_source=Yellow&amp;utm_medium=Yellow-Website&amp;utm_campaign=Landing-Page</x:t>
  </x:si>
  <x:si>
    <x:t>Pitre Home Ltd, Mdina Road, Qormi</x:t>
  </x:si>
  <x:si>
    <x:t>Wallpaper</x:t>
  </x:si>
  <x:si>
    <x:t>Wallpapers</x:t>
  </x:si>
  <x:si>
    <x:t>Spot On Lighting</x:t>
  </x:si>
  <x:si>
    <x:t>Big Ben Interiors</x:t>
  </x:si>
  <x:si>
    <x:t>info@spotonmalta.com</x:t>
  </x:si>
  <x:si>
    <x:t>info@bigbeninteriors.com.mt</x:t>
  </x:si>
  <x:si>
    <x:t>2166 8880</x:t>
  </x:si>
  <x:si>
    <x:t>2144 7347</x:t>
  </x:si>
  <x:si>
    <x:t>102 Palm Street,
PLA1414 Paola MALTA.</x:t>
  </x:si>
  <x:si>
    <x:t>Naxxar Road, Birkirkara,
Malta, BKR 9045</x:t>
  </x:si>
  <x:si>
    <x:t>facebook.com/solealighting</x:t>
  </x:si>
  <x:si>
    <x:t>hml.com.mt/</x:t>
  </x:si>
  <x:si>
    <x:t>Mouldings</x:t>
  </x:si>
  <x:si>
    <x:t>Skirting</x:t>
  </x:si>
  <x:si>
    <x:t>SOLL</x:t>
  </x:si>
  <x:si>
    <x:t>79628055</x:t>
  </x:si>
  <x:si>
    <x:t>B1, Midland Enterprise Park
Burmarrad Road,
Naxxar, Malta</x:t>
  </x:si>
  <x:si>
    <x:t>ADD</x:t>
  </x:si>
  <x:si>
    <x:t>Phone</x:t>
  </x:si>
  <x:si>
    <x:t>Artistic and Creative Finishes</x:t>
  </x:si>
  <x:si>
    <x:t>Clocks</x:t>
  </x:si>
  <x:si>
    <x:t>Decor</x:t>
  </x:si>
  <x:si>
    <x:t>Frames and Pictures</x:t>
  </x:si>
  <x:si>
    <x:t>venezianocreazioni@gmail.com</x:t>
  </x:si>
  <x:si>
    <x:t>Veneziano Creazioni</x:t>
  </x:si>
  <x:si>
    <x:t>Mosta, Malta</x:t>
  </x:si>
  <x:si>
    <x:t>Business Cards</x:t>
  </x:si>
  <x:si>
    <x:t>Turbo Signs</x:t>
  </x:si>
  <x:si>
    <x:t>turbosigns@outlook.com</x:t>
  </x:si>
  <x:si>
    <x:t>pplmalta.com/</x:t>
  </x:si>
  <x:si>
    <x:t>Parades Street, St Paul's Bay</x:t>
  </x:si>
  <x:si>
    <x:t>justltdmalta.com/home.html</x:t>
  </x:si>
  <x:si>
    <x:t>Laundry room</x:t>
  </x:si>
  <x:si>
    <x:t>Washing machine</x:t>
  </x:si>
  <x:si>
    <x:t>Dryer machine</x:t>
  </x:si>
  <x:si>
    <x:t>Cath's Home</x:t>
  </x:si>
  <x:si>
    <x:t>Gorg TV &amp; Hi Fi Centre</x:t>
  </x:si>
  <x:si>
    <x:t>Stop Shop Melita St Paul's Bay</x:t>
  </x:si>
  <x:si>
    <x:t>caths@melita.com</x:t>
  </x:si>
  <x:si>
    <x:t>georgetvhifi@gmail.com</x:t>
  </x:si>
  <x:si>
    <x:t>admin@stopshopmt.com</x:t>
  </x:si>
  <x:si>
    <x:t>Triq il-Gzira, Malta GZR 1312</x:t>
  </x:si>
  <x:si>
    <x:t>191 Triq Hal Qormi, Marsa</x:t>
  </x:si>
  <x:si>
    <x:t>Triq il-Lampuki, San Pawl ll-Bahar</x:t>
  </x:si>
  <x:si>
    <x:t>Custom Frosted Window Film</x:t>
  </x:si>
  <x:si>
    <x:t>UV Films</x:t>
  </x:si>
  <x:si>
    <x:t>Polidano Press</x:t>
  </x:si>
  <x:si>
    <x:t>SolarTech</x:t>
  </x:si>
  <x:si>
    <x:t>Recowatt</x:t>
  </x:si>
  <x:si>
    <x:t>Sign World Malta</x:t>
  </x:si>
  <x:si>
    <x:t>Just LTD Malta</x:t>
  </x:si>
  <x:si>
    <x:t>Zaffarese</x:t>
  </x:si>
  <x:si>
    <x:t>GRF Contractor Studio</x:t>
  </x:si>
  <x:si>
    <x:t>Opaque</x:t>
  </x:si>
  <x:si>
    <x:t>ppl@pplmalta.com</x:t>
  </x:si>
  <x:si>
    <x:t>info@recowatt.com</x:t>
  </x:si>
  <x:si>
    <x:t>solartechmalta@gmail.com</x:t>
  </x:si>
  <x:si>
    <x:t>info@signworldmalta.com</x:t>
  </x:si>
  <x:si>
    <x:t>info@justltdmalta.com</x:t>
  </x:si>
  <x:si>
    <x:t>admin@zaffarese.com</x:t>
  </x:si>
  <x:si>
    <x:t>contact@opaque.mt</x:t>
  </x:si>
  <x:si>
    <x:t>ecomaxxmalta.com</x:t>
  </x:si>
  <x:si>
    <x:t>cmyk.com.mt</x:t>
  </x:si>
  <x:si>
    <x:t>112 Industrial Estate , Ħal Luqa, Malta</x:t>
  </x:si>
  <x:si>
    <x:t>12, SolarTech, Triq il-Masgar
Qormi, QRM 3217, Malta</x:t>
  </x:si>
  <x:si>
    <x:t>Triq L-Imdina, Ħaż-Żebbuġ ZBG 9019, Malta</x:t>
  </x:si>
  <x:si>
    <x:t>Triq il-Frangiskani, L-Imsida
MSD 1120, Malta</x:t>
  </x:si>
  <x:si>
    <x:t>194, Luqa Briffa Street, Gzira GZR1504, Malta</x:t>
  </x:si>
  <x:si>
    <x:t>CCG Building, Triq 3 Ta’ Settembru 1798
Zone 3, Central Business District, Birkirkara
CBD 3100 Malta</x:t>
  </x:si>
  <x:si>
    <x:t>printagram.com.mt/</x:t>
  </x:si>
  <x:si>
    <x:t>recowatt.com/</x:t>
  </x:si>
  <x:si>
    <x:t>signworldmalta.com/</x:t>
  </x:si>
  <x:si>
    <x:t>gescosigns.com/index.html</x:t>
  </x:si>
  <x:si>
    <x:t>zaffarese.com/</x:t>
  </x:si>
  <x:si>
    <x:t>decomalta.com/contact</x:t>
  </x:si>
  <x:si>
    <x:t>blinds</x:t>
  </x:si>
  <x:si>
    <x:t>Sunlock Window Blinds</x:t>
  </x:si>
  <x:si>
    <x:t>Blinds &amp; More</x:t>
  </x:si>
  <x:si>
    <x:t>Gozo Vertical Blinds &amp; Shades Ltd</x:t>
  </x:si>
  <x:si>
    <x:t>MG Home Interiors</x:t>
  </x:si>
  <x:si>
    <x:t>Nigel Dimech</x:t>
  </x:si>
  <x:si>
    <x:t>Blinds4All</x:t>
  </x:si>
  <x:si>
    <x:t>Kuluri Malta</x:t>
  </x:si>
  <x:si>
    <x:t>BD blinds</x:t>
  </x:si>
  <x:si>
    <x:t>latenda</x:t>
  </x:si>
  <x:si>
    <x:t>yourblinds</x:t>
  </x:si>
  <x:si>
    <x:t>HML Workshop</x:t>
  </x:si>
  <x:si>
    <x:t>NBlinds</x:t>
  </x:si>
  <x:si>
    <x:t>Mi Casa Solutions</x:t>
  </x:si>
  <x:si>
    <x:t>David Interiors</x:t>
  </x:si>
  <x:si>
    <x:t>Zebra Blinds Malta</x:t>
  </x:si>
  <x:si>
    <x:t>Direct Developments</x:t>
  </x:si>
  <x:si>
    <x:t>JB Stores</x:t>
  </x:si>
  <x:si>
    <x:t>Budget Blinds</x:t>
  </x:si>
  <x:si>
    <x:t>Royalty Screen and Blinds</x:t>
  </x:si>
  <x:si>
    <x:t>sales@blindsandmore.com.mt</x:t>
  </x:si>
  <x:si>
    <x:t>info@sunlockblinds.com</x:t>
  </x:si>
  <x:si>
    <x:t>info@gozoverticals.com</x:t>
  </x:si>
  <x:si>
    <x:t>mghomeinteriorsltd@gmail.com</x:t>
  </x:si>
  <x:si>
    <x:t>info@nigeldimech.com</x:t>
  </x:si>
  <x:si>
    <x:t>sales@blinds4all.mt</x:t>
  </x:si>
  <x:si>
    <x:t>kulurimalta@gmail.com</x:t>
  </x:si>
  <x:si>
    <x:t>info@bdblinds.mt</x:t>
  </x:si>
  <x:si>
    <x:t>hello@latenda.com.mt</x:t>
  </x:si>
  <x:si>
    <x:t>info@yourblindsmalta.com</x:t>
  </x:si>
  <x:si>
    <x:t>shop@megastore.com.mt</x:t>
  </x:si>
  <x:si>
    <x:t>info@hml.com.mt</x:t>
  </x:si>
  <x:si>
    <x:t>nblindsmalta@gmail.com</x:t>
  </x:si>
  <x:si>
    <x:t>micasasolutions3@gmail.com</x:t>
  </x:si>
  <x:si>
    <x:t>info@davidinteriors.com</x:t>
  </x:si>
  <x:si>
    <x:t>sales@pvcmalta.com</x:t>
  </x:si>
  <x:si>
    <x:t>zebrablindsmalta@gmail.com</x:t>
  </x:si>
  <x:si>
    <x:t>info@jbstores.com</x:t>
  </x:si>
  <x:si>
    <x:t>infobudgetblindsmalta@gmail.com</x:t>
  </x:si>
  <x:si>
    <x:t>info@royaltyscreens.com</x:t>
  </x:si>
  <x:si>
    <x:t>2138 2595</x:t>
  </x:si>
  <x:si>
    <x:t>41 Triq in-Naxxar, San Ġwann, Malta SGN 9030</x:t>
  </x:si>
  <x:si>
    <x:t>Triq l-Imdina, Żebbuġ, ZBG 9016, Malta</x:t>
  </x:si>
  <x:si>
    <x:t>MG Home Interiors Ltd, 2 Triq San Tumas, Ħal Luqa</x:t>
  </x:si>
  <x:si>
    <x:t>KKW 721, Corradino 
Industrial Estate
Paola, PLA 3000, Malta</x:t>
  </x:si>
  <x:si>
    <x:t>Mriehel, Malta</x:t>
  </x:si>
  <x:si>
    <x:t>Industrial Estate 
Bulebel, Zejtun
ZTN 3000
Malta</x:t>
  </x:si>
  <x:si>
    <x:t>58, Daddy’s Court Flat 1, Triq Il-Pitkali, Attard</x:t>
  </x:si>
  <x:si>
    <x:t>Warehouse No. 25, Hard Rocks Industrial Park, Burmarrad Road, Naxxar, Malta</x:t>
  </x:si>
  <x:si>
    <x:t>HML Workshop, Cannon Road Qormi</x:t>
  </x:si>
  <x:si>
    <x:t>Dimech Enterprises Ltd
Centre Point, Triq Valletta
Luqa 
Malta LQA 1762</x:t>
  </x:si>
  <x:si>
    <x:t>219, Sanctuary Street, Zabbar, Malta</x:t>
  </x:si>
  <x:si>
    <x:t>156 Triq Ganu, Birkirkara, Malta</x:t>
  </x:si>
  <x:si>
    <x:t>David Interiors, 161, St. Edwards Street, Qormi</x:t>
  </x:si>
  <x:si>
    <x:t>L, 52 Triq Il- Muzika, Iklin IKL 1091</x:t>
  </x:si>
  <x:si>
    <x:t>JB Stores, JB House, Iklin Road, Iklin</x:t>
  </x:si>
  <x:si>
    <x:t>Triq-il Bufura l-Hamra, Mosta</x:t>
  </x:si>
  <x:si>
    <x:t>Zircon Suites Triq ta' Zejfa,Mosta, Malta.</x:t>
  </x:si>
  <x:si>
    <x:t>sunlockblinds.com</x:t>
  </x:si>
  <x:si>
    <x:t>gozoverticals.com/</x:t>
  </x:si>
  <x:si>
    <x:t>mghomeinteriors.com/#services</x:t>
  </x:si>
  <x:si>
    <x:t>nigeldimech.com/</x:t>
  </x:si>
  <x:si>
    <x:t>kulurimalta.com/</x:t>
  </x:si>
  <x:si>
    <x:t>bdblinds.mt/</x:t>
  </x:si>
  <x:si>
    <x:t>yourblindsmalta.com/</x:t>
  </x:si>
  <x:si>
    <x:t>zebrablindsmalta.com/</x:t>
  </x:si>
  <x:si>
    <x:t>facebook.com/nblindsmalta/?utm_source=chatgpt.com</x:t>
  </x:si>
  <x:si>
    <x:t>micasasolutions.eu/</x:t>
  </x:si>
  <x:si>
    <x:t>davidinteriors.com/en/home.htm</x:t>
  </x:si>
  <x:si>
    <x:t>pvcmalta.com/en/home.htm</x:t>
  </x:si>
  <x:si>
    <x:t>stanthonyww.com/</x:t>
  </x:si>
  <x:si>
    <x:t>maltadiy.com/</x:t>
  </x:si>
  <x:si>
    <x:t>jbstoresonline.com/</x:t>
  </x:si>
  <x:si>
    <x:t>budgetblinds.mt/</x:t>
  </x:si>
  <x:si>
    <x:t>royaltyscreens.com/contact-us</x:t>
  </x:si>
  <x:si>
    <x:t>Systems</x:t>
  </x:si>
  <x:si>
    <x:t>Fire alarms</x:t>
  </x:si>
  <x:si>
    <x:t>CCTV</x:t>
  </x:si>
  <x:si>
    <x:t>Pv panels</x:t>
  </x:si>
  <x:si>
    <x:t>J Grima &amp; Co Ltd</x:t>
  </x:si>
  <x:si>
    <x:t>Antifire Safety &amp; Security Ltd</x:t>
  </x:si>
  <x:si>
    <x:t>A E C O Telecom &amp; Security Systems</x:t>
  </x:si>
  <x:si>
    <x:t>Soteria Ltd</x:t>
  </x:si>
  <x:si>
    <x:t>P D Security Installations</x:t>
  </x:si>
  <x:si>
    <x:t>Elektro Services</x:t>
  </x:si>
  <x:si>
    <x:t>Securtek Limited</x:t>
  </x:si>
  <x:si>
    <x:t>Alarm Tech</x:t>
  </x:si>
  <x:si>
    <x:t>CB Security</x:t>
  </x:si>
  <x:si>
    <x:t>CCTV Solutions</x:t>
  </x:si>
  <x:si>
    <x:t>Correct Terminations Ltd</x:t>
  </x:si>
  <x:si>
    <x:t>Craud Security</x:t>
  </x:si>
  <x:si>
    <x:t>Dedicated Micros Ltd</x:t>
  </x:si>
  <x:si>
    <x:t>Dar Services Ltd</x:t>
  </x:si>
  <x:si>
    <x:t>DL Techs</x:t>
  </x:si>
  <x:si>
    <x:t>Eagle Security Systems</x:t>
  </x:si>
  <x:si>
    <x:t>ECOM Communication &amp; Security</x:t>
  </x:si>
  <x:si>
    <x:t>Fire &amp; Theft</x:t>
  </x:si>
  <x:si>
    <x:t>H&amp;C Installations Ltd</x:t>
  </x:si>
  <x:si>
    <x:t>HiSec</x:t>
  </x:si>
  <x:si>
    <x:t>IJ Solutions</x:t>
  </x:si>
  <x:si>
    <x:t>Integrated Electronics Ltd</x:t>
  </x:si>
  <x:si>
    <x:t>ISPY Projects</x:t>
  </x:si>
  <x:si>
    <x:t>M I Systems</x:t>
  </x:si>
  <x:si>
    <x:t>Mediterranean Protection Solutions</x:t>
  </x:si>
  <x:si>
    <x:t>Secom Ltd</x:t>
  </x:si>
  <x:si>
    <x:t>Tech Advance Security Systems</x:t>
  </x:si>
  <x:si>
    <x:t>Universal Micro Security</x:t>
  </x:si>
  <x:si>
    <x:t>SML</x:t>
  </x:si>
  <x:si>
    <x:t>Alberta</x:t>
  </x:si>
  <x:si>
    <x:t>Focal Tech Malta</x:t>
  </x:si>
  <x:si>
    <x:t>Masco</x:t>
  </x:si>
  <x:si>
    <x:t>SecureVision</x:t>
  </x:si>
  <x:si>
    <x:t>Firetech</x:t>
  </x:si>
  <x:si>
    <x:t>SecuRich</x:t>
  </x:si>
  <x:si>
    <x:t>Cobra</x:t>
  </x:si>
  <x:si>
    <x:t>CZ SmartTech</x:t>
  </x:si>
  <x:si>
    <x:t>AQS ENERGY</x:t>
  </x:si>
  <x:si>
    <x:t>Alternative Technologies Ltd</x:t>
  </x:si>
  <x:si>
    <x:t>Solar Solutions Ltd</x:t>
  </x:si>
  <x:si>
    <x:t>CallejaFormosa Energy Saving</x:t>
  </x:si>
  <x:si>
    <x:t>CD Power Solutions Co Ltd</x:t>
  </x:si>
  <x:si>
    <x:t>CFL Group Engineering Malta Ltd</x:t>
  </x:si>
  <x:si>
    <x:t>CS Technical Services</x:t>
  </x:si>
  <x:si>
    <x:t>Electrofix Group</x:t>
  </x:si>
  <x:si>
    <x:t>Gozo Solar Energy</x:t>
  </x:si>
  <x:si>
    <x:t>JLC energy - home</x:t>
  </x:si>
  <x:si>
    <x:t>Luxury Living Technologies Limited</x:t>
  </x:si>
  <x:si>
    <x:t>Power Plus Trading Limited</x:t>
  </x:si>
  <x:si>
    <x:t>Unit Energy Solar</x:t>
  </x:si>
  <x:si>
    <x:t>Virtue Solaris</x:t>
  </x:si>
  <x:si>
    <x:t>info@jgrima.com</x:t>
  </x:si>
  <x:si>
    <x:t>info@antifire.com.mt</x:t>
  </x:si>
  <x:si>
    <x:t>info@aeco.com.mt</x:t>
  </x:si>
  <x:si>
    <x:t>info@pdsecuritymalta.com</x:t>
  </x:si>
  <x:si>
    <x:t>info@soteria.com.mt</x:t>
  </x:si>
  <x:si>
    <x:t>info@elektroservices.com.mt</x:t>
  </x:si>
  <x:si>
    <x:t>info@security.com.mt</x:t>
  </x:si>
  <x:si>
    <x:t>info@alarmtechmalta.com</x:t>
  </x:si>
  <x:si>
    <x:t>info@cbsecuritymalta.com</x:t>
  </x:si>
  <x:si>
    <x:t>darren@d-tech.mt</x:t>
  </x:si>
  <x:si>
    <x:t>jmallia@vol.net.mt</x:t>
  </x:si>
  <x:si>
    <x:t>craudsecurity@gmail.com</x:t>
  </x:si>
  <x:si>
    <x:t>sales@dmicros.com.mt</x:t>
  </x:si>
  <x:si>
    <x:t>info@darservicesmalta.com</x:t>
  </x:si>
  <x:si>
    <x:t>dlc.cachia@gmail.com</x:t>
  </x:si>
  <x:si>
    <x:t>info@eaglesecurity.com.mt</x:t>
  </x:si>
  <x:si>
    <x:t>ecom@ecommalta.com</x:t>
  </x:si>
  <x:si>
    <x:t>alarms@maltanet.net</x:t>
  </x:si>
  <x:si>
    <x:t>sales@hc.com.mt</x:t>
  </x:si>
  <x:si>
    <x:t>info@hisecurity.com</x:t>
  </x:si>
  <x:si>
    <x:t>info@ijsolutions.net</x:t>
  </x:si>
  <x:si>
    <x:t>info@ielmalta.com</x:t>
  </x:si>
  <x:si>
    <x:t>info@ispyprojects.com</x:t>
  </x:si>
  <x:si>
    <x:t>info@misystemsmalta.com</x:t>
  </x:si>
  <x:si>
    <x:t>info@prosolutions.com.mt</x:t>
  </x:si>
  <x:si>
    <x:t>secom@onvol.net</x:t>
  </x:si>
  <x:si>
    <x:t>techadvance.security@gmail.com</x:t>
  </x:si>
  <x:si>
    <x:t>umsmalta@gmail.com</x:t>
  </x:si>
  <x:si>
    <x:t>info@sml.com.mt</x:t>
  </x:si>
  <x:si>
    <x:t>info@alberta.com.mt</x:t>
  </x:si>
  <x:si>
    <x:t>info@focaltechmalta.com</x:t>
  </x:si>
  <x:si>
    <x:t>info@masco.com.mt</x:t>
  </x:si>
  <x:si>
    <x:t>info@securevision.com.mt</x:t>
  </x:si>
  <x:si>
    <x:t>info@firetech.com.mt</x:t>
  </x:si>
  <x:si>
    <x:t>info@securichmalta.com</x:t>
  </x:si>
  <x:si>
    <x:t>kevin@cobrainstallations.com</x:t>
  </x:si>
  <x:si>
    <x:t>info@czsmarttech.com</x:t>
  </x:si>
  <x:si>
    <x:t>sales@aqsmed.com</x:t>
  </x:si>
  <x:si>
    <x:t>info@alternativetechnologies.com.mt</x:t>
  </x:si>
  <x:si>
    <x:t>info@solarsolutions.com.mt</x:t>
  </x:si>
  <x:si>
    <x:t>info@callejaformosaenergysaving.com</x:t>
  </x:si>
  <x:si>
    <x:t>info@powersolutions.com.mt</x:t>
  </x:si>
  <x:si>
    <x:t>cflgroupmalta@gmail.com</x:t>
  </x:si>
  <x:si>
    <x:t>josephspiteri.cs@gmail.com</x:t>
  </x:si>
  <x:si>
    <x:t>sales@electrofixgroup.com</x:t>
  </x:si>
  <x:si>
    <x:t>gozo.solar@gmail.com</x:t>
  </x:si>
  <x:si>
    <x:t>jlcenergyhome@gmail.com</x:t>
  </x:si>
  <x:si>
    <x:t>info@llt.com.mt</x:t>
  </x:si>
  <x:si>
    <x:t>info@powerplusltd.com</x:t>
  </x:si>
  <x:si>
    <x:t>info@unitenergysolar.com</x:t>
  </x:si>
  <x:si>
    <x:t>info@virtuesolaris.com</x:t>
  </x:si>
  <x:si>
    <x:t>soteria.com.mt</x:t>
  </x:si>
  <x:si>
    <x:t>aeco.com.mt</x:t>
  </x:si>
  <x:si>
    <x:t>antifire.com.mt</x:t>
  </x:si>
  <x:si>
    <x:t>facebook.com/pdsec.malta?utm_source=Yellow&amp;utm_medium=Yellow-Website&amp;utm_campaign=Landing-Page#</x:t>
  </x:si>
  <x:si>
    <x:t>jgrima.com</x:t>
  </x:si>
  <x:si>
    <x:t>130, Triq Salvu Psaila, B'Kara</x:t>
  </x:si>
  <x:si>
    <x:t>Triq il-Belt Valetta, Qormi</x:t>
  </x:si>
  <x:si>
    <x:t>10 Triq Amabile Sisner, Fgura</x:t>
  </x:si>
  <x:si>
    <x:t>25 Triq il-Bennej, Mosta</x:t>
  </x:si>
  <x:si>
    <x:t>Dawert Hal Ghaxaq</x:t>
  </x:si>
  <x:si>
    <x:t>347 Triq D’Argens, Il-Gżira</x:t>
  </x:si>
  <x:si>
    <x:t>9 Triq in-Narcis, San Gwann</x:t>
  </x:si>
  <x:si>
    <x:t>Sub 901 Triq F S Caruana Qasam Industrijali, San Gwann</x:t>
  </x:si>
  <x:si>
    <x:t>40 Triq il-Konvoj Ta' Santa Marija, Mqabba</x:t>
  </x:si>
  <x:si>
    <x:t>258 Triq is-Sur, Fgura</x:t>
  </x:si>
  <x:si>
    <x:t>Triq Felicia Abela, Zejtun</x:t>
  </x:si>
  <x:si>
    <x:t>168 Triq Bajada, Zabbar</x:t>
  </x:si>
  <x:si>
    <x:t>BLB 017 Qasam Industijali, Bulebel, Zejtun</x:t>
  </x:si>
  <x:si>
    <x:t>Triq il-Belt Valletta, Luqa</x:t>
  </x:si>
  <x:si>
    <x:t>Triq in-Nafra, Naxxar</x:t>
  </x:si>
  <x:si>
    <x:t>38 Triq I-Ixprunara, Ghajnsielem-Gozo</x:t>
  </x:si>
  <x:si>
    <x:t>Triq Adeodato Gatt, Zebbug</x:t>
  </x:si>
  <x:si>
    <x:t>22 Triq il-Fieres, Tarxien</x:t>
  </x:si>
  <x:si>
    <x:t>34, flat 1 Triq I-Egrett Isfar, Luqa</x:t>
  </x:si>
  <x:si>
    <x:t>25 Triq il-Kullegg, Rabat</x:t>
  </x:si>
  <x:si>
    <x:t>Triq ir-Raghaj, Qormi</x:t>
  </x:si>
  <x:si>
    <x:t>28 Triq Gemma Portelli, Msida</x:t>
  </x:si>
  <x:si>
    <x:t>Triq Geronimo Abos, Iklin</x:t>
  </x:si>
  <x:si>
    <x:t>24 Triq il-Kissier, Mosta</x:t>
  </x:si>
  <x:si>
    <x:t>127 l-etoile Triq il-Garni, Mellieha</x:t>
  </x:si>
  <x:si>
    <x:t>84 Triq Stiefnu Zefafa, Marsa</x:t>
  </x:si>
  <x:si>
    <x:t>Triq il-Kbira, Lija</x:t>
  </x:si>
  <x:si>
    <x:t>Garage 4 Triq Edgar Ferro, Pieta'</x:t>
  </x:si>
  <x:si>
    <x:t>Blu Building, Qormi Road, Luqa</x:t>
  </x:si>
  <x:si>
    <x:t>Triq San Gwakkin, Zone 3,
Central Business District, Birkirkara,
CBD 3030, Malta</x:t>
  </x:si>
  <x:si>
    <x:t>Masco House, Valletta Road, Mosta</x:t>
  </x:si>
  <x:si>
    <x:t>Focal Tech Malta
Triq Alfredo Cachia Zammit.
Zejtun, Malta</x:t>
  </x:si>
  <x:si>
    <x:t>Securevision,
W.S Gauci Limited,
Wignacourt Street,
Birkirkara, BKR 4714,
Malta</x:t>
  </x:si>
  <x:si>
    <x:t>Zone 5, Central Business District,
99 Triq il-Mitħna, Qormi CBD 5090</x:t>
  </x:si>
  <x:si>
    <x:t>Securich Co Ltd
121, Mdina Road, Zebbug</x:t>
  </x:si>
  <x:si>
    <x:t>9 Triq F S Caruana, B'Kara</x:t>
  </x:si>
  <x:si>
    <x:t>1 triq Dun Guzepp Xerri, San Giljan</x:t>
  </x:si>
  <x:si>
    <x:t>2, 3 Triq tal-Balal Tax-Xwieki, Gharghur</x:t>
  </x:si>
  <x:si>
    <x:t>Paradise Triq Fra Baskal, Zebbug-Gozo</x:t>
  </x:si>
  <x:si>
    <x:t>Ciancio House, Zone 5 Triq ll-Kanun Central Business District, Qormi</x:t>
  </x:si>
  <x:si>
    <x:t>39 Triq il-Kwartin, Swieqi</x:t>
  </x:si>
  <x:si>
    <x:t>133 CSTS Ltd Triq il-Koppla, Fgura</x:t>
  </x:si>
  <x:si>
    <x:t>Triq il-Burdnara, Qormi</x:t>
  </x:si>
  <x:si>
    <x:t>Summer Set House Triq Dun Karlu Zimech Nadur-Gozo</x:t>
  </x:si>
  <x:si>
    <x:t>220 Triq Alfredo Cachia Zammit, Zejtun</x:t>
  </x:si>
  <x:si>
    <x:t>Green Business Comples Triq il-Hofor, Qormi</x:t>
  </x:si>
  <x:si>
    <x:t>20, Triq Pietru Xuereb, Pieta'</x:t>
  </x:si>
  <x:si>
    <x:t>231 Triq il-Kungress Ewkaristiku, Mosta</x:t>
  </x:si>
  <x:si>
    <x:t>Sagra Famiglia Building Triq Mro Giorgio Zarb, Qormi</x:t>
  </x:si>
  <x:si>
    <x:t>alarmtechmalta.com</x:t>
  </x:si>
  <x:si>
    <x:t>elektroservices.com.mt/</x:t>
  </x:si>
  <x:si>
    <x:t>intercoms.com.mt/</x:t>
  </x:si>
  <x:si>
    <x:t>cbsecuritymalta.com</x:t>
  </x:si>
  <x:si>
    <x:t>facebook.com/p/Craud-Security-100083313423806/</x:t>
  </x:si>
  <x:si>
    <x:t>dedicatedmicros.com</x:t>
  </x:si>
  <x:si>
    <x:t>darservicesmalta.com</x:t>
  </x:si>
  <x:si>
    <x:t>eaglesecurity.com.mt</x:t>
  </x:si>
  <x:si>
    <x:t>ecommalta.com</x:t>
  </x:si>
  <x:si>
    <x:t>facebook.com/hcinstallationsltd/</x:t>
  </x:si>
  <x:si>
    <x:t>facebook.com/hisecmalta/</x:t>
  </x:si>
  <x:si>
    <x:t>ijsolutions.net</x:t>
  </x:si>
  <x:si>
    <x:t>ielsecuritymalta.com</x:t>
  </x:si>
  <x:si>
    <x:t>ispyprojects.com</x:t>
  </x:si>
  <x:si>
    <x:t>facebook.com/misystemsmalta/</x:t>
  </x:si>
  <x:si>
    <x:t>prosolutions.com.mt</x:t>
  </x:si>
  <x:si>
    <x:t>facebook.com/p/Tech-Advance-100063610688391/</x:t>
  </x:si>
  <x:si>
    <x:t>universalmicrosecurity.com</x:t>
  </x:si>
  <x:si>
    <x:t>eni-lift.com</x:t>
  </x:si>
  <x:si>
    <x:t>alberta.com.mt/products-and-services/cctv-systems-for-your-home/</x:t>
  </x:si>
  <x:si>
    <x:t>focaltechmalta.com/solutions/safire-smart-cctv/</x:t>
  </x:si>
  <x:si>
    <x:t>masco.com.mt/contact-us/</x:t>
  </x:si>
  <x:si>
    <x:t>securevision.com.mt/sv/product-category/security/cctv/</x:t>
  </x:si>
  <x:si>
    <x:t>firetech.com.mt/about-us</x:t>
  </x:si>
  <x:si>
    <x:t>securichmalta.com/en/services/services/5/cctv-cameras.htm</x:t>
  </x:si>
  <x:si>
    <x:t>cobrainstallations.com/</x:t>
  </x:si>
  <x:si>
    <x:t>czsmarttech.com/</x:t>
  </x:si>
  <x:si>
    <x:t>aqsmed.com</x:t>
  </x:si>
  <x:si>
    <x:t>alternativetechnologies.com.mt</x:t>
  </x:si>
  <x:si>
    <x:t>solarsolutions.com.mt</x:t>
  </x:si>
  <x:si>
    <x:t>callejaformosaenergysaving.com</x:t>
  </x:si>
  <x:si>
    <x:t>powersolutions.com.mt</x:t>
  </x:si>
  <x:si>
    <x:t>cflgroupmalta.com</x:t>
  </x:si>
  <x:si>
    <x:t>csts-malta.com</x:t>
  </x:si>
  <x:si>
    <x:t>electrofixgroup.com</x:t>
  </x:si>
  <x:si>
    <x:t>facebook.com/p/Gozo-Solar-Energy-Solar-Panels-and-Solar-Water-Heaters-100057213680113/</x:t>
  </x:si>
  <x:si>
    <x:t>facebook.com/people/JLC-energy-home/100063454366944/?fref=ts%3Futm_source%3DYellow&amp;utm_medium=Yellow-Website&amp;utm_campaign=Landing-Page#</x:t>
  </x:si>
  <x:si>
    <x:t>llt.com.mt</x:t>
  </x:si>
  <x:si>
    <x:t>powerplus.com</x:t>
  </x:si>
  <x:si>
    <x:t>unitenergysolar.com</x:t>
  </x:si>
  <x:si>
    <x:t>virtuesolaris.com</x:t>
  </x:si>
  <x:si>
    <x:t>idroplastmalta.com</x:t>
  </x:si>
  <x:si>
    <x:t>water tank</x:t>
  </x:si>
  <x:si>
    <x:t>Idroplast Manufacturing Ltd</x:t>
  </x:si>
  <x:si>
    <x:t>KHS Malta</x:t>
  </x:si>
  <x:si>
    <x:t>Micallef Fibreglass Works</x:t>
  </x:si>
  <x:si>
    <x:t>Framegrip Ltd</x:t>
  </x:si>
  <x:si>
    <x:t>JWT Caruana</x:t>
  </x:si>
  <x:si>
    <x:t>The Hardware Store</x:t>
  </x:si>
  <x:si>
    <x:t>Richie's Ironmongery</x:t>
  </x:si>
  <x:si>
    <x:t>Old Key Ironmongery</x:t>
  </x:si>
  <x:si>
    <x:t>W Cardona Trading</x:t>
  </x:si>
  <x:si>
    <x:t>Cauchi Joseph Ironmongery</x:t>
  </x:si>
  <x:si>
    <x:t>Alldecor Hardware Supplies</x:t>
  </x:si>
  <x:si>
    <x:t>The Ironmonger</x:t>
  </x:si>
  <x:si>
    <x:t>AFS</x:t>
  </x:si>
  <x:si>
    <x:t>Midea</x:t>
  </x:si>
  <x:si>
    <x:t>Tesy</x:t>
  </x:si>
  <x:si>
    <x:t>Zenith</x:t>
  </x:si>
  <x:si>
    <x:t>Atlantic</x:t>
  </x:si>
  <x:si>
    <x:t>Thermex</x:t>
  </x:si>
  <x:si>
    <x:t>BT Commerical</x:t>
  </x:si>
  <x:si>
    <x:t>Carini</x:t>
  </x:si>
  <x:si>
    <x:t>ProChimp</x:t>
  </x:si>
  <x:si>
    <x:t>Tarcisio Caruana</x:t>
  </x:si>
  <x:si>
    <x:t>Attard's Household Goods and Appliances</x:t>
  </x:si>
  <x:si>
    <x:t>info@idroplastmalta.com</x:t>
  </x:si>
  <x:si>
    <x:t>james@framegrip.com</x:t>
  </x:si>
  <x:si>
    <x:t>thehardwarestoremalta@gmail.com</x:t>
  </x:si>
  <x:si>
    <x:t>info@jwtcaruana.com</x:t>
  </x:si>
  <x:si>
    <x:t>rironmongomery@onvol.net</x:t>
  </x:si>
  <x:si>
    <x:t>deguara24@gmail.com</x:t>
  </x:si>
  <x:si>
    <x:t>wcardonatrading@gmail.com</x:t>
  </x:si>
  <x:si>
    <x:t>jcironmongomery@mail.com</x:t>
  </x:si>
  <x:si>
    <x:t>alldecor@maltanet.net</x:t>
  </x:si>
  <x:si>
    <x:t>info@afs.com.mt</x:t>
  </x:si>
  <x:si>
    <x:t>kevinbartololtd@gmail.com</x:t>
  </x:si>
  <x:si>
    <x:t>office@tesy.com</x:t>
  </x:si>
  <x:si>
    <x:t>info@atlanticwaterheaters.com.mt</x:t>
  </x:si>
  <x:si>
    <x:t>info@thermex.com.mt</x:t>
  </x:si>
  <x:si>
    <x:t>sales@flamingo.mt</x:t>
  </x:si>
  <x:si>
    <x:t>info@btmalta.com</x:t>
  </x:si>
  <x:si>
    <x:t>team-b2b@atoz.com.mt</x:t>
  </x:si>
  <x:si>
    <x:t>info@tarcisiocaruana.com</x:t>
  </x:si>
  <x:si>
    <x:t>info@attardsmalta.com</x:t>
  </x:si>
  <x:si>
    <x:t>Factory MRA014, Qasam Industrijali, Marsa, Malta</x:t>
  </x:si>
  <x:si>
    <x:t>54, Castaldi Street, Żabbar ZBR1453, Malta</x:t>
  </x:si>
  <x:si>
    <x:t>7, Sun Down Yard, Triq il-Burmarrad, Naxxar, Malta NXR 6345</x:t>
  </x:si>
  <x:si>
    <x:t>Triq Il-Mosta, Hal Lija, Malta LJA 9010</x:t>
  </x:si>
  <x:si>
    <x:t>Caruana Farm, Triq it-Tnax Ta' Mejju, Żebbuġ, ZBG 1281, Malta</x:t>
  </x:si>
  <x:si>
    <x:t>31 Triq il-Witja ,
Tarxien, Malta TXN 2296</x:t>
  </x:si>
  <x:si>
    <x:t>222, 224 Vjal il-Wiehed U Ghoxrin Ta’ Settembru ,
Naxxar, Malta NXR 1012</x:t>
  </x:si>
  <x:si>
    <x:t>Triq il-Klin ,
Iklin, Malta IKL 1032</x:t>
  </x:si>
  <x:si>
    <x:t>242 Triq l-Imdina ,
Qormi, Malta QRM 9014</x:t>
  </x:si>
  <x:si>
    <x:t>9 Triq Dun Nerik Cordina Perez ,
Hamrun, Malta HMR 2101</x:t>
  </x:si>
  <x:si>
    <x:t>166 Triq il-Kullegg L-Antik ,
Sliema, Malta SLM 1373</x:t>
  </x:si>
  <x:si>
    <x:t>16 Triq Sant’ Antnin ,
M’Skala, Malta MSK 9058</x:t>
  </x:si>
  <x:si>
    <x:t>Triq L-Imdina, Ħ'Attard, Malta</x:t>
  </x:si>
  <x:si>
    <x:t>micalleffibreglassworks.com</x:t>
  </x:si>
  <x:si>
    <x:t>jwtcaruana.com</x:t>
  </x:si>
  <x:si>
    <x:t>thehardwarestoremalta.com/</x:t>
  </x:si>
  <x:si>
    <x:t>facebook.com/1675915686031114</x:t>
  </x:si>
  <x:si>
    <x:t>richiesironmongerymalta.com</x:t>
  </x:si>
  <x:si>
    <x:t>wcardonatrading.com/</x:t>
  </x:si>
  <x:si>
    <x:t>jcironmongery.com</x:t>
  </x:si>
  <x:si>
    <x:t>facebook.com/afsmalta/</x:t>
  </x:si>
  <x:si>
    <x:t>fbpmalta.com/</x:t>
  </x:si>
  <x:si>
    <x:t>MAKS Engineering</x:t>
  </x:si>
  <x:si>
    <x:t>STO Services</x:t>
  </x:si>
  <x:si>
    <x:t>Marlon Mercieca</x:t>
  </x:si>
  <x:si>
    <x:t>Retrofit</x:t>
  </x:si>
  <x:si>
    <x:t>Architworks</x:t>
  </x:si>
  <x:si>
    <x:t>RDC Consultants</x:t>
  </x:si>
  <x:si>
    <x:t>STO Services Malta</x:t>
  </x:si>
  <x:si>
    <x:t>Perit Daniel Portelli</x:t>
  </x:si>
  <x:si>
    <x:t>AI Engineering Solutions</x:t>
  </x:si>
  <x:si>
    <x:t>Aaron Abela</x:t>
  </x:si>
  <x:si>
    <x:t>Adrian Formosa</x:t>
  </x:si>
  <x:si>
    <x:t>Adam Pace</x:t>
  </x:si>
  <x:si>
    <x:t>Alexander Sammut</x:t>
  </x:si>
  <x:si>
    <x:t>Antoine Brincat</x:t>
  </x:si>
  <x:si>
    <x:t>Anthony Micallef</x:t>
  </x:si>
  <x:si>
    <x:t>Catherine Galea</x:t>
  </x:si>
  <x:si>
    <x:t>Christian Attard</x:t>
  </x:si>
  <x:si>
    <x:t>Christian Fenech</x:t>
  </x:si>
  <x:si>
    <x:t>Claire Ghigo</x:t>
  </x:si>
  <x:si>
    <x:t>Clayton Zammit</x:t>
  </x:si>
  <x:si>
    <x:t>Dario Esposito</x:t>
  </x:si>
  <x:si>
    <x:t>ENWAR OULAIWI</x:t>
  </x:si>
  <x:si>
    <x:t>George Cauchi</x:t>
  </x:si>
  <x:si>
    <x:t>George Xuereb</x:t>
  </x:si>
  <x:si>
    <x:t>info@maksengmalta.com</x:t>
  </x:si>
  <x:si>
    <x:t>marlon1790@hotmail.com</x:t>
  </x:si>
  <x:si>
    <x:t>info@retrofit.com.mt</x:t>
  </x:si>
  <x:si>
    <x:t>info@architworks.com</x:t>
  </x:si>
  <x:si>
    <x:t>rdcmalta@gmail.com</x:t>
  </x:si>
  <x:si>
    <x:t>sitetechnicalofficermalta@gmail.com</x:t>
  </x:si>
  <x:si>
    <x:t>info@stoservicesltd.com</x:t>
  </x:si>
  <x:si>
    <x:t>daniel@dpa.com.mt</x:t>
  </x:si>
  <x:si>
    <x:t>iagius@aiesltd.com</x:t>
  </x:si>
  <x:si>
    <x:t>akarchistudio@gmail.com</x:t>
  </x:si>
  <x:si>
    <x:t>adrian180690@gmail.com</x:t>
  </x:si>
  <x:si>
    <x:t>ap@paceadam.com</x:t>
  </x:si>
  <x:si>
    <x:t>alexander.sammut.16@gmail.com</x:t>
  </x:si>
  <x:si>
    <x:t>antoinebrincat.mlt@gmail.com</x:t>
  </x:si>
  <x:si>
    <x:t>antdormic@gmail.com</x:t>
  </x:si>
  <x:si>
    <x:t>cg@techman.com.mt</x:t>
  </x:si>
  <x:si>
    <x:t>christian.attard@gmail.com</x:t>
  </x:si>
  <x:si>
    <x:t>cfperit@gmail.com</x:t>
  </x:si>
  <x:si>
    <x:t>claireghigo@gmail.com</x:t>
  </x:si>
  <x:si>
    <x:t>clayton.zammit@yahoo.com</x:t>
  </x:si>
  <x:si>
    <x:t>ingdarioespo@gmail.com</x:t>
  </x:si>
  <x:si>
    <x:t>enwar27699@gmail.com</x:t>
  </x:si>
  <x:si>
    <x:t>gorgcauchi@gmail.com</x:t>
  </x:si>
  <x:si>
    <x:t>xuereb.george@gmail.com</x:t>
  </x:si>
  <x:si>
    <x:t>Consultancy</x:t>
  </x:si>
  <x:si>
    <x:t>A+ MEP Consultancy Services</x:t>
  </x:si>
  <x:si>
    <x:t>aplusmep.ce@gmail.com</x:t>
  </x:si>
  <x:si>
    <x:t>dslifts.com</x:t>
  </x:si>
  <x:si>
    <x:t>lift inspection &amp; certification</x:t>
  </x:si>
  <x:si>
    <x:t>lift</x:t>
  </x:si>
  <x:si>
    <x:t>D&amp;S Lifts (Maintenance) Ltd</x:t>
  </x:si>
  <x:si>
    <x:t>Groffe Elevator Services Ltd</x:t>
  </x:si>
  <x:si>
    <x:t>Apex Lifts</x:t>
  </x:si>
  <x:si>
    <x:t>Etralia Limited</x:t>
  </x:si>
  <x:si>
    <x:t>Titan International Limited</x:t>
  </x:si>
  <x:si>
    <x:t>Eni Lift Malta</x:t>
  </x:si>
  <x:si>
    <x:t>Air‑tro Services</x:t>
  </x:si>
  <x:si>
    <x:t>Bertu Lifting Service</x:t>
  </x:si>
  <x:si>
    <x:t>High Rise Co Ltd</x:t>
  </x:si>
  <x:si>
    <x:t>Panta Lesco Ltd</x:t>
  </x:si>
  <x:si>
    <x:t>Schindler Malta Ltd</x:t>
  </x:si>
  <x:si>
    <x:t>Eleva Lifts Co Ltd</x:t>
  </x:si>
  <x:si>
    <x:t>S.S Lifts Orona</x:t>
  </x:si>
  <x:si>
    <x:t>Vertibus</x:t>
  </x:si>
  <x:si>
    <x:t>IGM Lifts</x:t>
  </x:si>
  <x:si>
    <x:t>Lift Services</x:t>
  </x:si>
  <x:si>
    <x:t>Elevation</x:t>
  </x:si>
  <x:si>
    <x:t>S&amp;A Quality Assurance Ltd</x:t>
  </x:si>
  <x:si>
    <x:t>info@dslifts.com</x:t>
  </x:si>
  <x:si>
    <x:t>groffelifts@gmail.com</x:t>
  </x:si>
  <x:si>
    <x:t>info@etralia.com</x:t>
  </x:si>
  <x:si>
    <x:t>info@apexlifts.com.mt</x:t>
  </x:si>
  <x:si>
    <x:t>info@titan.mizzi.com.mt</x:t>
  </x:si>
  <x:si>
    <x:t>eniliftmalta@gmail.com</x:t>
  </x:si>
  <x:si>
    <x:t>air‑tro_service@outlook.com</x:t>
  </x:si>
  <x:si>
    <x:t>bertulifting@gmail.com</x:t>
  </x:si>
  <x:si>
    <x:t>info@highriselifts.com</x:t>
  </x:si>
  <x:si>
    <x:t>enquiries@pantalesco.com</x:t>
  </x:si>
  <x:si>
    <x:t>info_malta@schindler.com</x:t>
  </x:si>
  <x:si>
    <x:t>sales@elevaliftsmalta.com</x:t>
  </x:si>
  <x:si>
    <x:t>info.mt@otis.com</x:t>
  </x:si>
  <x:si>
    <x:t>info@sslifts.com</x:t>
  </x:si>
  <x:si>
    <x:t>info@igmlifts.com</x:t>
  </x:si>
  <x:si>
    <x:t>info@liftservices.com.mt</x:t>
  </x:si>
  <x:si>
    <x:t>info@elevation.mt</x:t>
  </x:si>
  <x:si>
    <x:t>info@qualitymalta.com</x:t>
  </x:si>
  <x:si>
    <x:t>Vjal il‑Wieħed u Għoxrin ta' Settembru, Naxxar</x:t>
  </x:si>
  <x:si>
    <x:t>5/3, Triq l‑Imsida, Gżira GZR 1401</x:t>
  </x:si>
  <x:si>
    <x:t>14, Triq San Mikiel, Rabat RBT 2440</x:t>
  </x:si>
  <x:si>
    <x:t>39, Triq San Ġakmu, Luqa LQA 1892</x:t>
  </x:si>
  <x:si>
    <x:t>The Lyric, Triq Antonio Bosio, L‑Imsida</x:t>
  </x:si>
  <x:si>
    <x:t>Triq San Filippu, Mġarr/M’najdra?</x:t>
  </x:si>
  <x:si>
    <x:t>Triq Piscopo Macedonia, San Pawl il‑Baħar</x:t>
  </x:si>
  <x:si>
    <x:t>Triq il‑Gudja, Ħal Għaxaq</x:t>
  </x:si>
  <x:si>
    <x:t>Factory LQA 5/6/7, Luqa Industrial Estate</x:t>
  </x:si>
  <x:si>
    <x:t>Panta House, Triq il‑Wied ta' l‑Imsida</x:t>
  </x:si>
  <x:si>
    <x:t>2, Triq Roger Debattista, Hamrun HMR 1271</x:t>
  </x:si>
  <x:si>
    <x:t>Mdina Bastions Block A, Triq Michael Bonnici, Żebbuġ</x:t>
  </x:si>
  <x:si>
    <x:t>S.S. Lifts Orona,
13, Triq it-Turisti
Qawra, SPB1028
Malta</x:t>
  </x:si>
  <x:si>
    <x:t>MRA048D, Industrial Estate,
Marsa, MRS3000, Malta</x:t>
  </x:si>
  <x:si>
    <x:t>I G M Lift Supplies &amp; Services
Triq Moroni ,
Sliema Malta SLM 1210</x:t>
  </x:si>
  <x:si>
    <x:t>Factory A25F,
Marsa Industrial Estate, Malta</x:t>
  </x:si>
  <x:si>
    <x:t>Elevation Ltd
Upper A12 Midland Industrial Estate
Triq Burmarrad Naxxar, NXR 6345
Malta</x:t>
  </x:si>
  <x:si>
    <x:t>Joedi Graziella Apartments, Triq l‑Iskola, Imśida</x:t>
  </x:si>
  <x:si>
    <x:t>apexlifts.com.mt</x:t>
  </x:si>
  <x:si>
    <x:t>etralia.com</x:t>
  </x:si>
  <x:si>
    <x:t>titan.com.mt</x:t>
  </x:si>
  <x:si>
    <x:t>bertulifting.com.mt</x:t>
  </x:si>
  <x:si>
    <x:t>highriselifts.com</x:t>
  </x:si>
  <x:si>
    <x:t>pantalesco.com</x:t>
  </x:si>
  <x:si>
    <x:t>sslifts.com/</x:t>
  </x:si>
  <x:si>
    <x:t>vertibus.com/</x:t>
  </x:si>
  <x:si>
    <x:t>igmlifts.com/</x:t>
  </x:si>
  <x:si>
    <x:t>liftservices.com.mt/</x:t>
  </x:si>
  <x:si>
    <x:t>elevation.mt/</x:t>
  </x:si>
  <x:si>
    <x:t>Flooring</x:t>
  </x:si>
  <x:si>
    <x:t>Installers</x:t>
  </x:si>
  <x:si>
    <x:t>Maduma Home Interiors</x:t>
  </x:si>
  <x:si>
    <x:t>Tutto Parquet</x:t>
  </x:si>
  <x:si>
    <x:t>Rubber Flooring - 389 Co Ltd</x:t>
  </x:si>
  <x:si>
    <x:t>info@madumahomeinteriors.com</x:t>
  </x:si>
  <x:si>
    <x:t>tuttoparquetmalta@gmail.com</x:t>
  </x:si>
  <x:si>
    <x:t>Local Supply</x:t>
  </x:si>
  <x:si>
    <x:t>12, Triq il-Parroċċa 
SVR 1262
Santa Venera</x:t>
  </x:si>
  <x:si>
    <x:t>10, Triq Dun Karm
Birkirkara, Malta</x:t>
  </x:si>
  <x:si>
    <x:t>seamless.com.mt/</x:t>
  </x:si>
  <x:si>
    <x:t>Number of Physical stores</x:t>
  </x:si>
  <x:si>
    <x:t>ITEM</x:t>
  </x:si>
  <x:si>
    <x:t>chris@compassfloorcare.com</x:t>
  </x:si>
  <x:si>
    <x:t>info@rainbowlimited.com</x:t>
  </x:si>
  <x:si>
    <x:t>Japap@geblanaturali.com</x:t>
  </x:si>
  <x:si>
    <x:t>SUPPLIERS</x:t>
  </x:si>
  <x:si>
    <x:t>Tiles</x:t>
  </x:si>
  <x:si>
    <x:t>TILERS</x:t>
  </x:si>
  <x:si>
    <x:t>tilesandmore89@gmail.com</x:t>
  </x:si>
  <x:si>
    <x:t>To send also to:</x:t>
  </x:si>
  <x:si>
    <x:t>vitalityprimebuilders@gmail.com</x:t>
  </x:si>
  <x:si>
    <x:t>wayne_7489@msn.com</x:t>
  </x:si>
  <x:si>
    <x:t>zltcontractor@gmail.com</x:t>
  </x:si>
  <x:si>
    <x:t xml:space="preserve">SUPPLIER </x:t>
  </x:si>
  <x:si>
    <x:t>Brian Tile Cutting and Skirting</x:t>
  </x:si>
  <x:si>
    <x:t>C M K A (Chris Zammit)</x:t>
  </x:si>
  <x:si>
    <x:t>Ceramic Cutting Services Ltd</x:t>
  </x:si>
  <x:si>
    <x:t>Edward Debono</x:t>
  </x:si>
  <x:si>
    <x:t>Aljanid GROUP</x:t>
  </x:si>
  <x:si>
    <x:t>Azzopardi Bros</x:t>
  </x:si>
  <x:si>
    <x:t>Busuttil Ivan Tile Layer</x:t>
  </x:si>
  <x:si>
    <x:t>Charles Grech (Ic-Cippi)</x:t>
  </x:si>
  <x:si>
    <x:t>Damir Sujak</x:t>
  </x:si>
  <x:si>
    <x:t>Etienne Mamo</x:t>
  </x:si>
  <x:si>
    <x:t>FJ Tile Laying</x:t>
  </x:si>
  <x:si>
    <x:t>George Galea</x:t>
  </x:si>
  <x:si>
    <x:t>Saliba Tile Layer</x:t>
  </x:si>
  <x:si>
    <x:t>Camilleri Tile Layer</x:t>
  </x:si>
  <x:si>
    <x:t>Malta Tiling</x:t>
  </x:si>
  <x:si>
    <x:t>Kibitec Ltd</x:t>
  </x:si>
  <x:si>
    <x:t>R/O Finishing Work</x:t>
  </x:si>
  <x:si>
    <x:t>Stephen DeBattista</x:t>
  </x:si>
  <x:si>
    <x:t>ZLT Marble and Tiling Services</x:t>
  </x:si>
  <x:si>
    <x:t>ED Finishings Ltd</x:t>
  </x:si>
  <x:si>
    <x:t>CS Tile &amp; Gypsum Works</x:t>
  </x:si>
  <x:si>
    <x:t>AGF Turnkey Contractors</x:t>
  </x:si>
  <x:si>
    <x:t>Vesko Merkov</x:t>
  </x:si>
  <x:si>
    <x:t>Norbert Genovese</x:t>
  </x:si>
  <x:si>
    <x:t>DWarehouse</x:t>
  </x:si>
  <x:si>
    <x:t>Showtiles &amp; MORE</x:t>
  </x:si>
  <x:si>
    <x:t>R Group Finishing Ltd</x:t>
  </x:si>
  <x:si>
    <x:t>EMAIL</x:t>
  </x:si>
  <x:si>
    <x:t>bgalea11@gmail.com</x:t>
  </x:si>
  <x:si>
    <x:t>cmkazammit@gmail.com</x:t>
  </x:si>
  <x:si>
    <x:t>info@skirting.com.mt</x:t>
  </x:si>
  <x:si>
    <x:t>gabjean@gmail.com</x:t>
  </x:si>
  <x:si>
    <x:t>jamal82aljanid82@gmail.com</x:t>
  </x:si>
  <x:si>
    <x:t>tonytilelayer@hotmail.com</x:t>
  </x:si>
  <x:si>
    <x:t>ivan.busu@hotmail.com</x:t>
  </x:si>
  <x:si>
    <x:t>charliegrech65@gmail.com</x:t>
  </x:si>
  <x:si>
    <x:t>fjtiles@gmail.com</x:t>
  </x:si>
  <x:si>
    <x:t>damirsujak77@gmail.com</x:t>
  </x:si>
  <x:si>
    <x:t>leldor@onvol.net</x:t>
  </x:si>
  <x:si>
    <x:t>info@floorsofstone.com.mt</x:t>
  </x:si>
  <x:si>
    <x:t>gorggalea@gmail.com</x:t>
  </x:si>
  <x:si>
    <x:t>salibatilelayer@gmail.com</x:t>
  </x:si>
  <x:si>
    <x:t>frankiec029@gmail.com</x:t>
  </x:si>
  <x:si>
    <x:t>malta.tiling@gmail.com</x:t>
  </x:si>
  <x:si>
    <x:t>siamnd1985@gmail.com</x:t>
  </x:si>
  <x:si>
    <x:t>stephentilelayer@gmail.com</x:t>
  </x:si>
  <x:si>
    <x:t>edfinishings1@gmail.com</x:t>
  </x:si>
  <x:si>
    <x:t>clifton_tilelaying@hotmail.com</x:t>
  </x:si>
  <x:si>
    <x:t>jevgatt@maltanet.net</x:t>
  </x:si>
  <x:si>
    <x:t>tilingforfuture@gmail.com</x:t>
  </x:si>
  <x:si>
    <x:t>chantellemizzi@hotmail.com</x:t>
  </x:si>
  <x:si>
    <x:t>tresortradingltd@gmail.com</x:t>
  </x:si>
  <x:si>
    <x:t>showtiles@gmail.com</x:t>
  </x:si>
  <x:si>
    <x:t>info@rgroupmt.com</x:t>
  </x:si>
  <x:si>
    <x:t xml:space="preserve">PHONE NUMBER </x:t>
  </x:si>
  <x:si>
    <x:t>gattjason.com</x:t>
  </x:si>
  <x:si>
    <x:t>Importing Supply</x:t>
  </x:si>
  <x:si>
    <x:t>LOCATION</x:t>
  </x:si>
  <x:si>
    <x:t>Triq John Michael Testa Tal-Handaq ,
Qormi, Malta QRM 4000</x:t>
  </x:si>
  <x:si>
    <x:t>19 Garage Katarina Triq Santa Klementina ,
Zurrieq, Malta ZRQ 2510</x:t>
  </x:si>
  <x:si>
    <x:t>Private Road, Garage 4, 5 &amp; 6 Triq l-Irham ,
Qormi, Malta</x:t>
  </x:si>
  <x:si>
    <x:t>6 Montana Triq il-Qamh ,
Mellieha, Malta MLH 1761</x:t>
  </x:si>
  <x:si>
    <x:t>13 Helen Flat 3 Triq Joe Sciberras ,
Hamrun, Malta HMR 1550</x:t>
  </x:si>
  <x:si>
    <x:t>12 Windrush T/G fi triq it-Turretta ,
Dingli, Malta DGL 1731</x:t>
  </x:si>
  <x:si>
    <x:t>Trejqet il-Beatu Dun Gorg Preca ,
Pembroke, Malta PBK 1460</x:t>
  </x:si>
  <x:si>
    <x:t>22 April May Triq Gorg Borg ,
Qormi, Malta QRM 1943</x:t>
  </x:si>
  <x:si>
    <x:t>35 Trilogy, Flt 1 Triq Ganni Bonnici ,
Zebbug, Malta ZBG 2507</x:t>
  </x:si>
  <x:si>
    <x:t>Divine Mercy Triq Pawlu Balzan ,
Zebbug, Malta ZBG 1490</x:t>
  </x:si>
  <x:si>
    <x:t>Triq il-Bronja ,
Zurrieq, Malta</x:t>
  </x:si>
  <x:si>
    <x:t>115 Triq il-Wied Ta’ L-Imsida ,
B’Kara, Malta BKR 9021</x:t>
  </x:si>
  <x:si>
    <x:t>58 Triq Dun Gwann Pullicino ,
Mosta, Malta MST 2703</x:t>
  </x:si>
  <x:si>
    <x:t>Żejtun, Malta</x:t>
  </x:si>
  <x:si>
    <x:t>Kerċem, Gozo</x:t>
  </x:si>
  <x:si>
    <x:t>Triq Domenico Cachia 54, Birkirkara, Malta</x:t>
  </x:si>
  <x:si>
    <x:t>Marsascala, Malta</x:t>
  </x:si>
  <x:si>
    <x:t>Triq Giovanni Maria Borg, Zurrieq, Malta</x:t>
  </x:si>
  <x:si>
    <x:t>115, Triq Il-Bwieraq, Birkirkara, Malta</x:t>
  </x:si>
  <x:si>
    <x:t>Galine, Josmar Complex, Triq Id-Difiza Civili, Il-Mosta, Malta</x:t>
  </x:si>
  <x:si>
    <x:t>ºClimarkei, Triq Il-Gizi, Il-Fgura, Malta FGR 1040</x:t>
  </x:si>
  <x:si>
    <x:t>Fisheye, Triq Mons. A. Buhagiar, Ir-Rabat, Malta</x:t>
  </x:si>
  <x:si>
    <x:t>J.Micallef BOATYARD and WAREHOUSE Ta ghadajma l/o Mqabba (Near STMicro Eletronics) Malta, Mqabba, Malta</x:t>
  </x:si>
  <x:si>
    <x:t>78, Triq San Pawl NXR 4016 Naxxar, Malta</x:t>
  </x:si>
  <x:si>
    <x:t>WEBSITE</x:t>
  </x:si>
  <x:si>
    <x:t>facebook.com/QualityStoneMalta/</x:t>
  </x:si>
  <x:si>
    <x:t>facebook.com/showtilesnaxxar/</x:t>
  </x:si>
  <x:si>
    <x:t>facebook.com/Dwarehouse23/</x:t>
  </x:si>
  <x:si>
    <x:t>Number of Contractors</x:t>
  </x:si>
  <x:si>
    <x:t>maltadiy.com/product-category/doors-windows/internal-door/pocket-doors/</x:t>
  </x:si>
  <x:si>
    <x:t>Ceramic Tiles</x:t>
  </x:si>
  <x:si>
    <x:t>Malta Tiles</x:t>
  </x:si>
  <x:si>
    <x:t>Tiles &amp; Marble</x:t>
  </x:si>
  <x:si>
    <x:t>Tiles At Wholesale Prices</x:t>
  </x:si>
  <x:si>
    <x:t>Floors Of Stone</x:t>
  </x:si>
  <x:si>
    <x:t>A&amp;A Tiles and Bathrooms</x:t>
  </x:si>
  <x:si>
    <x:t>Tile Warehouse Malta</x:t>
  </x:si>
  <x:si>
    <x:t>IPERCERAMICA Malta</x:t>
  </x:si>
  <x:si>
    <x:t>D Warehouse Malta</x:t>
  </x:si>
  <x:si>
    <x:t>Centro Bagno</x:t>
  </x:si>
  <x:si>
    <x:t>UNIQ Tiles &amp; Ceramic Boutique</x:t>
  </x:si>
  <x:si>
    <x:t>Vellmann Tiles &amp; Bathrooms</x:t>
  </x:si>
  <x:si>
    <x:t>Carini Stores Ltd</x:t>
  </x:si>
  <x:si>
    <x:t>MRCD Ltd - Bathrooms &amp; Ceramics</x:t>
  </x:si>
  <x:si>
    <x:t>Faenza DIY Outlet</x:t>
  </x:si>
  <x:si>
    <x:t>SOLL - Natural Stone Warehouse</x:t>
  </x:si>
  <x:si>
    <x:t>Keramit Warehouse</x:t>
  </x:si>
  <x:si>
    <x:t>ABSOLUTE: Bathrooms - Tiles</x:t>
  </x:si>
  <x:si>
    <x:t>Ideal Bathrooms Ltd</x:t>
  </x:si>
  <x:si>
    <x:t>Valour Bathrooms Malta</x:t>
  </x:si>
  <x:si>
    <x:t>S&amp;S Bathrooms Warehouse</x:t>
  </x:si>
  <x:si>
    <x:t>Vivo Bathrooms &amp; Ceramics</x:t>
  </x:si>
  <x:si>
    <x:t>Banju Boutique Ltd.</x:t>
  </x:si>
  <x:si>
    <x:t>Lux Quartz &amp; more</x:t>
  </x:si>
  <x:si>
    <x:t>Avante Bathrooms HQ</x:t>
  </x:si>
  <x:si>
    <x:t>Pitre’ Bathrooms Store</x:t>
  </x:si>
  <x:si>
    <x:t>Calcatta bathrooms and tiles</x:t>
  </x:si>
  <x:si>
    <x:t>Project point</x:t>
  </x:si>
  <x:si>
    <x:t>Design Hub Store Refined Finishes</x:t>
  </x:si>
  <x:si>
    <x:t>E. Grech Cristal Bath Ltd.</x:t>
  </x:si>
  <x:si>
    <x:t>Andrew Vassallo General Trading</x:t>
  </x:si>
  <x:si>
    <x:t>Classic Bathrooms - Malta</x:t>
  </x:si>
  <x:si>
    <x:t>Sogno Bagno</x:t>
  </x:si>
  <x:si>
    <x:t>info@maltatiles.com</x:t>
  </x:si>
  <x:si>
    <x:t>tilesatwholesaleprices@gmail.com</x:t>
  </x:si>
  <x:si>
    <x:t>sales@fos.mt</x:t>
  </x:si>
  <x:si>
    <x:t>showroom@vellafalzon.com</x:t>
  </x:si>
  <x:si>
    <x:t>info@aandatiles.com</x:t>
  </x:si>
  <x:si>
    <x:t>malta@iperceramica.it</x:t>
  </x:si>
  <x:si>
    <x:t>j.centrobagno@gmail.com</x:t>
  </x:si>
  <x:si>
    <x:t>patrick@uniq.mt</x:t>
  </x:si>
  <x:si>
    <x:t>faenzadiybathroom@gmail.com</x:t>
  </x:si>
  <x:si>
    <x:t>info@soll.mt / Japap@geblanaturali.com</x:t>
  </x:si>
  <x:si>
    <x:t>info@valour.mt</x:t>
  </x:si>
  <x:si>
    <x:t>anthony@lqmco.com</x:t>
  </x:si>
  <x:si>
    <x:t>mireille@jpitre.com</x:t>
  </x:si>
  <x:si>
    <x:t>info@calcatta-ceramica.com</x:t>
  </x:si>
  <x:si>
    <x:t>Giorgiprojectpointltd@gmail.com</x:t>
  </x:si>
  <x:si>
    <x:t>neil.galea698@gmail.com</x:t>
  </x:si>
  <x:si>
    <x:t>seamless floor</x:t>
  </x:si>
  <x:si>
    <x:t>Advanced Safety Solutions</x:t>
  </x:si>
  <x:si>
    <x:t>MBM</x:t>
  </x:si>
  <x:si>
    <x:t>kibitec</x:t>
  </x:si>
  <x:si>
    <x:t>Borg &amp; Sons</x:t>
  </x:si>
  <x:si>
    <x:t>JM Vibro</x:t>
  </x:si>
  <x:si>
    <x:t>Microcement Malta</x:t>
  </x:si>
  <x:si>
    <x:t>info@itpmalta.com</x:t>
  </x:si>
  <x:si>
    <x:t>Giorgi Project Point</x:t>
  </x:si>
  <x:si>
    <x:t>info@advancedsafety.com.mt</x:t>
  </x:si>
  <x:si>
    <x:t>tcj@mbm.com.mt</x:t>
  </x:si>
  <x:si>
    <x:t>borgconstructionworks@gmail.com</x:t>
  </x:si>
  <x:si>
    <x:t>Pronesti@mail.com</x:t>
  </x:si>
  <x:si>
    <x:t>giorgiprojectpointltd@gmail.com</x:t>
  </x:si>
  <x:si>
    <x:t>San Pawl il‑Baħar / Bugibba, Malta</x:t>
  </x:si>
  <x:si>
    <x:t>M4 Shopping Complex, Triq il-Linja, Attard</x:t>
  </x:si>
  <x:si>
    <x:t>San Giljan, Malta</x:t>
  </x:si>
  <x:si>
    <x:t>mbm.com.mt/</x:t>
  </x:si>
  <x:si>
    <x:t>Triq Domenico Cachia 54
Birkirkara, BKR1017, Malta</x:t>
  </x:si>
  <x:si>
    <x:t>malta-design.com/en/?brid=OdwV4IO9rLodP231ucwrAg</x:t>
  </x:si>
  <x:si>
    <x:t>kibitec.com/</x:t>
  </x:si>
  <x:si>
    <x:t>vrsmalta.com/</x:t>
  </x:si>
  <x:si>
    <x:t>facebook.com/Dwarehouse23</x:t>
  </x:si>
  <x:si>
    <x:t>facebook.com/profile.php?id=61574532256025</x:t>
  </x:si>
  <x:si>
    <x:t>the-tile.com/concrete-effect-tiles.html</x:t>
  </x:si>
  <x:si>
    <x:t>Epoxy Flooring</x:t>
  </x:si>
  <x:si>
    <x:t>Resin flooring</x:t>
  </x:si>
  <x:si>
    <x:t>Epoxy Malta</x:t>
  </x:si>
  <x:si>
    <x:t>Resin Decor Design</x:t>
  </x:si>
  <x:si>
    <x:t>The Resin Centre</x:t>
  </x:si>
  <x:si>
    <x:t>Coleiro</x:t>
  </x:si>
  <x:si>
    <x:t>Flock Image</x:t>
  </x:si>
  <x:si>
    <x:t>JMV Building Solutions</x:t>
  </x:si>
  <x:si>
    <x:t>J. Zerafa Ltd</x:t>
  </x:si>
  <x:si>
    <x:t>JV Turnkey (Gozo)</x:t>
  </x:si>
  <x:si>
    <x:t>Fodha Building Solutions</x:t>
  </x:si>
  <x:si>
    <x:t>sakhr.turnkeyjob@gmail.com</x:t>
  </x:si>
  <x:si>
    <x:t>resindecordesign@gmail.com</x:t>
  </x:si>
  <x:si>
    <x:t>info@coleiro.com</x:t>
  </x:si>
  <x:si>
    <x:t>info@flockimage.com</x:t>
  </x:si>
  <x:si>
    <x:t>zerafa.john@gmail.com</x:t>
  </x:si>
  <x:si>
    <x:t>jvturnkey.gozo@gmail.com</x:t>
  </x:si>
  <x:si>
    <x:t>info@Fodha.mt</x:t>
  </x:si>
  <x:si>
    <x:t>Bugibba, Malta</x:t>
  </x:si>
  <x:si>
    <x:t>keycontractors.com.mt/contact-us/</x:t>
  </x:si>
  <x:si>
    <x:t>The Resin &amp; Membrane Centre
264, Old Railway Track Santa Venera</x:t>
  </x:si>
  <x:si>
    <x:t>Msida Valley,
B’Kara</x:t>
  </x:si>
  <x:si>
    <x:t>278, Triq il-Baltiku,, Saint Julian's, Malta</x:t>
  </x:si>
  <x:si>
    <x:t>OneOneO, Triq il-Pitkali, Attard ATD 2214, Malta</x:t>
  </x:si>
  <x:si>
    <x:t>Flock Image, 5, Sir Luigi Preziosi Str, Mosta, MST 1521, MALTA</x:t>
  </x:si>
  <x:si>
    <x:t>58, Donato del Piano Street, Zurrieq, ZRQ 2240, Malta</x:t>
  </x:si>
  <x:si>
    <x:t>theresincentre.com/</x:t>
  </x:si>
  <x:si>
    <x:t>coleiro.com/floor-coatings/</x:t>
  </x:si>
  <x:si>
    <x:t>jmvibro.com/</x:t>
  </x:si>
  <x:si>
    <x:t>checkyourtraders.com/listing/j-zerafa-ltd?fromCat=resin-flooring</x:t>
  </x:si>
  <x:si>
    <x:t>checkyourtraders.com/listing/jv-turnkey-gozo?fromCat=resin-flooring</x:t>
  </x:si>
  <x:si>
    <x:t>fodha.mt/</x:t>
  </x:si>
  <x:si>
    <x:t>Flock Image Co Ltd</x:t>
  </x:si>
  <x:si>
    <x:t>Mosta</x:t>
  </x:si>
  <x:si>
    <x:t>Vinyl Flooring</x:t>
  </x:si>
  <x:si>
    <x:t>Vical Interiors</x:t>
  </x:si>
  <x:si>
    <x:t>Beta</x:t>
  </x:si>
  <x:si>
    <x:t>Vinyl Tiles</x:t>
  </x:si>
  <x:si>
    <x:t>info@betacentre.com.mt</x:t>
  </x:si>
  <x:si>
    <x:t>Zabbar Road, Fgura</x:t>
  </x:si>
  <x:si>
    <x:t>megastore.com.mt/en_MT/c/Vinyl/160976/2/default/5</x:t>
  </x:si>
  <x:si>
    <x:t>Fairline Centre, Santa Marta Str, Victoria Gozo, VCT 2552, Malta</x:t>
  </x:si>
  <x:si>
    <x:t>benmaltalimited.com.mt/garage-doors</x:t>
  </x:si>
  <x:si>
    <x:t>Underfloor heating</x:t>
  </x:si>
  <x:si>
    <x:t>Ecomaxx</x:t>
  </x:si>
  <x:si>
    <x:t>Panta</x:t>
  </x:si>
  <x:si>
    <x:t>Solar Solutions</x:t>
  </x:si>
  <x:si>
    <x:t>Klimaflo</x:t>
  </x:si>
  <x:si>
    <x:t>Alternative Technologies</x:t>
  </x:si>
  <x:si>
    <x:t>ecomaxxltd@gmail.com</x:t>
  </x:si>
  <x:si>
    <x:t>enquiries@panta.mt</x:t>
  </x:si>
  <x:si>
    <x:t>Info@klimaflo.com</x:t>
  </x:si>
  <x:si>
    <x:t>info@smarteffects.com.mt</x:t>
  </x:si>
  <x:si>
    <x:t>able.com.mt</x:t>
  </x:si>
  <x:si>
    <x:t>44, Triq Dun Karm,
BKR9030,
Birkirkara, 
Malta</x:t>
  </x:si>
  <x:si>
    <x:t>Valley Road, L-Imsida MSD 9024, Malta</x:t>
  </x:si>
  <x:si>
    <x:t>Triq tal-Balal, In-Naxxar</x:t>
  </x:si>
  <x:si>
    <x:t>Tower Rd, Birkirkara BKR 4016, Malta</x:t>
  </x:si>
  <x:si>
    <x:t>Triq Dun Guzepp Scerri, San Ġiljan, Malta</x:t>
  </x:si>
  <x:si>
    <x:t>SMART EFFECTS LTD, MTP Business Centre, Level 3, Triq Dun Karm, Birkirkara, Malta</x:t>
  </x:si>
  <x:si>
    <x:t>Mdina Road, Haż-Żebbuġ, ZBG 9019 Malta</x:t>
  </x:si>
  <x:si>
    <x:t>solarsolutions.com.mt/underfloor-heating/</x:t>
  </x:si>
  <x:si>
    <x:t>clima755.com/</x:t>
  </x:si>
  <x:si>
    <x:t>klimaflo.com/</x:t>
  </x:si>
  <x:si>
    <x:t>alternativetechnologies.com.mt/underfloor-heating</x:t>
  </x:si>
  <x:si>
    <x:t>smarteffects.com.mt/hvac-needs-contact/</x:t>
  </x:si>
  <x:si>
    <x:t>recowatt.com/services/underfloor-heating/</x:t>
  </x:si>
  <x:si>
    <x:t>brandimports.com.mt/en/</x:t>
  </x:si>
  <x:si>
    <x:t>Installers?</x:t>
  </x:si>
  <x:si>
    <x:t>Not installers</x:t>
  </x:si>
  <x:si>
    <x:t>Unsure</x:t>
  </x:si>
  <x:si>
    <x:t>Levelling</x:t>
  </x:si>
  <x:si>
    <x:t>SP Building Materials</x:t>
  </x:si>
  <x:si>
    <x:t>Bitmac</x:t>
  </x:si>
  <x:si>
    <x:t>JMV</x:t>
  </x:si>
  <x:si>
    <x:t>Borg Construction Works</x:t>
  </x:si>
  <x:si>
    <x:t>Attard Bros Construction Materials</x:t>
  </x:si>
  <x:si>
    <x:t>Shaw Contractors</x:t>
  </x:si>
  <x:si>
    <x:t>MS Concrete Works</x:t>
  </x:si>
  <x:si>
    <x:t>The Professionals Malta</x:t>
  </x:si>
  <x:si>
    <x:t>Liquid Screed</x:t>
  </x:si>
  <x:si>
    <x:t>Mediterranean Building Finishes</x:t>
  </x:si>
  <x:si>
    <x:t>ZJ Tile Laying</x:t>
  </x:si>
  <x:si>
    <x:t>Screed Casts</x:t>
  </x:si>
  <x:si>
    <x:t>MBI Group</x:t>
  </x:si>
  <x:si>
    <x:t>Flow Screed Malta</x:t>
  </x:si>
  <x:si>
    <x:t>R&amp;A Sons</x:t>
  </x:si>
  <x:si>
    <x:t>Project Technik</x:t>
  </x:si>
  <x:si>
    <x:t>sebastianpolitano@gmail.com</x:t>
  </x:si>
  <x:si>
    <x:t>sales@bitmac.mt</x:t>
  </x:si>
  <x:si>
    <x:t>antoine.scicluna@attardbros.com</x:t>
  </x:si>
  <x:si>
    <x:t>shawcontractors@gmail.com</x:t>
  </x:si>
  <x:si>
    <x:t>mscworks24@gmail.com</x:t>
  </x:si>
  <x:si>
    <x:t>info@kibitec.com</x:t>
  </x:si>
  <x:si>
    <x:t>sales@theprofessionalsmalta.com</x:t>
  </x:si>
  <x:si>
    <x:t>info@liquidscreed.mt</x:t>
  </x:si>
  <x:si>
    <x:t>zammitjonathan.87@gmail.com</x:t>
  </x:si>
  <x:si>
    <x:t>screedcasts@gmail.com</x:t>
  </x:si>
  <x:si>
    <x:t>info@mbigroupmalta.com</x:t>
  </x:si>
  <x:si>
    <x:t>flowscreedmalta@outlook.com</x:t>
  </x:si>
  <x:si>
    <x:t>info@rasonsltd.com</x:t>
  </x:si>
  <x:si>
    <x:t>quotes@ptk.mt</x:t>
  </x:si>
  <x:si>
    <x:t>sales@rsgroup.com.mt</x:t>
  </x:si>
  <x:si>
    <x:t>garage doors</x:t>
  </x:si>
  <x:si>
    <x:t>MBL Garage Door Solutions</x:t>
  </x:si>
  <x:si>
    <x:t>Pd Gates &amp; Garage Doors</x:t>
  </x:si>
  <x:si>
    <x:t>FGP Limited</x:t>
  </x:si>
  <x:si>
    <x:t>Brand Imports Ltd</x:t>
  </x:si>
  <x:si>
    <x:t>BEN Malta Limited</x:t>
  </x:si>
  <x:si>
    <x:t>Tree D</x:t>
  </x:si>
  <x:si>
    <x:t>General Automation Services LTD</x:t>
  </x:si>
  <x:si>
    <x:t>mblmalta.com</x:t>
  </x:si>
  <x:si>
    <x:t>pdmalta.com</x:t>
  </x:si>
  <x:si>
    <x:t>sales@fgp.com.mt</x:t>
  </x:si>
  <x:si>
    <x:t>sales@brandimports.com.mt</x:t>
  </x:si>
  <x:si>
    <x:t>benmaltalimited@gmail.com</x:t>
  </x:si>
  <x:si>
    <x:t>info@automationmalta.com</x:t>
  </x:si>
  <x:si>
    <x:t>2137 3603</x:t>
  </x:si>
  <x:si>
    <x:t>2141 9275</x:t>
  </x:si>
  <x:si>
    <x:t>2166 7107 /</x:t>
  </x:si>
  <x:si>
    <x:t>7925 9207</x:t>
  </x:si>
  <x:si>
    <x:t>7908 1928</x:t>
  </x:si>
  <x:si>
    <x:t>7944 5674</x:t>
  </x:si>
  <x:si>
    <x:t>9944 7194</x:t>
  </x:si>
  <x:si>
    <x:t>81, Triq tal-Mensija, San Ġwann SGN 1604</x:t>
  </x:si>
  <x:si>
    <x:t>Midland Micro Enterprise Park, Block D, Triq Burmarrad, Naxxar NXR 6345</x:t>
  </x:si>
  <x:si>
    <x:t>Showroom 26, Triq Haz-Zabbar, Paola</x:t>
  </x:si>
  <x:si>
    <x:t>109, Triq Valletta, Ħal Luqa LQA 1762</x:t>
  </x:si>
  <x:si>
    <x:t>KKW 019G Qasam Industrijali, Kordin, Paola</x:t>
  </x:si>
  <x:si>
    <x:t>Ben Malta Limited
Triq Dun Mikiel Xerri
Attard ATD 2020
Malta</x:t>
  </x:si>
  <x:si>
    <x:t>Paola</x:t>
  </x:si>
  <x:si>
    <x:t>automationmalta.com/</x:t>
  </x:si>
  <x:si>
    <x:t>BBQ area</x:t>
  </x:si>
  <x:si>
    <x:t>No. 7971 0020 Store Address: BEN Malta Limited Stores
No 32
Triq in-Nissieġ
Zabbar</x:t>
  </x:si>
  <x:si>
    <x:t>Barbecue Grill</x:t>
  </x:si>
  <x:si>
    <x:t>SBL Lighting Solutions</x:t>
  </x:si>
  <x:si>
    <x:t>soundsmart</x:t>
  </x:si>
  <x:si>
    <x:t>ortis ltd</x:t>
  </x:si>
  <x:si>
    <x:t>bull europe limited</x:t>
  </x:si>
  <x:si>
    <x:t>stone creations</x:t>
  </x:si>
  <x:si>
    <x:t>bbq store malta</x:t>
  </x:si>
  <x:si>
    <x:t>bbq world malta</x:t>
  </x:si>
  <x:si>
    <x:t>crosscraft</x:t>
  </x:si>
  <x:si>
    <x:t>big mat malta</x:t>
  </x:si>
  <x:si>
    <x:t>KHSmalta</x:t>
  </x:si>
  <x:si>
    <x:t>livelifeoutdoor</x:t>
  </x:si>
  <x:si>
    <x:t>chrisbltd1@gmail.com</x:t>
  </x:si>
  <x:si>
    <x:t>info@ortis.biz</x:t>
  </x:si>
  <x:si>
    <x:t>info@zamco.com.mt</x:t>
  </x:si>
  <x:si>
    <x:t>info@stonecreations.com.mt</x:t>
  </x:si>
  <x:si>
    <x:t>info@bbqstoremalta.com</x:t>
  </x:si>
  <x:si>
    <x:t>info@sbl.com.mt</x:t>
  </x:si>
  <x:si>
    <x:t>info@know-howsystems.net</x:t>
  </x:si>
  <x:si>
    <x:t>info@livelifeoutdoor.com.mt</x:t>
  </x:si>
  <x:si>
    <x:t>Triq Oscar Zammit, Hamrun</x:t>
  </x:si>
  <x:si>
    <x:t>5 triq L-Industrija Central business district,qormi Malta CBD 5030</x:t>
  </x:si>
  <x:si>
    <x:t>TRIQ IL-Kostituzzjoni,Mosta, Malta  MST 9050</x:t>
  </x:si>
  <x:si>
    <x:t>zamco building  Triq il-Mithna, Qormi, Malta</x:t>
  </x:si>
  <x:si>
    <x:t>triq il-kanun ,Qormi,Malta</x:t>
  </x:si>
  <x:si>
    <x:t>triq id -difiza Civili, Mosta ,Malta</x:t>
  </x:si>
  <x:si>
    <x:t>10 triq Oscar Zammit , HMR 1281 , MALTA</x:t>
  </x:si>
  <x:si>
    <x:t>Bypass Mriehel, Qormi, QRM 9052</x:t>
  </x:si>
  <x:si>
    <x:t>Susan Flats B, Flat 05, Triq Il-Prinjolata, Ta' Xbiex, XBX1130, Malta.</x:t>
  </x:si>
  <x:si>
    <x:t>Zona Industrial, ATD 4000 Ta' Qali, Malta.</x:t>
  </x:si>
  <x:si>
    <x:t>St. Paul Street, Naxxar, Malta, NXR 4010</x:t>
  </x:si>
  <x:si>
    <x:t>Triq L-Imprendituri, Birkirkara BKR 3000</x:t>
  </x:si>
  <x:si>
    <x:t>ortismalta.com</x:t>
  </x:si>
  <x:si>
    <x:t>bullbbq.eu/en/home.htm</x:t>
  </x:si>
  <x:si>
    <x:t>stonecreations.com.mt</x:t>
  </x:si>
  <x:si>
    <x:t>bbqstoremalta.com</x:t>
  </x:si>
  <x:si>
    <x:t>bbqworldmalta.mt</x:t>
  </x:si>
  <x:si>
    <x:t>fbpmalta.com/index.php/products/household/bbqs</x:t>
  </x:si>
  <x:si>
    <x:t>Apertures</x:t>
  </x:si>
  <x:si>
    <x:t>Window</x:t>
  </x:si>
  <x:si>
    <x:t>Door</x:t>
  </x:si>
  <x:si>
    <x:t>A M Projects Ltd</x:t>
  </x:si>
  <x:si>
    <x:t>KB Structures</x:t>
  </x:si>
  <x:si>
    <x:t>St Anthony Woodworks Ltd</x:t>
  </x:si>
  <x:si>
    <x:t>Framegrip Industires Ltd</x:t>
  </x:si>
  <x:si>
    <x:t>J Lautier Co Ltd</x:t>
  </x:si>
  <x:si>
    <x:t>Styles Apertures Ltd</x:t>
  </x:si>
  <x:si>
    <x:t>Grima Furniture (1960) Ltd</x:t>
  </x:si>
  <x:si>
    <x:t>Amabile Galea &amp; Sons Ltd Iron &amp; Aluminium Works</x:t>
  </x:si>
  <x:si>
    <x:t>Gozo Aluminium Ltd</x:t>
  </x:si>
  <x:si>
    <x:t>A1 Finishes Limited</x:t>
  </x:si>
  <x:si>
    <x:t>John Spiteri Aluminium (II-Parus)</x:t>
  </x:si>
  <x:si>
    <x:t>Afda Aluminium</x:t>
  </x:si>
  <x:si>
    <x:t>Brand Imports/Aluminium</x:t>
  </x:si>
  <x:si>
    <x:t>J 3 Alumiunium &amp; Iron Works</x:t>
  </x:si>
  <x:si>
    <x:t>Nu Aluminium</x:t>
  </x:si>
  <x:si>
    <x:t>ihomes</x:t>
  </x:si>
  <x:si>
    <x:t>Nicholas Industries</x:t>
  </x:si>
  <x:si>
    <x:t>Melvin Aluminium Works</x:t>
  </x:si>
  <x:si>
    <x:t>Josef Aluminium &amp; Metal Works</x:t>
  </x:si>
  <x:si>
    <x:t>Abela Woodworks</x:t>
  </x:si>
  <x:si>
    <x:t>North Aluminium Works</x:t>
  </x:si>
  <x:si>
    <x:t>A. Goodchild Installations</x:t>
  </x:si>
  <x:si>
    <x:t>Godwin Cristina Aluminium</x:t>
  </x:si>
  <x:si>
    <x:t>JBS Aluminium</x:t>
  </x:si>
  <x:si>
    <x:t>A + Aluminium Gozo</x:t>
  </x:si>
  <x:si>
    <x:t>A &amp; C Aluminium Ltd</x:t>
  </x:si>
  <x:si>
    <x:t>A P Aluminium Works</x:t>
  </x:si>
  <x:si>
    <x:t>Adore More Ltd</x:t>
  </x:si>
  <x:si>
    <x:t>Alfred Aluminium</x:t>
  </x:si>
  <x:si>
    <x:t>Almal Aluminium &amp; Stained Glass Works</x:t>
  </x:si>
  <x:si>
    <x:t>Alukey Aluminium</x:t>
  </x:si>
  <x:si>
    <x:t>Aluminium Ltd</x:t>
  </x:si>
  <x:si>
    <x:t>Aluwood Co Ltd</x:t>
  </x:si>
  <x:si>
    <x:t>Andrew Vella Aluminium Works</x:t>
  </x:si>
  <x:si>
    <x:t>Azzopardi Aluminium &amp; Metal Works</x:t>
  </x:si>
  <x:si>
    <x:t>Bason Aluminium</x:t>
  </x:si>
  <x:si>
    <x:t>Borg Aluminium</x:t>
  </x:si>
  <x:si>
    <x:t>BP Apertures</x:t>
  </x:si>
  <x:si>
    <x:t>C D S Aluminium Works Ltd</x:t>
  </x:si>
  <x:si>
    <x:t>CA Group</x:t>
  </x:si>
  <x:si>
    <x:t>Charles Grech Isolcasa</x:t>
  </x:si>
  <x:si>
    <x:t>Choco Aluminium Works</x:t>
  </x:si>
  <x:si>
    <x:t>Comforabita Ltd</x:t>
  </x:si>
  <x:si>
    <x:t>Cuschieri Group</x:t>
  </x:si>
  <x:si>
    <x:t>Danio Barbara</x:t>
  </x:si>
  <x:si>
    <x:t>Dimech Aluminium Works</x:t>
  </x:si>
  <x:si>
    <x:t>Direct Developments Ltd</x:t>
  </x:si>
  <x:si>
    <x:t>DX Aluminium Works</x:t>
  </x:si>
  <x:si>
    <x:t>Express Aluminium Ltd</x:t>
  </x:si>
  <x:si>
    <x:t>F &amp; S Aluminium</x:t>
  </x:si>
  <x:si>
    <x:t>Finestral</x:t>
  </x:si>
  <x:si>
    <x:t>Friends Aluminium Works</x:t>
  </x:si>
  <x:si>
    <x:t>George Aluminium</x:t>
  </x:si>
  <x:si>
    <x:t>Giorgio Aluminium Co Ltd</x:t>
  </x:si>
  <x:si>
    <x:t>Guys Gypsum Installations, Soffits &amp; Aluminium</x:t>
  </x:si>
  <x:si>
    <x:t>Horvin Alum Ltd</x:t>
  </x:si>
  <x:si>
    <x:t>I C S Aluminium</x:t>
  </x:si>
  <x:si>
    <x:t>J &amp; B Aluminium Ltd</x:t>
  </x:si>
  <x:si>
    <x:t>J C D Aluminium Works &amp; Woodworks</x:t>
  </x:si>
  <x:si>
    <x:t>J &amp; K Aluminium</x:t>
  </x:si>
  <x:si>
    <x:t>Jamar Malta Ltd</x:t>
  </x:si>
  <x:si>
    <x:t>Jason Aluminium Co Ltd</x:t>
  </x:si>
  <x:si>
    <x:t>K K Aluminium - Matthew</x:t>
  </x:si>
  <x:si>
    <x:t>Munita Aluminium</x:t>
  </x:si>
  <x:si>
    <x:t>Muscat George Aluminium</x:t>
  </x:si>
  <x:si>
    <x:t>N D Aluminium</x:t>
  </x:si>
  <x:si>
    <x:t>Perfectum.mt</x:t>
  </x:si>
  <x:si>
    <x:t>Pisani Aluminium</x:t>
  </x:si>
  <x:si>
    <x:t>Qormi Aluminium Holdings</x:t>
  </x:si>
  <x:si>
    <x:t>R C Aluminium</x:t>
  </x:si>
  <x:si>
    <x:t>Rapa Aluminium</x:t>
  </x:si>
  <x:si>
    <x:t>Ray Aluminium</x:t>
  </x:si>
  <x:si>
    <x:t>Refined Aluminium And Metal Works</x:t>
  </x:si>
  <x:si>
    <x:t>Servgroup Ltd</x:t>
  </x:si>
  <x:si>
    <x:t>Simon Aluminium</x:t>
  </x:si>
  <x:si>
    <x:t>SP Techniques</x:t>
  </x:si>
  <x:si>
    <x:t>Sun Aluminium</x:t>
  </x:si>
  <x:si>
    <x:t>TC Aluminium Works</x:t>
  </x:si>
  <x:si>
    <x:t>Tower Aluminium Ltd</x:t>
  </x:si>
  <x:si>
    <x:t>Trends Manufacturing Ltd</x:t>
  </x:si>
  <x:si>
    <x:t>Windmill Services Ltd</x:t>
  </x:si>
  <x:si>
    <x:t>Woodpecker Carpenter</x:t>
  </x:si>
  <x:si>
    <x:t>Woodware Ltd</x:t>
  </x:si>
  <x:si>
    <x:t>Zammit Aluminium Ltd</x:t>
  </x:si>
  <x:si>
    <x:t>Solid Furniture Ltd</x:t>
  </x:si>
  <x:si>
    <x:t>Doors &amp; More</x:t>
  </x:si>
  <x:si>
    <x:t>A C M A Inox &amp; Metal Ltd</x:t>
  </x:si>
  <x:si>
    <x:t>Cauchi T C Aluminium Works</x:t>
  </x:si>
  <x:si>
    <x:t>Deckor</x:t>
  </x:si>
  <x:si>
    <x:t>Tonna Aluminium</x:t>
  </x:si>
  <x:si>
    <x:t>Valor Malta</x:t>
  </x:si>
  <x:si>
    <x:t>info@pvc.com.mt / sales@ampmalta.com</x:t>
  </x:si>
  <x:si>
    <x:t>stakterinacons@outlook.com</x:t>
  </x:si>
  <x:si>
    <x:t>info@stanthonyww.com</x:t>
  </x:si>
  <x:si>
    <x:t>info@framegrip.com</x:t>
  </x:si>
  <x:si>
    <x:t>sales@jlautier.com</x:t>
  </x:si>
  <x:si>
    <x:t>sales@newstylesmalta.com</x:t>
  </x:si>
  <x:si>
    <x:t>info@grimafurniture.com</x:t>
  </x:si>
  <x:si>
    <x:t>info@amabilegalea.com</x:t>
  </x:si>
  <x:si>
    <x:t>info@gozoaluminium.com</x:t>
  </x:si>
  <x:si>
    <x:t>info@a1finishesltd.com</x:t>
  </x:si>
  <x:si>
    <x:t>parus984@gmail.com</x:t>
  </x:si>
  <x:si>
    <x:t>info@afdaaluminium.com</x:t>
  </x:si>
  <x:si>
    <x:t>info@brandimports.com.mt</x:t>
  </x:si>
  <x:si>
    <x:t>j3aluminium@gmail.com</x:t>
  </x:si>
  <x:si>
    <x:t>nu-aluminium@outlook.com</x:t>
  </x:si>
  <x:si>
    <x:t>info@ihomes.com.mt</x:t>
  </x:si>
  <x:si>
    <x:t>chayron186@gmail.com</x:t>
  </x:si>
  <x:si>
    <x:t>josefvella72@gmail.com</x:t>
  </x:si>
  <x:si>
    <x:t>abelawoodworks@gmail.com</x:t>
  </x:si>
  <x:si>
    <x:t>northalu@gmail.com</x:t>
  </x:si>
  <x:si>
    <x:t>agood.installations@yahoo.com</x:t>
  </x:si>
  <x:si>
    <x:t>gsf-1200@hotmail.com</x:t>
  </x:si>
  <x:si>
    <x:t>jsbaluminiumworks@gmail.com</x:t>
  </x:si>
  <x:si>
    <x:t>mario.camilleri9@gmail.com</x:t>
  </x:si>
  <x:si>
    <x:t>info@acaluminium.com</x:t>
  </x:si>
  <x:si>
    <x:t>lexport@go.com.mt</x:t>
  </x:si>
  <x:si>
    <x:t>sales@adoremore.eu</x:t>
  </x:si>
  <x:si>
    <x:t>alfalu@melita.com</x:t>
  </x:si>
  <x:si>
    <x:t>xandrumallia@gmail.com</x:t>
  </x:si>
  <x:si>
    <x:t>info@alukey.com.mt</x:t>
  </x:si>
  <x:si>
    <x:t>info@aluminiumltd.com</x:t>
  </x:si>
  <x:si>
    <x:t>info@aluwoodmalta.com</x:t>
  </x:si>
  <x:si>
    <x:t>andrewvella66@gmail.com</x:t>
  </x:si>
  <x:si>
    <x:t>azzopardialuminiumworks@gmail.com</x:t>
  </x:si>
  <x:si>
    <x:t>info@basonaluminium.com</x:t>
  </x:si>
  <x:si>
    <x:t>borgaluminiummalta@gmail.com</x:t>
  </x:si>
  <x:si>
    <x:t>cdsaluminium@gmail.com</x:t>
  </x:si>
  <x:si>
    <x:t>henry@bpapertures.com</x:t>
  </x:si>
  <x:si>
    <x:t>info@cagroup.com.mt</x:t>
  </x:si>
  <x:si>
    <x:t>mrgmv@onvol.net</x:t>
  </x:si>
  <x:si>
    <x:t>chocoaluminium@gmail.com</x:t>
  </x:si>
  <x:si>
    <x:t>info@comforabita.com</x:t>
  </x:si>
  <x:si>
    <x:t>cba@cba.com.mt</x:t>
  </x:si>
  <x:si>
    <x:t>daniobarbara1977@gmail.com</x:t>
  </x:si>
  <x:si>
    <x:t>savdim65@gmail.com</x:t>
  </x:si>
  <x:si>
    <x:t>dxaluworks@gmail.com</x:t>
  </x:si>
  <x:si>
    <x:t>info@expressaluminium.com</x:t>
  </x:si>
  <x:si>
    <x:t>simdebwebb@hotmail.com</x:t>
  </x:si>
  <x:si>
    <x:t>sales@finestralmalta.com</x:t>
  </x:si>
  <x:si>
    <x:t>faworks123@gmail.com</x:t>
  </x:si>
  <x:si>
    <x:t>azzopardimark8@gmail.com</x:t>
  </x:si>
  <x:si>
    <x:t>info@alugiorgio.com</x:t>
  </x:si>
  <x:si>
    <x:t>guysmalta@gmail.com</x:t>
  </x:si>
  <x:si>
    <x:t>horvinltd@gmail.com</x:t>
  </x:si>
  <x:si>
    <x:t>charliecalleja@hotmail.com / icsaluminium@gmail.com</x:t>
  </x:si>
  <x:si>
    <x:t>johnjandb@gmail.com</x:t>
  </x:si>
  <x:si>
    <x:t>info@jcdaluminium.com</x:t>
  </x:si>
  <x:si>
    <x:t>jk.aluminium@yahoo.com</x:t>
  </x:si>
  <x:si>
    <x:t>admin@jamarmalta.com</x:t>
  </x:si>
  <x:si>
    <x:t>info@jasonaluminium.com</x:t>
  </x:si>
  <x:si>
    <x:t>kkalworks@gmail.com</x:t>
  </x:si>
  <x:si>
    <x:t>bjorn.vassallo@gmail.com</x:t>
  </x:si>
  <x:si>
    <x:t>gmuscat@live.com</x:t>
  </x:si>
  <x:si>
    <x:t>nicdimech@gmail.com</x:t>
  </x:si>
  <x:si>
    <x:t>matteo.pisani40@gmail.com</x:t>
  </x:si>
  <x:si>
    <x:t>qormialum@gmail.com</x:t>
  </x:si>
  <x:si>
    <x:t>rcalworks@gmail.com</x:t>
  </x:si>
  <x:si>
    <x:t>rapa.aluminium@gmail.com</x:t>
  </x:si>
  <x:si>
    <x:t>raymondfarrugia74@gmail.com</x:t>
  </x:si>
  <x:si>
    <x:t>refinedaluworks@gmail.com</x:t>
  </x:si>
  <x:si>
    <x:t>info@servgroupmalta.com</x:t>
  </x:si>
  <x:si>
    <x:t>info@sptechniques.com</x:t>
  </x:si>
  <x:si>
    <x:t>sunaluminium@hotmail.com</x:t>
  </x:si>
  <x:si>
    <x:t>t.camillerialuminium@hotmail.com</x:t>
  </x:si>
  <x:si>
    <x:t>info@towergroupmalta.com</x:t>
  </x:si>
  <x:si>
    <x:t>mario@windmillmalta.com</x:t>
  </x:si>
  <x:si>
    <x:t>luke@woodware.com.mt</x:t>
  </x:si>
  <x:si>
    <x:t>zammitalu@gmail.com</x:t>
  </x:si>
  <x:si>
    <x:t>info@sfdoorstyles.com.mt</x:t>
  </x:si>
  <x:si>
    <x:t>sales@doorsandmore.in</x:t>
  </x:si>
  <x:si>
    <x:t>info@acmamalta.com</x:t>
  </x:si>
  <x:si>
    <x:t>azzopardialumworks@gmail.com</x:t>
  </x:si>
  <x:si>
    <x:t>tc@aluminium.mt</x:t>
  </x:si>
  <x:si>
    <x:t>info@deckor.com.mt</x:t>
  </x:si>
  <x:si>
    <x:t>info@jamarmalta.com</x:t>
  </x:si>
  <x:si>
    <x:t>gormialum@gmail.com</x:t>
  </x:si>
  <x:si>
    <x:t>tonnalum@yahoo.com</x:t>
  </x:si>
  <x:si>
    <x:t>valormalta@gmail.com</x:t>
  </x:si>
  <x:si>
    <x:t>luke@woodware.mt</x:t>
  </x:si>
  <x:si>
    <x:t>yellow.com.mt/paul-tonna-son-of-santu-ltd/glass-contractors/</x:t>
  </x:si>
  <x:si>
    <x:t>8 Triq il-Garra Victoria Gardens L-Ibrag, Swieqi</x:t>
  </x:si>
  <x:si>
    <x:t>Triq il-Kappella ta' Santa Marija, Naxxar</x:t>
  </x:si>
  <x:si>
    <x:t>Triq il-Fortizza, Mosta</x:t>
  </x:si>
  <x:si>
    <x:t>Triq il-Mosta, Lija</x:t>
  </x:si>
  <x:si>
    <x:t>Triq it-Torri, Msida</x:t>
  </x:si>
  <x:si>
    <x:t>SUB 030A Qasam Industrijali, San Gwann</x:t>
  </x:si>
  <x:si>
    <x:t>Zone 2 Triq L-Ghadam Central Business District, B'Kara</x:t>
  </x:si>
  <x:si>
    <x:t>34 Triq it-Torri San Gwann, Birgu</x:t>
  </x:si>
  <x:si>
    <x:t>Factory GZB 2 Qasam Industrijali, Xewkija-Gozo</x:t>
  </x:si>
  <x:si>
    <x:t>2 Triq Lorenzo Gafa, Zebbug</x:t>
  </x:si>
  <x:si>
    <x:t>31 Triq il-Furnar, Qormi</x:t>
  </x:si>
  <x:si>
    <x:t>Garage 10, Level -2 Sqaq il-Mithna Triq I-Imqabba, Qrendi</x:t>
  </x:si>
  <x:si>
    <x:t>26 Triq Haz-Zabbar, Paola</x:t>
  </x:si>
  <x:si>
    <x:t>Triq Mro Giorgio Zarb Tal-Handaq, Qormi</x:t>
  </x:si>
  <x:si>
    <x:t>GGX 0021 Qasam Industrijali, Xewkija-Gozo</x:t>
  </x:si>
  <x:si>
    <x:t>No5 Triq Mons Alfred Mifsud, B'Kara</x:t>
  </x:si>
  <x:si>
    <x:t>33 Triq Angelo Melilli, Zebbug</x:t>
  </x:si>
  <x:si>
    <x:t>Emmarie Triq id-Dahla Ta' San Tumas, M'Skala</x:t>
  </x:si>
  <x:si>
    <x:t>Garage 25 Tal-Barrani Industrial Estate Triq il-Belt Valletta, Ghaxaq</x:t>
  </x:si>
  <x:si>
    <x:t>34 Triq Indri Psaila, Qormi</x:t>
  </x:si>
  <x:si>
    <x:t>Scorpio Triq Garcia De Toledo Qawra, San Pawl ll-Bahar</x:t>
  </x:si>
  <x:si>
    <x:t>Triq San Pawl ll-Bahar</x:t>
  </x:si>
  <x:si>
    <x:t>197 Telgha tal-Gizwiti, Marsa</x:t>
  </x:si>
  <x:si>
    <x:t>Triq Pawlu Mifsud, Zebbug</x:t>
  </x:si>
  <x:si>
    <x:t>10 Triq Bingemma, Nadur-Gozo</x:t>
  </x:si>
  <x:si>
    <x:t>18 Triq Salvinu Spiteri, Sta Venera</x:t>
  </x:si>
  <x:si>
    <x:t>124 Triq San Gejtanu, Hamrun</x:t>
  </x:si>
  <x:si>
    <x:t>Triq id-Difiza Civili, Mosta</x:t>
  </x:si>
  <x:si>
    <x:t>45 Stella Maris Triq James Smith Qawra, San Pawl ll-Bahar</x:t>
  </x:si>
  <x:si>
    <x:t>4 Triq il-Lvant, Zejtun</x:t>
  </x:si>
  <x:si>
    <x:t>57 Triq il-Qasam Sperimentali Hal Farrug, Luqa</x:t>
  </x:si>
  <x:si>
    <x:t>4, 11 Triq Valletta Qasam Industrijali, Marsa</x:t>
  </x:si>
  <x:si>
    <x:t>Plot 121, Aluwood Bldg Triq Ha; Qormi Qasam Industrijali, Luqa</x:t>
  </x:si>
  <x:si>
    <x:t>Triq in-Naggar, Mosta</x:t>
  </x:si>
  <x:si>
    <x:t>Garage 7, Drive In Triq Lydda, Qormi</x:t>
  </x:si>
  <x:si>
    <x:t>Zone 3 Triq San Gwakkin Central Business District, B'Kara</x:t>
  </x:si>
  <x:si>
    <x:t>13, Triq Luretu Cutajar, Zebbug, Haz-Zebbug</x:t>
  </x:si>
  <x:si>
    <x:t>Garage No 2 Triq tas-Sejba, Mqabba</x:t>
  </x:si>
  <x:si>
    <x:t>52, Triq Pinto, Qormi</x:t>
  </x:si>
  <x:si>
    <x:t>16-17 Waterside Place, Flt 9 Ix-Xatt ta' Qui Si-Sana, Sliema</x:t>
  </x:si>
  <x:si>
    <x:t>10c Midland Park Triq Burmarrad, Naxxar</x:t>
  </x:si>
  <x:si>
    <x:t>Triq it-Territorji, B'Kara</x:t>
  </x:si>
  <x:si>
    <x:t>Sub 029A Qasam Industrijali, San Gwann</x:t>
  </x:si>
  <x:si>
    <x:t>Landscape Triq Gnien Fieres, Rabat</x:t>
  </x:si>
  <x:si>
    <x:t>3 Triq iz-Znuber, Mosta</x:t>
  </x:si>
  <x:si>
    <x:t>Qasam Industrijali, Tal-Handaq, Qormi</x:t>
  </x:si>
  <x:si>
    <x:t>52 Triq il-Muzika, Iklin</x:t>
  </x:si>
  <x:si>
    <x:t>Five Star Business Park Triq il-Belt Valetta, Ghaxaq</x:t>
  </x:si>
  <x:si>
    <x:t>Express Bldg Triq Gharram, Zebbug</x:t>
  </x:si>
  <x:si>
    <x:t>Oliand Triq Anthony John Coleiro Tal-Handaq, Qormi</x:t>
  </x:si>
  <x:si>
    <x:t>SUB 029B Qasam Industrijali, San Gwann</x:t>
  </x:si>
  <x:si>
    <x:t>Garage 144 Triq San Xmun, Fgura</x:t>
  </x:si>
  <x:si>
    <x:t>263 Triq il-Merhba, Fgura</x:t>
  </x:si>
  <x:si>
    <x:t>Triq Mro Giuseppe Camilleri Tal-Hanhaq, Qormi</x:t>
  </x:si>
  <x:si>
    <x:t>23 Graham Aluminium Triq John Michael Testa Tal-Handaq, Qormi</x:t>
  </x:si>
  <x:si>
    <x:t>Drive in fi triq il-Belt Valletta, Qormi</x:t>
  </x:si>
  <x:si>
    <x:t>A 42 Qasam Industrijali, Marsa</x:t>
  </x:si>
  <x:si>
    <x:t>Qart D'Orange Garage Trejqet il-Wied, Qormi</x:t>
  </x:si>
  <x:si>
    <x:t>Triq I-Imdina, Zebbug</x:t>
  </x:si>
  <x:si>
    <x:t>13 Triq Mro Giorgio Zarb Tal-Handaq, Qormi</x:t>
  </x:si>
  <x:si>
    <x:t>John Garage Triq Haz-Zebbug, Attard</x:t>
  </x:si>
  <x:si>
    <x:t>110, Triq Dun Bartilmew Attard, Zebbug</x:t>
  </x:si>
  <x:si>
    <x:t>KW 19J Qasam Industrijali, Kordin, Paola</x:t>
  </x:si>
  <x:si>
    <x:t>Oceanis Triq tas-Sliema, Gzira</x:t>
  </x:si>
  <x:si>
    <x:t>82 Triq il-Hareb, Ghaxaq</x:t>
  </x:si>
  <x:si>
    <x:t>12 Triq Wenzu Despott, Tarxien</x:t>
  </x:si>
  <x:si>
    <x:t>Garage 23 Triq il-Bizzilla, Ghaxaq</x:t>
  </x:si>
  <x:si>
    <x:t>Malta, Valletta</x:t>
  </x:si>
  <x:si>
    <x:t>Casa Pisani Triq Pisoniano, Sannat-Gozo</x:t>
  </x:si>
  <x:si>
    <x:t>Triq il-Palazz L-Ahmar, Sta Venera</x:t>
  </x:si>
  <x:si>
    <x:t>43 Triq Dun Bartilmew Attard, Zebbug</x:t>
  </x:si>
  <x:si>
    <x:t>New Building Triq id-Dawwara, Victoria-Gozo</x:t>
  </x:si>
  <x:si>
    <x:t>Triq Pietru D' Armenia, Pembroke</x:t>
  </x:si>
  <x:si>
    <x:t>KW36 Qasam Indrustrijali Kordin Paola</x:t>
  </x:si>
  <x:si>
    <x:t>Zone 2 Triq ll-Ghain Central Business District, B'Kara</x:t>
  </x:si>
  <x:si>
    <x:t>F18, Lower Level Midland Industrial Oark Triq Burmarrad, Naxxar</x:t>
  </x:si>
  <x:si>
    <x:t>23 Triq Angelo Melilli, Zebbug</x:t>
  </x:si>
  <x:si>
    <x:t>8 Triq ll-Madonna Ta' Pompej, B'Kara</x:t>
  </x:si>
  <x:si>
    <x:t>Towe Buildings Triq Graham, Zebbug</x:t>
  </x:si>
  <x:si>
    <x:t>KK 011 Qasam Industrijali, Kordin, Paola</x:t>
  </x:si>
  <x:si>
    <x:t>MRA 053 Qasam Industrijali, Marsa</x:t>
  </x:si>
  <x:si>
    <x:t>77 Triq il-Ballut Qasam Industrijali, Mosta</x:t>
  </x:si>
  <x:si>
    <x:t>A8 Qasam Industrijali, Marsa</x:t>
  </x:si>
  <x:si>
    <x:t>Sqaq Privat Triq tal-Ghajn, Fontana-Gozo</x:t>
  </x:si>
  <x:si>
    <x:t>Unit 1 &amp; 2 Qasam Industrijali, Luqa</x:t>
  </x:si>
  <x:si>
    <x:t>217 Triq Salvu Psaila, B'Kara</x:t>
  </x:si>
  <x:si>
    <x:t>BLB 010C Qasam Industrijali, Bulebel, Zejtun</x:t>
  </x:si>
  <x:si>
    <x:t>3 Triq Manwel Borg Gauci, Qormi</x:t>
  </x:si>
  <x:si>
    <x:t>114 Triq il-Wied, B'Kara</x:t>
  </x:si>
  <x:si>
    <x:t>29 Triq E Attard Bezzina, Zejtun</x:t>
  </x:si>
  <x:si>
    <x:t>Triq l-isturnell Roza, Hal Luqa, Malta</x:t>
  </x:si>
  <x:si>
    <x:t>aluscreens.com</x:t>
  </x:si>
  <x:si>
    <x:t>sgt1183woodworks.com</x:t>
  </x:si>
  <x:si>
    <x:t>sfdoorstyle.com.mt</x:t>
  </x:si>
  <x:si>
    <x:t>abelawoodworks.wixsite.com/abelawoodworks?utm_source=Yellow&amp;utm_medium=Yellow-Website&amp;utm_campaign=Landing-Page</x:t>
  </x:si>
  <x:si>
    <x:t>facebook.com/people/Northalu/100055070154471/?utm_source=Yellow&amp;utm_medium=Yellow-Website&amp;utm_campaign=Landing-Page#</x:t>
  </x:si>
  <x:si>
    <x:t>classicdesignwoodworksmalta.com</x:t>
  </x:si>
  <x:si>
    <x:t>facebook.com/deckor.mt/</x:t>
  </x:si>
  <x:si>
    <x:t>cassarwoodworks.com</x:t>
  </x:si>
  <x:si>
    <x:t>Provide Delivery</x:t>
  </x:si>
  <x:si>
    <x:t>cassarwoodworks.com/opening-solutions-by-george-cassar-woodworks/</x:t>
  </x:si>
  <x:si>
    <x:t>yellow.com.mt/nu-aluminium/aluminium-apertures-fixtures/</x:t>
  </x:si>
  <x:si>
    <x:t>sfdoorstyles.com.mt/</x:t>
  </x:si>
  <x:si>
    <x:t>j3aluminiumworks.com/</x:t>
  </x:si>
  <x:si>
    <x:t>facebook.com/doorsand.more.3</x:t>
  </x:si>
  <x:si>
    <x:t>valormalta.wixsite.com/valor</x:t>
  </x:si>
  <x:si>
    <x:t>EMAIL NOT DELIVERED</x:t>
  </x:si>
  <x:si>
    <x:t>Aluminum</x:t>
  </x:si>
  <x:si>
    <x:t>ICS Aluminium</x:t>
  </x:si>
  <x:si>
    <x:t>Philip Said Aluminium Works</x:t>
  </x:si>
  <x:si>
    <x:t>Framegrip Industries Ltd</x:t>
  </x:si>
  <x:si>
    <x:t>Aluminum Maintance by Paul</x:t>
  </x:si>
  <x:si>
    <x:t>D.T Aluminium</x:t>
  </x:si>
  <x:si>
    <x:t>Amato Home Improvements</x:t>
  </x:si>
  <x:si>
    <x:t>charliecalleja@hotmail.com</x:t>
  </x:si>
  <x:si>
    <x:t>pmll.said@gmail.com</x:t>
  </x:si>
  <x:si>
    <x:t>sales@ampmalta.com</x:t>
  </x:si>
  <x:si>
    <x:t>structures@portofino.mt</x:t>
  </x:si>
  <x:si>
    <x:t>carmelspiteri2010@gmail.com</x:t>
  </x:si>
  <x:si>
    <x:t>aluminiumbypaul@gmail.com</x:t>
  </x:si>
  <x:si>
    <x:t>dt.aluminium@outlook.com</x:t>
  </x:si>
  <x:si>
    <x:t>amatohomeimprovements@gmail.com</x:t>
  </x:si>
  <x:si>
    <x:t>yellow.com.mt/i-c-s-aluminium_aluminium-apertures-fixtures%2Bqormi/?utm_source=chatgpt.com</x:t>
  </x:si>
  <x:si>
    <x:t>triedandtested.mt/listing/philip-said-aluminium-works</x:t>
  </x:si>
  <x:si>
    <x:t>facebook.com/alultd/</x:t>
  </x:si>
  <x:si>
    <x:t>checkyourtraders.com/listing/azzopardi-aluminium-metalworks?utm_source=chatgpt.com</x:t>
  </x:si>
  <x:si>
    <x:t>WILL CHECK LATER - 23/04/2026</x:t>
  </x:si>
  <x:si>
    <x:t>SENT TO WRONG EMAIL - RESENT</x:t>
  </x:si>
  <x:si>
    <x:t>CANNOT</x:t>
  </x:si>
  <x:si>
    <x:t>They dont work on Alum</x:t>
  </x:si>
  <x:si>
    <x:t>Will reply back.</x:t>
  </x:si>
  <x:si>
    <x:t>Will confirm with the design department that they are working on the quote</x:t>
  </x:si>
  <x:si>
    <x:t>Number doesnt exist</x:t>
  </x:si>
  <x:si>
    <x:t>No reply</x:t>
  </x:si>
  <x:si>
    <x:t>Will call back Monday</x:t>
  </x:si>
  <x:si>
    <x:t>Will call later.</x:t>
  </x:si>
  <x:si>
    <x:t>Needs more details on the structure, more dims, glass type, etc.</x:t>
  </x:si>
  <x:si>
    <x:t>Skylight</x:t>
  </x:si>
  <x:si>
    <x:t>Doors</x:t>
  </x:si>
  <x:si>
    <x:t>Wooden apertures</x:t>
  </x:si>
  <x:si>
    <x:t>Woodwork</x:t>
  </x:si>
  <x:si>
    <x:t>Confort House</x:t>
  </x:si>
  <x:si>
    <x:t>Cassar Woodworks</x:t>
  </x:si>
  <x:si>
    <x:t>DDoor Company</x:t>
  </x:si>
  <x:si>
    <x:t>Master Carpenter</x:t>
  </x:si>
  <x:si>
    <x:t>Grima Furniture</x:t>
  </x:si>
  <x:si>
    <x:t>AM Projects</x:t>
  </x:si>
  <x:si>
    <x:t>adoremore</x:t>
  </x:si>
  <x:si>
    <x:t>Direct Developments Malta</x:t>
  </x:si>
  <x:si>
    <x:t>St Anthony Woodworks</x:t>
  </x:si>
  <x:si>
    <x:t>C and M Woodworks</x:t>
  </x:si>
  <x:si>
    <x:t>Pisani Woodworks</x:t>
  </x:si>
  <x:si>
    <x:t>MasterWoodMalta</x:t>
  </x:si>
  <x:si>
    <x:t>Gilbert Micallef Woodwork</x:t>
  </x:si>
  <x:si>
    <x:t>Classic Design Woodworks</x:t>
  </x:si>
  <x:si>
    <x:t>Briffa &amp; Axiaq Woodworks</x:t>
  </x:si>
  <x:si>
    <x:t>Delia Woodworks</x:t>
  </x:si>
  <x:si>
    <x:t>Baldacchino Woodworks</x:t>
  </x:si>
  <x:si>
    <x:t>Woodware</x:t>
  </x:si>
  <x:si>
    <x:t>Trends Ltd</x:t>
  </x:si>
  <x:si>
    <x:t>ProjektDar</x:t>
  </x:si>
  <x:si>
    <x:t>Joseph Mifsud Woodworks Ltd.</x:t>
  </x:si>
  <x:si>
    <x:t>Cieffe Joinery Ltd.</x:t>
  </x:si>
  <x:si>
    <x:t>Kubek Furniture Works</x:t>
  </x:si>
  <x:si>
    <x:t>Gatt Woodworks</x:t>
  </x:si>
  <x:si>
    <x:t>info@conforthouse.mt</x:t>
  </x:si>
  <x:si>
    <x:t>info@cassarwoodworks.com</x:t>
  </x:si>
  <x:si>
    <x:t>info@ddoorcompany.com</x:t>
  </x:si>
  <x:si>
    <x:t>mastercarpentermalta@outlook.com</x:t>
  </x:si>
  <x:si>
    <x:t>info@pisaniwoodworks.com</x:t>
  </x:si>
  <x:si>
    <x:t>masterwoodmalta@gmail.com</x:t>
  </x:si>
  <x:si>
    <x:t>gilbertmicallef1@gmail.com</x:t>
  </x:si>
  <x:si>
    <x:t>info@classicdesign.mt</x:t>
  </x:si>
  <x:si>
    <x:t>info@deliaww.net</x:t>
  </x:si>
  <x:si>
    <x:t>Projectdarmalta@gmail.com</x:t>
  </x:si>
  <x:si>
    <x:t>info@josephmifsud.com</x:t>
  </x:si>
  <x:si>
    <x:t>joelgattcarpentry@gmail.com</x:t>
  </x:si>
  <x:si>
    <x:t>facebook.com/doorsand.more.3/</x:t>
  </x:si>
  <x:si>
    <x:t>71, Triq L-Imdina Qormi – Malta</x:t>
  </x:si>
  <x:si>
    <x:t>George Cassar Woodworks
Plot TQL027, Crafts Village,
Ta’ Qali,</x:t>
  </x:si>
  <x:si>
    <x:t>128 Old Railway Track, Santa Venera</x:t>
  </x:si>
  <x:si>
    <x:t>Ħal Għaxaq, Malta</x:t>
  </x:si>
  <x:si>
    <x:t>Zone 2, Triq L-Ghadam, Central Business District
B’Kara - Malta
CBD 2060</x:t>
  </x:si>
  <x:si>
    <x:t>8 Garra, Is-Swieqi</x:t>
  </x:si>
  <x:si>
    <x:t>Adore More
Triq Id-Difiza Civili.
Mosta, MST 1743
Malta</x:t>
  </x:si>
  <x:si>
    <x:t>St. Anthony Woodworks
Triq il-Fortizza,
Mosta MST 4000</x:t>
  </x:si>
  <x:si>
    <x:t>C &amp; M Woodworks, Indri Psaila Street, Handaq Industrial Estate, Qormi</x:t>
  </x:si>
  <x:si>
    <x:t>Pisani Woodworks Co. Ltd.
GGX 002B,
Industrial Estate,
Xewkija XWK3000,
Gozo</x:t>
  </x:si>
  <x:si>
    <x:t>106, Ind Estate, Luqa, LQA 3000, Malta</x:t>
  </x:si>
  <x:si>
    <x:t>Pearl Court, Flat 1, Vjal Il-Helsien, Haz-Zebbug, Malta</x:t>
  </x:si>
  <x:si>
    <x:t>Entrance 4 No:1 Triq Valletta Il-Marsa Marsa, Malta</x:t>
  </x:si>
  <x:si>
    <x:t>Triq Mastru Karmenu Mallia, Hal Qormi, Malta</x:t>
  </x:si>
  <x:si>
    <x:t>Triq Il-Kappar, Il-Mosta, Malta MST 03</x:t>
  </x:si>
  <x:si>
    <x:t>Factory A5a, Qasam Industrijali, Il-Marsa, Malta</x:t>
  </x:si>
  <x:si>
    <x:t>Baldacchino Builldings, Valletta road, Iz-Zurrieq, Malta</x:t>
  </x:si>
  <x:si>
    <x:t>A8, Industrial Estate, Marsa, Malta, MRS3000</x:t>
  </x:si>
  <x:si>
    <x:t>KKW011, Corradino Industrial Estate, Paola, PLA 3000, Malta</x:t>
  </x:si>
  <x:si>
    <x:t>Naxxar, Malta</x:t>
  </x:si>
  <x:si>
    <x:t>Triq Valletta Il-Marsa, Marsa, Malta</x:t>
  </x:si>
  <x:si>
    <x:t>Hal Far Road, Birzebbugia, Malta</x:t>
  </x:si>
  <x:si>
    <x:t>Joseph Mifsud Woodworks Ltd 48, Triq Dun Luret Callus Zebbug ZBG 2495 Malta</x:t>
  </x:si>
  <x:si>
    <x:t>Kubek Showroom,
Mdina Road, Qormi</x:t>
  </x:si>
  <x:si>
    <x:t>cassarwoodworks.com/</x:t>
  </x:si>
  <x:si>
    <x:t>ddoorcompany.com/</x:t>
  </x:si>
  <x:si>
    <x:t>grimafurniture.com/</x:t>
  </x:si>
  <x:si>
    <x:t>pvc.com.mt/</x:t>
  </x:si>
  <x:si>
    <x:t>windowworld.eu/</x:t>
  </x:si>
  <x:si>
    <x:t>finestralmalta.com/</x:t>
  </x:si>
  <x:si>
    <x:t>candmwoodworks.com/</x:t>
  </x:si>
  <x:si>
    <x:t>pisaniwoodworks.com/</x:t>
  </x:si>
  <x:si>
    <x:t>masterwoodmalta.net/</x:t>
  </x:si>
  <x:si>
    <x:t>findit.com.mt/en/directory/listings/9529/gilbert-micallef-woodwork-malta.htm?utm_source=chatgpt.com</x:t>
  </x:si>
  <x:si>
    <x:t>classicdesign.mt/</x:t>
  </x:si>
  <x:si>
    <x:t>facebook.com/profile.php?id=100063608976880</x:t>
  </x:si>
  <x:si>
    <x:t>findit.com.mt/en/directory/listings/3681/gauci-woodworks.htm</x:t>
  </x:si>
  <x:si>
    <x:t>findit.com.mt/en/directory/listings/9171/delia-woodworks-ltd.htm</x:t>
  </x:si>
  <x:si>
    <x:t>baldacchinogroup.com/menu/home.html</x:t>
  </x:si>
  <x:si>
    <x:t>facebook.com/bespokelocalfurniture/?utm_source=Yellow&amp;utm_medium=Yellow-Website&amp;utm_campaign=Landing-Page</x:t>
  </x:si>
  <x:si>
    <x:t>trendsltdmalta.com/</x:t>
  </x:si>
  <x:si>
    <x:t>facebook.com/profile.php?id=61577138676789</x:t>
  </x:si>
  <x:si>
    <x:t>josephmifsud.com/en/home.htm</x:t>
  </x:si>
  <x:si>
    <x:t>findit.com.mt/en/directory/listings/5261/kubek-furniture-works.htm</x:t>
  </x:si>
  <x:si>
    <x:t>PVC Doors and Windows</x:t>
  </x:si>
  <x:si>
    <x:t>PVC Window</x:t>
  </x:si>
  <x:si>
    <x:t>CASCONE Home</x:t>
  </x:si>
  <x:si>
    <x:t>Doors and More</x:t>
  </x:si>
  <x:si>
    <x:t>JCD Aluminium</x:t>
  </x:si>
  <x:si>
    <x:t>Window World</x:t>
  </x:si>
  <x:si>
    <x:t>ProDoor</x:t>
  </x:si>
  <x:si>
    <x:t>iHomes</x:t>
  </x:si>
  <x:si>
    <x:t>Confort</x:t>
  </x:si>
  <x:si>
    <x:t>Direct Development</x:t>
  </x:si>
  <x:si>
    <x:t>info@casconeporteefinestre.it</x:t>
  </x:si>
  <x:si>
    <x:t>sales@prodoormalta.com</x:t>
  </x:si>
  <x:si>
    <x:t>quotes@ihomes.com.mt</x:t>
  </x:si>
  <x:si>
    <x:t>info@fourwalls.com.mt</x:t>
  </x:si>
  <x:si>
    <x:t>office@ecoplast.com.mt</x:t>
  </x:si>
  <x:si>
    <x:t>Msida Valley Road, BKR9022 Birkirkara - Malta</x:t>
  </x:si>
  <x:si>
    <x:t>217, Doors and More
Triq Salvo Psaila
B'Kara BKR 9078
Malta</x:t>
  </x:si>
  <x:si>
    <x:t>Block  F 18, 
Midland Industrial Park, 
Burmarrd Street,
Naxxar, NXR 6345</x:t>
  </x:si>
  <x:si>
    <x:t>Triq MRU Giorgio Zarb, Ħal Qormi</x:t>
  </x:si>
  <x:si>
    <x:t>San Gwann Industrial Estate, SGN3000, Malta</x:t>
  </x:si>
  <x:si>
    <x:t>Plot 35 Triq Mastru George Cachia
Hal Qormi, Malta</x:t>
  </x:si>
  <x:si>
    <x:t>Zircon Suites Triq ta' Zejfa,
Mosta, Malta</x:t>
  </x:si>
  <x:si>
    <x:t>sptechniques.com/</x:t>
  </x:si>
  <x:si>
    <x:t>jcdaluminium.com/upvc-aluminium-doors-and-windows</x:t>
  </x:si>
  <x:si>
    <x:t>prodoormalta.com/</x:t>
  </x:si>
  <x:si>
    <x:t>uPVC Apertures</x:t>
  </x:si>
  <x:si>
    <x:t>info@perfectum.mt</x:t>
  </x:si>
  <x:si>
    <x:t>Pocket doors / sliding doors</x:t>
  </x:si>
  <x:si>
    <x:t>MegaStore</x:t>
  </x:si>
  <x:si>
    <x:t>Apertures and more</x:t>
  </x:si>
  <x:si>
    <x:t>Doors and more</x:t>
  </x:si>
  <x:si>
    <x:t>Deckor LTD</x:t>
  </x:si>
  <x:si>
    <x:t>Elena's Doors and More</x:t>
  </x:si>
  <x:si>
    <x:t>RGroup</x:t>
  </x:si>
  <x:si>
    <x:t>viorel.limited@gmail.com</x:t>
  </x:si>
  <x:si>
    <x:t>Building alterations</x:t>
  </x:si>
  <x:si>
    <x:t>Building alterations and restorations</x:t>
  </x:si>
  <x:si>
    <x:t>Building restoration</x:t>
  </x:si>
  <x:si>
    <x:t>Building Restoration</x:t>
  </x:si>
  <x:si>
    <x:t>Building restoration and conservation</x:t>
  </x:si>
  <x:si>
    <x:t>Facade restorations</x:t>
  </x:si>
  <x:si>
    <x:t>Restoration</x:t>
  </x:si>
  <x:si>
    <x:t>Restorations</x:t>
  </x:si>
  <x:si>
    <x:t>Casa Completa</x:t>
  </x:si>
  <x:si>
    <x:t>Restoring heritage buildings</x:t>
  </x:si>
  <x:si>
    <x:t>Four VC</x:t>
  </x:si>
  <x:si>
    <x:t>Abela Restoration</x:t>
  </x:si>
  <x:si>
    <x:t>PS. Buhagiar Building Contractors</x:t>
  </x:si>
  <x:si>
    <x:t>ReCoop</x:t>
  </x:si>
  <x:si>
    <x:t>Restoration Now</x:t>
  </x:si>
  <x:si>
    <x:t>VJ Restoration</x:t>
  </x:si>
  <x:si>
    <x:t>A.S. Restoration and Conservation</x:t>
  </x:si>
  <x:si>
    <x:t>BMD Solutions</x:t>
  </x:si>
  <x:si>
    <x:t>RGI Malta Restoration and Building Conservation Works</x:t>
  </x:si>
  <x:si>
    <x:t>A &amp; A Blasting Services</x:t>
  </x:si>
  <x:si>
    <x:t>Hi-Care Services</x:t>
  </x:si>
  <x:si>
    <x:t>Pisani Restoration</x:t>
  </x:si>
  <x:si>
    <x:t>Farstone Construction &amp; Restoration Ltd</x:t>
  </x:si>
  <x:si>
    <x:t>Opaq</x:t>
  </x:si>
  <x:si>
    <x:t>Brian Ellul Stone Restoration</x:t>
  </x:si>
  <x:si>
    <x:t>NM Restorations</x:t>
  </x:si>
  <x:si>
    <x:t>Kiton Contractors</x:t>
  </x:si>
  <x:si>
    <x:t>AX Construction</x:t>
  </x:si>
  <x:si>
    <x:t>Targe Restoration Limited</x:t>
  </x:si>
  <x:si>
    <x:t>DG Restoration</x:t>
  </x:si>
  <x:si>
    <x:t>Cavett Home Renovations</x:t>
  </x:si>
  <x:si>
    <x:t>RM Restoration</x:t>
  </x:si>
  <x:si>
    <x:t>C Camilleri Services</x:t>
  </x:si>
  <x:si>
    <x:t>H&amp;M resotration</x:t>
  </x:si>
  <x:si>
    <x:t>All-Round Services</x:t>
  </x:si>
  <x:si>
    <x:t>Cece &amp; Friends Gypsum &amp; Plastering Works</x:t>
  </x:si>
  <x:si>
    <x:t>Trident Group Solutions</x:t>
  </x:si>
  <x:si>
    <x:t>KM Home Finishes</x:t>
  </x:si>
  <x:si>
    <x:t>A&amp;M Stone Resotration</x:t>
  </x:si>
  <x:si>
    <x:t>TM Home Improvements</x:t>
  </x:si>
  <x:si>
    <x:t>MB Multiservice</x:t>
  </x:si>
  <x:si>
    <x:t>TDM Restoration Works</x:t>
  </x:si>
  <x:si>
    <x:t>info@casacompleta.net</x:t>
  </x:si>
  <x:si>
    <x:t>fourvcltd@gmail.com</x:t>
  </x:si>
  <x:si>
    <x:t>abela.restoration@gmail.com</x:t>
  </x:si>
  <x:si>
    <x:t>psbcontractors@gmail.com</x:t>
  </x:si>
  <x:si>
    <x:t>info@recoop.com.mt</x:t>
  </x:si>
  <x:si>
    <x:t>lizabologna@restoration-now.com</x:t>
  </x:si>
  <x:si>
    <x:t>schembriw45@gmail.com</x:t>
  </x:si>
  <x:si>
    <x:t>silvio.tonna@gmail.com</x:t>
  </x:si>
  <x:si>
    <x:t>info@asbusiness.art</x:t>
  </x:si>
  <x:si>
    <x:t>info@rgimalta.com</x:t>
  </x:si>
  <x:si>
    <x:t>bmdsolutions2018@gmail.com</x:t>
  </x:si>
  <x:si>
    <x:t>a_ablast@live.com</x:t>
  </x:si>
  <x:si>
    <x:t>info@hicareservices.mt</x:t>
  </x:si>
  <x:si>
    <x:t>info@pisanirestoration.com</x:t>
  </x:si>
  <x:si>
    <x:t>info@farstoneconstruction.com</x:t>
  </x:si>
  <x:si>
    <x:t>info@opaq.mt</x:t>
  </x:si>
  <x:si>
    <x:t>marbrian01@gmail.com</x:t>
  </x:si>
  <x:si>
    <x:t>neilborg9@gmail.com</x:t>
  </x:si>
  <x:si>
    <x:t>norobturnkey@gmail.com</x:t>
  </x:si>
  <x:si>
    <x:t>kitonkeith@gmail.com</x:t>
  </x:si>
  <x:si>
    <x:t>info@axconstruction.mt</x:t>
  </x:si>
  <x:si>
    <x:t>info@targe.mt</x:t>
  </x:si>
  <x:si>
    <x:t>dgrestorations21@gmail.com</x:t>
  </x:si>
  <x:si>
    <x:t>clivelee1986@gmail.com</x:t>
  </x:si>
  <x:si>
    <x:t>rmrestoration80@gmail.com</x:t>
  </x:si>
  <x:si>
    <x:t>cody-camilleri@outlook.com</x:t>
  </x:si>
  <x:si>
    <x:t>Hubert.mifsud@icloud.com</x:t>
  </x:si>
  <x:si>
    <x:t>rachellegaldes@gmail.com</x:t>
  </x:si>
  <x:si>
    <x:t>allroundservices9@gmail.com</x:t>
  </x:si>
  <x:si>
    <x:t>Tridentrockscapesolutions@gmail.com</x:t>
  </x:si>
  <x:si>
    <x:t>kevinmallia85@gmail.com</x:t>
  </x:si>
  <x:si>
    <x:t>am.stonerestoration@gmail.com</x:t>
  </x:si>
  <x:si>
    <x:t>ton.micallef@hotmail.com</x:t>
  </x:si>
  <x:si>
    <x:t>marcellomultiservice@gmail.com</x:t>
  </x:si>
  <x:si>
    <x:t>To ask sean (TJ)</x:t>
  </x:si>
  <x:si>
    <x:t>Triq l-Imdina Attard</x:t>
  </x:si>
  <x:si>
    <x:t>8 Triq Salvu Cacciattolo , Zejtun</x:t>
  </x:si>
  <x:si>
    <x:t>Abela Restoration
55 Tal-Grazzja Triq Bugharbiel ,
Zejtun, Malta ZTN 3435</x:t>
  </x:si>
  <x:si>
    <x:t>PS Buhagiar Building Contractors
55, Anfield,
Triq Raddet ir-Roti,
Mosta, Malta.</x:t>
  </x:si>
  <x:si>
    <x:t>ReCoop
Zone 2 Triq L-Esportaturi Central Business District ,
B’Kara, Malta CBD 2040</x:t>
  </x:si>
  <x:si>
    <x:t>Restoration Now
Triq il-Baltiku ,
San Giljan, Malta</x:t>
  </x:si>
  <x:si>
    <x:t>Triq San Edwardu, Qormi, Malta</x:t>
  </x:si>
  <x:si>
    <x:t>triq San Guzepp 28, Mosta, Malta</x:t>
  </x:si>
  <x:si>
    <x:t>30 Triq L-Imradd, Ta' Xbiex</x:t>
  </x:si>
  <x:si>
    <x:t>90, Valley Road Birkirkara, BKR 9014</x:t>
  </x:si>
  <x:si>
    <x:t>KW 09B Qasam Industrijali, Kordin
Paola
PLA 3000</x:t>
  </x:si>
  <x:si>
    <x:t>2, Triq il-Qamh, Zebbug, Ħaz-Zebbug, Malta</x:t>
  </x:si>
  <x:si>
    <x:t>The Peak Exclusive Residences 14, Triq D'Amato, Attard</x:t>
  </x:si>
  <x:si>
    <x:t>19, springvale, Triq it-Tabib Nikola Zammit</x:t>
  </x:si>
  <x:si>
    <x:t>23 Nightingale Triq Dun Salvatore Zarb ,
Gharghur, Malta GHR 1620</x:t>
  </x:si>
  <x:si>
    <x:t>Triq John Borg Zejtun ZTN 2077</x:t>
  </x:si>
  <x:si>
    <x:t>Santa Marija Flats, Flt 3 Triq tal-Wej , Mosta Malta MST 2462</x:t>
  </x:si>
  <x:si>
    <x:t>Hardrocks Industrial Park,
L/O Burmarrad, Malta</x:t>
  </x:si>
  <x:si>
    <x:t>togetherturnkey.com/</x:t>
  </x:si>
  <x:si>
    <x:t>Targe Restoration Ltd., 12 Alley, 4 Castro Street Naxxar NXR2440, Malta</x:t>
  </x:si>
  <x:si>
    <x:t>psbuhagiarconstructionltd.com/en/home.htm?utm_source=chatgpt.com</x:t>
  </x:si>
  <x:si>
    <x:t>recoop.mt/</x:t>
  </x:si>
  <x:si>
    <x:t>facebook.com/RGImalta/</x:t>
  </x:si>
  <x:si>
    <x:t>alexblasting.com/</x:t>
  </x:si>
  <x:si>
    <x:t>hicareservices.mt/</x:t>
  </x:si>
  <x:si>
    <x:t>pisanirestoration.com/</x:t>
  </x:si>
  <x:si>
    <x:t>facebook.com/p/Farstone-Construction-Restoration-Ltd-100042529226772/</x:t>
  </x:si>
  <x:si>
    <x:t>opaq.mt/restoration/</x:t>
  </x:si>
  <x:si>
    <x:t>yellow.com.mt/nm-restoration/building-restoration-conservation/</x:t>
  </x:si>
  <x:si>
    <x:t>norobinstallations.com/?utm_source=Yellow&amp;utm_medium=Yellow-Website&amp;utm_campaign=Landing-Page</x:t>
  </x:si>
  <x:si>
    <x:t>mbm.com.mt/turnkey-contractor-malta</x:t>
  </x:si>
  <x:si>
    <x:t>gypsumworksmalta.com/</x:t>
  </x:si>
  <x:si>
    <x:t>yellow.com.mt/rs-construction/building-contractors/</x:t>
  </x:si>
  <x:si>
    <x:t>Cherry picker</x:t>
  </x:si>
  <x:si>
    <x:t>Pigeon spikes</x:t>
  </x:si>
  <x:si>
    <x:t>Mark-High Up Service</x:t>
  </x:si>
  <x:si>
    <x:t>Ben's Hire Service</x:t>
  </x:si>
  <x:si>
    <x:t>Ramon Cherry Picker Hire</x:t>
  </x:si>
  <x:si>
    <x:t>Joseph Camilleri Cherry Picker Hire Malta</x:t>
  </x:si>
  <x:si>
    <x:t>Renergy Rentals</x:t>
  </x:si>
  <x:si>
    <x:t>Mark TLS Group</x:t>
  </x:si>
  <x:si>
    <x:t>Malcolm Lifting Services</x:t>
  </x:si>
  <x:si>
    <x:t>A &amp; E Borg Bros</x:t>
  </x:si>
  <x:si>
    <x:t>Burda Crane Hire by Raymond</x:t>
  </x:si>
  <x:si>
    <x:t>Chris Tower Ladders &amp; Crane Services</x:t>
  </x:si>
  <x:si>
    <x:t>Johnson Crane Hire</x:t>
  </x:si>
  <x:si>
    <x:t>Kevin Gauci (Il-Kajsu)</x:t>
  </x:si>
  <x:si>
    <x:t>Najju Towing &amp; High Up Service</x:t>
  </x:si>
  <x:si>
    <x:t>Ta’ Nuzzi &amp; Sons</x:t>
  </x:si>
  <x:si>
    <x:t>Mose’s Crane Hire</x:t>
  </x:si>
  <x:si>
    <x:t>Brian Crane Hire</x:t>
  </x:si>
  <x:si>
    <x:t>Edward Micallef Cherry Picker Hire</x:t>
  </x:si>
  <x:si>
    <x:t>Daryl High-Up Service</x:t>
  </x:si>
  <x:si>
    <x:t>Fabian Schembri Tas-Sapuna</x:t>
  </x:si>
  <x:si>
    <x:t>GRC Equipment Hire &amp; Service</x:t>
  </x:si>
  <x:si>
    <x:t>Ir-Reggae</x:t>
  </x:si>
  <x:si>
    <x:t>Jonathan Lia</x:t>
  </x:si>
  <x:si>
    <x:t>Lino’s 10 Ton Crane Hire</x:t>
  </x:si>
  <x:si>
    <x:t>Cherry Picker Malta</x:t>
  </x:si>
  <x:si>
    <x:t>Swaey Bros Ltd</x:t>
  </x:si>
  <x:si>
    <x:t>Godwin’s Garage Ranger Ltd</x:t>
  </x:si>
  <x:si>
    <x:t>Harry's Home Repairs and Maintenance</x:t>
  </x:si>
  <x:si>
    <x:t>Francis</x:t>
  </x:si>
  <x:si>
    <x:t>The exterminator</x:t>
  </x:si>
  <x:si>
    <x:t>H&amp;C Installations</x:t>
  </x:si>
  <x:si>
    <x:t>Fort Pest Control</x:t>
  </x:si>
  <x:si>
    <x:t>markanthonymicallef@gmail.com</x:t>
  </x:si>
  <x:si>
    <x:t>benjamin.cilia@gmail.com</x:t>
  </x:si>
  <x:si>
    <x:t>ramonbartolo1472@gmail.com</x:t>
  </x:si>
  <x:si>
    <x:t>jlcamilleri@mail.com</x:t>
  </x:si>
  <x:si>
    <x:t>info@renergy.com.mt</x:t>
  </x:si>
  <x:si>
    <x:t>info@marktls.com</x:t>
  </x:si>
  <x:si>
    <x:t>mannicranehire@hotmail.com</x:t>
  </x:si>
  <x:si>
    <x:t>abtowerladderservice@hotmail.com</x:t>
  </x:si>
  <x:si>
    <x:t>svet_mifsud@hotmail.com</x:t>
  </x:si>
  <x:si>
    <x:t>chris.tl.cranes@gmail.com</x:t>
  </x:si>
  <x:si>
    <x:t>johnsoncranehire@onvol.net</x:t>
  </x:si>
  <x:si>
    <x:t>gaucikevin1@gmail.com</x:t>
  </x:si>
  <x:si>
    <x:t>vanessa_caruana@hotmail.com</x:t>
  </x:si>
  <x:si>
    <x:t>tanuzzisons@gmail.com</x:t>
  </x:si>
  <x:si>
    <x:t>bch@onvol.net</x:t>
  </x:si>
  <x:si>
    <x:t>dwardu1988@melita.com</x:t>
  </x:si>
  <x:si>
    <x:t>dborg383@gmail.com</x:t>
  </x:si>
  <x:si>
    <x:t>fabianschembri@hotmail.com</x:t>
  </x:si>
  <x:si>
    <x:t>rg.ciantar@gmail.com</x:t>
  </x:si>
  <x:si>
    <x:t>irreggaegatt@gmail.com</x:t>
  </x:si>
  <x:si>
    <x:t>jona.lia185@gmail.com</x:t>
  </x:si>
  <x:si>
    <x:t>swaey@swaey.com</x:t>
  </x:si>
  <x:si>
    <x:t>info@godwinsgarage.com</x:t>
  </x:si>
  <x:si>
    <x:t>harryc1@go.net.mt</x:t>
  </x:si>
  <x:si>
    <x:t>info@exterminatormalta.com</x:t>
  </x:si>
  <x:si>
    <x:t>Turnkey</x:t>
  </x:si>
  <x:si>
    <x:t>Together Turnkey Contractors</x:t>
  </x:si>
  <x:si>
    <x:t>AA Construction Works</x:t>
  </x:si>
  <x:si>
    <x:t>Xuereb Installations Ltd.</x:t>
  </x:si>
  <x:si>
    <x:t>Trust Projects</x:t>
  </x:si>
  <x:si>
    <x:t>Aura Projects</x:t>
  </x:si>
  <x:si>
    <x:t>AAG Turnkey</x:t>
  </x:si>
  <x:si>
    <x:t>Mark Falzon Construction</x:t>
  </x:si>
  <x:si>
    <x:t>ITP Malta</x:t>
  </x:si>
  <x:si>
    <x:t>APTC</x:t>
  </x:si>
  <x:si>
    <x:t>A.C Contractors</x:t>
  </x:si>
  <x:si>
    <x:t>Key Contractors</x:t>
  </x:si>
  <x:si>
    <x:t>CS Group Limited</x:t>
  </x:si>
  <x:si>
    <x:t>Kibitech</x:t>
  </x:si>
  <x:si>
    <x:t>MBM Malta</x:t>
  </x:si>
  <x:si>
    <x:t>GC Turnkey Projects</x:t>
  </x:si>
  <x:si>
    <x:t>Tanti Interiors</x:t>
  </x:si>
  <x:si>
    <x:t>Delta Projects</x:t>
  </x:si>
  <x:si>
    <x:t>IM Contractors</x:t>
  </x:si>
  <x:si>
    <x:t>ARP Properties</x:t>
  </x:si>
  <x:si>
    <x:t>info@togetherturnkey.com</x:t>
  </x:si>
  <x:si>
    <x:t>admin@aaconstructionworks.com</x:t>
  </x:si>
  <x:si>
    <x:t>info@trustprojects.com.mt</x:t>
  </x:si>
  <x:si>
    <x:t>aurelia@auraprojects.eu</x:t>
  </x:si>
  <x:si>
    <x:t>info@aagturnkey.com</x:t>
  </x:si>
  <x:si>
    <x:t>marcofalzon@gmail.com</x:t>
  </x:si>
  <x:si>
    <x:t>info@agfmalta.com</x:t>
  </x:si>
  <x:si>
    <x:t>ac@accontractors.eu</x:t>
  </x:si>
  <x:si>
    <x:t>info@keycontractors.com.mt</x:t>
  </x:si>
  <x:si>
    <x:t>info@csprojects.com.mt</x:t>
  </x:si>
  <x:si>
    <x:t>info@gcturnkeyprojects.com</x:t>
  </x:si>
  <x:si>
    <x:t>kenneth@tanti-interiors.com</x:t>
  </x:si>
  <x:si>
    <x:t>delta_projects@hotmail.com</x:t>
  </x:si>
  <x:si>
    <x:t>imturnkeycontractors@gmail.com</x:t>
  </x:si>
  <x:si>
    <x:t>nickybon84@gmail.com</x:t>
  </x:si>
  <x:si>
    <x:t>charlesturnkey35@gmail.com</x:t>
  </x:si>
  <x:si>
    <x:t>joshua@joshuaturnkey.com</x:t>
  </x:si>
  <x:si>
    <x:t>mercieca.installations@gmail.com</x:t>
  </x:si>
  <x:si>
    <x:t>info.proactiveinterior@gmail.com</x:t>
  </x:si>
  <x:si>
    <x:t>mccoloursltd@gmail.com</x:t>
  </x:si>
  <x:si>
    <x:t>kbgprojects@hotmail.com</x:t>
  </x:si>
  <x:si>
    <x:t>hamody.zedan00@gmail.com</x:t>
  </x:si>
  <x:si>
    <x:t>46 The Cottage Triq Hal Dwin ,
Zebbug, ZBG 3064, MT</x:t>
  </x:si>
  <x:si>
    <x:t>St. Helen, Triq Caravaggio, Ħal Għargħur, GHR 1606</x:t>
  </x:si>
  <x:si>
    <x:t>Xuereb Installations Ltd. Tal-Hlas Road, Qormi QRM 5011. Malt</x:t>
  </x:si>
  <x:si>
    <x:t>Trust Projects
Triq it-Torri ,
Mosta, Malta</x:t>
  </x:si>
  <x:si>
    <x:t>64A, Level 6, Recency House
Bisazza Street, Sliema, SLM 1640</x:t>
  </x:si>
  <x:si>
    <x:t>Fl 2, Palm Street 3, Paola, Malta</x:t>
  </x:si>
  <x:si>
    <x:t>Country View, Triq Tas-Sriedek, Mosta</x:t>
  </x:si>
  <x:si>
    <x:t>21a Triq il-Principessa Margerita ,
Msida, Malta MSD 1331</x:t>
  </x:si>
  <x:si>
    <x:t>Galine’, Josmar Complex Triq id-Difiza Civili,
Mosta, Malta
MST 1743</x:t>
  </x:si>
  <x:si>
    <x:t>APTC LTD No. 3 app 1 MRO Frank Galea Street 
Zebbug, Malta</x:t>
  </x:si>
  <x:si>
    <x:t>A.C. Contractors Ltd
37, Triq L-Imghazel, Swieqi
SWQ 3141, Malta</x:t>
  </x:si>
  <x:si>
    <x:t>Trejqet Isouard
Marsa MRS 2020
Malta</x:t>
  </x:si>
  <x:si>
    <x:t>CS Group Limited
25, Triq il-MuzikaIklin, IKL 1091
Malta</x:t>
  </x:si>
  <x:si>
    <x:t>MBM Smart-Depot, Upper Cross Road Marsa, MRS 1042</x:t>
  </x:si>
  <x:si>
    <x:t>Triq L-Imdina,
Haz-Zebbug, ZBG 9018</x:t>
  </x:si>
  <x:si>
    <x:t>55, Triq Is-Soll, Santa Venera</x:t>
  </x:si>
  <x:si>
    <x:t>Valley Road, Msida MSD 9022, Malta</x:t>
  </x:si>
  <x:si>
    <x:t>Delta Projects
Triq Santa Marija ,
Tarxien, Malta</x:t>
  </x:si>
  <x:si>
    <x:t>Triq Is-Sejba, L-Imqabba, Malta</x:t>
  </x:si>
  <x:si>
    <x:t>aaconstructionworks.com/</x:t>
  </x:si>
  <x:si>
    <x:t>yellow.com.mt/trust-projects/turnkey-contractors/</x:t>
  </x:si>
  <x:si>
    <x:t>auraprojects.eu/</x:t>
  </x:si>
  <x:si>
    <x:t>aagturnkey.com/</x:t>
  </x:si>
  <x:si>
    <x:t>ts-malta.com/</x:t>
  </x:si>
  <x:si>
    <x:t>maltabusinessbook.com/en/directory/listings/4409/concrete-repairs/mark-falzon-construction-malta.htm?utm_source=chatgpt.com</x:t>
  </x:si>
  <x:si>
    <x:t>itpmalta.com/</x:t>
  </x:si>
  <x:si>
    <x:t>jslholdingsltd.com/</x:t>
  </x:si>
  <x:si>
    <x:t>fourvcmalta.com/?utm_source=Yellow&amp;utm_medium=Yellow-Website&amp;utm_campaign=Landing-Page</x:t>
  </x:si>
  <x:si>
    <x:t>accontractors.eu/</x:t>
  </x:si>
  <x:si>
    <x:t>keycontractors.com.mt/</x:t>
  </x:si>
  <x:si>
    <x:t>csgrouplimited.com/</x:t>
  </x:si>
  <x:si>
    <x:t>evolve.com.mt/</x:t>
  </x:si>
  <x:si>
    <x:t>gcturnkeyprojects.com/</x:t>
  </x:si>
  <x:si>
    <x:t>tanti-interiors.com/</x:t>
  </x:si>
  <x:si>
    <x:t>yellow.com.mt/delta-projects/turnkey-contractors/</x:t>
  </x:si>
  <x:si>
    <x:t>facebook.com/IMTurnkeyContractors/</x:t>
  </x:si>
  <x:si>
    <x:t>facebook.com/p/ARP-Properties-100030921566866/</x:t>
  </x:si>
  <x:si>
    <x:t>Civil Eng, Project Management, Turnkey</x:t>
  </x:si>
  <x:si>
    <x:t>Construction</x:t>
  </x:si>
  <x:si>
    <x:t>Contracting (Civil Eng, Finishes, etc)</x:t>
  </x:si>
  <x:si>
    <x:t>Contractors</x:t>
  </x:si>
  <x:si>
    <x:t>Contractors (Excavation and demolition)</x:t>
  </x:si>
  <x:si>
    <x:t>RS Construction</x:t>
  </x:si>
  <x:si>
    <x:t>Barbros Group</x:t>
  </x:si>
  <x:si>
    <x:t>SA Developments Ltd</x:t>
  </x:si>
  <x:si>
    <x:t>Zahra Group</x:t>
  </x:si>
  <x:si>
    <x:t>Optima Projects</x:t>
  </x:si>
  <x:si>
    <x:t>BRAND Projects</x:t>
  </x:si>
  <x:si>
    <x:t>C &amp; F Building Contractors</x:t>
  </x:si>
  <x:si>
    <x:t>B Grima &amp; Sons Ltd</x:t>
  </x:si>
  <x:si>
    <x:t>AJF Attard Contractors</x:t>
  </x:si>
  <x:si>
    <x:t>Curmi Construction Ltd</x:t>
  </x:si>
  <x:si>
    <x:t>Executive Projects Ltd</x:t>
  </x:si>
  <x:si>
    <x:t>Farstone Construction</x:t>
  </x:si>
  <x:si>
    <x:t>JMS Construction Ltd</x:t>
  </x:si>
  <x:si>
    <x:t>JP Pisani Operations Ltd</x:t>
  </x:si>
  <x:si>
    <x:t>Grima &amp; Zammit Ltd</x:t>
  </x:si>
  <x:si>
    <x:t>Gizwit &amp; Sons</x:t>
  </x:si>
  <x:si>
    <x:t>CVBR Group Ltd</x:t>
  </x:si>
  <x:si>
    <x:t>C &amp; G Sant Construction</x:t>
  </x:si>
  <x:si>
    <x:t>ColBex Building Services</x:t>
  </x:si>
  <x:si>
    <x:t>Tal Karmnu Construction Company Limited</x:t>
  </x:si>
  <x:si>
    <x:t>Attard Bros Group</x:t>
  </x:si>
  <x:si>
    <x:t>MNA Properties Enterprise</x:t>
  </x:si>
  <x:si>
    <x:t>B&amp;B Construction</x:t>
  </x:si>
  <x:si>
    <x:t>Vassallo Builders Limited</x:t>
  </x:si>
  <x:si>
    <x:t>Bonnici Bros</x:t>
  </x:si>
  <x:si>
    <x:t>ELBROS</x:t>
  </x:si>
  <x:si>
    <x:t>Tal-Maghtab Construction</x:t>
  </x:si>
  <x:si>
    <x:t>Polidano Group</x:t>
  </x:si>
  <x:si>
    <x:t>Owen Galea Civil Works</x:t>
  </x:si>
  <x:si>
    <x:t>Four VC Malta</x:t>
  </x:si>
  <x:si>
    <x:t>Mifsud Brothers</x:t>
  </x:si>
  <x:si>
    <x:t>A.Aquilina Building Contractors</x:t>
  </x:si>
  <x:si>
    <x:t>Tal-Karmnu Constructions</x:t>
  </x:si>
  <x:si>
    <x:t>C&amp;S Services</x:t>
  </x:si>
  <x:si>
    <x:t>Philip Bongailas</x:t>
  </x:si>
  <x:si>
    <x:t>Noel Mizzi Construction &amp; Development</x:t>
  </x:si>
  <x:si>
    <x:t>E.Ciantar Construction</x:t>
  </x:si>
  <x:si>
    <x:t>Thomas Azzopardi Construction</x:t>
  </x:si>
  <x:si>
    <x:t>Lea Contractors</x:t>
  </x:si>
  <x:si>
    <x:t>MTF Bonanno LTD</x:t>
  </x:si>
  <x:si>
    <x:t>API Contractors</x:t>
  </x:si>
  <x:si>
    <x:t>Galea Mario tal-Bidnija</x:t>
  </x:si>
  <x:si>
    <x:t>Just Construction Ltd</x:t>
  </x:si>
  <x:si>
    <x:t>Schranz</x:t>
  </x:si>
  <x:si>
    <x:t>S&amp;P Construction and Alterations</x:t>
  </x:si>
  <x:si>
    <x:t>Marozz</x:t>
  </x:si>
  <x:si>
    <x:t>MV Xuereb</x:t>
  </x:si>
  <x:si>
    <x:t>Tabone Construction Works</x:t>
  </x:si>
  <x:si>
    <x:t>Construction and Plastering</x:t>
  </x:si>
  <x:si>
    <x:t>Camilleri Constructions &amp; Alterations</x:t>
  </x:si>
  <x:si>
    <x:t>KGB</x:t>
  </x:si>
  <x:si>
    <x:t>Pisani Construction</x:t>
  </x:si>
  <x:si>
    <x:t>Joshua Turnkey</x:t>
  </x:si>
  <x:si>
    <x:t>reu_sacco@hotmail.com</x:t>
  </x:si>
  <x:si>
    <x:t>info@barbrosgroup.com</x:t>
  </x:si>
  <x:si>
    <x:t>sadevelopmentsltd@gmail.com</x:t>
  </x:si>
  <x:si>
    <x:t>joseph@zahraltd.com</x:t>
  </x:si>
  <x:si>
    <x:t>info@optimaprojects.mt</x:t>
  </x:si>
  <x:si>
    <x:t>info@brandprojectsltd.com</x:t>
  </x:si>
  <x:si>
    <x:t>info@fsh.com.mt</x:t>
  </x:si>
  <x:si>
    <x:t>info@bgs.com.mt</x:t>
  </x:si>
  <x:si>
    <x:t>info@ajfattard.com</x:t>
  </x:si>
  <x:si>
    <x:t>curmijonathan@gmail.com</x:t>
  </x:si>
  <x:si>
    <x:t>executiveprojectsltd@gmail.com</x:t>
  </x:si>
  <x:si>
    <x:t>jmsconstructionlimited@gmail.com</x:t>
  </x:si>
  <x:si>
    <x:t>info@jpisanioperationsltd.com</x:t>
  </x:si>
  <x:si>
    <x:t>rubengrima@hotmail.com</x:t>
  </x:si>
  <x:si>
    <x:t>ndbalzan@gmail.com</x:t>
  </x:si>
  <x:si>
    <x:t>cvbrgroup@gmail.com</x:t>
  </x:si>
  <x:si>
    <x:t>c.and.g.sant.cont@gmail.com</x:t>
  </x:si>
  <x:si>
    <x:t>becky@colbex.my</x:t>
  </x:si>
  <x:si>
    <x:t>info@talkarmnu.com.mt</x:t>
  </x:si>
  <x:si>
    <x:t>properties@mna.com.mt</x:t>
  </x:si>
  <x:si>
    <x:t>info@bbconstruction.mt</x:t>
  </x:si>
  <x:si>
    <x:t>info@vassallogroupmalta.com</x:t>
  </x:si>
  <x:si>
    <x:t>info@bbg.com.mt</x:t>
  </x:si>
  <x:si>
    <x:t>info@elbros.com.mt</x:t>
  </x:si>
  <x:si>
    <x:t>info@tmc.com.mt</x:t>
  </x:si>
  <x:si>
    <x:t>info@polidano-group.com</x:t>
  </x:si>
  <x:si>
    <x:t>info@ogcw.mt</x:t>
  </x:si>
  <x:si>
    <x:t>mifsudbros@hotmail.com</x:t>
  </x:si>
  <x:si>
    <x:t>Clintonspiteri94@gmail.com</x:t>
  </x:si>
  <x:si>
    <x:t>bobli2@hotmail.com</x:t>
  </x:si>
  <x:si>
    <x:t>noelmizzi1976@gmail.com</x:t>
  </x:si>
  <x:si>
    <x:t>eman.ciantar98@gmail.com</x:t>
  </x:si>
  <x:si>
    <x:t>thomasazzopardiconstruction@gmail.com</x:t>
  </x:si>
  <x:si>
    <x:t>info@leacontractors.com</x:t>
  </x:si>
  <x:si>
    <x:t>info@mtfbonannoltd.com</x:t>
  </x:si>
  <x:si>
    <x:t>apicontractors@gmail.com</x:t>
  </x:si>
  <x:si>
    <x:t>mariogalea@hotmail.co.uk</x:t>
  </x:si>
  <x:si>
    <x:t>justconstructionworks@gmail.com</x:t>
  </x:si>
  <x:si>
    <x:t>info@schranzltd.com</x:t>
  </x:si>
  <x:si>
    <x:t>loganblakepace@yahoo.com</x:t>
  </x:si>
  <x:si>
    <x:t>marozzmifsud12@gmail.com</x:t>
  </x:si>
  <x:si>
    <x:t>mvxuereb@gmail.com</x:t>
  </x:si>
  <x:si>
    <x:t>info@taboneconstructionworks.com</x:t>
  </x:si>
  <x:si>
    <x:t>camilleri.services@gmail.com</x:t>
  </x:si>
  <x:si>
    <x:t>info@pisaniconstruction.com</x:t>
  </x:si>
  <x:si>
    <x:t>Joshua@joshuaturnkey.com</x:t>
  </x:si>
  <x:si>
    <x:t>2143 2333</x:t>
  </x:si>
  <x:si>
    <x:t>RS Construction
Clover, Apt 4 Triq Dun Karm Psaila,
Zebbug, Malta</x:t>
  </x:si>
  <x:si>
    <x:t>Barbros Group, Tal-Barrani Road, Żejtun, ŻTN 9022, Malta</x:t>
  </x:si>
  <x:si>
    <x:t>Zahra Group, Siggiewi Road MQB 1630 Ta' Kandja, Malta</x:t>
  </x:si>
  <x:si>
    <x:t>Gzira, Malta</x:t>
  </x:si>
  <x:si>
    <x:t>Attard Bros. Group, Industrial Zone,
Ta’ Qali, ATD 4000, Malta</x:t>
  </x:si>
  <x:si>
    <x:t>B&amp;B Construction Ltd.
Triq il-Kappella ta’ Santa Marija, Magħtab L/O Naxxar,
NXR6510, Malta</x:t>
  </x:si>
  <x:si>
    <x:t>The Three Arches
Valletta Road
Mosta. MST 9016</x:t>
  </x:si>
  <x:si>
    <x:t>Bonnici House Sardine Street, Burmarrad SPB 6073 Malta</x:t>
  </x:si>
  <x:si>
    <x:t>ELBROS GROUP
ELBROS’, TRIQ L-INDUSTRIJA, KKP 9042 MALTA</x:t>
  </x:si>
  <x:si>
    <x:t>Tal-Maghtab Construction Co. Ltd.,
Ramla Road,
Maghtab l/o Naxxar</x:t>
  </x:si>
  <x:si>
    <x:t>Hal-Farrug Road, Luqa, LQA 3078</x:t>
  </x:si>
  <x:si>
    <x:t>AGF Turnkey Contractors,
Galine’, Josmar Complex Triq id-Difiza Civili,
Mosta, Malta,  MST 1743</x:t>
  </x:si>
  <x:si>
    <x:t>81-83, Triq Baskal Buhagiar ,
Mosta</x:t>
  </x:si>
  <x:si>
    <x:t>AA Construction Works
St. Helen, Triq Caravaggion, Ħal Għargħur</x:t>
  </x:si>
  <x:si>
    <x:t>578, The Four Seasons, Triq Il-Qaliet, Marsaskala</x:t>
  </x:si>
  <x:si>
    <x:t>C &amp; S Services
The Orchid Triq il-Faqqus ,
Zejtun, Malta ZTN 4420</x:t>
  </x:si>
  <x:si>
    <x:t>Philip Bongailas
Farmhouse Triq tal-Handaq Tal-Handaq ,
Qormi, Malta QRM 4001</x:t>
  </x:si>
  <x:si>
    <x:t>E.Ciantar Construction
Triq Guzeppi Busuttil ,
Siggiewi, Malta</x:t>
  </x:si>
  <x:si>
    <x:t>Noel Mizzi
Construction &amp; Development
117, St Joseph Street,
Paola</x:t>
  </x:si>
  <x:si>
    <x:t>Azzopardi Thomas Construction Ltd
Ta’ Menz Cottage Triq il-Gnien ,
Gharghur, Malta</x:t>
  </x:si>
  <x:si>
    <x:t>St. Paul's Bay, Malta</x:t>
  </x:si>
  <x:si>
    <x:t>Triq Mons. Mikielang Mifsud</x:t>
  </x:si>
  <x:si>
    <x:t>API CONTRACTORS
91 Triq Hal Qormi ,
Hamrun HMR 2183</x:t>
  </x:si>
  <x:si>
    <x:t>Send for Isla</x:t>
  </x:si>
  <x:si>
    <x:t>Swietenia Triq il-Bdiewa Bidnija
Mosta
MST 5073</x:t>
  </x:si>
  <x:si>
    <x:t>barbrosgroup.com/</x:t>
  </x:si>
  <x:si>
    <x:t>facebook.com/sadevelopments/</x:t>
  </x:si>
  <x:si>
    <x:t>zahragroup.com.mt/</x:t>
  </x:si>
  <x:si>
    <x:t>facebook.com/optimaprojectsmalta/</x:t>
  </x:si>
  <x:si>
    <x:t>facebook.com/profile.php?id=100083372109614</x:t>
  </x:si>
  <x:si>
    <x:t>attardbros.com/</x:t>
  </x:si>
  <x:si>
    <x:t>bbconstruction.mt/</x:t>
  </x:si>
  <x:si>
    <x:t>vassallogroupmalta.com/construction/</x:t>
  </x:si>
  <x:si>
    <x:t>elbros.com.mt/</x:t>
  </x:si>
  <x:si>
    <x:t>tmc.com.mt/</x:t>
  </x:si>
  <x:si>
    <x:t>polidano-group.com/home.html</x:t>
  </x:si>
  <x:si>
    <x:t>ogcivilworks.com/</x:t>
  </x:si>
  <x:si>
    <x:t>yellow.com.mt/mifsud-brothers/building-contractors/</x:t>
  </x:si>
  <x:si>
    <x:t>aaconstructionworks.com/?utm_source=Yellow&amp;utm_medium=Yellow-Website&amp;utm_campaign=Landing-Page</x:t>
  </x:si>
  <x:si>
    <x:t>talkarmnu.com.mt/</x:t>
  </x:si>
  <x:si>
    <x:t>yellow.com.mt/c-s-services/building-contractors/</x:t>
  </x:si>
  <x:si>
    <x:t>yellow.com.mt/philip-bongailas/building-contractors/</x:t>
  </x:si>
  <x:si>
    <x:t>noelmizzi.com/?utm_source=Yellow&amp;utm_medium=Yellow-Website&amp;utm_campaign=Landing-Page</x:t>
  </x:si>
  <x:si>
    <x:t>yellow.com.mt/e-ciantar-construction_building-contractors+siggiewi/</x:t>
  </x:si>
  <x:si>
    <x:t>taclimited.net/?utm_source=Yellow&amp;utm_medium=Yellow-Website&amp;utm_campaign=Landing-Page</x:t>
  </x:si>
  <x:si>
    <x:t>leacontractors.com/?utm_source=chatgpt.com</x:t>
  </x:si>
  <x:si>
    <x:t>mtfbonannoltd.com/</x:t>
  </x:si>
  <x:si>
    <x:t>facebook.com/profile.php?id=100064105449582&amp;utm_source=Yellow&amp;utm_medium=Yellow-Website&amp;utm_campaign=Landing-Page</x:t>
  </x:si>
  <x:si>
    <x:t>talbidnijademolitions.com/</x:t>
  </x:si>
  <x:si>
    <x:t>gfaenza@gmail.com/Facebook</x:t>
  </x:si>
  <x:si>
    <x:t xml:space="preserve">ITEM </x:t>
  </x:si>
  <x:si>
    <x:t>E</x:t>
  </x:si>
  <x:si>
    <x:t>E &amp; M</x:t>
  </x:si>
  <x:si>
    <x:t>E &amp; P</x:t>
  </x:si>
  <x:si>
    <x:t>INSTALLATIONS</x:t>
  </x:si>
  <x:si>
    <x:t>MEP</x:t>
  </x:si>
  <x:si>
    <x:t>P</x:t>
  </x:si>
  <x:si>
    <x:t>PLUMBING</x:t>
  </x:si>
  <x:si>
    <x:t>SUPPLIER</x:t>
  </x:si>
  <x:si>
    <x:t>AG Group</x:t>
  </x:si>
  <x:si>
    <x:t>RC Installations</x:t>
  </x:si>
  <x:si>
    <x:t>Prime Electrical Contractors</x:t>
  </x:si>
  <x:si>
    <x:t>JPC Electrical &amp; Automation Services</x:t>
  </x:si>
  <x:si>
    <x:t>Sebastian Mizzi</x:t>
  </x:si>
  <x:si>
    <x:t>Jonathan Deguara</x:t>
  </x:si>
  <x:si>
    <x:t>A &amp; S Degiorgio Earth Electrodes</x:t>
  </x:si>
  <x:si>
    <x:t>AC Electric</x:t>
  </x:si>
  <x:si>
    <x:t>DB Installation Services Ltd</x:t>
  </x:si>
  <x:si>
    <x:t>Electrosecurity</x:t>
  </x:si>
  <x:si>
    <x:t>JM Installations</x:t>
  </x:si>
  <x:si>
    <x:t>Syphase Services.com</x:t>
  </x:si>
  <x:si>
    <x:t>Central Power Installations</x:t>
  </x:si>
  <x:si>
    <x:t>E&amp;M Projects</x:t>
  </x:si>
  <x:si>
    <x:t>B D Installations</x:t>
  </x:si>
  <x:si>
    <x:t>SAYCA Ltd</x:t>
  </x:si>
  <x:si>
    <x:t>ADM Property Works Ltd</x:t>
  </x:si>
  <x:si>
    <x:t>Massimo Aquilina</x:t>
  </x:si>
  <x:si>
    <x:t>Bonnici Installations Ltd</x:t>
  </x:si>
  <x:si>
    <x:t>Cobra Installations</x:t>
  </x:si>
  <x:si>
    <x:t>A B Installations By Formosa</x:t>
  </x:si>
  <x:si>
    <x:t>J &amp; F Installations</x:t>
  </x:si>
  <x:si>
    <x:t>M&amp;D Home Finishings</x:t>
  </x:si>
  <x:si>
    <x:t>Oliverio Electrical &amp; Plumbing</x:t>
  </x:si>
  <x:si>
    <x:t>Felix Services and Installations</x:t>
  </x:si>
  <x:si>
    <x:t>Yellow Phase Ltd</x:t>
  </x:si>
  <x:si>
    <x:t>KMZ Installations</x:t>
  </x:si>
  <x:si>
    <x:t>Aaron Azzopardi Electrical &amp; Plumbing</x:t>
  </x:si>
  <x:si>
    <x:t>MICOR Installations</x:t>
  </x:si>
  <x:si>
    <x:t>James Manicolo</x:t>
  </x:si>
  <x:si>
    <x:t>Plum-Eng Installations</x:t>
  </x:si>
  <x:si>
    <x:t>Lexlex Installations</x:t>
  </x:si>
  <x:si>
    <x:t>CC ELECTRICAL &amp; PLUMBING SOLUTIONS</x:t>
  </x:si>
  <x:si>
    <x:t>NT Installations</x:t>
  </x:si>
  <x:si>
    <x:t>Bonnici installation ltd</x:t>
  </x:si>
  <x:si>
    <x:t>Jason Tabone</x:t>
  </x:si>
  <x:si>
    <x:t>MCI - Electrical &amp; Plumbing Contractors</x:t>
  </x:si>
  <x:si>
    <x:t>KV Installations</x:t>
  </x:si>
  <x:si>
    <x:t>Matthew Farrugia Installations</x:t>
  </x:si>
  <x:si>
    <x:t>KuBu Turnkey Services</x:t>
  </x:si>
  <x:si>
    <x:t>EA Solutions</x:t>
  </x:si>
  <x:si>
    <x:t>GLE Installations</x:t>
  </x:si>
  <x:si>
    <x:t>KS</x:t>
  </x:si>
  <x:si>
    <x:t>Harry's Home Repairs</x:t>
  </x:si>
  <x:si>
    <x:t>J D Skip Services &amp; Maintenance</x:t>
  </x:si>
  <x:si>
    <x:t>Melcro Installations</x:t>
  </x:si>
  <x:si>
    <x:t>Engenuity Ltd</x:t>
  </x:si>
  <x:si>
    <x:t>Raymond Vella &amp; Co Ltd</x:t>
  </x:si>
  <x:si>
    <x:t>Colin Farrugia - Electrician</x:t>
  </x:si>
  <x:si>
    <x:t>Cobra Installations Ltd.</x:t>
  </x:si>
  <x:si>
    <x:t>MCE Ltd</x:t>
  </x:si>
  <x:si>
    <x:t>Aaron Zammit - Electrical and Plumbing Services,</x:t>
  </x:si>
  <x:si>
    <x:t>Jonathan falzon electrical and plumbing</x:t>
  </x:si>
  <x:si>
    <x:t>The FITTER</x:t>
  </x:si>
  <x:si>
    <x:t>JT Installations Ltd</x:t>
  </x:si>
  <x:si>
    <x:t>A1 Installations</x:t>
  </x:si>
  <x:si>
    <x:t>AASK Enterprises Ltd</x:t>
  </x:si>
  <x:si>
    <x:t>ABS</x:t>
  </x:si>
  <x:si>
    <x:t>Frank Amore Plumbing &amp; Maintenance</x:t>
  </x:si>
  <x:si>
    <x:t>Toolbox Solutions</x:t>
  </x:si>
  <x:si>
    <x:t>Handyman Solutions Ltd Growth</x:t>
  </x:si>
  <x:si>
    <x:t>CHI Consultants Ltd</x:t>
  </x:si>
  <x:si>
    <x:t>J D Maintenance &amp; High-Up Services</x:t>
  </x:si>
  <x:si>
    <x:t>Alex Pisani</x:t>
  </x:si>
  <x:si>
    <x:t>Professional Rope Access Work</x:t>
  </x:si>
  <x:si>
    <x:t>CLV Plumbing</x:t>
  </x:si>
  <x:si>
    <x:t>Charles Cauchi</x:t>
  </x:si>
  <x:si>
    <x:t>About Pipes</x:t>
  </x:si>
  <x:si>
    <x:t>John's Plumbing Services</x:t>
  </x:si>
  <x:si>
    <x:t>E. GRECH Cristal Bath Ltd</x:t>
  </x:si>
  <x:si>
    <x:t>info@aggroup.com.mt</x:t>
  </x:si>
  <x:si>
    <x:t>caruanareuben@hotmail.co.uk</x:t>
  </x:si>
  <x:si>
    <x:t>Info@PrimeSolutionsMalta.com</x:t>
  </x:si>
  <x:si>
    <x:t>jpc590@hotmail.com</x:t>
  </x:si>
  <x:si>
    <x:t>info@smeagroup.com</x:t>
  </x:si>
  <x:si>
    <x:t>simonelectrodes@yahoo.com</x:t>
  </x:si>
  <x:si>
    <x:t>acelectric79@gmail.com</x:t>
  </x:si>
  <x:si>
    <x:t>db.installationsltd@outlook.com</x:t>
  </x:si>
  <x:si>
    <x:t>noel.psaila@gmail.com</x:t>
  </x:si>
  <x:si>
    <x:t>mkmicallef@gmail.com</x:t>
  </x:si>
  <x:si>
    <x:t>syphase@gmail.com</x:t>
  </x:si>
  <x:si>
    <x:t>deguarajonathan@gmail.com</x:t>
  </x:si>
  <x:si>
    <x:t>info@centralpower.com.mt</x:t>
  </x:si>
  <x:si>
    <x:t>info@emprojectsmalta.com</x:t>
  </x:si>
  <x:si>
    <x:t>bdi@contractor.net</x:t>
  </x:si>
  <x:si>
    <x:t>sayca.malta@gmail.com</x:t>
  </x:si>
  <x:si>
    <x:t>mltproworks@gmail.com</x:t>
  </x:si>
  <x:si>
    <x:t>massimo.aquilina28@gmail.com</x:t>
  </x:si>
  <x:si>
    <x:t>taddeobonnici@gmail.com</x:t>
  </x:si>
  <x:si>
    <x:t>jasontabone@hotmail.com</x:t>
  </x:si>
  <x:si>
    <x:t>falzon9903@gmail.com</x:t>
  </x:si>
  <x:si>
    <x:t>massimo_oliverio@hotmail.co.uk</x:t>
  </x:si>
  <x:si>
    <x:t>felixservices@gmail.com</x:t>
  </x:si>
  <x:si>
    <x:t>yellowphase@gmail.com</x:t>
  </x:si>
  <x:si>
    <x:t>kevinzammit1@hotmail.com</x:t>
  </x:si>
  <x:si>
    <x:t>azzopaaron@gmail.com</x:t>
  </x:si>
  <x:si>
    <x:t>micor.installations@gmail.com</x:t>
  </x:si>
  <x:si>
    <x:t>jamesmanicolo87@gmail.com</x:t>
  </x:si>
  <x:si>
    <x:t>plum.eng.pz@gmail.com</x:t>
  </x:si>
  <x:si>
    <x:t>lexlexinstallation@gmail.com</x:t>
  </x:si>
  <x:si>
    <x:t>clifford.callus@gmail.com</x:t>
  </x:si>
  <x:si>
    <x:t>neiltaboneinstallations@gmail.com</x:t>
  </x:si>
  <x:si>
    <x:t>marco@marcovella.com</x:t>
  </x:si>
  <x:si>
    <x:t>info@mcimalta.com</x:t>
  </x:si>
  <x:si>
    <x:t>jevgatt@gmail.com</x:t>
  </x:si>
  <x:si>
    <x:t>keithvella90@gmail.com</x:t>
  </x:si>
  <x:si>
    <x:t>matthewfarrugiainstallations@gmail.com</x:t>
  </x:si>
  <x:si>
    <x:t>kurtbservices@gmail.com</x:t>
  </x:si>
  <x:si>
    <x:t>ea.solutions@hotmail.com</x:t>
  </x:si>
  <x:si>
    <x:t>gleinstallations@gmail.com</x:t>
  </x:si>
  <x:si>
    <x:t>kspiteri197@gmail.com</x:t>
  </x:si>
  <x:si>
    <x:t>louvassallo@onvol.net</x:t>
  </x:si>
  <x:si>
    <x:t>jasontabone@hotmail.com/Facebook</x:t>
  </x:si>
  <x:si>
    <x:t>info@melcromalta.com</x:t>
  </x:si>
  <x:si>
    <x:t>info@engenuity.com.mt</x:t>
  </x:si>
  <x:si>
    <x:t>info@bonicci.com</x:t>
  </x:si>
  <x:si>
    <x:t>info@rvcltd.com.mt/</x:t>
  </x:si>
  <x:si>
    <x:t>colinfarrugia.eps@gmail.com</x:t>
  </x:si>
  <x:si>
    <x:t>info@mcemalta.com</x:t>
  </x:si>
  <x:si>
    <x:t>aaron.sil.zammit@gmail.com</x:t>
  </x:si>
  <x:si>
    <x:t>falzonjonathan17@gmail.com</x:t>
  </x:si>
  <x:si>
    <x:t>clint22@live.com</x:t>
  </x:si>
  <x:si>
    <x:t>jtabone@jti.com.mt</x:t>
  </x:si>
  <x:si>
    <x:t>stefan@a1holdings.eu</x:t>
  </x:si>
  <x:si>
    <x:t>info@aask.com.mt</x:t>
  </x:si>
  <x:si>
    <x:t>info@abs.mt</x:t>
  </x:si>
  <x:si>
    <x:t>frankamore.plumber@gmail.com</x:t>
  </x:si>
  <x:si>
    <x:t>toolboxsolutionss@gmail.com</x:t>
  </x:si>
  <x:si>
    <x:t>info@chi.com.mt</x:t>
  </x:si>
  <x:si>
    <x:t>ropeaccess77@gmail.com</x:t>
  </x:si>
  <x:si>
    <x:t>api101069@gmail.com</x:t>
  </x:si>
  <x:si>
    <x:t>anda@maltanet.net</x:t>
  </x:si>
  <x:si>
    <x:t>aboutpipes@hotmail.com</x:t>
  </x:si>
  <x:si>
    <x:t>plumber.malta@gmail.com</x:t>
  </x:si>
  <x:si>
    <x:t>claudioventa27@gmail.com</x:t>
  </x:si>
  <x:si>
    <x:t>PHONE NUMBER</x:t>
  </x:si>
  <x:si>
    <x:t>45, Mirage HSE, Triq Santu Rokku, Il-Mosta</x:t>
  </x:si>
  <x:si>
    <x:t>64, Triq Is-Sajjied, Qawra</x:t>
  </x:si>
  <x:si>
    <x:t>41, Triq Anglu Mallia, Birkirkara</x:t>
  </x:si>
  <x:si>
    <x:t>Moonshadow, Triq Santa Margerita, Is-Siggiewi</x:t>
  </x:si>
  <x:si>
    <x:t>Triq Tal-Hlas, Hal Qormi</x:t>
  </x:si>
  <x:si>
    <x:t>Creta', Dawret Hal Ghaxaq, Hal Ghaxaq</x:t>
  </x:si>
  <x:si>
    <x:t>118, Crystal Heart, Triq Ignazio Saverio Mifsud, Birkirkara</x:t>
  </x:si>
  <x:si>
    <x:t>65, Villa Vellas, Triq Dun Gorg Preca, Il-Hamrun</x:t>
  </x:si>
  <x:si>
    <x:t>Pergola, Triq Salvu Buhagiar, Bella Vista, Marsaskala, Malta</x:t>
  </x:si>
  <x:si>
    <x:t>13, St Helen House, Triq Il-Kapuccini, San Gwann, Malta</x:t>
  </x:si>
  <x:si>
    <x:t>MCE House, Triq L-Industrija, Qormi, Malta</x:t>
  </x:si>
  <x:si>
    <x:t>Cawsli Court, Flt 4, Triq L-Imdina, Hal Qormi, Malta</x:t>
  </x:si>
  <x:si>
    <x:t>32, Triq il-Battaljun, Mosta, Malta MST 2721</x:t>
  </x:si>
  <x:si>
    <x:t>Triq Tommaso Dingli ,
B’Kara, Malta</x:t>
  </x:si>
  <x:si>
    <x:t>/</x:t>
  </x:si>
  <x:si>
    <x:t>E. Grech Cristal Bath Ltd.
Psaila Street,
Birkirkara, BKR9076 Malta</x:t>
  </x:si>
  <x:si>
    <x:t>GAD Finishings
21, Triq Gellewza Sewda,
Midland Park, D7
Burmarrad Road, Burmarrad LO Naxxar
Malta</x:t>
  </x:si>
  <x:si>
    <x:t>melcromalta.com</x:t>
  </x:si>
  <x:si>
    <x:t>/ engenuity.com.mt</x:t>
  </x:si>
  <x:si>
    <x:t>Lights</x:t>
  </x:si>
  <x:si>
    <x:t>Solea</x:t>
  </x:si>
  <x:si>
    <x:t>Lightshop malta</x:t>
  </x:si>
  <x:si>
    <x:t>AJ Electric</x:t>
  </x:si>
  <x:si>
    <x:t>VCT</x:t>
  </x:si>
  <x:si>
    <x:t>Light Design Solutions</x:t>
  </x:si>
  <x:si>
    <x:t>P&amp;J Electrical Supplies</x:t>
  </x:si>
  <x:si>
    <x:t>GLS Lighting Solutions</x:t>
  </x:si>
  <x:si>
    <x:t>GLOW</x:t>
  </x:si>
  <x:si>
    <x:t>Transient Light &amp; Sound</x:t>
  </x:si>
  <x:si>
    <x:t>RG Alternatives</x:t>
  </x:si>
  <x:si>
    <x:t>Calleja</x:t>
  </x:si>
  <x:si>
    <x:t>ESS</x:t>
  </x:si>
  <x:si>
    <x:t>LED Lights Malta</x:t>
  </x:si>
  <x:si>
    <x:t>Brighter Solutions</x:t>
  </x:si>
  <x:si>
    <x:t>Illumitech Malta</x:t>
  </x:si>
  <x:si>
    <x:t>Elektra</x:t>
  </x:si>
  <x:si>
    <x:t>Farrugia Lighting &amp; Interiors</x:t>
  </x:si>
  <x:si>
    <x:t>HydroElectric</x:t>
  </x:si>
  <x:si>
    <x:t>IML Electrical Supplies LTD</x:t>
  </x:si>
  <x:si>
    <x:t>info@solealighting.com</x:t>
  </x:si>
  <x:si>
    <x:t>sales@lightshopmalta.com</x:t>
  </x:si>
  <x:si>
    <x:t>info@ajelectric.com.mt</x:t>
  </x:si>
  <x:si>
    <x:t>info@vct.com.mt</x:t>
  </x:si>
  <x:si>
    <x:t>info@lds.com.mt</x:t>
  </x:si>
  <x:si>
    <x:t>pjelectricalandhardware@gmail.com</x:t>
  </x:si>
  <x:si>
    <x:t>info@glsmalta.com</x:t>
  </x:si>
  <x:si>
    <x:t>projects@glow.com.mt</x:t>
  </x:si>
  <x:si>
    <x:t>info@transientmalta.com</x:t>
  </x:si>
  <x:si>
    <x:t>info@rgalternatives.com</x:t>
  </x:si>
  <x:si>
    <x:t>contactus@ess.com.mt</x:t>
  </x:si>
  <x:si>
    <x:t>orders@ledlightsmalta.com</x:t>
  </x:si>
  <x:si>
    <x:t>info@brightersolutions.com.mt</x:t>
  </x:si>
  <x:si>
    <x:t>info@illumitechmalta.com</x:t>
  </x:si>
  <x:si>
    <x:t>info@elektra.com.mt</x:t>
  </x:si>
  <x:si>
    <x:t>info@farrugia.com.mt</x:t>
  </x:si>
  <x:si>
    <x:t>info@hydrolectric.com.mt</x:t>
  </x:si>
  <x:si>
    <x:t>sales@imlelectric.com</x:t>
  </x:si>
  <x:si>
    <x:t>7956 6715</x:t>
  </x:si>
  <x:si>
    <x:t>2144 7581</x:t>
  </x:si>
  <x:si>
    <x:t>21432571</x:t>
  </x:si>
  <x:si>
    <x:t>21496843</x:t>
  </x:si>
  <x:si>
    <x:t>79 328 082</x:t>
  </x:si>
  <x:si>
    <x:t>2097 3669</x:t>
  </x:si>
  <x:si>
    <x:t>2733 3788</x:t>
  </x:si>
  <x:si>
    <x:t>2143 8918</x:t>
  </x:si>
  <x:si>
    <x:t>2141 4137</x:t>
  </x:si>
  <x:si>
    <x:t>21440341</x:t>
  </x:si>
  <x:si>
    <x:t>2125 5777</x:t>
  </x:si>
  <x:si>
    <x:t>9942 6625</x:t>
  </x:si>
  <x:si>
    <x:t>2143 7445</x:t>
  </x:si>
  <x:si>
    <x:t>2718 1941</x:t>
  </x:si>
  <x:si>
    <x:t>2546 3000</x:t>
  </x:si>
  <x:si>
    <x:t>2141 9111</x:t>
  </x:si>
  <x:si>
    <x:t>2124 1111</x:t>
  </x:si>
  <x:si>
    <x:t>2123 0349</x:t>
  </x:si>
  <x:si>
    <x:t>2141 5642</x:t>
  </x:si>
  <x:si>
    <x:t>The Lightshop,
68, Naxxar Road, Birkirkara,
BKR 9048, Malta</x:t>
  </x:si>
  <x:si>
    <x:t>Salvu Psaila Street, Birkirkara</x:t>
  </x:si>
  <x:si>
    <x:t>Triq Dun Gorg Fiteni
Naxxar, NXR 1122, Malta</x:t>
  </x:si>
  <x:si>
    <x:t>235, Burmarrad Rd, Burmarrad, SPB 9062-Malta</x:t>
  </x:si>
  <x:si>
    <x:t>179, Marina Street, Pietà, Malta</x:t>
  </x:si>
  <x:si>
    <x:t>LTC LED Lighting 
St Paul Street,
Naxxar, NXR 4016
Malta</x:t>
  </x:si>
  <x:si>
    <x:t>31, Bishop Labini Street, B'Kara BKR 1270 Malta</x:t>
  </x:si>
  <x:si>
    <x:t>lightshopmalta.com/en/shop/webshop/bycategory/937/name/asc/9/1/lighting.htm</x:t>
  </x:si>
  <x:si>
    <x:t>Zone 4, Central Business District, Triq San Gwakkin, Birkirkara CBD 4030</x:t>
  </x:si>
  <x:si>
    <x:t>Escoupe Court,
Basement Garage No. 8,
Triq Anton Inglott,
Msida
MSD1180</x:t>
  </x:si>
  <x:si>
    <x:t>lds.com.mt/#services</x:t>
  </x:si>
  <x:si>
    <x:t>pjelectricmalta.com/</x:t>
  </x:si>
  <x:si>
    <x:t>glsmalta.com/?page_id=78</x:t>
  </x:si>
  <x:si>
    <x:t>glow.com.mt/</x:t>
  </x:si>
  <x:si>
    <x:t>transientmalta.com/contact-us/</x:t>
  </x:si>
  <x:si>
    <x:t>rgalternatives.com/en/contact/index.html</x:t>
  </x:si>
  <x:si>
    <x:t>ledlightsmalta.com/index.php?route=information/contact</x:t>
  </x:si>
  <x:si>
    <x:t>brightersolutions.com.mt/contact/</x:t>
  </x:si>
  <x:si>
    <x:t>illumitechmalta.com/pages/contact</x:t>
  </x:si>
  <x:si>
    <x:t>elektra.com.mt/contact-us/</x:t>
  </x:si>
  <x:si>
    <x:t>findit.com.mt/en/directory/listings/8817/farrugia-lighting-andamp-interiors-malta.htm?utm_source=chatgpt.com</x:t>
  </x:si>
  <x:si>
    <x:t>hydrolectric.com.mt/contact/</x:t>
  </x:si>
  <x:si>
    <x:t>yellow.com.mt/sbl-lighting-solutions/light-shops/</x:t>
  </x:si>
  <x:si>
    <x:t>yellow.com.mt/i-m-l-electrical-supplies-ltd/light-shops/</x:t>
  </x:si>
  <x:si>
    <x:t>facebook.com/people/MAE-scaffolding/100054415933841/
Suggest update</x:t>
  </x:si>
  <x:si>
    <x:t>Matrix Scaffolding Ltd</x:t>
  </x:si>
  <x:si>
    <x:t>scaffolding</x:t>
  </x:si>
  <x:si>
    <x:t>Makaw Scaffolding Ltd</x:t>
  </x:si>
  <x:si>
    <x:t>GSC Trading Ltd</x:t>
  </x:si>
  <x:si>
    <x:t>Scaffolding Solutions (Vassallo Builders)</x:t>
  </x:si>
  <x:si>
    <x:t>Mediterranean Scaffolding Ltd (MBF Malta)</x:t>
  </x:si>
  <x:si>
    <x:t>SSL Scaffolding Ltd</x:t>
  </x:si>
  <x:si>
    <x:t>PTR Machinery Rentals</x:t>
  </x:si>
  <x:si>
    <x:t>Multitrade Malta</x:t>
  </x:si>
  <x:si>
    <x:t>Rig Scaffolding Ltd</x:t>
  </x:si>
  <x:si>
    <x:t>Superior Construction Malta</x:t>
  </x:si>
  <x:si>
    <x:t>Scaffolding Service</x:t>
  </x:si>
  <x:si>
    <x:t>MAE Scaffolding</x:t>
  </x:si>
  <x:si>
    <x:t>info@matrixscaffolding.com</x:t>
  </x:si>
  <x:si>
    <x:t>George Bonello Trading</x:t>
  </x:si>
  <x:si>
    <x:t>BTY Scaffolding</x:t>
  </x:si>
  <x:si>
    <x:t>Araw Constructions</x:t>
  </x:si>
  <x:si>
    <x:t>Acces equipment</x:t>
  </x:si>
  <x:si>
    <x:t>A+Building Products Ltd</x:t>
  </x:si>
  <x:si>
    <x:t>info@makaw.com.mt</x:t>
  </x:si>
  <x:si>
    <x:t>reucal01@gmail.com</x:t>
  </x:si>
  <x:si>
    <x:t>sslscaffolding@gmail.com</x:t>
  </x:si>
  <x:si>
    <x:t>info@ptrmachinery.com</x:t>
  </x:si>
  <x:si>
    <x:t>info@multitrademalta.com</x:t>
  </x:si>
  <x:si>
    <x:t>sales@rigscaffolding.com.mt</x:t>
  </x:si>
  <x:si>
    <x:t>superior.malta@gmail.com</x:t>
  </x:si>
  <x:si>
    <x:t>josephcutajar8@gmail.com</x:t>
  </x:si>
  <x:si>
    <x:t>maescaffolding@gmail.com</x:t>
  </x:si>
  <x:si>
    <x:t>gbt@onvol.net</x:t>
  </x:si>
  <x:si>
    <x:t>bty@go.net.mt</x:t>
  </x:si>
  <x:si>
    <x:t>arawconstructions@gmail.com</x:t>
  </x:si>
  <x:si>
    <x:t>nfo@access.com.mt</x:t>
  </x:si>
  <x:si>
    <x:t>2144 4222</x:t>
  </x:si>
  <x:si>
    <x:t>info@agius.com.mt</x:t>
  </x:si>
  <x:si>
    <x:t>2144 8678 /</x:t>
  </x:si>
  <x:si>
    <x:t>2148 7043</x:t>
  </x:si>
  <x:si>
    <x:t>7944 5749</x:t>
  </x:si>
  <x:si>
    <x:t>2145 3160 /</x:t>
  </x:si>
  <x:si>
    <x:t>2146 0195 /</x:t>
  </x:si>
  <x:si>
    <x:t>7926 4190</x:t>
  </x:si>
  <x:si>
    <x:t>9940 8444</x:t>
  </x:si>
  <x:si>
    <x:t>99405525</x:t>
  </x:si>
  <x:si>
    <x:t>79818816</x:t>
  </x:si>
  <x:si>
    <x:t>99 490 348</x:t>
  </x:si>
  <x:si>
    <x:t>21 242 526</x:t>
  </x:si>
  <x:si>
    <x:t>99 425 934</x:t>
  </x:si>
  <x:si>
    <x:t>99493628</x:t>
  </x:si>
  <x:si>
    <x:t>99447305</x:t>
  </x:si>
  <x:si>
    <x:t>Young Vella Estates, Plot 4-5, Triq Tal-Handaq, Handaq, Qormi, QRM4000</x:t>
  </x:si>
  <x:si>
    <x:t>: The Warehouse, Triq Hal-Gharghur, Birkirkara, BKR 2903</x:t>
  </x:si>
  <x:si>
    <x:t>Zone 1, Central Business District, Triq l-Imdina, Birkirkara, CBD 1010</x:t>
  </x:si>
  <x:si>
    <x:t>159, Triq Annibale Preca, Ħal Lija</x:t>
  </x:si>
  <x:si>
    <x:t>70, Riviera Court/2, Triq Forrest, San Ġiljan, STJ 2032</x:t>
  </x:si>
  <x:si>
    <x:t>riq il-Gargir, Rabat, RBT 4638</x:t>
  </x:si>
  <x:si>
    <x:t>Siggiewi Road, Żebbuġ, ZBG 2301</x:t>
  </x:si>
  <x:si>
    <x:t>Malta</x:t>
  </x:si>
  <x:si>
    <x:t>61, Triq Santa Liberata, Il-Kalkara, Malta</x:t>
  </x:si>
  <x:si>
    <x:t>Merhba Triq I-Istefanotis,Sta Lucija,Malta SLC 1810</x:t>
  </x:si>
  <x:si>
    <x:t>Triq tal-Gallu ,Fgura,Malta FGR 1114</x:t>
  </x:si>
  <x:si>
    <x:t>Our Dream Triq in-Nutar Zarb ,
Attard, Malta ATD 9041</x:t>
  </x:si>
  <x:si>
    <x:t>c/o M Space Triq Oscar Zammit ,
Msida, Malta MSD 1280</x:t>
  </x:si>
  <x:si>
    <x:t>15a Triq Tonin Mallia Vernon ,
Xewkija-Gozo, Gozo XWK 2502</x:t>
  </x:si>
  <x:si>
    <x:t>M4 Shopping Complex Triq il-Linja ,
Attard, Malta ATD 1234</x:t>
  </x:si>
  <x:si>
    <x:t>Triq il-Belt Valletta ,
Mqabba, Malta MQB 9019</x:t>
  </x:si>
  <x:si>
    <x:t>matrixscaffolding.com</x:t>
  </x:si>
  <x:si>
    <x:t>makawscaffolding.com</x:t>
  </x:si>
  <x:si>
    <x:t>: gscmalta.com</x:t>
  </x:si>
  <x:si>
    <x:t>vassallogroupmalta.com</x:t>
  </x:si>
  <x:si>
    <x:t>mbfmalta.com</x:t>
  </x:si>
  <x:si>
    <x:t>scaffoldingsystemltd.com</x:t>
  </x:si>
  <x:si>
    <x:t>ptrmachinery.com</x:t>
  </x:si>
  <x:si>
    <x:t>multitrademalta.com</x:t>
  </x:si>
  <x:si>
    <x:t>Rig Scaffolding Ltd - Malta</x:t>
  </x:si>
  <x:si>
    <x:t>farrugiagroup.com</x:t>
  </x:si>
  <x:si>
    <x:t>facebook.com/GBTMalta/
Suggest update</x:t>
  </x:si>
  <x:si>
    <x:t>btytrading.com</x:t>
  </x:si>
  <x:si>
    <x:t>Awning</x:t>
  </x:si>
  <x:si>
    <x:t>Pergola</x:t>
  </x:si>
  <x:si>
    <x:t>Triq Valletta, Luqa, Malta</x:t>
  </x:si>
  <x:si>
    <x:t>Pocket door</x:t>
  </x:si>
  <x:si>
    <x:t>internal doors</x:t>
  </x:si>
  <x:si>
    <x:t>sliding doors</x:t>
  </x:si>
  <x:si>
    <x:t>SGT 1183 Woodworks</x:t>
  </x:si>
  <x:si>
    <x:t>Classic Designs Woodworks</x:t>
  </x:si>
  <x:si>
    <x:t>Cachia Woodturning &amp; Furniture</x:t>
  </x:si>
  <x:si>
    <x:t>George Cassar Woodworks</x:t>
  </x:si>
  <x:si>
    <x:t>J M Borg Woodworks</x:t>
  </x:si>
  <x:si>
    <x:t>R Aluminium Works</x:t>
  </x:si>
  <x:si>
    <x:t>Proman Interiors</x:t>
  </x:si>
  <x:si>
    <x:t>d door company</x:t>
  </x:si>
  <x:si>
    <x:t>Dimech Enterprises ltd</x:t>
  </x:si>
  <x:si>
    <x:t>Fourwalls</x:t>
  </x:si>
  <x:si>
    <x:t>SF Door Styles</x:t>
  </x:si>
  <x:si>
    <x:t>Am Projects</x:t>
  </x:si>
  <x:si>
    <x:t>Italtrade Malta</x:t>
  </x:si>
  <x:si>
    <x:t>Star Furniture</x:t>
  </x:si>
  <x:si>
    <x:t>Power House Malta</x:t>
  </x:si>
  <x:si>
    <x:t>Direct Developments ltd</x:t>
  </x:si>
  <x:si>
    <x:t>Framegrip industries Ltd</x:t>
  </x:si>
  <x:si>
    <x:t>Marco Vassallo Woodworks</x:t>
  </x:si>
  <x:si>
    <x:t>imperial Furniture</x:t>
  </x:si>
  <x:si>
    <x:t>Alfred Baldacchino ltd</x:t>
  </x:si>
  <x:si>
    <x:t>NK WoodWorks</x:t>
  </x:si>
  <x:si>
    <x:t>Master Wood</x:t>
  </x:si>
  <x:si>
    <x:t>MaltaShopper</x:t>
  </x:si>
  <x:si>
    <x:t>Aluscreens</x:t>
  </x:si>
  <x:si>
    <x:t>Brand imports</x:t>
  </x:si>
  <x:si>
    <x:t>Styles Apertures ltd</x:t>
  </x:si>
  <x:si>
    <x:t>Dimech Enterprises Ltd</x:t>
  </x:si>
  <x:si>
    <x:t>Aluage Aluminium &amp; Insect Screens</x:t>
  </x:si>
  <x:si>
    <x:t>MT Refurbishing</x:t>
  </x:si>
  <x:si>
    <x:t>j3alumiunium@gmail.com</x:t>
  </x:si>
  <x:si>
    <x:t>sgt1183@gmail.com</x:t>
  </x:si>
  <x:si>
    <x:t>classicdesignwoodworks@gmail.com</x:t>
  </x:si>
  <x:si>
    <x:t>alultd@go.net.mt</x:t>
  </x:si>
  <x:si>
    <x:t>cachiapatrick68@gmail.com</x:t>
  </x:si>
  <x:si>
    <x:t>sales@tcalu.com</x:t>
  </x:si>
  <x:si>
    <x:t>info@cda.com.mt</x:t>
  </x:si>
  <x:si>
    <x:t>jborg0408@gmail.com</x:t>
  </x:si>
  <x:si>
    <x:t>raluminiumworks@hotmail.com</x:t>
  </x:si>
  <x:si>
    <x:t>tonnaalum@yahoo.com</x:t>
  </x:si>
  <x:si>
    <x:t>hello@starfurniture.com.mt</x:t>
  </x:si>
  <x:si>
    <x:t>info@italtrade.com.mt</x:t>
  </x:si>
  <x:si>
    <x:t>clients@framegrip.com</x:t>
  </x:si>
  <x:si>
    <x:t>sales@powerhousemalta.com.eu</x:t>
  </x:si>
  <x:si>
    <x:t>facebook: Marco Vasallo Woodworks (Hasnt email)</x:t>
  </x:si>
  <x:si>
    <x:t>pdgl@go.net.mt</x:t>
  </x:si>
  <x:si>
    <x:t>clydeaquil@gmail.com</x:t>
  </x:si>
  <x:si>
    <x:t>info@nkwoodworks.com</x:t>
  </x:si>
  <x:si>
    <x:t>info@alfredbaldacchinoltd.net</x:t>
  </x:si>
  <x:si>
    <x:t>occas2@gmail.com</x:t>
  </x:si>
  <x:si>
    <x:t>info@cassarwordworks.com</x:t>
  </x:si>
  <x:si>
    <x:t>info@aluscreens.com</x:t>
  </x:si>
  <x:si>
    <x:t>info@aluagemalta.com</x:t>
  </x:si>
  <x:si>
    <x:t>info@hirisegroup.com.mt</x:t>
  </x:si>
  <x:si>
    <x:t>Providing Physical Installation</x:t>
  </x:si>
  <x:si>
    <x:t>Triq il-Parsott, Mosta</x:t>
  </x:si>
  <x:si>
    <x:t>Entrance 4, Showroom No 6 Triq Valletta, Marsa</x:t>
  </x:si>
  <x:si>
    <x:t>Garage No 1 Triq Anthony John Coleiro Tal-Handaq, Qormi</x:t>
  </x:si>
  <x:si>
    <x:t>TQL 027 Crafts Village Ta' Qali, Attard</x:t>
  </x:si>
  <x:si>
    <x:t>Sqaq 11, Nru 2 Triq Santa Lucija, Naxxar</x:t>
  </x:si>
  <x:si>
    <x:t>12 Triq il-Parsott, Mosta</x:t>
  </x:si>
  <x:si>
    <x:t>Centre point , Triq Valleta , Luqa  LQA 1762 , Malta</x:t>
  </x:si>
  <x:si>
    <x:t>128 old Railway Track , Santa venera , Malta</x:t>
  </x:si>
  <x:si>
    <x:t>Unit 1&amp;2, Industrial Estate Luqa MT LQA 3000, Ħal Luqa</x:t>
  </x:si>
  <x:si>
    <x:t>Triq il-Kappillan Mifsud , Santa venera , Malta</x:t>
  </x:si>
  <x:si>
    <x:t>Domestica Complex, Level 1 ,Valley road , Msida  MSD 9091 ,Malta</x:t>
  </x:si>
  <x:si>
    <x:t>WC4R+335, Triq il-mosta, Lija LJA 9010</x:t>
  </x:si>
  <x:si>
    <x:t>73 Sir Arthur Burton Street, Mosta MST 1883, Malta</x:t>
  </x:si>
  <x:si>
    <x:t>Triq Mastru Gorg Cachia, Tal-Ħandaq, Ħal Qormi, Malta QRM 4000</x:t>
  </x:si>
  <x:si>
    <x:t>13 Censu Bugeja Street , Birkirkara , Malta</x:t>
  </x:si>
  <x:si>
    <x:t>52,Triq ll-Muzika , L-Lkin , Malta IKL 1091</x:t>
  </x:si>
  <x:si>
    <x:t>triq -il kappar , ll-Mosta , Malta MST 03</x:t>
  </x:si>
  <x:si>
    <x:t>166-167, Qasam Industrijali Ta' Hal Luqa, Hal Luqa, Malta</x:t>
  </x:si>
  <x:si>
    <x:t>Triq Valletta Triq Gdida Fi, Hal Luqa, Malta</x:t>
  </x:si>
  <x:si>
    <x:t>No 7, Triq Il-Ballut, Il-Mosta, Malta</x:t>
  </x:si>
  <x:si>
    <x:t>106, Qasam Industrijali Ta' Hal-Farrug, Hal Luqa, Hal Farrug, Malta</x:t>
  </x:si>
  <x:si>
    <x:t>Plot TQL027, Crafts Village, Ta'Qali, ATD 4000, Malta</x:t>
  </x:si>
  <x:si>
    <x:t>Bitmac Ltd.
Tal-Balal Road,
Iklin, IKL 9013
Malta</x:t>
  </x:si>
  <x:si>
    <x:t>162 Cannon Road, Santa Venera, Malta</x:t>
  </x:si>
  <x:si>
    <x:t>Showroom 26, Triq Haz-Zabbar, Paola, Malta</x:t>
  </x:si>
  <x:si>
    <x:t>SUB 030A, Qasam Industrijali, San Ġwann, SGN 3000, Malta</x:t>
  </x:si>
  <x:si>
    <x:t>Mdina Road, Żebbuġ, ZBG 01, Malta</x:t>
  </x:si>
  <x:si>
    <x:t>: Triq id-Dejma, Tarxien, Malta</x:t>
  </x:si>
  <x:si>
    <x:t>Centre Point, Triq Valletta, Ħal Luqa, LQA 1762, Malta</x:t>
  </x:si>
  <x:si>
    <x:t>Handaq, Malta</x:t>
  </x:si>
  <x:si>
    <x:t>sfdoorstyles.com.mt</x:t>
  </x:si>
  <x:si>
    <x:t>ddoorcompany.com</x:t>
  </x:si>
  <x:si>
    <x:t>dimech-ent.com</x:t>
  </x:si>
  <x:si>
    <x:t>fourwalls.com.mt</x:t>
  </x:si>
  <x:si>
    <x:t>domestica.com.mt</x:t>
  </x:si>
  <x:si>
    <x:t>italtrade.com.mt</x:t>
  </x:si>
  <x:si>
    <x:t>framegrip.com</x:t>
  </x:si>
  <x:si>
    <x:t>starfurniture.com.mt</x:t>
  </x:si>
  <x:si>
    <x:t>powerhousemalta.eu.com.mt</x:t>
  </x:si>
  <x:si>
    <x:t>pvcmalta.com</x:t>
  </x:si>
  <x:si>
    <x:t>gauciwoodsmalta.com</x:t>
  </x:si>
  <x:si>
    <x:t>nkwoodworks.com</x:t>
  </x:si>
  <x:si>
    <x:t>alfredbaldacchinoltd.net</x:t>
  </x:si>
  <x:si>
    <x:t>masterwoodmalta.net</x:t>
  </x:si>
  <x:si>
    <x:t>facebook.com/mtrefurbishing/</x:t>
  </x:si>
  <x:si>
    <x:t>aluage.com</x:t>
  </x:si>
  <x:si>
    <x:t>yellow.com.mt/farrugia-woodworks/furniture/</x:t>
  </x:si>
  <x:si>
    <x:t>marble</x:t>
  </x:si>
  <x:si>
    <x:t>Anthony Muscat Marble &amp; Granite Works Ltd</x:t>
  </x:si>
  <x:si>
    <x:t>Marble Innovation ltd</x:t>
  </x:si>
  <x:si>
    <x:t>RGP Marble Works</x:t>
  </x:si>
  <x:si>
    <x:t>Halman Vella ltd</x:t>
  </x:si>
  <x:si>
    <x:t>Bugeja Marbles Ltd</x:t>
  </x:si>
  <x:si>
    <x:t>Chic Living Ltd</x:t>
  </x:si>
  <x:si>
    <x:t>rgpmarblemalta@gmail.com</x:t>
  </x:si>
  <x:si>
    <x:t>Cini Marbles Co. Ltd</x:t>
  </x:si>
  <x:si>
    <x:t>Rabat Marbles</x:t>
  </x:si>
  <x:si>
    <x:t>Julian's Marble Works Co ltd</x:t>
  </x:si>
  <x:si>
    <x:t>C.Grench Marbles</x:t>
  </x:si>
  <x:si>
    <x:t>AF Ellis Marble Works</x:t>
  </x:si>
  <x:si>
    <x:t>Camilleri Marble Works Limited</x:t>
  </x:si>
  <x:si>
    <x:t>info@hmvella.com</x:t>
  </x:si>
  <x:si>
    <x:t>amuscatmarble@gmail.com</x:t>
  </x:si>
  <x:si>
    <x:t>info@juliansmarble.com</x:t>
  </x:si>
  <x:si>
    <x:t>afellismarbleworks@gmail.com</x:t>
  </x:si>
  <x:si>
    <x:t>grechmarbles@onvol.net</x:t>
  </x:si>
  <x:si>
    <x:t>icamill52@gmail.com</x:t>
  </x:si>
  <x:si>
    <x:t>Buskett Road, Dingli, DGL 2709, Malta</x:t>
  </x:si>
  <x:si>
    <x:t>KKW601, Triq Kordin, Paola, Malta</x:t>
  </x:si>
  <x:si>
    <x:t>Ħaż-Żebbuġ, Malta</x:t>
  </x:si>
  <x:si>
    <x:t>Handaq Road, Qormi, QRM 4000, Malta</x:t>
  </x:si>
  <x:si>
    <x:t>Zone 3, Central Business District, Triq San Gwakkin, Birkirkara, Mriehel, Malta</x:t>
  </x:si>
  <x:si>
    <x:t>triq Durumblat, Il-Mosta, Malta MST 4816</x:t>
  </x:si>
  <x:si>
    <x:t>355, Triq l-Imdina, Ħal Qormi, Malta QRM 9012</x:t>
  </x:si>
  <x:si>
    <x:t>Triq L-Mdina , H Attard , Malta ATD 9037</x:t>
  </x:si>
  <x:si>
    <x:t>Labour Avenue, Rabat RBT 1769 , Malta</x:t>
  </x:si>
  <x:si>
    <x:t>Marsalforn Road , xaghra , Gozo ,Malta</x:t>
  </x:si>
  <x:si>
    <x:t>Il-Pressa, Triq Il-Biccerija, Ix-Xewkija, Gozo, Malta XWK 3000</x:t>
  </x:si>
  <x:si>
    <x:t>Triq Hal Tarxien, Il-Gudja, Malta ZTN 14</x:t>
  </x:si>
  <x:si>
    <x:t>desanamarbles.com</x:t>
  </x:si>
  <x:si>
    <x:t>marbleinnovation.com</x:t>
  </x:si>
  <x:si>
    <x:t>rgpmarblemalta.com</x:t>
  </x:si>
  <x:si>
    <x:t>halmanvella.com</x:t>
  </x:si>
  <x:si>
    <x:t>bugeja-marbles.com</x:t>
  </x:si>
  <x:si>
    <x:t>cgrechmarbles.com</x:t>
  </x:si>
  <x:si>
    <x:t>muscarmarbleworks.com</x:t>
  </x:si>
  <x:si>
    <x:t>cinimarbles.com</x:t>
  </x:si>
  <x:si>
    <x:t>juliansmarble.com</x:t>
  </x:si>
  <x:si>
    <x:t>afellismarbleworks.com</x:t>
  </x:si>
  <x:si>
    <x:t xml:space="preserve"> </x:t>
  </x:si>
  <x:si>
    <x:t>air conditioners</x:t>
  </x:si>
  <x:si>
    <x:t>M.A.A</x:t>
  </x:si>
  <x:si>
    <x:t>able co ltd</x:t>
  </x:si>
  <x:si>
    <x:t>Peter Micallef Air Conditioning</x:t>
  </x:si>
  <x:si>
    <x:t>BT Commercial ltd</x:t>
  </x:si>
  <x:si>
    <x:t>cutrico ltd</x:t>
  </x:si>
  <x:si>
    <x:t>Air solutions ltd</x:t>
  </x:si>
  <x:si>
    <x:t>Cassar Airconditionating Systems ltd</x:t>
  </x:si>
  <x:si>
    <x:t>RG Air Conditioning</x:t>
  </x:si>
  <x:si>
    <x:t>Shead air Conditioning</x:t>
  </x:si>
  <x:si>
    <x:t>Maintain lt</x:t>
  </x:si>
  <x:si>
    <x:t>Kencar Co ltd</x:t>
  </x:si>
  <x:si>
    <x:t>Attards</x:t>
  </x:si>
  <x:si>
    <x:t>Smart effects Ltd</x:t>
  </x:si>
  <x:si>
    <x:t>Econetique</x:t>
  </x:si>
  <x:si>
    <x:t>KBL Services</x:t>
  </x:si>
  <x:si>
    <x:t>HVAC supplies</x:t>
  </x:si>
  <x:si>
    <x:t>AC Malta</x:t>
  </x:si>
  <x:si>
    <x:t>Cool For You</x:t>
  </x:si>
  <x:si>
    <x:t>Tekno</x:t>
  </x:si>
  <x:si>
    <x:t>Mekanika</x:t>
  </x:si>
  <x:si>
    <x:t>Clima755</x:t>
  </x:si>
  <x:si>
    <x:t>CoolTek</x:t>
  </x:si>
  <x:si>
    <x:t>Arjakon Co Ltd</x:t>
  </x:si>
  <x:si>
    <x:t>Vairni Services</x:t>
  </x:si>
  <x:si>
    <x:t>A.C Installations by Josef Bugeja</x:t>
  </x:si>
  <x:si>
    <x:t>Nova Trading</x:t>
  </x:si>
  <x:si>
    <x:t>Ac's by Stefan</x:t>
  </x:si>
  <x:si>
    <x:t>Ventura</x:t>
  </x:si>
  <x:si>
    <x:t>info@maa.com.mt</x:t>
  </x:si>
  <x:si>
    <x:t>jethro@able.com.mnt</x:t>
  </x:si>
  <x:si>
    <x:t>sales@btmalta.com</x:t>
  </x:si>
  <x:si>
    <x:t>sales@cutrico.com</x:t>
  </x:si>
  <x:si>
    <x:t>info@casmalta.com</x:t>
  </x:si>
  <x:si>
    <x:t>reniergrima.com@gmail.com</x:t>
  </x:si>
  <x:si>
    <x:t>info@shead.com.mt</x:t>
  </x:si>
  <x:si>
    <x:t>bamburas583@gmail.com</x:t>
  </x:si>
  <x:si>
    <x:t>maintainit.mt@gmail.com</x:t>
  </x:si>
  <x:si>
    <x:t>info@knlservice.com</x:t>
  </x:si>
  <x:si>
    <x:t>info@econetique.com</x:t>
  </x:si>
  <x:si>
    <x:t>info@ac-malta.com</x:t>
  </x:si>
  <x:si>
    <x:t>gyorgymihalka@gmail.com</x:t>
  </x:si>
  <x:si>
    <x:t>sales@tekno.com.mt</x:t>
  </x:si>
  <x:si>
    <x:t>mekanika@gasan.com</x:t>
  </x:si>
  <x:si>
    <x:t>info@clima755.com</x:t>
  </x:si>
  <x:si>
    <x:t>sales@arjakon.com</x:t>
  </x:si>
  <x:si>
    <x:t>sales@vairni.com</x:t>
  </x:si>
  <x:si>
    <x:t>Stefandebono90@gmail.com</x:t>
  </x:si>
  <x:si>
    <x:t>info@novatrading.com.mt</x:t>
  </x:si>
  <x:si>
    <x:t>sales@venturamalta.com</x:t>
  </x:si>
  <x:si>
    <x:t>mark_nova@hotmail.com</x:t>
  </x:si>
  <x:si>
    <x:t>baxa buildings, Triq Valleta , II-Mosta MST 9010</x:t>
  </x:si>
  <x:si>
    <x:t>B.T. Buildings, 300, Triq San Tumas, Hal Tarxien TXN 1602</x:t>
  </x:si>
  <x:si>
    <x:t>Daikin Showroom, Triq Il-Belt Valletta, Hal Qormi QRM 3619</x:t>
  </x:si>
  <x:si>
    <x:t>Cutrico Building, Triq L-Imriehel, Mriehel, Birkirkara BKR 3000</x:t>
  </x:si>
  <x:si>
    <x:t>Triq Il-Blata L-Kahla, Santa Venera</x:t>
  </x:si>
  <x:si>
    <x:t>307, Triq Misrah Il-Barrieri, Santa Venera SVR 1758</x:t>
  </x:si>
  <x:si>
    <x:t>Triq Guzeppi Agius, Is-Siggiewi</x:t>
  </x:si>
  <x:si>
    <x:t>Triq Tal-Mensija, San Gwann</x:t>
  </x:si>
  <x:si>
    <x:t>Flat 4, Hinxman Court, Trejqet Il-Gewz, Ir-Rabat, Il-Bahrija</x:t>
  </x:si>
  <x:si>
    <x:t>Phoenix Apartments, No 5, Triq Tas-Sisla, Birkirkara, Is-Swatar</x:t>
  </x:si>
  <x:si>
    <x:t>220, Triq In-Naxxar, San Ġwann, Malta SGN 9030</x:t>
  </x:si>
  <x:si>
    <x:t>125, Triq Il-Kbira San Ġużepp, Ħamrun, Malta</x:t>
  </x:si>
  <x:si>
    <x:t>MPT Business Centre, Level 3, Triq Dun Karm, Birkirkara, Malta</x:t>
  </x:si>
  <x:si>
    <x:t>The Lyric, Triq Antonio Bosio, Msida, Malta</x:t>
  </x:si>
  <x:si>
    <x:t>Triq Nazzjonali, Ħamrun, Malta</x:t>
  </x:si>
  <x:si>
    <x:t>Triq L-Industrija, Xewkija, Gozo</x:t>
  </x:si>
  <x:si>
    <x:t>Triq Tal-Hlas ,Hal Qormi , Malta</x:t>
  </x:si>
  <x:si>
    <x:t>9D, Midland Micro Enterprise Park, Triq Il-Burmarrad, Burmarrad, Malta</x:t>
  </x:si>
  <x:si>
    <x:t>Triq Ħal Luqa, Qormi, QRM 9070</x:t>
  </x:si>
  <x:si>
    <x:t>168, Luqa Industrial Estate, Luqa</x:t>
  </x:si>
  <x:si>
    <x:t>Air Conditioners Malta , San Giljan</x:t>
  </x:si>
  <x:si>
    <x:t>Triq Is-Salib ta L-Imriehel, Birkirkara</x:t>
  </x:si>
  <x:si>
    <x:t>GPL Business Centre,
Triq l-Esportaturi Zone 1,
Central Business District,
L-Imriehel CBD 1040</x:t>
  </x:si>
  <x:si>
    <x:t>Valley Road Msida</x:t>
  </x:si>
  <x:si>
    <x:t>18, Guzeppi Licari, Birkirkara, Malta</x:t>
  </x:si>
  <x:si>
    <x:t>Vairni Services Ltd
5 Triq Titu Brandsma ,
Fgura, Malta FGR 2131</x:t>
  </x:si>
  <x:si>
    <x:t>29 Maggie Moran Street, Paola</x:t>
  </x:si>
  <x:si>
    <x:t>btmalta.com</x:t>
  </x:si>
  <x:si>
    <x:t>daikin.com.mt</x:t>
  </x:si>
  <x:si>
    <x:t>cutrico.com</x:t>
  </x:si>
  <x:si>
    <x:t>airsolutions.com.mt</x:t>
  </x:si>
  <x:si>
    <x:t>casmalta.com</x:t>
  </x:si>
  <x:si>
    <x:t>attardsmalta.com</x:t>
  </x:si>
  <x:si>
    <x:t>smarteffects.com.mt</x:t>
  </x:si>
  <x:si>
    <x:t>econetique.com</x:t>
  </x:si>
  <x:si>
    <x:t>ac-malta.com/en/contacts.html</x:t>
  </x:si>
  <x:si>
    <x:t>coolforyoumalta.com/?brid=ZrlreT6d_V10djmjAX8k5Q</x:t>
  </x:si>
  <x:si>
    <x:t>tekno.com.mt/contact/</x:t>
  </x:si>
  <x:si>
    <x:t>mekanika.com.mt/?brid=yOf5xAjx5Rj8r2210S_NJg</x:t>
  </x:si>
  <x:si>
    <x:t>cooltekservices.com.mt/</x:t>
  </x:si>
  <x:si>
    <x:t>yellow.com.mt/arjakon-co-ltd/air-conditioners/</x:t>
  </x:si>
  <x:si>
    <x:t>vairni.com/wp/?utm_source=Yellow&amp;utm_medium=Yellow-Website&amp;utm_campaign=Landing-Page</x:t>
  </x:si>
  <x:si>
    <x:t>facebook.com/steffannnn/</x:t>
  </x:si>
  <x:si>
    <x:t>novatrading.com.mt/contact/</x:t>
  </x:si>
  <x:si>
    <x:t>M Demajo (Timbers( Ltd</x:t>
  </x:si>
  <x:si>
    <x:t>outdoor decking</x:t>
  </x:si>
  <x:si>
    <x:t>Dimech enterprises ltd</x:t>
  </x:si>
  <x:si>
    <x:t>Calypso Manufacturing ltd</x:t>
  </x:si>
  <x:si>
    <x:t>BMS Malta (Building Materials Supplies ltd )</x:t>
  </x:si>
  <x:si>
    <x:t>Malta shopper</x:t>
  </x:si>
  <x:si>
    <x:t>Direct development Malta</x:t>
  </x:si>
  <x:si>
    <x:t>Marine Services ltd(Distribuidor de Deckfab )</x:t>
  </x:si>
  <x:si>
    <x:t>Ga Home &amp; Sports</x:t>
  </x:si>
  <x:si>
    <x:t>The professionals Malta (Westwood Co Ltd )</x:t>
  </x:si>
  <x:si>
    <x:t>Adrew Vassallo General Trading</x:t>
  </x:si>
  <x:si>
    <x:t>deckab marine</x:t>
  </x:si>
  <x:si>
    <x:t>Link projects</x:t>
  </x:si>
  <x:si>
    <x:t>Protrade ltd</x:t>
  </x:si>
  <x:si>
    <x:t>timbers@demajo.com</x:t>
  </x:si>
  <x:si>
    <x:t>Sales@pmhobby.com.mt</x:t>
  </x:si>
  <x:si>
    <x:t>info@galtd.com</x:t>
  </x:si>
  <x:si>
    <x:t>info@marineservicesmalta.com</x:t>
  </x:si>
  <x:si>
    <x:t>info@adrewvassallo.com</x:t>
  </x:si>
  <x:si>
    <x:t>info@theprofessionalsmalta.com</x:t>
  </x:si>
  <x:si>
    <x:t>info@protrade.com.mt</x:t>
  </x:si>
  <x:si>
    <x:t>info@salibawoodworks.com</x:t>
  </x:si>
  <x:si>
    <x:t>sales@deckfab.co.uk</x:t>
  </x:si>
  <x:si>
    <x:t>Centre Point, Triq Valletta, Luqa, Malta LQA 1762</x:t>
  </x:si>
  <x:si>
    <x:t>Zone 1, Central Business District, Bone Street, Mriehel Bypass – Birkirkara, CBD1060 Malta</x:t>
  </x:si>
  <x:si>
    <x:t>Olive Square, Qormi, QRM 11, Malta</x:t>
  </x:si>
  <x:si>
    <x:t>5, Cospicua Road, Fgura FGR 1261, Malta</x:t>
  </x:si>
  <x:si>
    <x:t>162, Cannon Road, Santa Venera, Malta</x:t>
  </x:si>
  <x:si>
    <x:t>52 Triq il-Mużika, Iklin, IKL 1091, Malta</x:t>
  </x:si>
  <x:si>
    <x:t>Triq Tumas Galea, Birkirkara, BKR 4519, Malta</x:t>
  </x:si>
  <x:si>
    <x:t>MSL Boat Yard, Triq il-Kappella ta’ Santa Marija, Magħtab, Naxxar, NXR 6511, Malta</x:t>
  </x:si>
  <x:si>
    <x:t>triq Ħal Tarxien, Il-Gudja, Malta</x:t>
  </x:si>
  <x:si>
    <x:t>Qormi, Malta</x:t>
  </x:si>
  <x:si>
    <x:t>Zone 5, Triq Is-Sebħ, Central Business District, Qormi, Malta</x:t>
  </x:si>
  <x:si>
    <x:t>VFWV+V77, ix-Xatt, Ta' Xbiex</x:t>
  </x:si>
  <x:si>
    <x:t>St Mary Garage, Triq Ħal Tarxien, Gudja, Malta</x:t>
  </x:si>
  <x:si>
    <x:t>malta</x:t>
  </x:si>
  <x:si>
    <x:t>marineservicesmalta.com</x:t>
  </x:si>
  <x:si>
    <x:t>demajotimbers.com</x:t>
  </x:si>
  <x:si>
    <x:t>pmhobby.com.mt</x:t>
  </x:si>
  <x:si>
    <x:t>calypsomfg.com</x:t>
  </x:si>
  <x:si>
    <x:t>maltashopper.com</x:t>
  </x:si>
  <x:si>
    <x:t>theprofessionalsmalta.com</x:t>
  </x:si>
  <x:si>
    <x:t>linkprojects.com.mt</x:t>
  </x:si>
  <x:si>
    <x:t>protrade.com.mt</x:t>
  </x:si>
  <x:si>
    <x:t>salibawoodworks.com</x:t>
  </x:si>
  <x:si>
    <x:t>deckfabmarine.com</x:t>
  </x:si>
  <x:si>
    <x:t>Modern Building Methods (MBM)</x:t>
  </x:si>
  <x:si>
    <x:t>raised floor</x:t>
  </x:si>
  <x:si>
    <x:t>Andrew Vassallo General Trading ltd</x:t>
  </x:si>
  <x:si>
    <x:t>HMK Limited</x:t>
  </x:si>
  <x:si>
    <x:t>Carini Stories Ltd</x:t>
  </x:si>
  <x:si>
    <x:t>vivendo</x:t>
  </x:si>
  <x:si>
    <x:t>C Fino &amp; Sons ltd</x:t>
  </x:si>
  <x:si>
    <x:t>de Valier Malta &amp; Gozo</x:t>
  </x:si>
  <x:si>
    <x:t>Handy Man Services</x:t>
  </x:si>
  <x:si>
    <x:t>Trends Manufacturing Malta</x:t>
  </x:si>
  <x:si>
    <x:t>Four Seasons Pools</x:t>
  </x:si>
  <x:si>
    <x:t>Med Projects</x:t>
  </x:si>
  <x:si>
    <x:t>info@hmkint.com</x:t>
  </x:si>
  <x:si>
    <x:t>info@dv.mt</x:t>
  </x:si>
  <x:si>
    <x:t>info@fourseasonspools.com.mt</x:t>
  </x:si>
  <x:si>
    <x:t>info@ptk.mt</x:t>
  </x:si>
  <x:si>
    <x:t>info@medprojects.com.mt</x:t>
  </x:si>
  <x:si>
    <x:t>Tarxien Road, Gudja, GDJ 1905, Malta</x:t>
  </x:si>
  <x:si>
    <x:t>M4 Shopping Complex, Triq il-Linja, Attard, ATD1234, Malta</x:t>
  </x:si>
  <x:si>
    <x:t>The Factory, Mosta Road, Lija, LJA9016, Malta</x:t>
  </x:si>
  <x:si>
    <x:t>435,St. Joseph High Road , St Venera , Malta</x:t>
  </x:si>
  <x:si>
    <x:t>Fino Buildings, Triq l-Imdina, Zone 4, Central Business District, Birkirkara, Malta</x:t>
  </x:si>
  <x:si>
    <x:t>117 Triq L-Assemblea Nazzjonali, San Ġwann SGN 3034</x:t>
  </x:si>
  <x:si>
    <x:t>Mdina, road Qormi,Malta</x:t>
  </x:si>
  <x:si>
    <x:t>Triq il-Karmnu, Luqa, Malta</x:t>
  </x:si>
  <x:si>
    <x:t>andrewvassallo.com</x:t>
  </x:si>
  <x:si>
    <x:t>mbm.com.mt</x:t>
  </x:si>
  <x:si>
    <x:t>carinibathrooms.com</x:t>
  </x:si>
  <x:si>
    <x:t>hmkint.com</x:t>
  </x:si>
  <x:si>
    <x:t>fino.com.mt</x:t>
  </x:si>
  <x:si>
    <x:t>dv.mt</x:t>
  </x:si>
  <x:si>
    <x:t>grfmalta.com</x:t>
  </x:si>
  <x:si>
    <x:t>trendsltdmalta.com</x:t>
  </x:si>
  <x:si>
    <x:t>The Old Factory,
San Gwakkin Str, Zone 3, 
Central Business District,
Mriehel, B’kara,
CBD 3030, Malta</x:t>
  </x:si>
  <x:si>
    <x:t>https://www.facebook.com/profile.php?id=61586954757485</x:t>
  </x:si>
  <x:si>
    <x:t>https://www.facebook.com/Handyman.Service.Malta/</x:t>
  </x:si>
  <x:si>
    <x:t>https://www.facebook.com/FourSeasonsPoolSpaMalta</x:t>
  </x:si>
  <x:si>
    <x:t>https://www.facebook.com/linkprojectsltd</x:t>
  </x:si>
  <x:si>
    <x:t>https://ptk.mt/</x:t>
  </x:si>
  <x:si>
    <x:t>https://medprojectsmalta.com/contact-us.html</x:t>
  </x:si>
  <x:si>
    <x:t>iglu</x:t>
  </x:si>
  <x:si>
    <x:t>de Valtech</x:t>
  </x:si>
  <x:si>
    <x:t>Best insulation ltd</x:t>
  </x:si>
  <x:si>
    <x:t>Phillip Pace &amp; Sons ltd</x:t>
  </x:si>
  <x:si>
    <x:t>BT Commercial</x:t>
  </x:si>
  <x:si>
    <x:t>GS Turnkey Projects Malta</x:t>
  </x:si>
  <x:si>
    <x:t>bestinsulationltd@gmail.com</x:t>
  </x:si>
  <x:si>
    <x:t>pacesons@gmail.com</x:t>
  </x:si>
  <x:si>
    <x:t>gsturnkeyprojects@gmail.com</x:t>
  </x:si>
  <x:si>
    <x:t>info@bitmac.mt</x:t>
  </x:si>
  <x:si>
    <x:t>Triq il-Mdina ,Attard ,Malta ATD 9039</x:t>
  </x:si>
  <x:si>
    <x:t>95, triq Sajd , Haz-Zebbug , ZBG 3047,Malta</x:t>
  </x:si>
  <x:si>
    <x:t>BT Commercial LTD. The Watercourse, Triq L-Imdina, Zone 2 Central Business District, Birkirkara, Malta, CBD2010</x:t>
  </x:si>
  <x:si>
    <x:t>Tal-Balal Road , Lklin ,IKL 9013 , Malta</x:t>
  </x:si>
  <x:si>
    <x:t>facebook.com/iglumalta</x:t>
  </x:si>
  <x:si>
    <x:t>Attard Bros Group, Industrial Zone, 
Ta’ Qali, ATD 4000, Malta</x:t>
  </x:si>
  <x:si>
    <x:t>yellow.com.mt</x:t>
  </x:si>
  <x:si>
    <x:t>blokrete.com.mt/contact/</x:t>
  </x:si>
  <x:si>
    <x:t>T Beams</x:t>
  </x:si>
  <x:si>
    <x:t>Blokrete</x:t>
  </x:si>
  <x:si>
    <x:t>Ballut Blocks</x:t>
  </x:si>
  <x:si>
    <x:t>GPC</x:t>
  </x:si>
  <x:si>
    <x:t>Polidano</x:t>
  </x:si>
  <x:si>
    <x:t>JP Baldacchino</x:t>
  </x:si>
  <x:si>
    <x:t>B &amp; B Construction Ltd</x:t>
  </x:si>
  <x:si>
    <x:t>Elbros PreCast Ltd</x:t>
  </x:si>
  <x:si>
    <x:t>Michael Caruana &amp; Co Ltd</x:t>
  </x:si>
  <x:si>
    <x:t>RA &amp; Sons Manufacturing Ltd</x:t>
  </x:si>
  <x:si>
    <x:t>KPT Trading</x:t>
  </x:si>
  <x:si>
    <x:t>info@blokrete.com.mt</x:t>
  </x:si>
  <x:si>
    <x:t>info@generalprecastconcrete.com</x:t>
  </x:si>
  <x:si>
    <x:t>ballut@ballutblocks.com</x:t>
  </x:si>
  <x:si>
    <x:t>info@jpbaldacchino.com</x:t>
  </x:si>
  <x:si>
    <x:t>info@michaelcaruanaltd.com</x:t>
  </x:si>
  <x:si>
    <x:t>kpt.kpttradingmalta@gmail.com</x:t>
  </x:si>
  <x:si>
    <x:t>ballutblocks.com/contact-us/</x:t>
  </x:si>
  <x:si>
    <x:t>facebook.com/attardbros</x:t>
  </x:si>
  <x:si>
    <x:t>generalprecastconcrete.com/downloads/</x:t>
  </x:si>
  <x:si>
    <x:t>jmvibro.com/structural-steel</x:t>
  </x:si>
  <x:si>
    <x:t>polidano-group.com/content_id_260158.html</x:t>
  </x:si>
  <x:si>
    <x:t>jpbaldacchino.com/</x:t>
  </x:si>
  <x:si>
    <x:t>imagesystems.com.mt</x:t>
  </x:si>
  <x:si>
    <x:t>plotters</x:t>
  </x:si>
  <x:si>
    <x:t>forestals</x:t>
  </x:si>
  <x:si>
    <x:t>image systems Ltd.</x:t>
  </x:si>
  <x:si>
    <x:t>strand Electronics</x:t>
  </x:si>
  <x:si>
    <x:t>Ramilene office Supplies Ltd</x:t>
  </x:si>
  <x:si>
    <x:t>Bits &amp; Bits</x:t>
  </x:si>
  <x:si>
    <x:t>info@bitsandbytesmalta.com</x:t>
  </x:si>
  <x:si>
    <x:t>info@imagesystems.com.mt</x:t>
  </x:si>
  <x:si>
    <x:t>info@strandelectronics</x:t>
  </x:si>
  <x:si>
    <x:t>Lead Business Centre, Triq L-Intrapriza, Zone 4, Central Business District, Birkirkara CBD 4080, Malta</x:t>
  </x:si>
  <x:si>
    <x:t>19, Vincenti Buildings, 11 Strait Street, Valletta VLT 1432, Malta</x:t>
  </x:si>
  <x:si>
    <x:t>50/51, Ramilene Building, Triq It-Torri, Swatar, BKR 4011, Malta</x:t>
  </x:si>
  <x:si>
    <x:t>Triq Il-Wied Ta' L-Imsida, L-Imsida, Malta</x:t>
  </x:si>
  <x:si>
    <x:t>St. Aloysius Square, Birkirkara BKR 1474, Malta</x:t>
  </x:si>
  <x:si>
    <x:t>ramilenemalta.com</x:t>
  </x:si>
  <x:si>
    <x:t>strandelectronics.com</x:t>
  </x:si>
  <x:si>
    <x:t>bitsandbytesmalta.com</x:t>
  </x:si>
  <x:si>
    <x:t>3D Rendering</x:t>
  </x:si>
  <x:si>
    <x:t>DPRO</x:t>
  </x:si>
  <x:si>
    <x:t>Vizwali</x:t>
  </x:si>
  <x:si>
    <x:t>Solid Eye</x:t>
  </x:si>
  <x:si>
    <x:t>KT3D Studio</x:t>
  </x:si>
  <x:si>
    <x:t>3D Society</x:t>
  </x:si>
  <x:si>
    <x:t>3D Visuals Malta</x:t>
  </x:si>
  <x:si>
    <x:t>Entify Studio</x:t>
  </x:si>
  <x:si>
    <x:t>VRS</x:t>
  </x:si>
  <x:si>
    <x:t>MD Visuals</x:t>
  </x:si>
  <x:si>
    <x:t>Design Principle</x:t>
  </x:si>
  <x:si>
    <x:t>Piali Design</x:t>
  </x:si>
  <x:si>
    <x:t>Top Tier 3D Renderings</x:t>
  </x:si>
  <x:si>
    <x:t>info@dprostudio.com</x:t>
  </x:si>
  <x:si>
    <x:t>info@vizwali.com</x:t>
  </x:si>
  <x:si>
    <x:t>hello@solideye.eu</x:t>
  </x:si>
  <x:si>
    <x:t>info@KT3DStudio.mt</x:t>
  </x:si>
  <x:si>
    <x:t>3dsocietymalta@gmail.com</x:t>
  </x:si>
  <x:si>
    <x:t>3dvisualsmalta@gmail.com</x:t>
  </x:si>
  <x:si>
    <x:t>info@entifystudio.com</x:t>
  </x:si>
  <x:si>
    <x:t>jpace@vrsmalta.com</x:t>
  </x:si>
  <x:si>
    <x:t>mdvisualsmalta@gmail.com</x:t>
  </x:si>
  <x:si>
    <x:t>info@designprinciple.com.mt</x:t>
  </x:si>
  <x:si>
    <x:t>info@pialidesign.com</x:t>
  </x:si>
  <x:si>
    <x:t>toptiermalta@gmail.com</x:t>
  </x:si>
  <x:si>
    <x:t>39, Għajnsielem Street
Għajnsielem GSM 1185
Gozo, Malta</x:t>
  </x:si>
  <x:si>
    <x:t>15 Graham Street, Sliema, Malta</x:t>
  </x:si>
  <x:si>
    <x:t>4 Flat 1, Veduta Apartments,
Luigi Ellul Street,
Attard, ATD 3023,
Malta</x:t>
  </x:si>
  <x:si>
    <x:t>Qrendi, Malta</x:t>
  </x:si>
  <x:si>
    <x:t>Mdina Road,
Ħaz-Zebbug, Malta</x:t>
  </x:si>
  <x:si>
    <x:t>Design Principle
52, St Paul Street
Valletta VLT 1212
Malta</x:t>
  </x:si>
  <x:si>
    <x:t>vizwali.com/</x:t>
  </x:si>
  <x:si>
    <x:t>solideye.eu/</x:t>
  </x:si>
  <x:si>
    <x:t>kt3dstudio.com/</x:t>
  </x:si>
  <x:si>
    <x:t>3dsocietymalta.com/</x:t>
  </x:si>
  <x:si>
    <x:t>3dvisualsmalta.com/</x:t>
  </x:si>
  <x:si>
    <x:t>entifystudio.com/</x:t>
  </x:si>
  <x:si>
    <x:t>facebook.com/moredetailedvisuals</x:t>
  </x:si>
  <x:si>
    <x:t>designprinciple.com.mt/</x:t>
  </x:si>
  <x:si>
    <x:t>pialidesign.com/</x:t>
  </x:si>
  <x:si>
    <x:t>facebook.com/TopTierMediaMalta/</x:t>
  </x:si>
  <x:si>
    <x:t>CHECK IF THEY STILL OPERATE</x:t>
  </x:si>
  <x:si>
    <x:t>Signs</x:t>
  </x:si>
  <x:si>
    <x:t>CMYK Advertising</x:t>
  </x:si>
  <x:si>
    <x:t>Malta Signs</x:t>
  </x:si>
  <x:si>
    <x:t>Sign Factory</x:t>
  </x:si>
  <x:si>
    <x:t>Sign World</x:t>
  </x:si>
  <x:si>
    <x:t>Gesco Signs</x:t>
  </x:si>
  <x:si>
    <x:t>Viking Signrite</x:t>
  </x:si>
  <x:si>
    <x:t>Fast Signs</x:t>
  </x:si>
  <x:si>
    <x:t>Delta Signs</x:t>
  </x:si>
  <x:si>
    <x:t>SMC Design Studio</x:t>
  </x:si>
  <x:si>
    <x:t>House of Signs</x:t>
  </x:si>
  <x:si>
    <x:t>Ajet Signs</x:t>
  </x:si>
  <x:si>
    <x:t>MG Signs</x:t>
  </x:si>
  <x:si>
    <x:t>Banners Malta</x:t>
  </x:si>
  <x:si>
    <x:t>Creative Works Malta</x:t>
  </x:si>
  <x:si>
    <x:t>DZYN Malta</x:t>
  </x:si>
  <x:si>
    <x:t>Essency Engraving</x:t>
  </x:si>
  <x:si>
    <x:t>Gozo Graphics</x:t>
  </x:si>
  <x:si>
    <x:t>ESE Engraving</x:t>
  </x:si>
  <x:si>
    <x:t>Printagram</x:t>
  </x:si>
  <x:si>
    <x:t>PrismPrinting</x:t>
  </x:si>
  <x:si>
    <x:t>Deco Malta</x:t>
  </x:si>
  <x:si>
    <x:t>info@cmyk.com.mt</x:t>
  </x:si>
  <x:si>
    <x:t>sales@maltasigns.com</x:t>
  </x:si>
  <x:si>
    <x:t>info@signfactory.com.mt</x:t>
  </x:si>
  <x:si>
    <x:t>info@gescosigns.com</x:t>
  </x:si>
  <x:si>
    <x:t>info@vikingsignrite.com</x:t>
  </x:si>
  <x:si>
    <x:t>customer.care@fastsigns.com</x:t>
  </x:si>
  <x:si>
    <x:t>info@deltamedia.services</x:t>
  </x:si>
  <x:si>
    <x:t>smcsigns@gmail.com</x:t>
  </x:si>
  <x:si>
    <x:t>hello@ajet.mt</x:t>
  </x:si>
  <x:si>
    <x:t>sales@mgmalta.com</x:t>
  </x:si>
  <x:si>
    <x:t>bannersmalta@gmail.com</x:t>
  </x:si>
  <x:si>
    <x:t>creativeworksmalta@gmail.com</x:t>
  </x:si>
  <x:si>
    <x:t>info@DZYNmalta.com</x:t>
  </x:si>
  <x:si>
    <x:t>connor@essencyengraving.com</x:t>
  </x:si>
  <x:si>
    <x:t>info@gozo.graphics</x:t>
  </x:si>
  <x:si>
    <x:t>edgar.engraving@gmail.com</x:t>
  </x:si>
  <x:si>
    <x:t>nadia@pplmalta.com</x:t>
  </x:si>
  <x:si>
    <x:t>info@printagram.com.mt</x:t>
  </x:si>
  <x:si>
    <x:t>sales@prismprinting.com.mt</x:t>
  </x:si>
  <x:si>
    <x:t>info@decomalta.com</x:t>
  </x:si>
  <x:si>
    <x:t>118 Triq Glormu Cassar, Mosta MST4112</x:t>
  </x:si>
  <x:si>
    <x:t>Sliema Road, Gzira</x:t>
  </x:si>
  <x:si>
    <x:t>The Sign Factory
Triq Dun Luret Callus
Ħaż-Żebbuġ - ZBG 2495</x:t>
  </x:si>
  <x:si>
    <x:t>128 Pitkali Road, Attard
M01, 2214</x:t>
  </x:si>
  <x:si>
    <x:t>Industrial Area, H'Attard</x:t>
  </x:si>
  <x:si>
    <x:t>SMC Designs
Portico Flt 1, 23rd April Street
Victoria, Gozo - Malta.</x:t>
  </x:si>
  <x:si>
    <x:t>3, Triq Bugharbiel ZTN 3436 Iz-Zejtun, Malta</x:t>
  </x:si>
  <x:si>
    <x:t>MG Signs
90 | 91 | 92x , Luqa industrial estate
Luqa, LQA 3000</x:t>
  </x:si>
  <x:si>
    <x:t>Indri Psaila Street,
Qormi QRM4000, Malta.</x:t>
  </x:si>
  <x:si>
    <x:t>Santa Venera</x:t>
  </x:si>
  <x:si>
    <x:t>53, Triq Marina Pietà (Sa Maison)</x:t>
  </x:si>
  <x:si>
    <x:t>Zabbar, Malta</x:t>
  </x:si>
  <x:si>
    <x:t>Industrial Estate, Luqa, Malta</x:t>
  </x:si>
  <x:si>
    <x:t>11, Triq II-Burmarrad
Naxxar, NXR 6345
Malta</x:t>
  </x:si>
  <x:si>
    <x:t>Merkanti, Prism Printing,
Naggar Street,
Mosta,
MST 1761</x:t>
  </x:si>
  <x:si>
    <x:t>CCG Building, Triq 3 Ta’ Settembru 1798
Zone 3, Central Business District,
Birkirkara CBD 3100 Malta</x:t>
  </x:si>
  <x:si>
    <x:t>Bulebel, Zejtun</x:t>
  </x:si>
  <x:si>
    <x:t>maltasigns.com/</x:t>
  </x:si>
  <x:si>
    <x:t>signfactory.com.mt/</x:t>
  </x:si>
  <x:si>
    <x:t>vikingsignrite.com/</x:t>
  </x:si>
  <x:si>
    <x:t>fastsigns.mt/</x:t>
  </x:si>
  <x:si>
    <x:t>deltamedia.services/</x:t>
  </x:si>
  <x:si>
    <x:t>smcdesignstudio.com/</x:t>
  </x:si>
  <x:si>
    <x:t>facebook.com/houseofsignsmalta/</x:t>
  </x:si>
  <x:si>
    <x:t>facebook.com/ajet.signs/</x:t>
  </x:si>
  <x:si>
    <x:t>facebook.com/mgsignsmalta/</x:t>
  </x:si>
  <x:si>
    <x:t>bannersmalta.com/</x:t>
  </x:si>
  <x:si>
    <x:t>creativeworksmalta.com/</x:t>
  </x:si>
  <x:si>
    <x:t>dzynmalta.com/</x:t>
  </x:si>
  <x:si>
    <x:t>essencyengraving.com/mt</x:t>
  </x:si>
  <x:si>
    <x:t>gozographics.com/</x:t>
  </x:si>
  <x:si>
    <x:t>eseengraving.com/</x:t>
  </x:si>
  <x:si>
    <x:t>prismprinting.com.mt/</x:t>
  </x:si>
  <x:si>
    <x:t>Cement Tiles</x:t>
  </x:si>
  <x:si>
    <x:t>Natural Stone</x:t>
  </x:si>
  <x:si>
    <x:t>Stone</x:t>
  </x:si>
  <x:si>
    <x:t>stonework</x:t>
  </x:si>
  <x:si>
    <x:t>Quality Stone</x:t>
  </x:si>
  <x:si>
    <x:t>Pitre</x:t>
  </x:si>
  <x:si>
    <x:t>IperCeramica</x:t>
  </x:si>
  <x:si>
    <x:t>SS Bathrooms</x:t>
  </x:si>
  <x:si>
    <x:t>E Grech</x:t>
  </x:si>
  <x:si>
    <x:t>Dino Fino Home</x:t>
  </x:si>
  <x:si>
    <x:t>Josie's</x:t>
  </x:si>
  <x:si>
    <x:t>BHome</x:t>
  </x:si>
  <x:si>
    <x:t>kbugeja@qualitystonemalta.com</x:t>
  </x:si>
  <x:si>
    <x:t>josies@josies.mt</x:t>
  </x:si>
  <x:si>
    <x:t>admin@bhome.com.mt</x:t>
  </x:si>
  <x:si>
    <x:t>John Micheal Testa Handaq, Qormi, Malta</x:t>
  </x:si>
  <x:si>
    <x:t>plasterers</x:t>
  </x:si>
  <x:si>
    <x:t>plastering, painting</x:t>
  </x:si>
  <x:si>
    <x:t>Sunny Abdilla</x:t>
  </x:si>
  <x:si>
    <x:t>Curmi Construction</x:t>
  </x:si>
  <x:si>
    <x:t>Wall Done Gozo</x:t>
  </x:si>
  <x:si>
    <x:t>C&amp;R Plastering</x:t>
  </x:si>
  <x:si>
    <x:t>Josef Plastering Works</x:t>
  </x:si>
  <x:si>
    <x:t>Gpysum Works</x:t>
  </x:si>
  <x:si>
    <x:t>Galea Supplies</x:t>
  </x:si>
  <x:si>
    <x:t>Rainbow</x:t>
  </x:si>
  <x:si>
    <x:t>Constructions and Plastering</x:t>
  </x:si>
  <x:si>
    <x:t>Dorian Theuma Plastering</x:t>
  </x:si>
  <x:si>
    <x:t>JA Plastering</x:t>
  </x:si>
  <x:si>
    <x:t>Master Builders</x:t>
  </x:si>
  <x:si>
    <x:t>R&amp;P Plastering</x:t>
  </x:si>
  <x:si>
    <x:t>Josef Borg Plastering</x:t>
  </x:si>
  <x:si>
    <x:t>RM Gypsum Malta</x:t>
  </x:si>
  <x:si>
    <x:t>CMF Industrial &amp; Domestic Finishing Contractors</x:t>
  </x:si>
  <x:si>
    <x:t>R.K. Gypsum&amp;Plastering Malta</x:t>
  </x:si>
  <x:si>
    <x:t>Plastering by DSB</x:t>
  </x:si>
  <x:si>
    <x:t>KIBITEC Ltd</x:t>
  </x:si>
  <x:si>
    <x:t>Malta Tiling, Plastering &amp; Screeding</x:t>
  </x:si>
  <x:si>
    <x:t>RO Finishing Work</x:t>
  </x:si>
  <x:si>
    <x:t>Jason Gatt Plastering</x:t>
  </x:si>
  <x:si>
    <x:t>Oscar Debono</x:t>
  </x:si>
  <x:si>
    <x:t>A Bodhir</x:t>
  </x:si>
  <x:si>
    <x:t>Zedan Construction &amp; Plastering</x:t>
  </x:si>
  <x:si>
    <x:t>Micallef Plastering &amp; Painting</x:t>
  </x:si>
  <x:si>
    <x:t>Alex Plastering &amp; Painting</x:t>
  </x:si>
  <x:si>
    <x:t>Lafi Finishings</x:t>
  </x:si>
  <x:si>
    <x:t>Painting Plaster Finishing</x:t>
  </x:si>
  <x:si>
    <x:t>Big Jobs Plastering &amp; Painting</x:t>
  </x:si>
  <x:si>
    <x:t>Brian Grech Painting and Plastering</x:t>
  </x:si>
  <x:si>
    <x:t>Galea Gypsum, Plastering &amp; Painting</x:t>
  </x:si>
  <x:si>
    <x:t>Damian Fava Plastering &amp; Gypsum</x:t>
  </x:si>
  <x:si>
    <x:t>sunnyabdilla@yahoo.com</x:t>
  </x:si>
  <x:si>
    <x:t>walldonegozo@gmail.com</x:t>
  </x:si>
  <x:si>
    <x:t>hello@gypsumworks-malta.com</x:t>
  </x:si>
  <x:si>
    <x:t>galeasupplies@gmail.com</x:t>
  </x:si>
  <x:si>
    <x:t>doriantheuma@yahoo.com</x:t>
  </x:si>
  <x:si>
    <x:t>japlastering@gmail.com</x:t>
  </x:si>
  <x:si>
    <x:t>rp_plastering@hotmail.com</x:t>
  </x:si>
  <x:si>
    <x:t>Josefborg2009@hotmail.com</x:t>
  </x:si>
  <x:si>
    <x:t>rmgypsumworks@gmail.com</x:t>
  </x:si>
  <x:si>
    <x:t>EdutzuDutzu@gmail.com</x:t>
  </x:si>
  <x:si>
    <x:t>emadcmf@gmail.com</x:t>
  </x:si>
  <x:si>
    <x:t>darrensb@hotmail.co.uk</x:t>
  </x:si>
  <x:si>
    <x:t>gattjason76@gmail.com</x:t>
  </x:si>
  <x:si>
    <x:t>oscardebono@hotmail.com</x:t>
  </x:si>
  <x:si>
    <x:t>Ghazi.zedan@gmail.com</x:t>
  </x:si>
  <x:si>
    <x:t>alibodhir@yahoo.co.uk</x:t>
  </x:si>
  <x:si>
    <x:t>roderickmicallef1993@gmail.com</x:t>
  </x:si>
  <x:si>
    <x:t>alexcalafato@live.com</x:t>
  </x:si>
  <x:si>
    <x:t>mhmdbdallh72544@gmail.com</x:t>
  </x:si>
  <x:si>
    <x:t>alihamza44500@gmail.com</x:t>
  </x:si>
  <x:si>
    <x:t>Clydespiteri123@gmail.com</x:t>
  </x:si>
  <x:si>
    <x:t>briangrech@hotmail.com</x:t>
  </x:si>
  <x:si>
    <x:t>galeapainters@gmail.com</x:t>
  </x:si>
  <x:si>
    <x:t>damianfava27@gmail.com</x:t>
  </x:si>
  <x:si>
    <x:t>47/1 Sqaq Tomna, San Ġwann, Malta</x:t>
  </x:si>
  <x:si>
    <x:t>Antreas', Triq Pietru Saliba, Ħal Luqa, Malta</x:t>
  </x:si>
  <x:si>
    <x:t>44, Triq V Boron, Naxxar NXR 1862, Malta</x:t>
  </x:si>
  <x:si>
    <x:t>32, Redeemer, Triq Ta' Masrija, Il-Mellieħa, Malta MLH 1637</x:t>
  </x:si>
  <x:si>
    <x:t>facebook.com/zedanconstructionandplastering/</x:t>
  </x:si>
  <x:si>
    <x:t>Microcement</x:t>
  </x:si>
  <x:si>
    <x:t>Deco Microcement Finishes</x:t>
  </x:si>
  <x:si>
    <x:t>Custom Concrete</x:t>
  </x:si>
  <x:si>
    <x:t>CS Turnkey Projects</x:t>
  </x:si>
  <x:si>
    <x:t>Dynamic Work Trade</x:t>
  </x:si>
  <x:si>
    <x:t>Dreamy Decor</x:t>
  </x:si>
  <x:si>
    <x:t>Gypsum Wizards</x:t>
  </x:si>
  <x:si>
    <x:t>Rado Systems</x:t>
  </x:si>
  <x:si>
    <x:t>MC Colours</x:t>
  </x:si>
  <x:si>
    <x:t>decofinishesmt@gmail.com</x:t>
  </x:si>
  <x:si>
    <x:t>protilingmalta@gmail.com</x:t>
  </x:si>
  <x:si>
    <x:t>pronesti@mail.com</x:t>
  </x:si>
  <x:si>
    <x:t>dwtinstallations@gmail.com</x:t>
  </x:si>
  <x:si>
    <x:t>dean.bonello29@gmail.com</x:t>
  </x:si>
  <x:si>
    <x:t>gypsumwizards@gmail.com</x:t>
  </x:si>
  <x:si>
    <x:t>25, Triq Il-Muzika, L-Iklin, Malta, IKL1091</x:t>
  </x:si>
  <x:si>
    <x:t>microcementmalta.com/contact-us</x:t>
  </x:si>
  <x:si>
    <x:t>kibitec.com/contact-us/</x:t>
  </x:si>
  <x:si>
    <x:t>facebook.com/customconcretemalta/</x:t>
  </x:si>
  <x:si>
    <x:t>insulation</x:t>
  </x:si>
  <x:si>
    <x:t>BEST Insulation</x:t>
  </x:si>
  <x:si>
    <x:t>ThermaPro</x:t>
  </x:si>
  <x:si>
    <x:t>DecoGypsum</x:t>
  </x:si>
  <x:si>
    <x:t>E Zero Spray Foam Solutions</x:t>
  </x:si>
  <x:si>
    <x:t>Eco Group</x:t>
  </x:si>
  <x:si>
    <x:t>Il-Qamar Waterproofing &amp; Insulation</x:t>
  </x:si>
  <x:si>
    <x:t>Kerk</x:t>
  </x:si>
  <x:si>
    <x:t>BMS Malta</x:t>
  </x:si>
  <x:si>
    <x:t>BETA</x:t>
  </x:si>
  <x:si>
    <x:t>CRC</x:t>
  </x:si>
  <x:si>
    <x:t>IQbloc building method</x:t>
  </x:si>
  <x:si>
    <x:t>389 Ltd</x:t>
  </x:si>
  <x:si>
    <x:t>AG Waterproofing services</x:t>
  </x:si>
  <x:si>
    <x:t>JM Vassallo</x:t>
  </x:si>
  <x:si>
    <x:t>Philip A. Tabone</x:t>
  </x:si>
  <x:si>
    <x:t>WURTH</x:t>
  </x:si>
  <x:si>
    <x:t>Iglu Malta</x:t>
  </x:si>
  <x:si>
    <x:t>Buffa</x:t>
  </x:si>
  <x:si>
    <x:t>G&amp;E Stones</x:t>
  </x:si>
  <x:si>
    <x:t>ThermaSeal</x:t>
  </x:si>
  <x:si>
    <x:t>CreativeProjects</x:t>
  </x:si>
  <x:si>
    <x:t>MacMed</x:t>
  </x:si>
  <x:si>
    <x:t>info@bitmac.com.mt</x:t>
  </x:si>
  <x:si>
    <x:t>thermapro@outlook.com</x:t>
  </x:si>
  <x:si>
    <x:t>decgypsum@gmail.com</x:t>
  </x:si>
  <x:si>
    <x:t>info@ecogroup-mt.com</x:t>
  </x:si>
  <x:si>
    <x:t>qamarwaterproofing.insulation@gmail.com</x:t>
  </x:si>
  <x:si>
    <x:t>info@bms-malta.com</x:t>
  </x:si>
  <x:si>
    <x:t>info@iqbloc.com</x:t>
  </x:si>
  <x:si>
    <x:t>sales@patabone.com</x:t>
  </x:si>
  <x:si>
    <x:t>sales@wuerth.com.mt</x:t>
  </x:si>
  <x:si>
    <x:t>contact@ge-stones.com</x:t>
  </x:si>
  <x:si>
    <x:t>info@creativeprojects.eu</x:t>
  </x:si>
  <x:si>
    <x:t>info@macmed.com.mt</x:t>
  </x:si>
  <x:si>
    <x:t>https://www.yellow.com.mt/dragon-forge-ltd/metal-works/</x:t>
  </x:si>
  <x:si>
    <x:t>General Metal Works</x:t>
  </x:si>
  <x:si>
    <x:t>metal</x:t>
  </x:si>
  <x:si>
    <x:t>Iron Malta (Modern Design Malta)</x:t>
  </x:si>
  <x:si>
    <x:t>Fantin Metal Works</x:t>
  </x:si>
  <x:si>
    <x:t>GMS Creation</x:t>
  </x:si>
  <x:si>
    <x:t>RS Steel Malta</x:t>
  </x:si>
  <x:si>
    <x:t>Express Blasting Ltd</x:t>
  </x:si>
  <x:si>
    <x:t>XN-Teq Company Ltd.</x:t>
  </x:si>
  <x:si>
    <x:t>General Maintenance Ltd</x:t>
  </x:si>
  <x:si>
    <x:t>info@generalmetalworks.com.mt</x:t>
  </x:si>
  <x:si>
    <x:t>info@ironmalta.com</x:t>
  </x:si>
  <x:si>
    <x:t>info@fantinmetalworks.com</x:t>
  </x:si>
  <x:si>
    <x:t>info@gmscreation.com</x:t>
  </x:si>
  <x:si>
    <x:t>saliba2@maltanet.net</x:t>
  </x:si>
  <x:si>
    <x:t>info@expressblasting.com</x:t>
  </x:si>
  <x:si>
    <x:t>info@xn-teq.com.mt</x:t>
  </x:si>
  <x:si>
    <x:t>amabileg@onvol.net</x:t>
  </x:si>
  <x:si>
    <x:t>info@gml.com.mt</x:t>
  </x:si>
  <x:si>
    <x:t>Bieb is-Sultan Street, Żabbar, Malta</x:t>
  </x:si>
  <x:si>
    <x:t>Luqa Industrial Estate, Parcela 102, Hal Farrug, Malta</x:t>
  </x:si>
  <x:si>
    <x:t>Mgarr Road, Għajnsielem, Gozo</x:t>
  </x:si>
  <x:si>
    <x:t>: Andreas Yard, Garage No 1, Triq L-Imdina, Ħaż-Żebbuġ, Malta</x:t>
  </x:si>
  <x:si>
    <x:t>Garage 25, Tal-Barrani Industrial Estate, Triq Il-Belt Valletta, Ħal Għaxaq, Malta</x:t>
  </x:si>
  <x:si>
    <x:t>Entrada 4, Puerta 12, Triq Valletta, Ħal Luqa, Malta</x:t>
  </x:si>
  <x:si>
    <x:t>Fábrica MRA 057A, Qasam Industrijali, Il-Marsa, Malta</x:t>
  </x:si>
  <x:si>
    <x:t>MRA 15A, Qasam Industrijali, Il-Marsa, Malta</x:t>
  </x:si>
  <x:si>
    <x:t>34 Triq it-Torri San Gwann ,
Birgu, Malta BRG 1116</x:t>
  </x:si>
  <x:si>
    <x:t>Triq il-Kappella ta’ Santa Marija ,
Naxxar, Malta NXR 5613</x:t>
  </x:si>
  <x:si>
    <x:t>HHF 033 Qasam Industrijali, Hal Far ,
B’Bugia, Malta BBG 3000</x:t>
  </x:si>
  <x:si>
    <x:t>Glasswork</x:t>
  </x:si>
  <x:si>
    <x:t>Paul Tonna Son of Santu Ltd</x:t>
  </x:si>
  <x:si>
    <x:t>Float Glass Ltd</x:t>
  </x:si>
  <x:si>
    <x:t>K L Glass Professional</x:t>
  </x:si>
  <x:si>
    <x:t>Jacap</x:t>
  </x:si>
  <x:si>
    <x:t>Jamar Malta</x:t>
  </x:si>
  <x:si>
    <x:t>Caprice</x:t>
  </x:si>
  <x:si>
    <x:t>Mirya</x:t>
  </x:si>
  <x:si>
    <x:t>CR Grech Steel Works</x:t>
  </x:si>
  <x:si>
    <x:t>Anvil &amp; Forge</x:t>
  </x:si>
  <x:si>
    <x:t>Andrew Vassallo</x:t>
  </x:si>
  <x:si>
    <x:t>Ray Aluminum &amp; Glass Works</x:t>
  </x:si>
  <x:si>
    <x:t>Aluglass</x:t>
  </x:si>
  <x:si>
    <x:t>A1 Finishes</x:t>
  </x:si>
  <x:si>
    <x:t>XG Glass</x:t>
  </x:si>
  <x:si>
    <x:t>J 3 Aluminium &amp; Iron Works</x:t>
  </x:si>
  <x:si>
    <x:t>Leonard Attard</x:t>
  </x:si>
  <x:si>
    <x:t>Melita Manufacturing Co Ltd</x:t>
  </x:si>
  <x:si>
    <x:t>Tabone Glass Ltd</x:t>
  </x:si>
  <x:si>
    <x:t>Jean Installations</x:t>
  </x:si>
  <x:si>
    <x:t>Medalls Aluminium</x:t>
  </x:si>
  <x:si>
    <x:t>NewAlucare</x:t>
  </x:si>
  <x:si>
    <x:t>Glass and more</x:t>
  </x:si>
  <x:si>
    <x:t>Dragon Forge</x:t>
  </x:si>
  <x:si>
    <x:t>Valor</x:t>
  </x:si>
  <x:si>
    <x:t>info@tonnaglass.com</x:t>
  </x:si>
  <x:si>
    <x:t>jacap@jacap.net</x:t>
  </x:si>
  <x:si>
    <x:t>Quotes@capriceltd.com</x:t>
  </x:si>
  <x:si>
    <x:t>info@glassdesignmalta.com</x:t>
  </x:si>
  <x:si>
    <x:t>miryaltd@gmail.com</x:t>
  </x:si>
  <x:si>
    <x:t>crgrech.steel@gmail.com</x:t>
  </x:si>
  <x:si>
    <x:t>info@anvil-forge.com</x:t>
  </x:si>
  <x:si>
    <x:t>salvodsicilia@hotmail.it</x:t>
  </x:si>
  <x:si>
    <x:t>laenterprises73@gmail.com</x:t>
  </x:si>
  <x:si>
    <x:t>quotes@jlautier.com</x:t>
  </x:si>
  <x:si>
    <x:t>taboneglassltd@gmail.com</x:t>
  </x:si>
  <x:si>
    <x:t>info@xgglass.com.mt</x:t>
  </x:si>
  <x:si>
    <x:t>jeaninstallations@gmail.com</x:t>
  </x:si>
  <x:si>
    <x:t>medalls.aluminium@gmail.com</x:t>
  </x:si>
  <x:si>
    <x:t>info@newalucare.com</x:t>
  </x:si>
  <x:si>
    <x:t>gilbertglassandmore@gmail.com</x:t>
  </x:si>
  <x:si>
    <x:t>jesmond.dragonforge@yahoo.com</x:t>
  </x:si>
  <x:si>
    <x:t>Paul Tonna Son of Santu Ltd
Zone 1 Triq L-Intornjatur Central Business District ,
B’Kara, Malta CBD 1050</x:t>
  </x:si>
  <x:si>
    <x:t>Triq l-Imdina ,Zebbug, Malta ZBG 9019</x:t>
  </x:si>
  <x:si>
    <x:t>12 Old Trafford, Dun Filippu Borg, Birkirkara, Malta.</x:t>
  </x:si>
  <x:si>
    <x:t>Dimech Enterprises Ltd Centre Point, Triq Valletta Luqa</x:t>
  </x:si>
  <x:si>
    <x:t>Mirya, VF9V+PQ8, Marsa, Malta, Marsa, Malta, MRS3000</x:t>
  </x:si>
  <x:si>
    <x:t>fzammitglass.com/en/?utm_source=Yellow&amp;utm_medium=Yellow-Website&amp;utm_campaign=Landing-Page</x:t>
  </x:si>
  <x:si>
    <x:t>floatglassltd.com/en/home.htm</x:t>
  </x:si>
  <x:si>
    <x:t>klglassmalta.com/?utm_source=Yellow&amp;utm_medium=Yellow-Website&amp;utm_campaign=Landing-Page</x:t>
  </x:si>
  <x:si>
    <x:t>jamarmalta.com/</x:t>
  </x:si>
  <x:si>
    <x:t>capriceglass.com/</x:t>
  </x:si>
  <x:si>
    <x:t>facebook.com/MiryaLimited/</x:t>
  </x:si>
  <x:si>
    <x:t>facebook.com/profile.php?id=100066455006954</x:t>
  </x:si>
  <x:si>
    <x:t>facebook.com/profile.php?id=100057245816371</x:t>
  </x:si>
  <x:si>
    <x:t>facebook.com/innovativesteeldesign/</x:t>
  </x:si>
  <x:si>
    <x:t>facebook.com/Andrewvassalloltd/</x:t>
  </x:si>
  <x:si>
    <x:t>Parquet</x:t>
  </x:si>
  <x:si>
    <x:t>Farrugia Woodworks</x:t>
  </x:si>
  <x:si>
    <x:t>Tal-Ħandaq, Qormi, Malta</x:t>
  </x:si>
  <x:si>
    <x:t>Farrugia Woodworks
60 Ta’ Magi Industrial Park Triq San Leonardu ,
Xghajra, Malta</x:t>
  </x:si>
  <x:si>
    <x:t>Category</x:t>
  </x:si>
  <x:si>
    <x:t>glassfibreindustries.net/?utm_source=Yellow&amp;utm_medium=Yellow-Website&amp;utm_campaign=Landing-Page</x:t>
  </x:si>
  <x:si>
    <x:t>facebook.com/econovamalta/</x:t>
  </x:si>
  <x:si>
    <x:t>bezzbros.com/</x:t>
  </x:si>
  <x:si>
    <x:t>calleja.com.mt/contact/</x:t>
  </x:si>
  <x:si>
    <x:t>geoholistic.com/ventilation.html</x:t>
  </x:si>
  <x:si>
    <x:t>wsinstallationsmalta.com/</x:t>
  </x:si>
  <x:si>
    <x:t>kompleto.com.mt</x:t>
  </x:si>
  <x:si>
    <x:t>theresincentre.com/contact-us/</x:t>
  </x:si>
  <x:si>
    <x:t>fb.com/maximumwaterproofingmalta/</x:t>
  </x:si>
  <x:si>
    <x:t>halmannvella.com/</x:t>
  </x:si>
  <x:si>
    <x:t>facebook.com/cordinamt/</x:t>
  </x:si>
  <x:si>
    <x:t>facebook.com/profile.php?id=100054506707941</x:t>
  </x:si>
  <x:si>
    <x:t>kcl.com.m</x:t>
  </x:si>
  <x:si>
    <x:t>electrofixgroup.com/</x:t>
  </x:si>
  <x:si>
    <x:t>xuerebinstall.com/</x:t>
  </x:si>
  <x:si>
    <x:t>josephgiordano54.wixsite.com/josephgiordano</x:t>
  </x:si>
  <x:si>
    <x:t>jialifucn.com/compact-laminate-toilet-partitions/</x:t>
  </x:si>
  <x:si>
    <x:t>ennegiltd.com</x:t>
  </x:si>
  <x:si>
    <x:t>dv.mt/</x:t>
  </x:si>
  <x:si>
    <x:t>ramilenemalta.com/</x:t>
  </x:si>
  <x:si>
    <x:t>intervisions.com.mt</x:t>
  </x:si>
  <x:si>
    <x:t>bilomtilesanddecor.com</x:t>
  </x:si>
  <x:si>
    <x:t>facebook.com/Calbros-Bathrooms-Ltd</x:t>
  </x:si>
  <x:si>
    <x:t>casamiamalta.com</x:t>
  </x:si>
  <x:si>
    <x:t>chicliving.com.mt</x:t>
  </x:si>
  <x:si>
    <x:t>creationsomni.cpm</x:t>
  </x:si>
  <x:si>
    <x:t>hauz.mt</x:t>
  </x:si>
  <x:si>
    <x:t>facebook.com/Josies-Bathroom-Centre</x:t>
  </x:si>
  <x:si>
    <x:t>facebook.com/keramitbathrooms/</x:t>
  </x:si>
  <x:si>
    <x:t>magribathrooms.com</x:t>
  </x:si>
  <x:si>
    <x:t>facebook.com/ModaBagnoMalta</x:t>
  </x:si>
  <x:si>
    <x:t>facebook.com/Nuovo-Bagno</x:t>
  </x:si>
  <x:si>
    <x:t>propertyservicesltd.com</x:t>
  </x:si>
  <x:si>
    <x:t>ssbathrooms.com</x:t>
  </x:si>
  <x:si>
    <x:t>facebook.com/SognoBagno/</x:t>
  </x:si>
  <x:si>
    <x:t>thetubmalta.com</x:t>
  </x:si>
  <x:si>
    <x:t>vivo.com.mt</x:t>
  </x:si>
  <x:si>
    <x:t>facebook.com/classicbathroom/</x:t>
  </x:si>
  <x:si>
    <x:t>fzammitglass.com</x:t>
  </x:si>
  <x:si>
    <x:t>falzons.com</x:t>
  </x:si>
  <x:si>
    <x:t>bmsupplies.com</x:t>
  </x:si>
  <x:si>
    <x:t>floatglassltd.com</x:t>
  </x:si>
  <x:si>
    <x:t>vitafoammalta.com</x:t>
  </x:si>
  <x:si>
    <x:t>sylviabazaar.com</x:t>
  </x:si>
  <x:si>
    <x:t>omajcobedding.com</x:t>
  </x:si>
  <x:si>
    <x:t>borisarcidiacono.com</x:t>
  </x:si>
  <x:si>
    <x:t>ctmliving.com</x:t>
  </x:si>
  <x:si>
    <x:t>malta-design.com</x:t>
  </x:si>
  <x:si>
    <x:t>brands.com.mt</x:t>
  </x:si>
  <x:si>
    <x:t>rliving.com.mt</x:t>
  </x:si>
  <x:si>
    <x:t>kubekgroup.com</x:t>
  </x:si>
  <x:si>
    <x:t>facebook.com/people/Abela-Norbert-Joiners/100057636902110/</x:t>
  </x:si>
  <x:si>
    <x:t>casconehome.com</x:t>
  </x:si>
  <x:si>
    <x:t>cieffeprojects.com.mt</x:t>
  </x:si>
  <x:si>
    <x:t>constructfurniture.com.mt</x:t>
  </x:si>
  <x:si>
    <x:t>domal.com.mt</x:t>
  </x:si>
  <x:si>
    <x:t>erickuster.com</x:t>
  </x:si>
  <x:si>
    <x:t>esteamt.com</x:t>
  </x:si>
  <x:si>
    <x:t>form.com.mt</x:t>
  </x:si>
  <x:si>
    <x:t>imaginecasamalta.com</x:t>
  </x:si>
  <x:si>
    <x:t>jtstrading.com</x:t>
  </x:si>
  <x:si>
    <x:t>facebook.com/MarvinsWarehouse</x:t>
  </x:si>
  <x:si>
    <x:t>onepercent.com.mt</x:t>
  </x:si>
  <x:si>
    <x:t>facebook.com/people/Real-woodworks/100057415459586/</x:t>
  </x:si>
  <x:si>
    <x:t>casaformfurniture.com</x:t>
  </x:si>
  <x:si>
    <x:t>shabbychic.world/</x:t>
  </x:si>
  <x:si>
    <x:t>tal-lira.com</x:t>
  </x:si>
  <x:si>
    <x:t>woodcreationsmalta.com</x:t>
  </x:si>
  <x:si>
    <x:t>sghendo.com</x:t>
  </x:si>
  <x:si>
    <x:t>artathomemalta.com</x:t>
  </x:si>
  <x:si>
    <x:t>fairdealfurniture.com.mt/contact-us/</x:t>
  </x:si>
  <x:si>
    <x:t>maltadiy.com/product-category/floors-walls/walls/3d-wall-panels/?utm_source=chatgpt.com</x:t>
  </x:si>
  <x:si>
    <x:t>facebook.com/profile.php?id=61561349402968</x:t>
  </x:si>
  <x:si>
    <x:t>vicalinteriors.com/</x:t>
  </x:si>
  <x:si>
    <x:t>panelshubmalta.com/flexible-panels/</x:t>
  </x:si>
  <x:si>
    <x:t>officelinemalta.com/</x:t>
  </x:si>
  <x:si>
    <x:t>vivendo.mt/</x:t>
  </x:si>
  <x:si>
    <x:t>ikea.com/it/it/p/mariedamm-tavolo-grigio-scuro-50441510/</x:t>
  </x:si>
  <x:si>
    <x:t>theatrium.com.mt/dining/dining-tables/roxby-dining-table-black-oak-105cm/Item?c=267474</x:t>
  </x:si>
  <x:si>
    <x:t>megastore.com.mt/en_MT/p/VIHALS-Table%2C-whitewhite%2C-107-cm/2237008</x:t>
  </x:si>
  <x:si>
    <x:t>theatrium.com.mt/dining/dining-tables/atmosphera-ostras-dining-table-diameter-120cm-glass/Item?c=528741</x:t>
  </x:si>
  <x:si>
    <x:t>theatrium.com.mt/dining/dining-tables/heaven-round-dining-table-with-clear-tempered-glass-top-and-thick-black-metal-legs/Item?c=512388</x:t>
  </x:si>
  <x:si>
    <x:t>satariano.com/products/room/tables/</x:t>
  </x:si>
  <x:si>
    <x:t>Import</x:t>
  </x:si>
  <x:si>
    <x:t>Notes</x:t>
  </x:si>
  <x:si>
    <x:t>kbstructuresltd.com</x:t>
  </x:si>
  <x:si>
    <x:t>stanthonyww.com</x:t>
  </x:si>
  <x:si>
    <x:t>jlautier.com</x:t>
  </x:si>
  <x:si>
    <x:t>newstylesmalta.com</x:t>
  </x:si>
  <x:si>
    <x:t>grimafurniture.com</x:t>
  </x:si>
  <x:si>
    <x:t>amabilegalea.com</x:t>
  </x:si>
  <x:si>
    <x:t>facebook.com/GozoAluminium/</x:t>
  </x:si>
  <x:si>
    <x:t>afdaaluminium.com</x:t>
  </x:si>
  <x:si>
    <x:t>brandimports.com.mt</x:t>
  </x:si>
  <x:si>
    <x:t>j3alumiuniumworks.com</x:t>
  </x:si>
  <x:si>
    <x:t>facebook.com/p/Nu-Aluminium-100064044373074/</x:t>
  </x:si>
  <x:si>
    <x:t>facebook.com/ihomes</x:t>
  </x:si>
  <x:si>
    <x:t>facebook.com/p/Melvin-Aluminium-works-100057483907699/</x:t>
  </x:si>
  <x:si>
    <x:t>facebook.com/p/Josef-Aluminium-Metal-Works-100054319188613/</x:t>
  </x:si>
  <x:si>
    <x:t>abelawoodworks.wixsite.com/abelawoodworks</x:t>
  </x:si>
  <x:si>
    <x:t>agoodchildinstallations.com</x:t>
  </x:si>
  <x:si>
    <x:t>facebook.com/jsbaluminium.works</x:t>
  </x:si>
  <x:si>
    <x:t>adoremore.com.mt</x:t>
  </x:si>
  <x:si>
    <x:t>facebook.com/alukeyaluminium</x:t>
  </x:si>
  <x:si>
    <x:t>aluminium-ltd.business.site</x:t>
  </x:si>
  <x:si>
    <x:t>facebook.com/AluwoodCoLtd</x:t>
  </x:si>
  <x:si>
    <x:t>facebook.com/people/Andrew-vella-aluminium/100064883072627/</x:t>
  </x:si>
  <x:si>
    <x:t>facebook.com/azzopardialum</x:t>
  </x:si>
  <x:si>
    <x:t>basonaluminium.com</x:t>
  </x:si>
  <x:si>
    <x:t>facebook.com/borgalum/</x:t>
  </x:si>
  <x:si>
    <x:t>bpapertures.com/</x:t>
  </x:si>
  <x:si>
    <x:t>facebook.com/people/CDS-Aluminium-work/100064086582054/</x:t>
  </x:si>
  <x:si>
    <x:t>cagroup.com.mt</x:t>
  </x:si>
  <x:si>
    <x:t>salamander-windows.com/?utm_source=Yellow&amp;utm_medium=Yellow-Website&amp;utm_campaign=Landing-Page</x:t>
  </x:si>
  <x:si>
    <x:t>facebook.com/p/Choco-aluminium-works-100064574387617/</x:t>
  </x:si>
  <x:si>
    <x:t>comfortabita.com</x:t>
  </x:si>
  <x:si>
    <x:t>cuschierigroup.com</x:t>
  </x:si>
  <x:si>
    <x:t>dimechapertures.com/</x:t>
  </x:si>
  <x:si>
    <x:t>facebook.com/p/DX-Aluminium-Works-100064182690832/</x:t>
  </x:si>
  <x:si>
    <x:t>expressaluminium.com</x:t>
  </x:si>
  <x:si>
    <x:t>aluminiumworks.in</x:t>
  </x:si>
  <x:si>
    <x:t>facebook.com/p/Giorgio-Aluminium-Co-Ltd-100065044507710/</x:t>
  </x:si>
  <x:si>
    <x:t>facebook.com/Guys21485785/</x:t>
  </x:si>
  <x:si>
    <x:t>horvinltd.com</x:t>
  </x:si>
  <x:si>
    <x:t>icsaluminium.yolasite.com</x:t>
  </x:si>
  <x:si>
    <x:t>jcdaluminium.com</x:t>
  </x:si>
  <x:si>
    <x:t>jk-aluminium.com</x:t>
  </x:si>
  <x:si>
    <x:t>jamarmalta.com</x:t>
  </x:si>
  <x:si>
    <x:t>jasonaluminium.com</x:t>
  </x:si>
  <x:si>
    <x:t>facebook.com/KKAluWorks/</x:t>
  </x:si>
  <x:si>
    <x:t>facebook.com/p/Munita-Aluminium-100063476861515/</x:t>
  </x:si>
  <x:si>
    <x:t>facebook.com/QormiAluminium</x:t>
  </x:si>
  <x:si>
    <x:t>facebook.com/people/Rapa-Aluminium-Victoria-Gozo/100063473081953/?utm_source=Yellow&amp;utm_medium=Yellow-Website&amp;utm_campaign=Landing-Page#</x:t>
  </x:si>
  <x:si>
    <x:t>facebook.com/RayAluWorks/</x:t>
  </x:si>
  <x:si>
    <x:t>facebook.com/people/Refined-Aluminium-Metal-Works/100063567219937/?utm_source=Yellow&amp;utm_medium=Yellow-Website&amp;utm_campaign=Landing-Page#</x:t>
  </x:si>
  <x:si>
    <x:t>servgroupmalta.com</x:t>
  </x:si>
  <x:si>
    <x:t>sptechniques.com</x:t>
  </x:si>
  <x:si>
    <x:t>aluminium.mt/</x:t>
  </x:si>
  <x:si>
    <x:t>towergroupmalta.com</x:t>
  </x:si>
  <x:si>
    <x:t>facebook.com/windmillltd/</x:t>
  </x:si>
  <x:si>
    <x:t>facebook.com/bespokelocalfurniture</x:t>
  </x:si>
  <x:si>
    <x:t>facebook.com/zammitaluminum/</x:t>
  </x:si>
  <x:si>
    <x:t>a1finishesltd.com/</x:t>
  </x:si>
  <x:si>
    <x:t>acmamalta.com</x:t>
  </x:si>
  <x:si>
    <x:t>facebook.com/p/TC-Aluminium-Works-100064147390058/</x:t>
  </x:si>
  <x:si>
    <x:t>deckor.com.mt/?brid=bHHAtQj_YIbnOwlfb4l7Qw</x:t>
  </x:si>
  <x:si>
    <x:t>conforthouse.mt/</x:t>
  </x:si>
  <x:si>
    <x:t>facebook.com/MasterCarpenter84/</x:t>
  </x:si>
  <x:si>
    <x:t>adoremore.com.mt/</x:t>
  </x:si>
  <x:si>
    <x:t>findit.com.mt/en/directory/listings/10200/joseph-briffa-woodworks.htm</x:t>
  </x:si>
  <x:si>
    <x:t>casacompletamalta.com/</x:t>
  </x:si>
  <x:si>
    <x:t>fourvcmalta.com/</x:t>
  </x:si>
  <x:si>
    <x:t>yellow.com.mt/abela-restoration_building-restoration-conservation+zejtun/</x:t>
  </x:si>
  <x:si>
    <x:t>kitonkeith.wixsite.com/kitoncontractors</x:t>
  </x:si>
  <x:si>
    <x:t>axconstruction.com.mt/</x:t>
  </x:si>
  <x:si>
    <x:t>targe.mt/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</x:si>
</x:sst>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u val="single"/>
      <x:vertAlign val="baseline"/>
      <x:sz val="11"/>
      <x:color theme="10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C5D9F1"/>
      </x:patternFill>
    </x:fill>
    <x:fill>
      <x:patternFill patternType="solid">
        <x:fgColor rgb="FF95B3D7"/>
      </x:patternFill>
    </x:fill>
    <x:fill>
      <x:patternFill patternType="solid">
        <x:fgColor rgb="FFF0F0F0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6" /><Relationship Type="http://schemas.openxmlformats.org/officeDocument/2006/relationships/styles" Target="/xl/styles.xml" Id="rId9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worksheet" Target="/xl/worksheets/sheet37.xml" Id="rId38" /><Relationship Type="http://schemas.openxmlformats.org/officeDocument/2006/relationships/worksheet" Target="/xl/worksheets/sheet38.xml" Id="rId39" /><Relationship Type="http://schemas.openxmlformats.org/officeDocument/2006/relationships/worksheet" Target="/xl/worksheets/sheet39.xml" Id="rId40" /><Relationship Type="http://schemas.openxmlformats.org/officeDocument/2006/relationships/worksheet" Target="/xl/worksheets/sheet40.xml" Id="rId41" /><Relationship Type="http://schemas.openxmlformats.org/officeDocument/2006/relationships/worksheet" Target="/xl/worksheets/sheet41.xml" Id="rId42" /><Relationship Type="http://schemas.openxmlformats.org/officeDocument/2006/relationships/worksheet" Target="/xl/worksheets/sheet42.xml" Id="rId43" /><Relationship Type="http://schemas.openxmlformats.org/officeDocument/2006/relationships/worksheet" Target="/xl/worksheets/sheet43.xml" Id="rId44" /><Relationship Type="http://schemas.openxmlformats.org/officeDocument/2006/relationships/worksheet" Target="/xl/worksheets/sheet44.xml" Id="rId45" /><Relationship Type="http://schemas.openxmlformats.org/officeDocument/2006/relationships/worksheet" Target="/xl/worksheets/sheet45.xml" Id="rId46" /><Relationship Type="http://schemas.openxmlformats.org/officeDocument/2006/relationships/worksheet" Target="/xl/worksheets/sheet46.xml" Id="rId47" /><Relationship Type="http://schemas.openxmlformats.org/officeDocument/2006/relationships/worksheet" Target="/xl/worksheets/sheet47.xml" Id="rId48" /><Relationship Type="http://schemas.openxmlformats.org/officeDocument/2006/relationships/worksheet" Target="/xl/worksheets/sheet48.xml" Id="rId49" /><Relationship Type="http://schemas.openxmlformats.org/officeDocument/2006/relationships/worksheet" Target="/xl/worksheets/sheet49.xml" Id="rId50" /><Relationship Type="http://schemas.openxmlformats.org/officeDocument/2006/relationships/worksheet" Target="/xl/worksheets/sheet50.xml" Id="rId51" /><Relationship Type="http://schemas.openxmlformats.org/officeDocument/2006/relationships/worksheet" Target="/xl/worksheets/sheet51.xml" Id="rId52" /><Relationship Type="http://schemas.openxmlformats.org/officeDocument/2006/relationships/worksheet" Target="/xl/worksheets/sheet52.xml" Id="rId53" /><Relationship Type="http://schemas.openxmlformats.org/officeDocument/2006/relationships/worksheet" Target="/xl/worksheets/sheet53.xml" Id="rId54" /><Relationship Type="http://schemas.openxmlformats.org/officeDocument/2006/relationships/worksheet" Target="/xl/worksheets/sheet54.xml" Id="rId55" /><Relationship Type="http://schemas.openxmlformats.org/officeDocument/2006/relationships/worksheet" Target="/xl/worksheets/sheet55.xml" Id="rId56" /><Relationship Type="http://schemas.openxmlformats.org/officeDocument/2006/relationships/worksheet" Target="/xl/worksheets/sheet56.xml" Id="rId57" /><Relationship Type="http://schemas.openxmlformats.org/officeDocument/2006/relationships/worksheet" Target="/xl/worksheets/sheet57.xml" Id="rId58" /><Relationship Type="http://schemas.openxmlformats.org/officeDocument/2006/relationships/worksheet" Target="/xl/worksheets/sheet58.xml" Id="rId59" /><Relationship Type="http://schemas.openxmlformats.org/officeDocument/2006/relationships/worksheet" Target="/xl/worksheets/sheet59.xml" Id="rId60" /><Relationship Type="http://schemas.openxmlformats.org/officeDocument/2006/relationships/worksheet" Target="/xl/worksheets/sheet60.xml" Id="rId61" /><Relationship Type="http://schemas.openxmlformats.org/officeDocument/2006/relationships/worksheet" Target="/xl/worksheets/sheet61.xml" Id="rId62" /><Relationship Type="http://schemas.openxmlformats.org/officeDocument/2006/relationships/worksheet" Target="/xl/worksheets/sheet62.xml" Id="rId63" /><Relationship Type="http://schemas.openxmlformats.org/officeDocument/2006/relationships/worksheet" Target="/xl/worksheets/sheet63.xml" Id="rId64" /><Relationship Type="http://schemas.openxmlformats.org/officeDocument/2006/relationships/worksheet" Target="/xl/worksheets/sheet64.xml" Id="rId65" /><Relationship Type="http://schemas.openxmlformats.org/officeDocument/2006/relationships/worksheet" Target="/xl/worksheets/sheet65.xml" Id="rId66" /><Relationship Type="http://schemas.openxmlformats.org/officeDocument/2006/relationships/worksheet" Target="/xl/worksheets/sheet66.xml" Id="rId67" /><Relationship Type="http://schemas.openxmlformats.org/officeDocument/2006/relationships/worksheet" Target="/xl/worksheets/sheet67.xml" Id="rId68" /><Relationship Type="http://schemas.openxmlformats.org/officeDocument/2006/relationships/worksheet" Target="/xl/worksheets/sheet68.xml" Id="rId69" /><Relationship Type="http://schemas.openxmlformats.org/officeDocument/2006/relationships/worksheet" Target="/xl/worksheets/sheet69.xml" Id="rId70" /><Relationship Type="http://schemas.openxmlformats.org/officeDocument/2006/relationships/worksheet" Target="/xl/worksheets/sheet70.xml" Id="rId71" /><Relationship Type="http://schemas.openxmlformats.org/officeDocument/2006/relationships/worksheet" Target="/xl/worksheets/sheet71.xml" Id="rId72" /><Relationship Type="http://schemas.openxmlformats.org/officeDocument/2006/relationships/worksheet" Target="/xl/worksheets/sheet72.xml" Id="rId73" /><Relationship Type="http://schemas.openxmlformats.org/officeDocument/2006/relationships/worksheet" Target="/xl/worksheets/sheet73.xml" Id="rId74" /><Relationship Type="http://schemas.openxmlformats.org/officeDocument/2006/relationships/worksheet" Target="/xl/worksheets/sheet74.xml" Id="rId75" /><Relationship Type="http://schemas.openxmlformats.org/officeDocument/2006/relationships/worksheet" Target="/xl/worksheets/sheet75.xml" Id="rId76" /><Relationship Type="http://schemas.openxmlformats.org/officeDocument/2006/relationships/worksheet" Target="/xl/worksheets/sheet76.xml" Id="rId77" /><Relationship Type="http://schemas.openxmlformats.org/officeDocument/2006/relationships/worksheet" Target="/xl/worksheets/sheet77.xml" Id="rId78" /><Relationship Type="http://schemas.openxmlformats.org/officeDocument/2006/relationships/worksheet" Target="/xl/worksheets/sheet78.xml" Id="rId79" /><Relationship Type="http://schemas.openxmlformats.org/officeDocument/2006/relationships/worksheet" Target="/xl/worksheets/sheet79.xml" Id="rId80" /><Relationship Type="http://schemas.openxmlformats.org/officeDocument/2006/relationships/worksheet" Target="/xl/worksheets/sheet80.xml" Id="rId81" /><Relationship Type="http://schemas.openxmlformats.org/officeDocument/2006/relationships/worksheet" Target="/xl/worksheets/sheet81.xml" Id="rId82" /><Relationship Type="http://schemas.openxmlformats.org/officeDocument/2006/relationships/worksheet" Target="/xl/worksheets/sheet82.xml" Id="rId83" /><Relationship Type="http://schemas.openxmlformats.org/officeDocument/2006/relationships/worksheet" Target="/xl/worksheets/sheet83.xml" Id="rId84" /><Relationship Type="http://schemas.openxmlformats.org/officeDocument/2006/relationships/worksheet" Target="/xl/worksheets/sheet84.xml" Id="rId85" /><Relationship Type="http://schemas.openxmlformats.org/officeDocument/2006/relationships/worksheet" Target="/xl/worksheets/sheet85.xml" Id="rId86" /><Relationship Type="http://schemas.openxmlformats.org/officeDocument/2006/relationships/worksheet" Target="/xl/worksheets/sheet86.xml" Id="rId87" /><Relationship Type="http://schemas.openxmlformats.org/officeDocument/2006/relationships/worksheet" Target="/xl/worksheets/sheet87.xml" Id="rId88" /><Relationship Type="http://schemas.openxmlformats.org/officeDocument/2006/relationships/worksheet" Target="/xl/worksheets/sheet88.xml" Id="rId89" /><Relationship Type="http://schemas.openxmlformats.org/officeDocument/2006/relationships/worksheet" Target="/xl/worksheets/sheet89.xml" Id="rId90" /><Relationship Type="http://schemas.openxmlformats.org/officeDocument/2006/relationships/worksheet" Target="/xl/worksheets/sheet90.xml" Id="rId91" /><Relationship Type="http://schemas.openxmlformats.org/officeDocument/2006/relationships/worksheet" Target="/xl/worksheets/sheet91.xml" Id="rId92" /><Relationship Type="http://schemas.openxmlformats.org/officeDocument/2006/relationships/worksheet" Target="/xl/worksheets/sheet92.xml" Id="rId93" /><Relationship Type="http://schemas.openxmlformats.org/officeDocument/2006/relationships/worksheet" Target="/xl/worksheets/sheet93.xml" Id="rId94" /><Relationship Type="http://schemas.openxmlformats.org/officeDocument/2006/relationships/worksheet" Target="/xl/worksheets/sheet94.xml" Id="rId95" /><Relationship Type="http://schemas.openxmlformats.org/officeDocument/2006/relationships/calcChain" Target="/xl/calcChain.xml" Id="rId5843" /><Relationship Type="http://schemas.openxmlformats.org/officeDocument/2006/relationships/theme" Target="/xl/theme/theme1.xml" Id="rId58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MAILTO:info@micalleffibreglassworks.com" TargetMode="External" Id="rId98" /><Relationship Type="http://schemas.openxmlformats.org/officeDocument/2006/relationships/hyperlink" Target="MAILTO:info@silvercraftltd.com" TargetMode="External" Id="rId99" /><Relationship Type="http://schemas.openxmlformats.org/officeDocument/2006/relationships/hyperlink" Target="MAILTO:etienne@silvercraftltd.com" TargetMode="External" Id="rId100" /><Relationship Type="http://schemas.openxmlformats.org/officeDocument/2006/relationships/hyperlink" Target="MAILTO:angela@silvercraftltd.com" TargetMode="External" Id="rId101" /><Relationship Type="http://schemas.openxmlformats.org/officeDocument/2006/relationships/hyperlink" Target="MAILTO:info@crownfibreglass.com" TargetMode="External" Id="rId102" /><Relationship Type="http://schemas.openxmlformats.org/officeDocument/2006/relationships/hyperlink" Target="MAILTO:info@micallefpools.com" TargetMode="External" Id="rId103" /><Relationship Type="http://schemas.openxmlformats.org/officeDocument/2006/relationships/hyperlink" Target="MAILTO:natasha@glassfibreindustries.net" TargetMode="External" Id="rId104" /><Relationship Type="http://schemas.openxmlformats.org/officeDocument/2006/relationships/hyperlink" Target="MAILTO:info@crownfibreglass.com" TargetMode="External" Id="rId105" /><Relationship Type="http://schemas.openxmlformats.org/officeDocument/2006/relationships/hyperlink" Target="MAILTO:info@silvercraftltd.com" TargetMode="External" Id="rId106" /><Relationship Type="http://schemas.openxmlformats.org/officeDocument/2006/relationships/hyperlink" Target="MAILTO:fashionfibre@hotmail.com" TargetMode="External" Id="rId107" /><Relationship Type="http://schemas.openxmlformats.org/officeDocument/2006/relationships/hyperlink" Target="MAILTO:info@seabravemarine.com" TargetMode="External" Id="rId108" /><Relationship Type="http://schemas.openxmlformats.org/officeDocument/2006/relationships/hyperlink" Target="https://www.google.com/maps/search/?api=1&amp;query=Birkirkara" TargetMode="External" Id="rId109" /><Relationship Type="http://schemas.openxmlformats.org/officeDocument/2006/relationships/hyperlink" Target="https://www.google.com/maps/search/?api=1&amp;query=Zetjun" TargetMode="External" Id="rId110" /><Relationship Type="http://schemas.openxmlformats.org/officeDocument/2006/relationships/hyperlink" Target="https://www.google.com/maps/search/?api=1&amp;query=Marsa" TargetMode="External" Id="rId111" /><Relationship Type="http://schemas.openxmlformats.org/officeDocument/2006/relationships/hyperlink" Target="https://www.google.com/maps/search/?api=1&amp;query=Qormi" TargetMode="External" Id="rId112" /><Relationship Type="http://schemas.openxmlformats.org/officeDocument/2006/relationships/hyperlink" Target="https://www.google.com/maps/search/?api=1&amp;query=Birzebbugia" TargetMode="External" Id="rId113" /><Relationship Type="http://schemas.openxmlformats.org/officeDocument/2006/relationships/hyperlink" Target="https://glassfibreindustries.net/?utm_source=Yellow&amp;utm_medium=Yellow-Website&amp;utm_campaign=Landing-Page" TargetMode="External" Id="rId114" /><Relationship Type="http://schemas.openxmlformats.org/officeDocument/2006/relationships/hyperlink" Target="https://crownfibreglass.com/?utm_source=Yellow&amp;utm_medium=Yellow-Website&amp;utm_campaign=Landing-Page" TargetMode="External" Id="rId115" /><Relationship Type="http://schemas.openxmlformats.org/officeDocument/2006/relationships/hyperlink" Target="https://silvercraftltd.com/?utm_source=Yellow&amp;utm_medium=Yellow-Website&amp;utm_campaign=Landing-Page" TargetMode="External" Id="rId116" /><Relationship Type="http://schemas.openxmlformats.org/officeDocument/2006/relationships/hyperlink" Target="https://facebook.com/people/Seabrave-Marine/100057368593400/" TargetMode="External" Id="rId1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econovamalta@gmail.com" TargetMode="External" Id="rId118" /><Relationship Type="http://schemas.openxmlformats.org/officeDocument/2006/relationships/hyperlink" Target="MAILTO:info@hvacsupplies.eu" TargetMode="External" Id="rId119" /><Relationship Type="http://schemas.openxmlformats.org/officeDocument/2006/relationships/hyperlink" Target="MAILTO:info@cutrico.com" TargetMode="External" Id="rId120" /><Relationship Type="http://schemas.openxmlformats.org/officeDocument/2006/relationships/hyperlink" Target="MAILTO:dpcomfortek@gmail.com" TargetMode="External" Id="rId121" /><Relationship Type="http://schemas.openxmlformats.org/officeDocument/2006/relationships/hyperlink" Target="MAILTO:info@bezzbros.com" TargetMode="External" Id="rId122" /><Relationship Type="http://schemas.openxmlformats.org/officeDocument/2006/relationships/hyperlink" Target="MAILTO:info@cdinstallations.com.mt" TargetMode="External" Id="rId123" /><Relationship Type="http://schemas.openxmlformats.org/officeDocument/2006/relationships/hyperlink" Target="MAILTO:energexservices@gmail.com" TargetMode="External" Id="rId124" /><Relationship Type="http://schemas.openxmlformats.org/officeDocument/2006/relationships/hyperlink" Target="MAILTO:info@cooltekservices.com.mt" TargetMode="External" Id="rId125" /><Relationship Type="http://schemas.openxmlformats.org/officeDocument/2006/relationships/hyperlink" Target="MAILTO:rosamonddesira@gmail.com" TargetMode="External" Id="rId126" /><Relationship Type="http://schemas.openxmlformats.org/officeDocument/2006/relationships/hyperlink" Target="MAILTO:info@ceinstallations.com.mt" TargetMode="External" Id="rId127" /><Relationship Type="http://schemas.openxmlformats.org/officeDocument/2006/relationships/hyperlink" Target="MAILTO:info@weduct.com.mt" TargetMode="External" Id="rId128" /><Relationship Type="http://schemas.openxmlformats.org/officeDocument/2006/relationships/hyperlink" Target="MAILTO:projects@proklimamalta.com" TargetMode="External" Id="rId129" /><Relationship Type="http://schemas.openxmlformats.org/officeDocument/2006/relationships/hyperlink" Target="MAILTO:sales@midea.mt" TargetMode="External" Id="rId130" /><Relationship Type="http://schemas.openxmlformats.org/officeDocument/2006/relationships/hyperlink" Target="MAILTO:webshop@calleja.com.mt" TargetMode="External" Id="rId131" /><Relationship Type="http://schemas.openxmlformats.org/officeDocument/2006/relationships/hyperlink" Target="MAILTO:sales@tabonedirect.com" TargetMode="External" Id="rId132" /><Relationship Type="http://schemas.openxmlformats.org/officeDocument/2006/relationships/hyperlink" Target="MAILTO:info@geoholistic.com" TargetMode="External" Id="rId133" /><Relationship Type="http://schemas.openxmlformats.org/officeDocument/2006/relationships/hyperlink" Target="MAILTO:sales@thetccgroup.org" TargetMode="External" Id="rId134" /><Relationship Type="http://schemas.openxmlformats.org/officeDocument/2006/relationships/hyperlink" Target="MAILTO:sales@mff-isl.com" TargetMode="External" Id="rId135" /><Relationship Type="http://schemas.openxmlformats.org/officeDocument/2006/relationships/hyperlink" Target="MAILTO:afenech@smarteffects.com.mt" TargetMode="External" Id="rId136" /><Relationship Type="http://schemas.openxmlformats.org/officeDocument/2006/relationships/hyperlink" Target="https://www.google.com/maps/search/?api=1&amp;query=50%2C%20Triq%20Salvu%20Psaila%2C%20Birkirkara%2C%20Malta%2C%20BKR9072" TargetMode="External" Id="rId137" /><Relationship Type="http://schemas.openxmlformats.org/officeDocument/2006/relationships/hyperlink" Target="https://www.google.com/maps/search/?api=1&amp;query=Triq%20%C4%A6al%20Luqa%2C%20Qormi%2C%20QRM%209070%2C%20Malta" TargetMode="External" Id="rId138" /><Relationship Type="http://schemas.openxmlformats.org/officeDocument/2006/relationships/hyperlink" Target="https://www.google.com/maps/search/?api=1&amp;query=Cutrico%20Ltd%2C%0AMriehel%20By-pass%2C%20Mriehel%2C%0AMalta" TargetMode="External" Id="rId139" /><Relationship Type="http://schemas.openxmlformats.org/officeDocument/2006/relationships/hyperlink" Target="https://www.google.com/maps/search/?api=1&amp;query=94%20Triq%20wied%20hal-Balzan%2C%20Balzan%2C%20Malta" TargetMode="External" Id="rId140" /><Relationship Type="http://schemas.openxmlformats.org/officeDocument/2006/relationships/hyperlink" Target="https://www.google.com/maps/search/?api=1&amp;query=Aldo%20Moro%20Rd.%2C%20Marsa%2C%20Malta%2C%20MRS9065" TargetMode="External" Id="rId141" /><Relationship Type="http://schemas.openxmlformats.org/officeDocument/2006/relationships/hyperlink" Target="https://www.google.com/maps/search/?api=1&amp;query=28%2C%20Triq%20Borg%2C%20Fleur-De-Lys%2C%20Birkirkara%2C%20BKR%204963" TargetMode="External" Id="rId142" /><Relationship Type="http://schemas.openxmlformats.org/officeDocument/2006/relationships/hyperlink" Target="https://www.google.com/maps/search/?api=1&amp;query=Garage%20V15%20Warehouse%20First%20Floor%2C%20Binja%20San%20Guzepp%20Haddiem%20Triq%20Indri%20Psaila%0AQormi" TargetMode="External" Id="rId143" /><Relationship Type="http://schemas.openxmlformats.org/officeDocument/2006/relationships/hyperlink" Target="https://www.google.com/maps/search/?api=1&amp;query=Geo%20Holistic%20Co.%20Ltd.%0AG1%2C%20Five%20Star%20Business%20Park%2C%0ATriq%20il-Belt%20Valletta%2C%0AGhaxaq" TargetMode="External" Id="rId144" /><Relationship Type="http://schemas.openxmlformats.org/officeDocument/2006/relationships/hyperlink" Target="https://facebook.com/econovamalta/" TargetMode="External" Id="rId145" /><Relationship Type="http://schemas.openxmlformats.org/officeDocument/2006/relationships/hyperlink" Target="https://hvacsupplies.eu/about-us/" TargetMode="External" Id="rId146" /><Relationship Type="http://schemas.openxmlformats.org/officeDocument/2006/relationships/hyperlink" Target="https://cutrico.com/en/home.htm" TargetMode="External" Id="rId147" /><Relationship Type="http://schemas.openxmlformats.org/officeDocument/2006/relationships/hyperlink" Target="https://comfortek.mt" TargetMode="External" Id="rId148" /><Relationship Type="http://schemas.openxmlformats.org/officeDocument/2006/relationships/hyperlink" Target="https://bezzbros.com/" TargetMode="External" Id="rId149" /><Relationship Type="http://schemas.openxmlformats.org/officeDocument/2006/relationships/hyperlink" Target="https://cdinstallations.com.mt/" TargetMode="External" Id="rId150" /><Relationship Type="http://schemas.openxmlformats.org/officeDocument/2006/relationships/hyperlink" Target="https://cooltekservices.com.mt/contact-us/" TargetMode="External" Id="rId151" /><Relationship Type="http://schemas.openxmlformats.org/officeDocument/2006/relationships/hyperlink" Target="https://ceinstallations.com.mt/" TargetMode="External" Id="rId152" /><Relationship Type="http://schemas.openxmlformats.org/officeDocument/2006/relationships/hyperlink" Target="https://proklimamalta.com/" TargetMode="External" Id="rId153" /><Relationship Type="http://schemas.openxmlformats.org/officeDocument/2006/relationships/hyperlink" Target="https://midea.mt/contact/" TargetMode="External" Id="rId154" /><Relationship Type="http://schemas.openxmlformats.org/officeDocument/2006/relationships/hyperlink" Target="https://calleja.com.mt/contact/" TargetMode="External" Id="rId155" /><Relationship Type="http://schemas.openxmlformats.org/officeDocument/2006/relationships/hyperlink" Target="https://geoholistic.com/ventilation.html" TargetMode="External" Id="rId1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MAILTO:info@mrhandy.mt" TargetMode="External" Id="rId157" /><Relationship Type="http://schemas.openxmlformats.org/officeDocument/2006/relationships/hyperlink" Target="MAILTO:info@ewihomeservices.com" TargetMode="External" Id="rId158" /><Relationship Type="http://schemas.openxmlformats.org/officeDocument/2006/relationships/hyperlink" Target="MAILTO:info@wsinstallations.com" TargetMode="External" Id="rId159" /><Relationship Type="http://schemas.openxmlformats.org/officeDocument/2006/relationships/hyperlink" Target="MAILTO:ilenia@actsmart.com.mt" TargetMode="External" Id="rId160" /><Relationship Type="http://schemas.openxmlformats.org/officeDocument/2006/relationships/hyperlink" Target="MAILTO:kevin.bonnici76@gmail.com" TargetMode="External" Id="rId161" /><Relationship Type="http://schemas.openxmlformats.org/officeDocument/2006/relationships/hyperlink" Target="MAILTO:info@homecaremalta.com" TargetMode="External" Id="rId162" /><Relationship Type="http://schemas.openxmlformats.org/officeDocument/2006/relationships/hyperlink" Target="MAILTO:demicolijo@gmail.com" TargetMode="External" Id="rId163" /><Relationship Type="http://schemas.openxmlformats.org/officeDocument/2006/relationships/hyperlink" Target="MAILTO:nikola.pejovic@nlpforce.com" TargetMode="External" Id="rId164" /><Relationship Type="http://schemas.openxmlformats.org/officeDocument/2006/relationships/hyperlink" Target="MAILTO:schembrijoseph91@gmail.com" TargetMode="External" Id="rId165" /><Relationship Type="http://schemas.openxmlformats.org/officeDocument/2006/relationships/hyperlink" Target="MAILTO:abinstallationsbyformosa@gmail.com" TargetMode="External" Id="rId166" /><Relationship Type="http://schemas.openxmlformats.org/officeDocument/2006/relationships/hyperlink" Target="MAILTO:info@briiz.com.mt" TargetMode="External" Id="rId167" /><Relationship Type="http://schemas.openxmlformats.org/officeDocument/2006/relationships/hyperlink" Target="MAILTO:swiftsolution2025@gmail.com" TargetMode="External" Id="rId168" /><Relationship Type="http://schemas.openxmlformats.org/officeDocument/2006/relationships/hyperlink" Target="MAILTO:tyrone.vassallo01@gmail.com" TargetMode="External" Id="rId169" /><Relationship Type="http://schemas.openxmlformats.org/officeDocument/2006/relationships/hyperlink" Target="MAILTO:jason.cordina79@gmail.com" TargetMode="External" Id="rId170" /><Relationship Type="http://schemas.openxmlformats.org/officeDocument/2006/relationships/hyperlink" Target="MAILTO:ZAGinfo@gmail.com" TargetMode="External" Id="rId171" /><Relationship Type="http://schemas.openxmlformats.org/officeDocument/2006/relationships/hyperlink" Target="MAILTO:clivesammut@hotmail.co.uk" TargetMode="External" Id="rId172" /><Relationship Type="http://schemas.openxmlformats.org/officeDocument/2006/relationships/hyperlink" Target="MAILTO:esteliocini@gmail.com" TargetMode="External" Id="rId173" /><Relationship Type="http://schemas.openxmlformats.org/officeDocument/2006/relationships/hyperlink" Target="MAILTO:gfinstallations@gmail.com" TargetMode="External" Id="rId174" /><Relationship Type="http://schemas.openxmlformats.org/officeDocument/2006/relationships/hyperlink" Target="MAILTO:brifor06@hotmail.com" TargetMode="External" Id="rId175" /><Relationship Type="http://schemas.openxmlformats.org/officeDocument/2006/relationships/hyperlink" Target="MAILTO:gino.bonnici.11@gmail.com" TargetMode="External" Id="rId176" /><Relationship Type="http://schemas.openxmlformats.org/officeDocument/2006/relationships/hyperlink" Target="MAILTO:mb.handymanservice@libero.it" TargetMode="External" Id="rId177" /><Relationship Type="http://schemas.openxmlformats.org/officeDocument/2006/relationships/hyperlink" Target="MAILTO:info@emiliohandyman.com" TargetMode="External" Id="rId178" /><Relationship Type="http://schemas.openxmlformats.org/officeDocument/2006/relationships/hyperlink" Target="MAILTO:Manutek@kompleto.com.mt" TargetMode="External" Id="rId179" /><Relationship Type="http://schemas.openxmlformats.org/officeDocument/2006/relationships/hyperlink" Target="MAILTO:pjhandyman@mail.com" TargetMode="External" Id="rId180" /><Relationship Type="http://schemas.openxmlformats.org/officeDocument/2006/relationships/hyperlink" Target="https://www.google.com/maps/search/?api=1&amp;query=682%2C%20Triq%20il-Kbira%20San%20%C4%A0u%C5%BCepp%2C%20%C4%A6amrun%2C%20Malta" TargetMode="External" Id="rId181" /><Relationship Type="http://schemas.openxmlformats.org/officeDocument/2006/relationships/hyperlink" Target="https://www.google.com/maps/search/?api=1&amp;query=Registered%20in%20Malta%20%28Service%20area%3A%20All%20Malta%2C%20no%20public%20storefront%29" TargetMode="External" Id="rId182" /><Relationship Type="http://schemas.openxmlformats.org/officeDocument/2006/relationships/hyperlink" Target="https://www.google.com/maps/search/?api=1&amp;query=Triq%20%C4%8Aensu%20Busuttil%2C%20L-Iklin" TargetMode="External" Id="rId183" /><Relationship Type="http://schemas.openxmlformats.org/officeDocument/2006/relationships/hyperlink" Target="https://www.google.com/maps/search/?api=1&amp;query=58c%2C%20Triq%20Patri%20Feli%C4%8Bjan%20Bilocca%2C%20Marsa" TargetMode="External" Id="rId184" /><Relationship Type="http://schemas.openxmlformats.org/officeDocument/2006/relationships/hyperlink" Target="https://www.google.com/maps/search/?api=1&amp;query=Registered%20in%20Qormi%20%28Mobile%20contractor%2C%20no%20public%20storefront%29" TargetMode="External" Id="rId185" /><Relationship Type="http://schemas.openxmlformats.org/officeDocument/2006/relationships/hyperlink" Target="https://www.google.com/maps/search/?api=1&amp;query=881%2C%20Triq%20il-Kbira%20San%20%C4%A0u%C5%BCepp%2C%20%C4%A6amrun%2C%20HMR%201010" TargetMode="External" Id="rId186" /><Relationship Type="http://schemas.openxmlformats.org/officeDocument/2006/relationships/hyperlink" Target="https://www.google.com/maps/search/?api=1&amp;query=Registered%20in%20Mosta%20%28Mobile%20contractor%2C%20no%20public%20storefront%29" TargetMode="External" Id="rId187" /><Relationship Type="http://schemas.openxmlformats.org/officeDocument/2006/relationships/hyperlink" Target="https://www.google.com/maps/search/?api=1&amp;query=Triq%20%C4%A0u%C5%BCeppi%20Xuereb%20ix-Xhudi%2C%20Swatar%2C%20Birkirkara" TargetMode="External" Id="rId188" /><Relationship Type="http://schemas.openxmlformats.org/officeDocument/2006/relationships/hyperlink" Target="https://www.google.com/maps/search/?api=1&amp;query=Registered%20in%20%C5%BBejtun%20%28Mobile%20contractor%2C%20no%20public%20storefront%29" TargetMode="External" Id="rId189" /><Relationship Type="http://schemas.openxmlformats.org/officeDocument/2006/relationships/hyperlink" Target="https://www.google.com/maps/search/?api=1&amp;query=Registered%20in%20%C5%BBabbar%20%28Mobile%20contractor%2C%20no%20public%20storefront%29" TargetMode="External" Id="rId190" /><Relationship Type="http://schemas.openxmlformats.org/officeDocument/2006/relationships/hyperlink" Target="https://www.google.com/maps/search/?api=1&amp;query=31%2C%20Triq%20il-Merill%2C%20Mellie%C4%A7a%2C%20MLH%202572" TargetMode="External" Id="rId191" /><Relationship Type="http://schemas.openxmlformats.org/officeDocument/2006/relationships/hyperlink" Target="https://www.google.com/maps/search/?api=1&amp;query=682%2C%20Triq%20il-Kbira%20San%20%C4%A0u%C5%BCepp%2C%20%C4%A6amrun%2C%20Malta" TargetMode="External" Id="rId192" /><Relationship Type="http://schemas.openxmlformats.org/officeDocument/2006/relationships/hyperlink" Target="https://www.google.com/maps/search/?api=1&amp;query=Registered%20in%20Mosta%20%28Service%20area%3A%20All%20Malta%2C%20no%20public%20storefront%29" TargetMode="External" Id="rId193" /><Relationship Type="http://schemas.openxmlformats.org/officeDocument/2006/relationships/hyperlink" Target="https://www.google.com/maps/search/?api=1&amp;query=Registered%20in%20Qormi%20%28Mobile%20contractor%2C%20no%20public%20storefront%29" TargetMode="External" Id="rId194" /><Relationship Type="http://schemas.openxmlformats.org/officeDocument/2006/relationships/hyperlink" Target="https://www.google.com/maps/search/?api=1&amp;query=176%2C%20Triq%20San%20Bastjan%2C%20Qormi" TargetMode="External" Id="rId195" /><Relationship Type="http://schemas.openxmlformats.org/officeDocument/2006/relationships/hyperlink" Target="https://www.google.com/maps/search/?api=1&amp;query=373%2C%20St%20Joseph%20High%20Street%2C%20Mosta" TargetMode="External" Id="rId196" /><Relationship Type="http://schemas.openxmlformats.org/officeDocument/2006/relationships/hyperlink" Target="https://www.google.com/maps/search/?api=1&amp;query=45%2C%20Indri%20Borg%20Street%2C%20Rabat" TargetMode="External" Id="rId197" /><Relationship Type="http://schemas.openxmlformats.org/officeDocument/2006/relationships/hyperlink" Target="https://www.google.com/maps/search/?api=1&amp;query=152%2C%20St.%20Peter%20Paul%2C%20Triq%20il-Kbira%2C%20Qormi" TargetMode="External" Id="rId198" /><Relationship Type="http://schemas.openxmlformats.org/officeDocument/2006/relationships/hyperlink" Target="https://www.google.com/maps/search/?api=1&amp;query=Garage%2064%2C%20Triq%20is-Sajjied%2C%20Qawra%2C%20San%20Pawl%20il-Ba%C4%A7ar" TargetMode="External" Id="rId199" /><Relationship Type="http://schemas.openxmlformats.org/officeDocument/2006/relationships/hyperlink" Target="https://www.google.com/maps/search/?api=1&amp;query=Registered%20in%20Tarxien%20%28Mobile%20contractor%2C%20no%20public%20storefront%29" TargetMode="External" Id="rId200" /><Relationship Type="http://schemas.openxmlformats.org/officeDocument/2006/relationships/hyperlink" Target="https://www.google.com/maps/search/?api=1&amp;query=Registered%20in%20%C5%BBejtun%20%28Mobile%20contractor%2C%20no%20public%20storefront%29" TargetMode="External" Id="rId201" /><Relationship Type="http://schemas.openxmlformats.org/officeDocument/2006/relationships/hyperlink" Target="https://www.google.com/maps/search/?api=1&amp;query=Registered%20in%20Bu%C4%A1ibba%20%2F%20St.%20Paul%27s%20Bay%20%28Mobile%20contractor%2C%20no%20public%20storefront%29" TargetMode="External" Id="rId202" /><Relationship Type="http://schemas.openxmlformats.org/officeDocument/2006/relationships/hyperlink" Target="https://www.google.com/maps/search/?api=1&amp;query=17%20Madonnina%2C%20Triq%20il-Pluvieri%2C%20Gudja%20%28Also%20lists%3A%20Milicent%20Garage%2C%20Triq%20il-Mag%C4%A7sar%2C%20Gudja%29" TargetMode="External" Id="rId203" /><Relationship Type="http://schemas.openxmlformats.org/officeDocument/2006/relationships/hyperlink" Target="https://www.google.com/maps/search/?api=1&amp;query=GPL%20Business%20Centre%2C%20Office%201%2C%20Level%202%2C%20Sqaq%20il-Ghadam%2C%20Mriehel%2C%20BKR3000" TargetMode="External" Id="rId204" /><Relationship Type="http://schemas.openxmlformats.org/officeDocument/2006/relationships/hyperlink" Target="https://www.google.com/maps/search/?api=1&amp;query=Registered%20in%20Qormi%20%28Mobile%20contractor%2C%20no%20public%20storefront%29" TargetMode="External" Id="rId205" /><Relationship Type="http://schemas.openxmlformats.org/officeDocument/2006/relationships/hyperlink" Target="https://briiz.com.mt/handyman" TargetMode="External" Id="rId206" /><Relationship Type="http://schemas.openxmlformats.org/officeDocument/2006/relationships/hyperlink" Target="https://ewihomeservices.com" TargetMode="External" Id="rId207" /><Relationship Type="http://schemas.openxmlformats.org/officeDocument/2006/relationships/hyperlink" Target="https://wsinstallationsmalta.com/" TargetMode="External" Id="rId208" /><Relationship Type="http://schemas.openxmlformats.org/officeDocument/2006/relationships/hyperlink" Target="https://homecaremalta.com" TargetMode="External" Id="rId209" /><Relationship Type="http://schemas.openxmlformats.org/officeDocument/2006/relationships/hyperlink" Target="https://nlpforce.com" TargetMode="External" Id="rId210" /><Relationship Type="http://schemas.openxmlformats.org/officeDocument/2006/relationships/hyperlink" Target="https://marcovella.com" TargetMode="External" Id="rId211" /><Relationship Type="http://schemas.openxmlformats.org/officeDocument/2006/relationships/hyperlink" Target="https://briiz.com.mt/handyman" TargetMode="External" Id="rId212" /><Relationship Type="http://schemas.openxmlformats.org/officeDocument/2006/relationships/hyperlink" Target="https://gfonlinestore.com" TargetMode="External" Id="rId213" /><Relationship Type="http://schemas.openxmlformats.org/officeDocument/2006/relationships/hyperlink" Target="https://emiliohandyman.com" TargetMode="External" Id="rId214" /><Relationship Type="http://schemas.openxmlformats.org/officeDocument/2006/relationships/hyperlink" Target="https://kompleto.com.mt" TargetMode="External" Id="rId2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MAILTO:aaronagius82@gmail.com" TargetMode="External" Id="rId216" /><Relationship Type="http://schemas.openxmlformats.org/officeDocument/2006/relationships/hyperlink" Target="MAILTO:danastasi.rt@outlook.com" TargetMode="External" Id="rId217" /><Relationship Type="http://schemas.openxmlformats.org/officeDocument/2006/relationships/hyperlink" Target="MAILTO:tyrone.vassallo01@gmail.com" TargetMode="External" Id="rId218" /><Relationship Type="http://schemas.openxmlformats.org/officeDocument/2006/relationships/hyperlink" Target="MAILTO:salvufenech@gmail.com" TargetMode="External" Id="rId219" /><Relationship Type="http://schemas.openxmlformats.org/officeDocument/2006/relationships/hyperlink" Target="MAILTO:jcelectricalmalta@gmail.com" TargetMode="External" Id="rId220" /><Relationship Type="http://schemas.openxmlformats.org/officeDocument/2006/relationships/hyperlink" Target="https://www.google.com/maps/search/?api=1&amp;query=Id-Dwejra%2C%20Triq%20il-Fidwa%2C%20Gudja%2C%20Malta" TargetMode="External" Id="rId221" /><Relationship Type="http://schemas.openxmlformats.org/officeDocument/2006/relationships/hyperlink" Target="https://www.google.com/maps/search/?api=1&amp;query=32%20Virgo%2C%20Triq%20il-Battaljun%2C%20Mosta%2C%20MST%202721%2C%20Malta" TargetMode="External" Id="rId222" /><Relationship Type="http://schemas.openxmlformats.org/officeDocument/2006/relationships/hyperlink" Target="https://www.google.com/maps/search/?api=1&amp;query=Cawsli%20Court%2C%20Flt%204%2C%20Triq%20L-Imdina%2C%20%C4%A6al%20Qormi%2C%20Malta" TargetMode="External" Id="rId223" /><Relationship Type="http://schemas.openxmlformats.org/officeDocument/2006/relationships/hyperlink" Target="https://www.google.com/maps/search/?api=1&amp;query=Registered%20in%20Qormi%20%28Mobile%20contractor%2C%20no%20public%20street%20address%20listed%29" TargetMode="External" Id="rId224" /><Relationship Type="http://schemas.openxmlformats.org/officeDocument/2006/relationships/hyperlink" Target="https://www.google.com/maps/search/?api=1&amp;query=Registered%20in%20Malta%20%28Mobile%20contractor%2C%20no%20public%20street%20address%20listed%29" TargetMode="External" Id="rId225" /><Relationship Type="http://schemas.openxmlformats.org/officeDocument/2006/relationships/hyperlink" Target="https://www.google.com/maps/search/?api=1&amp;query=Blk%20C6%20Flat%202%2C%20Triq%20il-Fraxxnu%2C%20%C4%A6a%C5%BC-%C5%BBebbu%C4%A1%2C%20Malta" TargetMode="External" Id="rId226" /><Relationship Type="http://schemas.openxmlformats.org/officeDocument/2006/relationships/hyperlink" Target="https://www.google.com/maps/search/?api=1&amp;query=Registered%20in%20Bir%C5%BCebbu%C4%A1a%2C%20BBG%201606%2C%20Malta%20%28Mobile%20contractor%29" TargetMode="External" Id="rId227" /><Relationship Type="http://schemas.openxmlformats.org/officeDocument/2006/relationships/hyperlink" Target="https://www.google.com/maps/search/?api=1&amp;query=Registered%20in%20Central%20Malta%20%28Mobile%20domestic%20electrician%29" TargetMode="External" Id="rId228" /><Relationship Type="http://schemas.openxmlformats.org/officeDocument/2006/relationships/hyperlink" Target="https://www.google.com/maps/search/?api=1&amp;query=92%20Triq%20Blanche%20Huber%2C%20Sliema%2C%20Malta" TargetMode="External" Id="rId229" /><Relationship Type="http://schemas.openxmlformats.org/officeDocument/2006/relationships/hyperlink" Target="https://www.google.com/maps/search/?api=1&amp;query=39%20Siskina%2C%20Triq%20Raddet%20Ir-Roti%2C%20Mosta%2C%20Malta" TargetMode="External" Id="rId230" /><Relationship Type="http://schemas.openxmlformats.org/officeDocument/2006/relationships/hyperlink" Target="https://www.google.com/maps/search/?api=1&amp;query=Registered%20in%20Marsaxlokk%20%28Mobile%20domestic%20electrician%29" TargetMode="External" Id="rId231" /><Relationship Type="http://schemas.openxmlformats.org/officeDocument/2006/relationships/hyperlink" Target="https://www.google.com/maps/search/?api=1&amp;query=Registered%20in%20Qormi%20%28Mobile%20contractor%29" TargetMode="External" Id="rId232" /><Relationship Type="http://schemas.openxmlformats.org/officeDocument/2006/relationships/hyperlink" Target="https://www.google.com/maps/search/?api=1&amp;query=Registered%20in%20Naxxar%20%28Mobile%20contractor%29" TargetMode="External" Id="rId2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MAILTO:info@domestica.com.mt" TargetMode="External" Id="rId234" /><Relationship Type="http://schemas.openxmlformats.org/officeDocument/2006/relationships/hyperlink" Target="MAILTO:fran@fvcarpentry.com" TargetMode="External" Id="rId235" /><Relationship Type="http://schemas.openxmlformats.org/officeDocument/2006/relationships/hyperlink" Target="MAILTO:info@refalowoodworksltd.com" TargetMode="External" Id="rId236" /><Relationship Type="http://schemas.openxmlformats.org/officeDocument/2006/relationships/hyperlink" Target="MAILTO:pdgl1969@gmail.com" TargetMode="External" Id="rId237" /><Relationship Type="http://schemas.openxmlformats.org/officeDocument/2006/relationships/hyperlink" Target="MAILTO:info@bpwoodworks.com" TargetMode="External" Id="rId238" /><Relationship Type="http://schemas.openxmlformats.org/officeDocument/2006/relationships/hyperlink" Target="MAILTO:info@armstrong.com.mt" TargetMode="External" Id="rId239" /><Relationship Type="http://schemas.openxmlformats.org/officeDocument/2006/relationships/hyperlink" Target="MAILTO:sales@shalomwoodworks.com" TargetMode="External" Id="rId240" /><Relationship Type="http://schemas.openxmlformats.org/officeDocument/2006/relationships/hyperlink" Target="MAILTO:joseph.briffa.woodworks@hotmail.com" TargetMode="External" Id="rId241" /><Relationship Type="http://schemas.openxmlformats.org/officeDocument/2006/relationships/hyperlink" Target="MAILTO:joseph.taekwondo@gmail.com" TargetMode="External" Id="rId242" /><Relationship Type="http://schemas.openxmlformats.org/officeDocument/2006/relationships/hyperlink" Target="MAILTO:info@baldacchinogroup.com" TargetMode="External" Id="rId243" /><Relationship Type="http://schemas.openxmlformats.org/officeDocument/2006/relationships/hyperlink" Target="https://domestica.com.mt" TargetMode="External" Id="rId244" /><Relationship Type="http://schemas.openxmlformats.org/officeDocument/2006/relationships/hyperlink" Target="https://fvcarpentry.com" TargetMode="External" Id="rId245" /><Relationship Type="http://schemas.openxmlformats.org/officeDocument/2006/relationships/hyperlink" Target="https://refalowoodworks.com" TargetMode="External" Id="rId246" /><Relationship Type="http://schemas.openxmlformats.org/officeDocument/2006/relationships/hyperlink" Target="https://findit.com.mt/en/directory/listings/3682/gauci-woodworks.htm" TargetMode="External" Id="rId247" /><Relationship Type="http://schemas.openxmlformats.org/officeDocument/2006/relationships/hyperlink" Target="https://bpwoodworks.com" TargetMode="External" Id="rId248" /><Relationship Type="http://schemas.openxmlformats.org/officeDocument/2006/relationships/hyperlink" Target="https://armstrong.com.mt" TargetMode="External" Id="rId249" /><Relationship Type="http://schemas.openxmlformats.org/officeDocument/2006/relationships/hyperlink" Target="https://shalomwoodworks.com" TargetMode="External" Id="rId250" /><Relationship Type="http://schemas.openxmlformats.org/officeDocument/2006/relationships/hyperlink" Target="https://baldacchinogroup.com/left-menu/woodworks.html" TargetMode="External" Id="rId2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MAILTO:info@aacarimports.com.mt" TargetMode="External" Id="rId252" /><Relationship Type="http://schemas.openxmlformats.org/officeDocument/2006/relationships/hyperlink" Target="MAILTO:dowlinga@go.net.mt" TargetMode="External" Id="rId253" /><Relationship Type="http://schemas.openxmlformats.org/officeDocument/2006/relationships/hyperlink" Target="MAILTO:abs@onvol.net" TargetMode="External" Id="rId254" /><Relationship Type="http://schemas.openxmlformats.org/officeDocument/2006/relationships/hyperlink" Target="MAILTO:ajmotorsales@gmail.com" TargetMode="External" Id="rId255" /><Relationship Type="http://schemas.openxmlformats.org/officeDocument/2006/relationships/hyperlink" Target="MAILTO:info@alanmotors.com.mt" TargetMode="External" Id="rId256" /><Relationship Type="http://schemas.openxmlformats.org/officeDocument/2006/relationships/hyperlink" Target="MAILTO:attardautodealer@gmail.com" TargetMode="External" Id="rId257" /><Relationship Type="http://schemas.openxmlformats.org/officeDocument/2006/relationships/hyperlink" Target="MAILTO:taattardmotors@gmail.com" TargetMode="External" Id="rId258" /><Relationship Type="http://schemas.openxmlformats.org/officeDocument/2006/relationships/hyperlink" Target="MAILTO:autozoneautodealer@gmail.com" TargetMode="External" Id="rId259" /><Relationship Type="http://schemas.openxmlformats.org/officeDocument/2006/relationships/hyperlink" Target="MAILTO:info@aviscarsales.mt" TargetMode="External" Id="rId260" /><Relationship Type="http://schemas.openxmlformats.org/officeDocument/2006/relationships/hyperlink" Target="MAILTO:info@brincatautoimports.com" TargetMode="External" Id="rId261" /><Relationship Type="http://schemas.openxmlformats.org/officeDocument/2006/relationships/hyperlink" Target="MAILTO:btlautodealer@gmail.com" TargetMode="External" Id="rId262" /><Relationship Type="http://schemas.openxmlformats.org/officeDocument/2006/relationships/hyperlink" Target="MAILTO:canadisautodealer@gmail.com" TargetMode="External" Id="rId263" /><Relationship Type="http://schemas.openxmlformats.org/officeDocument/2006/relationships/hyperlink" Target="MAILTO:info@carhub.mt" TargetMode="External" Id="rId264" /><Relationship Type="http://schemas.openxmlformats.org/officeDocument/2006/relationships/hyperlink" Target="MAILTO:info@cam.com.mt" TargetMode="External" Id="rId265" /><Relationship Type="http://schemas.openxmlformats.org/officeDocument/2006/relationships/hyperlink" Target="MAILTO:info@carsunlimitedmalta.com" TargetMode="External" Id="rId266" /><Relationship Type="http://schemas.openxmlformats.org/officeDocument/2006/relationships/hyperlink" Target="MAILTO:sales@chevronautodealer.mt" TargetMode="External" Id="rId267" /><Relationship Type="http://schemas.openxmlformats.org/officeDocument/2006/relationships/hyperlink" Target="MAILTO:sales@fordsparesmalta.com" TargetMode="External" Id="rId268" /><Relationship Type="http://schemas.openxmlformats.org/officeDocument/2006/relationships/hyperlink" Target="MAILTO:dandsautodealer@hotmail.com" TargetMode="External" Id="rId269" /><Relationship Type="http://schemas.openxmlformats.org/officeDocument/2006/relationships/hyperlink" Target="MAILTO:dcmotorsbkara@gmail.com" TargetMode="External" Id="rId270" /><Relationship Type="http://schemas.openxmlformats.org/officeDocument/2006/relationships/hyperlink" Target="MAILTO:dinosreception@gmail.com" TargetMode="External" Id="rId271" /><Relationship Type="http://schemas.openxmlformats.org/officeDocument/2006/relationships/hyperlink" Target="MAILTO:info@drive.com.mt" TargetMode="External" Id="rId272" /><Relationship Type="http://schemas.openxmlformats.org/officeDocument/2006/relationships/hyperlink" Target="MAILTO:philmar87@hotmail.co.uk" TargetMode="External" Id="rId273" /><Relationship Type="http://schemas.openxmlformats.org/officeDocument/2006/relationships/hyperlink" Target="MAILTO:sales@emotionimports.com" TargetMode="External" Id="rId274" /><Relationship Type="http://schemas.openxmlformats.org/officeDocument/2006/relationships/hyperlink" Target="MAILTO:info@emauto.com.mt" TargetMode="External" Id="rId275" /><Relationship Type="http://schemas.openxmlformats.org/officeDocument/2006/relationships/hyperlink" Target="MAILTO:clivefava@gmail.com" TargetMode="External" Id="rId276" /><Relationship Type="http://schemas.openxmlformats.org/officeDocument/2006/relationships/hyperlink" Target="MAILTO:info@ggs.com.mt" TargetMode="External" Id="rId277" /><Relationship Type="http://schemas.openxmlformats.org/officeDocument/2006/relationships/hyperlink" Target="MAILTO:automotive@gasan.com" TargetMode="External" Id="rId278" /><Relationship Type="http://schemas.openxmlformats.org/officeDocument/2006/relationships/hyperlink" Target="MAILTO:sales@gauciautomobiles.com" TargetMode="External" Id="rId279" /><Relationship Type="http://schemas.openxmlformats.org/officeDocument/2006/relationships/hyperlink" Target="MAILTO:rocco@georgeandrocco.com" TargetMode="External" Id="rId280" /><Relationship Type="http://schemas.openxmlformats.org/officeDocument/2006/relationships/hyperlink" Target="MAILTO:georgeautodealer95@gmail.com" TargetMode="External" Id="rId281" /><Relationship Type="http://schemas.openxmlformats.org/officeDocument/2006/relationships/hyperlink" Target="MAILTO:highwayauto@onvol.net" TargetMode="External" Id="rId282" /><Relationship Type="http://schemas.openxmlformats.org/officeDocument/2006/relationships/hyperlink" Target="MAILTO:craigscicluna@gmail.com" TargetMode="External" Id="rId283" /><Relationship Type="http://schemas.openxmlformats.org/officeDocument/2006/relationships/hyperlink" Target="MAILTO:jautoimports@gmail.com" TargetMode="External" Id="rId284" /><Relationship Type="http://schemas.openxmlformats.org/officeDocument/2006/relationships/hyperlink" Target="MAILTO:jeanpazzopardi@gmail.com" TargetMode="External" Id="rId285" /><Relationship Type="http://schemas.openxmlformats.org/officeDocument/2006/relationships/hyperlink" Target="MAILTO:jfmotorsgozo@gmail.com" TargetMode="External" Id="rId286" /><Relationship Type="http://schemas.openxmlformats.org/officeDocument/2006/relationships/hyperlink" Target="MAILTO:info@jmmotorsmalta.com" TargetMode="External" Id="rId287" /><Relationship Type="http://schemas.openxmlformats.org/officeDocument/2006/relationships/hyperlink" Target="MAILTO:sales@jasoncarimports.com" TargetMode="External" Id="rId288" /><Relationship Type="http://schemas.openxmlformats.org/officeDocument/2006/relationships/hyperlink" Target="MAILTO:info@joeautodealer.com" TargetMode="External" Id="rId289" /><Relationship Type="http://schemas.openxmlformats.org/officeDocument/2006/relationships/hyperlink" Target="MAILTO:justinauto@hotmail.com" TargetMode="External" Id="rId290" /><Relationship Type="http://schemas.openxmlformats.org/officeDocument/2006/relationships/hyperlink" Target="MAILTO:kennethsch3mbri@gmail.com" TargetMode="External" Id="rId291" /><Relationship Type="http://schemas.openxmlformats.org/officeDocument/2006/relationships/hyperlink" Target="MAILTO:info@autosales.com.mt" TargetMode="External" Id="rId292" /><Relationship Type="http://schemas.openxmlformats.org/officeDocument/2006/relationships/hyperlink" Target="MAILTO:kurtsautosales@hotmail.com" TargetMode="External" Id="rId293" /><Relationship Type="http://schemas.openxmlformats.org/officeDocument/2006/relationships/hyperlink" Target="MAILTO:falzonluca@gmail.com" TargetMode="External" Id="rId294" /><Relationship Type="http://schemas.openxmlformats.org/officeDocument/2006/relationships/hyperlink" Target="MAILTO:mariogalea@msn.com" TargetMode="External" Id="rId295" /><Relationship Type="http://schemas.openxmlformats.org/officeDocument/2006/relationships/hyperlink" Target="MAILTO:info@michaeldebonoused.mt" TargetMode="External" Id="rId296" /><Relationship Type="http://schemas.openxmlformats.org/officeDocument/2006/relationships/hyperlink" Target="MAILTO:pajsurebus74@gimel.com" TargetMode="External" Id="rId297" /><Relationship Type="http://schemas.openxmlformats.org/officeDocument/2006/relationships/hyperlink" Target="MAILTO:gattsammy@yahoo.com" TargetMode="External" Id="rId298" /><Relationship Type="http://schemas.openxmlformats.org/officeDocument/2006/relationships/hyperlink" Target="MAILTO:rokkuautodealer@gmail.com" TargetMode="External" Id="rId299" /><Relationship Type="http://schemas.openxmlformats.org/officeDocument/2006/relationships/hyperlink" Target="MAILTO:venturmotors@gmail.com" TargetMode="External" Id="rId300" /><Relationship Type="http://schemas.openxmlformats.org/officeDocument/2006/relationships/hyperlink" Target="MAILTO:xautomobiles@gmail.com" TargetMode="External" Id="rId301" /><Relationship Type="http://schemas.openxmlformats.org/officeDocument/2006/relationships/hyperlink" Target="https://www.google.com/maps/search/?api=1&amp;query=Dino%27s%20Motor%20Centre%2C%0AMosta%20Road%2C%20Lija.%20LJA9012." TargetMode="External" Id="rId302" /><Relationship Type="http://schemas.openxmlformats.org/officeDocument/2006/relationships/hyperlink" Target="https://aacarimports.com.mt/" TargetMode="External" Id="rId303" /><Relationship Type="http://schemas.openxmlformats.org/officeDocument/2006/relationships/hyperlink" Target="https://yellow.com.mt/a-1-auto-dealers_auto-dealers+mosta/" TargetMode="External" Id="rId304" /><Relationship Type="http://schemas.openxmlformats.org/officeDocument/2006/relationships/hyperlink" Target="https://facebook.com/p/ABS-Auto-Dealer-100057348224337/" TargetMode="External" Id="rId305" /><Relationship Type="http://schemas.openxmlformats.org/officeDocument/2006/relationships/hyperlink" Target="https://yellow.com.mt/aj-motors/auto-dealers/" TargetMode="External" Id="rId306" /><Relationship Type="http://schemas.openxmlformats.org/officeDocument/2006/relationships/hyperlink" Target="https://alanmotors.com.mt/" TargetMode="External" Id="rId307" /><Relationship Type="http://schemas.openxmlformats.org/officeDocument/2006/relationships/hyperlink" Target="https://facebook.com/p/Attard-Auto-Dealer-100057253586326/" TargetMode="External" Id="rId308" /><Relationship Type="http://schemas.openxmlformats.org/officeDocument/2006/relationships/hyperlink" Target="https://facebook.com/attardsmotors/" TargetMode="External" Id="rId309" /><Relationship Type="http://schemas.openxmlformats.org/officeDocument/2006/relationships/hyperlink" Target="https://facebook.com/autogamaimports/" TargetMode="External" Id="rId310" /><Relationship Type="http://schemas.openxmlformats.org/officeDocument/2006/relationships/hyperlink" Target="https://facebook.com/autozonemalta/" TargetMode="External" Id="rId311" /><Relationship Type="http://schemas.openxmlformats.org/officeDocument/2006/relationships/hyperlink" Target="https://facebook.com/AvisMaltaUsedCarSales/" TargetMode="External" Id="rId312" /><Relationship Type="http://schemas.openxmlformats.org/officeDocument/2006/relationships/hyperlink" Target="https://brincatautoimports.com/" TargetMode="External" Id="rId313" /><Relationship Type="http://schemas.openxmlformats.org/officeDocument/2006/relationships/hyperlink" Target="https://facebook.com/Btlautodeater/" TargetMode="External" Id="rId314" /><Relationship Type="http://schemas.openxmlformats.org/officeDocument/2006/relationships/hyperlink" Target="https://facebook.com/p/Canadis-Auto-Dealer-100063715533716/" TargetMode="External" Id="rId315" /><Relationship Type="http://schemas.openxmlformats.org/officeDocument/2006/relationships/hyperlink" Target="https://facebook.com/carhubmalta/" TargetMode="External" Id="rId316" /><Relationship Type="http://schemas.openxmlformats.org/officeDocument/2006/relationships/hyperlink" Target="https://facebook.com/Caromotors/" TargetMode="External" Id="rId317" /><Relationship Type="http://schemas.openxmlformats.org/officeDocument/2006/relationships/hyperlink" Target="https://facebook.com/carsandmoremalta" TargetMode="External" Id="rId318" /><Relationship Type="http://schemas.openxmlformats.org/officeDocument/2006/relationships/hyperlink" Target="https://carsunlimitedmalta.com/" TargetMode="External" Id="rId319" /><Relationship Type="http://schemas.openxmlformats.org/officeDocument/2006/relationships/hyperlink" Target="https://facebook.com/p/Charlie-Auto-Dealer-100054340519565/" TargetMode="External" Id="rId320" /><Relationship Type="http://schemas.openxmlformats.org/officeDocument/2006/relationships/hyperlink" Target="https://facebook.com/ChevronCarsAndmore/" TargetMode="External" Id="rId321" /><Relationship Type="http://schemas.openxmlformats.org/officeDocument/2006/relationships/hyperlink" Target="https://facebook.com/crcarsmalta/" TargetMode="External" Id="rId322" /><Relationship Type="http://schemas.openxmlformats.org/officeDocument/2006/relationships/hyperlink" Target="https://facebook.com/dandsautodealer/" TargetMode="External" Id="rId323" /><Relationship Type="http://schemas.openxmlformats.org/officeDocument/2006/relationships/hyperlink" Target="https://facebook.com/p/DC-motors-Auto-Sales-100057442128124/" TargetMode="External" Id="rId324" /><Relationship Type="http://schemas.openxmlformats.org/officeDocument/2006/relationships/hyperlink" Target="https://dinosmotors.com/contact-form/" TargetMode="External" Id="rId325" /><Relationship Type="http://schemas.openxmlformats.org/officeDocument/2006/relationships/hyperlink" Target="https://facebook.com/DriveAutomotiveCoLtd/" TargetMode="External" Id="rId326" /><Relationship Type="http://schemas.openxmlformats.org/officeDocument/2006/relationships/hyperlink" Target="https://facebook.com/p/DRM-Autosales-100054512857141/" TargetMode="External" Id="rId327" /><Relationship Type="http://schemas.openxmlformats.org/officeDocument/2006/relationships/hyperlink" Target="https://facebook.com/EmotionImports/" TargetMode="External" Id="rId328" /><Relationship Type="http://schemas.openxmlformats.org/officeDocument/2006/relationships/hyperlink" Target="https://facebook.com/emautoltd/" TargetMode="External" Id="rId329" /><Relationship Type="http://schemas.openxmlformats.org/officeDocument/2006/relationships/hyperlink" Target="https://facebook.com/favacardealers/" TargetMode="External" Id="rId330" /><Relationship Type="http://schemas.openxmlformats.org/officeDocument/2006/relationships/hyperlink" Target="https://facebook.com/GaleaGeneralServicesLtd/" TargetMode="External" Id="rId331" /><Relationship Type="http://schemas.openxmlformats.org/officeDocument/2006/relationships/hyperlink" Target="https://facebook.com/georgeandroccocarcentre/?locale=mt_MT" TargetMode="External" Id="rId332" /><Relationship Type="http://schemas.openxmlformats.org/officeDocument/2006/relationships/hyperlink" Target="https://jasoncarimports.com/" TargetMode="External" Id="rId333" /><Relationship Type="http://schemas.openxmlformats.org/officeDocument/2006/relationships/hyperlink" Target="https://joeautodealer.com/" TargetMode="External" Id="rId334" /><Relationship Type="http://schemas.openxmlformats.org/officeDocument/2006/relationships/hyperlink" Target="https://autosales.com.mt/" TargetMode="External" Id="rId335" /><Relationship Type="http://schemas.openxmlformats.org/officeDocument/2006/relationships/hyperlink" Target="https://facebook.com/p/Mario-Galea-New-Second-Hand-Cars-100050330211879/" TargetMode="External" Id="rId336" /><Relationship Type="http://schemas.openxmlformats.org/officeDocument/2006/relationships/hyperlink" Target="https://michaeldebonoused.mt/" TargetMode="External" Id="rId337" /><Relationship Type="http://schemas.openxmlformats.org/officeDocument/2006/relationships/hyperlink" Target="https://facebook.com/www.pajsudealer.com.mt/" TargetMode="External" Id="rId338" /><Relationship Type="http://schemas.openxmlformats.org/officeDocument/2006/relationships/hyperlink" Target="https://facebook.com/PremiereCarSales/" TargetMode="External" Id="rId339" /><Relationship Type="http://schemas.openxmlformats.org/officeDocument/2006/relationships/hyperlink" Target="https://facebook.com/rokkuautodealer/" TargetMode="External" Id="rId340" /><Relationship Type="http://schemas.openxmlformats.org/officeDocument/2006/relationships/hyperlink" Target="https://venturmotors.mt/" TargetMode="External" Id="rId341" /><Relationship Type="http://schemas.openxmlformats.org/officeDocument/2006/relationships/hyperlink" Target="https://facebook.com/xauto007/" TargetMode="External" Id="rId3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MAILTO:arkeomalta@gmail.com" TargetMode="External" Id="rId343" /><Relationship Type="http://schemas.openxmlformats.org/officeDocument/2006/relationships/hyperlink" Target="MAILTO:jeremy@jbarchteam.com" TargetMode="External" Id="rId344" /><Relationship Type="http://schemas.openxmlformats.org/officeDocument/2006/relationships/hyperlink" Target="MAILTO:samuelabossini@gmail.com" TargetMode="External" Id="rId345" /><Relationship Type="http://schemas.openxmlformats.org/officeDocument/2006/relationships/hyperlink" Target="MAILTO:ascoopltdmalta@gmail.com" TargetMode="External" Id="rId346" /><Relationship Type="http://schemas.openxmlformats.org/officeDocument/2006/relationships/hyperlink" Target="MAILTO:ascoopltdmalta@gmail.com" TargetMode="External" Id="rId347" /><Relationship Type="http://schemas.openxmlformats.org/officeDocument/2006/relationships/hyperlink" Target="MAILTO:chrisbu.su@gmail.com" TargetMode="External" Id="rId348" /><Relationship Type="http://schemas.openxmlformats.org/officeDocument/2006/relationships/hyperlink" Target="MAILTO:karloco621@gmail.com" TargetMode="External" Id="rId349" /><Relationship Type="http://schemas.openxmlformats.org/officeDocument/2006/relationships/hyperlink" Target="MAILTO:ascoopltdmalta@gmail.com" TargetMode="External" Id="rId350" /><Relationship Type="http://schemas.openxmlformats.org/officeDocument/2006/relationships/hyperlink" Target="MAILTO:skavarc@digiarc.mt" TargetMode="External" Id="rId351" /><Relationship Type="http://schemas.openxmlformats.org/officeDocument/2006/relationships/hyperlink" Target="MAILTO:josefcaruana1@googlemail.com" TargetMode="External" Id="rId352" /><Relationship Type="http://schemas.openxmlformats.org/officeDocument/2006/relationships/hyperlink" Target="MAILTO:projects@aecmalta.com.mt" TargetMode="External" Id="rId353" /><Relationship Type="http://schemas.openxmlformats.org/officeDocument/2006/relationships/hyperlink" Target="MAILTO:rossano.cherubini@qpml.com" TargetMode="External" Id="rId354" /><Relationship Type="http://schemas.openxmlformats.org/officeDocument/2006/relationships/hyperlink" Target="MAILTO:vincenzo.cherubini@ais.com.mt" TargetMode="External" Id="rId355" /><Relationship Type="http://schemas.openxmlformats.org/officeDocument/2006/relationships/hyperlink" Target="MAILTO:luisana_damato@yahoo.co.uk" TargetMode="External" Id="rId356" /><Relationship Type="http://schemas.openxmlformats.org/officeDocument/2006/relationships/hyperlink" Target="MAILTO:farrugia.glenn@gmail.com" TargetMode="External" Id="rId357" /><Relationship Type="http://schemas.openxmlformats.org/officeDocument/2006/relationships/hyperlink" Target="MAILTO:skavarc@digiarc.mt" TargetMode="External" Id="rId358" /><Relationship Type="http://schemas.openxmlformats.org/officeDocument/2006/relationships/hyperlink" Target="MAILTO:joseph.grima.19@gmail.com" TargetMode="External" Id="rId359" /><Relationship Type="http://schemas.openxmlformats.org/officeDocument/2006/relationships/hyperlink" Target="MAILTO:karl@jbarchteam.com" TargetMode="External" Id="rId360" /><Relationship Type="http://schemas.openxmlformats.org/officeDocument/2006/relationships/hyperlink" Target="MAILTO:jerkinerak@gmail.com" TargetMode="External" Id="rId361" /><Relationship Type="http://schemas.openxmlformats.org/officeDocument/2006/relationships/hyperlink" Target="MAILTO:info@jbarchteam.com" TargetMode="External" Id="rId362" /><Relationship Type="http://schemas.openxmlformats.org/officeDocument/2006/relationships/hyperlink" Target="MAILTO:tamsin.kingswell@qpml.com" TargetMode="External" Id="rId363" /><Relationship Type="http://schemas.openxmlformats.org/officeDocument/2006/relationships/hyperlink" Target="MAILTO:info@jbarchteam.com" TargetMode="External" Id="rId364" /><Relationship Type="http://schemas.openxmlformats.org/officeDocument/2006/relationships/hyperlink" Target="MAILTO:nickybb777@gmail.com" TargetMode="External" Id="rId365" /><Relationship Type="http://schemas.openxmlformats.org/officeDocument/2006/relationships/hyperlink" Target="MAILTO:chrimint@gmail.com" TargetMode="External" Id="rId366" /><Relationship Type="http://schemas.openxmlformats.org/officeDocument/2006/relationships/hyperlink" Target="MAILTO:info@jbarchteam.com" TargetMode="External" Id="rId367" /><Relationship Type="http://schemas.openxmlformats.org/officeDocument/2006/relationships/hyperlink" Target="MAILTO:iona.muscat@hotmail.com" TargetMode="External" Id="rId368" /><Relationship Type="http://schemas.openxmlformats.org/officeDocument/2006/relationships/hyperlink" Target="MAILTO:kim.muscat@gmail.com" TargetMode="External" Id="rId369" /><Relationship Type="http://schemas.openxmlformats.org/officeDocument/2006/relationships/hyperlink" Target="MAILTO:ascoopltdmalta@gmail.com" TargetMode="External" Id="rId370" /><Relationship Type="http://schemas.openxmlformats.org/officeDocument/2006/relationships/hyperlink" Target="MAILTO:skavarc@digiarc.mt" TargetMode="External" Id="rId371" /><Relationship Type="http://schemas.openxmlformats.org/officeDocument/2006/relationships/hyperlink" Target="MAILTO:patriziapec@gmail.com" TargetMode="External" Id="rId372" /><Relationship Type="http://schemas.openxmlformats.org/officeDocument/2006/relationships/hyperlink" Target="MAILTO:samuele.serini@ais.com.mt" TargetMode="External" Id="rId373" /><Relationship Type="http://schemas.openxmlformats.org/officeDocument/2006/relationships/hyperlink" Target="MAILTO:kirsten.theuma@qpml.com" TargetMode="External" Id="rId374" /><Relationship Type="http://schemas.openxmlformats.org/officeDocument/2006/relationships/hyperlink" Target="MAILTO:ascoopltdmalta@gmail.com" TargetMode="External" Id="rId375" /><Relationship Type="http://schemas.openxmlformats.org/officeDocument/2006/relationships/hyperlink" Target="MAILTO:martinazarb@gmail.com" TargetMode="External" Id="rId3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hyperlink" Target="MAILTO:nfo@doneo.com.mt" TargetMode="External" Id="rId377" /><Relationship Type="http://schemas.openxmlformats.org/officeDocument/2006/relationships/hyperlink" Target="MAILTO:website@astral.com.mt" TargetMode="External" Id="rId378" /><Relationship Type="http://schemas.openxmlformats.org/officeDocument/2006/relationships/hyperlink" Target="MAILTO:info@audiotech.mt" TargetMode="External" Id="rId379" /><Relationship Type="http://schemas.openxmlformats.org/officeDocument/2006/relationships/hyperlink" Target="MAILTO:nfo@powerhousemalta.com" TargetMode="External" Id="rId380" /><Relationship Type="http://schemas.openxmlformats.org/officeDocument/2006/relationships/hyperlink" Target="MAILTO:marketing@atoz.com.mt" TargetMode="External" Id="rId381" /><Relationship Type="http://schemas.openxmlformats.org/officeDocument/2006/relationships/hyperlink" Target="MAILTO:info@digitalzone.com.mt" TargetMode="External" Id="rId382" /><Relationship Type="http://schemas.openxmlformats.org/officeDocument/2006/relationships/hyperlink" Target="MAILTO:info@olimpusmusic.com" TargetMode="External" Id="rId383" /><Relationship Type="http://schemas.openxmlformats.org/officeDocument/2006/relationships/hyperlink" Target="MAILTO:info@audiomalta.com" TargetMode="External" Id="rId384" /><Relationship Type="http://schemas.openxmlformats.org/officeDocument/2006/relationships/hyperlink" Target="MAILTO:info@audiohub.mt" TargetMode="External" Id="rId385" /><Relationship Type="http://schemas.openxmlformats.org/officeDocument/2006/relationships/hyperlink" Target="MAILTO:info@futuretech-malta.com" TargetMode="External" Id="rId386" /><Relationship Type="http://schemas.openxmlformats.org/officeDocument/2006/relationships/hyperlink" Target="MAILTO:sales@ultimate.com.mt" TargetMode="External" Id="rId387" /><Relationship Type="http://schemas.openxmlformats.org/officeDocument/2006/relationships/hyperlink" Target="MAILTO:info@studioseven.com.mt" TargetMode="External" Id="rId388" /><Relationship Type="http://schemas.openxmlformats.org/officeDocument/2006/relationships/hyperlink" Target="MAILTO:info@soundsystem.com.mt" TargetMode="External" Id="rId389" /><Relationship Type="http://schemas.openxmlformats.org/officeDocument/2006/relationships/hyperlink" Target="MAILTO:info@megatekk.mt" TargetMode="External" Id="rId390" /><Relationship Type="http://schemas.openxmlformats.org/officeDocument/2006/relationships/hyperlink" Target="MAILTO:jc.audiophonic@gmail.com" TargetMode="External" Id="rId391" /><Relationship Type="http://schemas.openxmlformats.org/officeDocument/2006/relationships/hyperlink" Target="MAILTO:info@scanmalta.com" TargetMode="External" Id="rId392" /><Relationship Type="http://schemas.openxmlformats.org/officeDocument/2006/relationships/hyperlink" Target="MAILTO:joe@genaudiomalta.com" TargetMode="External" Id="rId393" /><Relationship Type="http://schemas.openxmlformats.org/officeDocument/2006/relationships/hyperlink" Target="https://www.google.com/maps/search/?api=1&amp;query=Hamrun" TargetMode="External" Id="rId394" /><Relationship Type="http://schemas.openxmlformats.org/officeDocument/2006/relationships/hyperlink" Target="https://www.google.com/maps/search/?api=1&amp;query=Ta%27%20Xbiex" TargetMode="External" Id="rId395" /><Relationship Type="http://schemas.openxmlformats.org/officeDocument/2006/relationships/hyperlink" Target="https://www.google.com/maps/search/?api=1&amp;query=Xghara%2C%20Gozo" TargetMode="External" Id="rId396" /><Relationship Type="http://schemas.openxmlformats.org/officeDocument/2006/relationships/hyperlink" Target="https://www.google.com/maps/search/?api=1&amp;query=Marsa" TargetMode="External" Id="rId397" /><Relationship Type="http://schemas.openxmlformats.org/officeDocument/2006/relationships/hyperlink" Target="https://www.google.com/maps/search/?api=1&amp;query=Attard%2C%20Qormi%2C%20Swatar%2C%20Birkirkara" TargetMode="External" Id="rId398" /><Relationship Type="http://schemas.openxmlformats.org/officeDocument/2006/relationships/hyperlink" Target="https://www.google.com/maps/search/?api=1&amp;query=Swieqi" TargetMode="External" Id="rId399" /><Relationship Type="http://schemas.openxmlformats.org/officeDocument/2006/relationships/hyperlink" Target="https://www.google.com/maps/search/?api=1&amp;query=sales%20division%20of%20Lito%E2%80%99s%20Place" TargetMode="External" Id="rId400" /><Relationship Type="http://schemas.openxmlformats.org/officeDocument/2006/relationships/hyperlink" Target="https://www.google.com/maps/search/?api=1&amp;query=San%20Gwann" TargetMode="External" Id="rId401" /><Relationship Type="http://schemas.openxmlformats.org/officeDocument/2006/relationships/hyperlink" Target="https://www.google.com/maps/search/?api=1&amp;query=San%20Gwann%2C%20Paola%2C%20Qormi" TargetMode="External" Id="rId402" /><Relationship Type="http://schemas.openxmlformats.org/officeDocument/2006/relationships/hyperlink" Target="https://www.google.com/maps/search/?api=1&amp;query=Birkirkara" TargetMode="External" Id="rId403" /><Relationship Type="http://schemas.openxmlformats.org/officeDocument/2006/relationships/hyperlink" Target="https://www.google.com/maps/search/?api=1&amp;query=Msida" TargetMode="External" Id="rId404" /><Relationship Type="http://schemas.openxmlformats.org/officeDocument/2006/relationships/hyperlink" Target="https://www.google.com/maps/search/?api=1&amp;query=Birkirkara" TargetMode="External" Id="rId405" /><Relationship Type="http://schemas.openxmlformats.org/officeDocument/2006/relationships/hyperlink" Target="https://Studo7.com.mt" TargetMode="External" Id="rId4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hyperlink" Target="MAILTO:info@scanmalta.com" TargetMode="External" Id="rId407" /><Relationship Type="http://schemas.openxmlformats.org/officeDocument/2006/relationships/hyperlink" Target="MAILTO:sales@klikk.com.mt" TargetMode="External" Id="rId408" /><Relationship Type="http://schemas.openxmlformats.org/officeDocument/2006/relationships/hyperlink" Target="MAILTO:info@gamebreakermalta.com" TargetMode="External" Id="rId409" /><Relationship Type="http://schemas.openxmlformats.org/officeDocument/2006/relationships/hyperlink" Target="MAILTO:marketing@atoz.com.mt" TargetMode="External" Id="rId410" /><Relationship Type="http://schemas.openxmlformats.org/officeDocument/2006/relationships/hyperlink" Target="MAILTO:sales@xpert.mt" TargetMode="External" Id="rId411" /><Relationship Type="http://schemas.openxmlformats.org/officeDocument/2006/relationships/hyperlink" Target="MAILTO:info@computerbargainsmalta.com" TargetMode="External" Id="rId412" /><Relationship Type="http://schemas.openxmlformats.org/officeDocument/2006/relationships/hyperlink" Target="MAILTO:customercare@homemate.com.mt" TargetMode="External" Id="rId413" /><Relationship Type="http://schemas.openxmlformats.org/officeDocument/2006/relationships/hyperlink" Target="MAILTO:info@maltazon.com" TargetMode="External" Id="rId414" /><Relationship Type="http://schemas.openxmlformats.org/officeDocument/2006/relationships/hyperlink" Target="MAILTO:info@forestals.com" TargetMode="External" Id="rId415" /><Relationship Type="http://schemas.openxmlformats.org/officeDocument/2006/relationships/hyperlink" Target="MAILTO:info@topchoice.com.mt" TargetMode="External" Id="rId416" /><Relationship Type="http://schemas.openxmlformats.org/officeDocument/2006/relationships/hyperlink" Target="MAILTO:info@digitalzone.com.mt" TargetMode="External" Id="rId417" /><Relationship Type="http://schemas.openxmlformats.org/officeDocument/2006/relationships/hyperlink" Target="MAILTO:infosales@intercomp.com.mt" TargetMode="External" Id="rId418" /><Relationship Type="http://schemas.openxmlformats.org/officeDocument/2006/relationships/hyperlink" Target="MAILTO:website@astral.com.mt" TargetMode="External" Id="rId419" /><Relationship Type="http://schemas.openxmlformats.org/officeDocument/2006/relationships/hyperlink" Target="MAILTO:info@digiline.mt" TargetMode="External" Id="rId420" /><Relationship Type="http://schemas.openxmlformats.org/officeDocument/2006/relationships/hyperlink" Target="MAILTO:sales@ultimate.com.mt" TargetMode="External" Id="rId421" /><Relationship Type="http://schemas.openxmlformats.org/officeDocument/2006/relationships/hyperlink" Target="MAILTO:tabletsandmoreelectronics@yahoo.com" TargetMode="External" Id="rId422" /><Relationship Type="http://schemas.openxmlformats.org/officeDocument/2006/relationships/hyperlink" Target="MAILTO:info@thenotebookcentre.com.mt" TargetMode="External" Id="rId4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MAILTO:info@wjadistributors.com" TargetMode="External" Id="rId424" /><Relationship Type="http://schemas.openxmlformats.org/officeDocument/2006/relationships/hyperlink" Target="https://www.google.com/maps/search/?api=1&amp;query=Dejma%20Road%2C%20Tarxien" TargetMode="External" Id="rId425" /><Relationship Type="http://schemas.openxmlformats.org/officeDocument/2006/relationships/hyperlink" Target="https://wjadistributors.com/product/bosch-cross-line-laser-advancedlevel-360/" TargetMode="External" Id="rId4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hyperlink" Target="MAILTO:info@surveyingmalta.com" TargetMode="External" Id="rId427" /><Relationship Type="http://schemas.openxmlformats.org/officeDocument/2006/relationships/hyperlink" Target="MAILTO:chris@cmsurveying.com.mt" TargetMode="External" Id="rId428" /><Relationship Type="http://schemas.openxmlformats.org/officeDocument/2006/relationships/hyperlink" Target="MAILTO:info@matsurv.eu" TargetMode="External" Id="rId429" /><Relationship Type="http://schemas.openxmlformats.org/officeDocument/2006/relationships/hyperlink" Target="MAILTO:ncsurveying23@gmail.com" TargetMode="External" Id="rId430" /><Relationship Type="http://schemas.openxmlformats.org/officeDocument/2006/relationships/hyperlink" Target="MAILTO:alan@micallefsurveying.com" TargetMode="External" Id="rId431" /><Relationship Type="http://schemas.openxmlformats.org/officeDocument/2006/relationships/hyperlink" Target="MAILTO:arsurveyingmalta@gmail.com" TargetMode="External" Id="rId432" /><Relationship Type="http://schemas.openxmlformats.org/officeDocument/2006/relationships/hyperlink" Target="MAILTO:info@atlas-surveying.com" TargetMode="External" Id="rId433" /><Relationship Type="http://schemas.openxmlformats.org/officeDocument/2006/relationships/hyperlink" Target="MAILTO:impact.design.18@gmail.com" TargetMode="External" Id="rId434" /><Relationship Type="http://schemas.openxmlformats.org/officeDocument/2006/relationships/hyperlink" Target="MAILTO:lms@onvol.net" TargetMode="External" Id="rId435" /><Relationship Type="http://schemas.openxmlformats.org/officeDocument/2006/relationships/hyperlink" Target="MAILTO:surveying.da@gmail.com" TargetMode="External" Id="rId436" /><Relationship Type="http://schemas.openxmlformats.org/officeDocument/2006/relationships/hyperlink" Target="MAILTO:ellulsrv@gmail.com" TargetMode="External" Id="rId437" /><Relationship Type="http://schemas.openxmlformats.org/officeDocument/2006/relationships/hyperlink" Target="MAILTO:maltasurveys.rs@gmail.com" TargetMode="External" Id="rId438" /><Relationship Type="http://schemas.openxmlformats.org/officeDocument/2006/relationships/hyperlink" Target="MAILTO:chris@pss-dna.com" TargetMode="External" Id="rId439" /><Relationship Type="http://schemas.openxmlformats.org/officeDocument/2006/relationships/hyperlink" Target="https://www.google.com/maps/search/?api=1&amp;query=8%2C%20Triq%20il-Laring%2C%20Attard%2C%20ATD%202531%20Malta" TargetMode="External" Id="rId440" /><Relationship Type="http://schemas.openxmlformats.org/officeDocument/2006/relationships/hyperlink" Target="https://www.google.com/maps/search/?api=1&amp;query=No.%202%2C%20Triq%20Papa%20Piju%20XII%2C%20Birkirkara%2C%20Malta." TargetMode="External" Id="rId441" /><Relationship Type="http://schemas.openxmlformats.org/officeDocument/2006/relationships/hyperlink" Target="https://www.google.com/maps/search/?api=1&amp;query=89%2C%20Suite%201%2C%20ATL%20Business%20Centre%2C%20Triq%20Il-Kanun%2C%20Santa%20Venera%2C%20Malta" TargetMode="External" Id="rId442" /><Relationship Type="http://schemas.openxmlformats.org/officeDocument/2006/relationships/hyperlink" Target="https://www.google.com/maps/search/?api=1&amp;query=NC%20Surveying%0A1%20Joelle%20Triq%20Dun%20Guzepp%20Demicoli%20%2C%0AGhaxaq%2C%20Malta" TargetMode="External" Id="rId443" /><Relationship Type="http://schemas.openxmlformats.org/officeDocument/2006/relationships/hyperlink" Target="https://www.google.com/maps/search/?api=1&amp;query=Alan%20Micallef%20Surveying%20Services%0A67%20Flat%201%20Triq%20Vince%20Dimech%20%2C%0AZurrieq%2C%20Malta%20ZRQ%202402" TargetMode="External" Id="rId444" /><Relationship Type="http://schemas.openxmlformats.org/officeDocument/2006/relationships/hyperlink" Target="https://www.google.com/maps/search/?api=1&amp;query=AR%20Surveying%0ATriq%20it-Tahhan%20%2C%0AB%E2%80%99Kara%2C%20Malta" TargetMode="External" Id="rId445" /><Relationship Type="http://schemas.openxmlformats.org/officeDocument/2006/relationships/hyperlink" Target="https://www.google.com/maps/search/?api=1&amp;query=182%20Triq%20Bormla%0APaola%2C%20PLA%201905%2C%20MT%2C" TargetMode="External" Id="rId446" /><Relationship Type="http://schemas.openxmlformats.org/officeDocument/2006/relationships/hyperlink" Target="https://www.google.com/maps/search/?api=1&amp;query=IMPACT%20design%0A56%20Triq%20il-Vittmi%20tal-Gwerra%20Swatar%20%2C%0AB%E2%80%99Kara%2C%20Malta" TargetMode="External" Id="rId447" /><Relationship Type="http://schemas.openxmlformats.org/officeDocument/2006/relationships/hyperlink" Target="https://www.google.com/maps/search/?api=1&amp;query=Peter%20P%20Caruana%0AShamrock%20Triq%20ta%E2%80%99%20Giorni%20%2C%0ASan%20Giljan%2C%20Malta%20STJ%201615" TargetMode="External" Id="rId448" /><Relationship Type="http://schemas.openxmlformats.org/officeDocument/2006/relationships/hyperlink" Target="https://cmsurveying.com/" TargetMode="External" Id="rId449" /><Relationship Type="http://schemas.openxmlformats.org/officeDocument/2006/relationships/hyperlink" Target="https://facebook.com/matsurv/" TargetMode="External" Id="rId450" /><Relationship Type="http://schemas.openxmlformats.org/officeDocument/2006/relationships/hyperlink" Target="https://facebook.com/profile.php?id=100063536049877&amp;utm_source=Yellow&amp;utm_medium=Yellow-Website&amp;utm_campaign=Landing-Page" TargetMode="External" Id="rId451" /><Relationship Type="http://schemas.openxmlformats.org/officeDocument/2006/relationships/hyperlink" Target="https://atlas-surveying.com/?utm_source=Yellow&amp;utm_medium=Yellow-Website&amp;utm_campaign=Landing-Page" TargetMode="External" Id="rId452" /><Relationship Type="http://schemas.openxmlformats.org/officeDocument/2006/relationships/hyperlink" Target="https://checkyourtraders.com/listing/__trashed-19?fromCat=property-surveyor-surveying" TargetMode="External" Id="rId45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hyperlink" Target="MAILTO:johnghigo53@gmail.com" TargetMode="External" Id="rId454" /><Relationship Type="http://schemas.openxmlformats.org/officeDocument/2006/relationships/hyperlink" Target="MAILTO:freduautoparts@melita.com" TargetMode="External" Id="rId455" /><Relationship Type="http://schemas.openxmlformats.org/officeDocument/2006/relationships/hyperlink" Target="MAILTO:gasparell.b@gmail.com" TargetMode="External" Id="rId456" /><Relationship Type="http://schemas.openxmlformats.org/officeDocument/2006/relationships/hyperlink" Target="MAILTO:criszu75@gmail.com" TargetMode="External" Id="rId457" /><Relationship Type="http://schemas.openxmlformats.org/officeDocument/2006/relationships/hyperlink" Target="MAILTO:repairs@mile-end.mt" TargetMode="External" Id="rId458" /><Relationship Type="http://schemas.openxmlformats.org/officeDocument/2006/relationships/hyperlink" Target="MAILTO:info@ddeattard.com" TargetMode="External" Id="rId459" /><Relationship Type="http://schemas.openxmlformats.org/officeDocument/2006/relationships/hyperlink" Target="MAILTO:rocagoltd@gmail.com" TargetMode="External" Id="rId460" /><Relationship Type="http://schemas.openxmlformats.org/officeDocument/2006/relationships/hyperlink" Target="https://www.google.com/maps/search/?api=1&amp;query=Limits%20of%20Kirkop" TargetMode="External" Id="rId461" /><Relationship Type="http://schemas.openxmlformats.org/officeDocument/2006/relationships/hyperlink" Target="https://www.google.com/maps/search/?api=1&amp;query=Plot%2C%206%2F7%2C%20Nassab%20Street%2C%20Qormi" TargetMode="External" Id="rId462" /><Relationship Type="http://schemas.openxmlformats.org/officeDocument/2006/relationships/hyperlink" Target="https://www.google.com/maps/search/?api=1&amp;query=%C4%A6al%20Far%20Ind%20Estate%2C%20Birzebbuga" TargetMode="External" Id="rId463" /><Relationship Type="http://schemas.openxmlformats.org/officeDocument/2006/relationships/hyperlink" Target="https://www.google.com/maps/search/?api=1&amp;query=31%2C%20Wied%20Ghammieq%20Road%0AKalkara" TargetMode="External" Id="rId464" /><Relationship Type="http://schemas.openxmlformats.org/officeDocument/2006/relationships/hyperlink" Target="https://www.google.com/maps/search/?api=1&amp;query=19%2F20%2F47%2C%20Triq%20l-Inginerija%20ma%E2%80%99Triq%0Al-Iskola%20Teknika%2C%20Mriehel%2C%0ABirkirkara" TargetMode="External" Id="rId465" /><Relationship Type="http://schemas.openxmlformats.org/officeDocument/2006/relationships/hyperlink" Target="https://www.google.com/maps/search/?api=1&amp;query=Scrap%20Lane%2C%20Valletta%20Road%2C%20Luqa%2C%0ALQA%201764" TargetMode="External" Id="rId466" /><Relationship Type="http://schemas.openxmlformats.org/officeDocument/2006/relationships/hyperlink" Target="https://www.google.com/maps/search/?api=1&amp;query=Triq%20Tal-Barrani%2C%20Zejtun" TargetMode="External" Id="rId46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hyperlink" Target="MAILTO:info@designhubmalta.com.mt" TargetMode="External" Id="rId468" /><Relationship Type="http://schemas.openxmlformats.org/officeDocument/2006/relationships/hyperlink" Target="MAILTO:info@soll.mt" TargetMode="External" Id="rId469" /><Relationship Type="http://schemas.openxmlformats.org/officeDocument/2006/relationships/hyperlink" Target="MAILTO:info@rabatmarbles.com" TargetMode="External" Id="rId470" /><Relationship Type="http://schemas.openxmlformats.org/officeDocument/2006/relationships/hyperlink" Target="MAILTO:info@lawrencefenech.com" TargetMode="External" Id="rId471" /><Relationship Type="http://schemas.openxmlformats.org/officeDocument/2006/relationships/hyperlink" Target="MAILTO:info@pvc.com.mt" TargetMode="External" Id="rId472" /><Relationship Type="http://schemas.openxmlformats.org/officeDocument/2006/relationships/hyperlink" Target="MAILTO:info@finestralmalta.com" TargetMode="External" Id="rId473" /><Relationship Type="http://schemas.openxmlformats.org/officeDocument/2006/relationships/hyperlink" Target="MAILTO:bmsltdmalta@gmail.com" TargetMode="External" Id="rId474" /><Relationship Type="http://schemas.openxmlformats.org/officeDocument/2006/relationships/hyperlink" Target="MAILTO:info@grahamaluminium.com" TargetMode="External" Id="rId475" /><Relationship Type="http://schemas.openxmlformats.org/officeDocument/2006/relationships/hyperlink" Target="MAILTO:info@melibugeja.com.mt" TargetMode="External" Id="rId476" /><Relationship Type="http://schemas.openxmlformats.org/officeDocument/2006/relationships/hyperlink" Target="MAILTO:info@windowworldinternational.net" TargetMode="External" Id="rId477" /><Relationship Type="http://schemas.openxmlformats.org/officeDocument/2006/relationships/hyperlink" Target="MAILTO:wilgastores@gmail.com" TargetMode="External" Id="rId478" /><Relationship Type="http://schemas.openxmlformats.org/officeDocument/2006/relationships/hyperlink" Target="MAILTO:info@nicholas.mt" TargetMode="External" Id="rId479" /><Relationship Type="http://schemas.openxmlformats.org/officeDocument/2006/relationships/hyperlink" Target="MAILTO:info@dinglialuminium.com" TargetMode="External" Id="rId480" /><Relationship Type="http://schemas.openxmlformats.org/officeDocument/2006/relationships/hyperlink" Target="MAILTO:schembrimarbles@yahoo.com" TargetMode="External" Id="rId481" /><Relationship Type="http://schemas.openxmlformats.org/officeDocument/2006/relationships/hyperlink" Target="MAILTO:info@attardbros.com" TargetMode="External" Id="rId482" /><Relationship Type="http://schemas.openxmlformats.org/officeDocument/2006/relationships/hyperlink" Target="MAILTO:info@rlautier.com" TargetMode="External" Id="rId483" /><Relationship Type="http://schemas.openxmlformats.org/officeDocument/2006/relationships/hyperlink" Target="MAILTO:sales@floorsofstone.com.mt" TargetMode="External" Id="rId484" /><Relationship Type="http://schemas.openxmlformats.org/officeDocument/2006/relationships/hyperlink" Target="MAILTO:info@desanamarbles.com" TargetMode="External" Id="rId485" /><Relationship Type="http://schemas.openxmlformats.org/officeDocument/2006/relationships/hyperlink" Target="MAILTO:info@cinimarbles.com" TargetMode="External" Id="rId486" /><Relationship Type="http://schemas.openxmlformats.org/officeDocument/2006/relationships/hyperlink" Target="MAILTO:sales@seamless.com.mt" TargetMode="External" Id="rId487" /><Relationship Type="http://schemas.openxmlformats.org/officeDocument/2006/relationships/hyperlink" Target="MAILTO:info@amaasurfaces.com" TargetMode="External" Id="rId488" /><Relationship Type="http://schemas.openxmlformats.org/officeDocument/2006/relationships/hyperlink" Target="MAILTO:portellirennie@hotmail.com" TargetMode="External" Id="rId489" /><Relationship Type="http://schemas.openxmlformats.org/officeDocument/2006/relationships/hyperlink" Target="MAILTO:tilesandmarbleinfo@gmail.com" TargetMode="External" Id="rId490" /><Relationship Type="http://schemas.openxmlformats.org/officeDocument/2006/relationships/hyperlink" Target="MAILTO:info@halmannvella.com" TargetMode="External" Id="rId491" /><Relationship Type="http://schemas.openxmlformats.org/officeDocument/2006/relationships/hyperlink" Target="MAILTO:info@qualitystonemalta.com" TargetMode="External" Id="rId492" /><Relationship Type="http://schemas.openxmlformats.org/officeDocument/2006/relationships/hyperlink" Target="MAILTO:sales@marbleinnovation.com" TargetMode="External" Id="rId493" /><Relationship Type="http://schemas.openxmlformats.org/officeDocument/2006/relationships/hyperlink" Target="MAILTO:frankvassallo22@gmail.com" TargetMode="External" Id="rId494" /><Relationship Type="http://schemas.openxmlformats.org/officeDocument/2006/relationships/hyperlink" Target="MAILTO:keithbugeja@hotmail.com" TargetMode="External" Id="rId495" /><Relationship Type="http://schemas.openxmlformats.org/officeDocument/2006/relationships/hyperlink" Target="https://www.google.com/maps/search/?api=1&amp;query=59%20triq%20Domenico%20Cachia%20%2CBirkirkara%20BKR%204019%20%2CMALTA" TargetMode="External" Id="rId496" /><Relationship Type="http://schemas.openxmlformats.org/officeDocument/2006/relationships/hyperlink" Target="https://www.google.com/maps/search/?api=1&amp;query=triq%20il-Kalkara%20%2C%20Marsa%20%2C%20Malta" TargetMode="External" Id="rId497" /><Relationship Type="http://schemas.openxmlformats.org/officeDocument/2006/relationships/hyperlink" Target="https://www.google.com/maps/search/?api=1&amp;query=triq-il-Kbira%20%2C%20Rabat%20%2CMalta" TargetMode="External" Id="rId498" /><Relationship Type="http://schemas.openxmlformats.org/officeDocument/2006/relationships/hyperlink" Target="https://www.google.com/maps/search/?api=1&amp;query=triq%20il-Labour%20%2CBirkirkara%2C%20Malta" TargetMode="External" Id="rId499" /><Relationship Type="http://schemas.openxmlformats.org/officeDocument/2006/relationships/hyperlink" Target="https://www.google.com/maps/search/?api=1&amp;query=triq%20il-Ferrovija%2C%20%C4%A6amrun%2C%20Malta" TargetMode="External" Id="rId500" /><Relationship Type="http://schemas.openxmlformats.org/officeDocument/2006/relationships/hyperlink" Target="https://www.google.com/maps/search/?api=1&amp;query=Triq%20il-Kostituzzjoni%2C%20Mosta%2C%20Malta" TargetMode="External" Id="rId501" /><Relationship Type="http://schemas.openxmlformats.org/officeDocument/2006/relationships/hyperlink" Target="https://www.google.com/maps/search/?api=1&amp;query=Mdina%20Road%2C%20Qormi%20QRM%209011%2C%20Malta" TargetMode="External" Id="rId502" /><Relationship Type="http://schemas.openxmlformats.org/officeDocument/2006/relationships/hyperlink" Target="https://www.google.com/maps/search/?api=1&amp;query=Mdina%20Road%2C%20Qormi%20QRM%209011%2C%20Malta" TargetMode="External" Id="rId503" /><Relationship Type="http://schemas.openxmlformats.org/officeDocument/2006/relationships/hyperlink" Target="https://www.google.com/maps/search/?api=1&amp;query=Triq%20il-Mithna%2CQormi" TargetMode="External" Id="rId504" /><Relationship Type="http://schemas.openxmlformats.org/officeDocument/2006/relationships/hyperlink" Target="https://www.google.com/maps/search/?api=1&amp;query=Zircon%20Suites%2C%20Triq%20ta%27%20Zejfa%2C%20Mosta%2C%20Malta" TargetMode="External" Id="rId505" /><Relationship Type="http://schemas.openxmlformats.org/officeDocument/2006/relationships/hyperlink" Target="https://www.google.com/maps/search/?api=1&amp;query=Wilga%20Street%2C%20Luqa%20LQA%201530%2C%20Malta" TargetMode="External" Id="rId506" /><Relationship Type="http://schemas.openxmlformats.org/officeDocument/2006/relationships/hyperlink" Target="https://www.google.com/maps/search/?api=1&amp;query=33%2CAngelo%20A%2CMelilli%20%2CHAz%20Zebugg%20ZBG%202802" TargetMode="External" Id="rId507" /><Relationship Type="http://schemas.openxmlformats.org/officeDocument/2006/relationships/hyperlink" Target="https://www.google.com/maps/search/?api=1&amp;query=triq%20Anthony%20John%20Coleiro%20%2C%20hAL%20Qormi" TargetMode="External" Id="rId508" /><Relationship Type="http://schemas.openxmlformats.org/officeDocument/2006/relationships/hyperlink" Target="https://www.google.com/maps/search/?api=1&amp;query=Triq%20Dwardu%20Buttigieg%20%2CHal%20Ghaxaq%2CMalta%20%20GXQ%201253" TargetMode="External" Id="rId509" /><Relationship Type="http://schemas.openxmlformats.org/officeDocument/2006/relationships/hyperlink" Target="https://designhubstores.com" TargetMode="External" Id="rId510" /><Relationship Type="http://schemas.openxmlformats.org/officeDocument/2006/relationships/hyperlink" Target="https://soll.mt" TargetMode="External" Id="rId511" /><Relationship Type="http://schemas.openxmlformats.org/officeDocument/2006/relationships/hyperlink" Target="https://rabatmarbles.com" TargetMode="External" Id="rId512" /><Relationship Type="http://schemas.openxmlformats.org/officeDocument/2006/relationships/hyperlink" Target="https://lawrencefenech.com" TargetMode="External" Id="rId513" /><Relationship Type="http://schemas.openxmlformats.org/officeDocument/2006/relationships/hyperlink" Target="https://pvc.com.mt" TargetMode="External" Id="rId514" /><Relationship Type="http://schemas.openxmlformats.org/officeDocument/2006/relationships/hyperlink" Target="https://finestralmalta.com" TargetMode="External" Id="rId515" /><Relationship Type="http://schemas.openxmlformats.org/officeDocument/2006/relationships/hyperlink" Target="https://bms-malta.com" TargetMode="External" Id="rId516" /><Relationship Type="http://schemas.openxmlformats.org/officeDocument/2006/relationships/hyperlink" Target="https://grahamaluminium.com" TargetMode="External" Id="rId517" /><Relationship Type="http://schemas.openxmlformats.org/officeDocument/2006/relationships/hyperlink" Target="https://meliobugeja.com.mt" TargetMode="External" Id="rId518" /><Relationship Type="http://schemas.openxmlformats.org/officeDocument/2006/relationships/hyperlink" Target="https://windowworld.eu" TargetMode="External" Id="rId519" /><Relationship Type="http://schemas.openxmlformats.org/officeDocument/2006/relationships/hyperlink" Target="https://wilgastores.com" TargetMode="External" Id="rId520" /><Relationship Type="http://schemas.openxmlformats.org/officeDocument/2006/relationships/hyperlink" Target="https://nicholas.mt" TargetMode="External" Id="rId521" /><Relationship Type="http://schemas.openxmlformats.org/officeDocument/2006/relationships/hyperlink" Target="https://dinglialuminium.com" TargetMode="External" Id="rId522" /><Relationship Type="http://schemas.openxmlformats.org/officeDocument/2006/relationships/hyperlink" Target="https://findit.com.mt" TargetMode="External" Id="rId52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hyperlink" Target="MAILTO:info@theresincentre.com" TargetMode="External" Id="rId524" /><Relationship Type="http://schemas.openxmlformats.org/officeDocument/2006/relationships/hyperlink" Target="MAILTO:kwaterproofing@melita.com" TargetMode="External" Id="rId525" /><Relationship Type="http://schemas.openxmlformats.org/officeDocument/2006/relationships/hyperlink" Target="MAILTO:alexgrech.waterproofing@gmail.com" TargetMode="External" Id="rId526" /><Relationship Type="http://schemas.openxmlformats.org/officeDocument/2006/relationships/hyperlink" Target="MAILTO:colin@cpwaterproofing.com" TargetMode="External" Id="rId527" /><Relationship Type="http://schemas.openxmlformats.org/officeDocument/2006/relationships/hyperlink" Target="MAILTO:airsolutions@ezee.mt" TargetMode="External" Id="rId528" /><Relationship Type="http://schemas.openxmlformats.org/officeDocument/2006/relationships/hyperlink" Target="MAILTO:tnwaterproof@gmail.com" TargetMode="External" Id="rId529" /><Relationship Type="http://schemas.openxmlformats.org/officeDocument/2006/relationships/hyperlink" Target="MAILTO:danielschembri71@gmail.com" TargetMode="External" Id="rId530" /><Relationship Type="http://schemas.openxmlformats.org/officeDocument/2006/relationships/hyperlink" Target="MAILTO:info@devalier.com.mt" TargetMode="External" Id="rId531" /><Relationship Type="http://schemas.openxmlformats.org/officeDocument/2006/relationships/hyperlink" Target="MAILTO:wp.ltd123@gmail.com" TargetMode="External" Id="rId532" /><Relationship Type="http://schemas.openxmlformats.org/officeDocument/2006/relationships/hyperlink" Target="MAILTO:info@389.com.mt" TargetMode="External" Id="rId533" /><Relationship Type="http://schemas.openxmlformats.org/officeDocument/2006/relationships/hyperlink" Target="MAILTO:clintsaliba3@gmail.com" TargetMode="External" Id="rId534" /><Relationship Type="http://schemas.openxmlformats.org/officeDocument/2006/relationships/hyperlink" Target="MAILTO:mrleewaterproofing26@gmail.com" TargetMode="External" Id="rId535" /><Relationship Type="http://schemas.openxmlformats.org/officeDocument/2006/relationships/hyperlink" Target="MAILTO:contact@kibitec.com" TargetMode="External" Id="rId536" /><Relationship Type="http://schemas.openxmlformats.org/officeDocument/2006/relationships/hyperlink" Target="MAILTO:azzopardiwp@gmail.com" TargetMode="External" Id="rId537" /><Relationship Type="http://schemas.openxmlformats.org/officeDocument/2006/relationships/hyperlink" Target="MAILTO:caruana.chris@hotmail.com" TargetMode="External" Id="rId538" /><Relationship Type="http://schemas.openxmlformats.org/officeDocument/2006/relationships/hyperlink" Target="MAILTO:jasonmartin777@hotmail.com" TargetMode="External" Id="rId539" /><Relationship Type="http://schemas.openxmlformats.org/officeDocument/2006/relationships/hyperlink" Target="MAILTO:jurgendalli@gmail.com" TargetMode="External" Id="rId540" /><Relationship Type="http://schemas.openxmlformats.org/officeDocument/2006/relationships/hyperlink" Target="MAILTO:sales@jmvibro.com" TargetMode="External" Id="rId541" /><Relationship Type="http://schemas.openxmlformats.org/officeDocument/2006/relationships/hyperlink" Target="MAILTO:info@andrewvassallo.com" TargetMode="External" Id="rId542" /><Relationship Type="http://schemas.openxmlformats.org/officeDocument/2006/relationships/hyperlink" Target="MAILTO:norob@onvol.net" TargetMode="External" Id="rId543" /><Relationship Type="http://schemas.openxmlformats.org/officeDocument/2006/relationships/hyperlink" Target="MAILTO:forever.waterproofing@gmail.com" TargetMode="External" Id="rId544" /><Relationship Type="http://schemas.openxmlformats.org/officeDocument/2006/relationships/hyperlink" Target="MAILTO:ludvic1979@gmail.com" TargetMode="External" Id="rId545" /><Relationship Type="http://schemas.openxmlformats.org/officeDocument/2006/relationships/hyperlink" Target="MAILTO:vmhome@go.net.mt" TargetMode="External" Id="rId546" /><Relationship Type="http://schemas.openxmlformats.org/officeDocument/2006/relationships/hyperlink" Target="MAILTO:matuelwaterproofing@gmail.com" TargetMode="External" Id="rId547" /><Relationship Type="http://schemas.openxmlformats.org/officeDocument/2006/relationships/hyperlink" Target="MAILTO:michael.portelli81@gmail.com" TargetMode="External" Id="rId548" /><Relationship Type="http://schemas.openxmlformats.org/officeDocument/2006/relationships/hyperlink" Target="MAILTO:admin@thermasealmalta.com" TargetMode="External" Id="rId549" /><Relationship Type="http://schemas.openxmlformats.org/officeDocument/2006/relationships/hyperlink" Target="MAILTO:rosmanwaterproofing@hotmail.com" TargetMode="External" Id="rId550" /><Relationship Type="http://schemas.openxmlformats.org/officeDocument/2006/relationships/hyperlink" Target="MAILTO:jostiv@live.com" TargetMode="External" Id="rId551" /><Relationship Type="http://schemas.openxmlformats.org/officeDocument/2006/relationships/hyperlink" Target="MAILTO:bcf_solutions@outlook.com" TargetMode="External" Id="rId552" /><Relationship Type="http://schemas.openxmlformats.org/officeDocument/2006/relationships/hyperlink" Target="MAILTO:oijwatermaintenance@gmail.com" TargetMode="External" Id="rId553" /><Relationship Type="http://schemas.openxmlformats.org/officeDocument/2006/relationships/hyperlink" Target="https://www.google.com/maps/search/?api=1&amp;query=264%2C%20Old%20Railway%20Track%20Santa%20Venera" TargetMode="External" Id="rId554" /><Relationship Type="http://schemas.openxmlformats.org/officeDocument/2006/relationships/hyperlink" Target="https://www.google.com/maps/search/?api=1&amp;query=24%2C%20Triq%20Indri%20Micallef%2CLuqa%2C%20Malta" TargetMode="External" Id="rId555" /><Relationship Type="http://schemas.openxmlformats.org/officeDocument/2006/relationships/hyperlink" Target="https://www.google.com/maps/search/?api=1&amp;query=2%2C%20Triq%20tal-Habaq%2C%20Luqa%2C%20Malta" TargetMode="External" Id="rId556" /><Relationship Type="http://schemas.openxmlformats.org/officeDocument/2006/relationships/hyperlink" Target="https://www.google.com/maps/search/?api=1&amp;query=Garage%20No%203%2C%20Pjazza%20l-Eroj%2CSwatar%20B%27Kara%20BKR%204250" TargetMode="External" Id="rId557" /><Relationship Type="http://schemas.openxmlformats.org/officeDocument/2006/relationships/hyperlink" Target="https://www.google.com/maps/search/?api=1&amp;query=58%2C%20Donato%20del%20Piano%20Street%2C%20Zurrieq%2CZRQ%202240" TargetMode="External" Id="rId558" /><Relationship Type="http://schemas.openxmlformats.org/officeDocument/2006/relationships/hyperlink" Target="https://www.google.com/maps/search/?api=1&amp;query=Cherry%20Blossom%20Triq%20Lorenzo%20Manche%E2%80%99%2C%20Attard%2C%20ATD%202906" TargetMode="External" Id="rId559" /><Relationship Type="http://schemas.openxmlformats.org/officeDocument/2006/relationships/hyperlink" Target="https://www.google.com/maps/search/?api=1&amp;query=102%20Block%20A%20Flat%202%20Triq%20Lapsi%2C%0ASiggiewi" TargetMode="External" Id="rId560" /><Relationship Type="http://schemas.openxmlformats.org/officeDocument/2006/relationships/hyperlink" Target="https://www.google.com/maps/search/?api=1&amp;query=The%20Old%20Factory%2C%20San%20Gwakkin%20Str%2C%20Zone%203%2C%20Central%20Business%20District%2C%20Mriehel%2C%20B%E2%80%99kara%2C%20CBD%203030%2C%20Malta" TargetMode="External" Id="rId561" /><Relationship Type="http://schemas.openxmlformats.org/officeDocument/2006/relationships/hyperlink" Target="https://www.google.com/maps/search/?api=1&amp;query=WP%20Ltd%0AMarcelle%20Triq%20ix-Xitwa%20%2C%0AQormi%2C%20Malta%20QRM%205234" TargetMode="External" Id="rId562" /><Relationship Type="http://schemas.openxmlformats.org/officeDocument/2006/relationships/hyperlink" Target="https://www.google.com/maps/search/?api=1&amp;query=Three%20eight%20nine%20Co%20ltd%20%28389%20co%20Ltd%29%0A22%2C%2026%20Triq%20Dun%20Xand%20Cortis%20%2C%0AB%E2%80%99Kara%2C%20Malta%20BKR%201531" TargetMode="External" Id="rId563" /><Relationship Type="http://schemas.openxmlformats.org/officeDocument/2006/relationships/hyperlink" Target="https://www.google.com/maps/search/?api=1&amp;query=C%20%26%20R%20Plastering%0ATrejqet%20il-Barrieri%20%2C%0AZurrieq%2C%20Malta%20ZRQ%203602" TargetMode="External" Id="rId564" /><Relationship Type="http://schemas.openxmlformats.org/officeDocument/2006/relationships/hyperlink" Target="https://www.google.com/maps/search/?api=1&amp;query=Azzopardi%20Waterproofing%20Ltd%0A67%20Triq%20il-Belt%20Valletta%20%2C%0AAttard%2C%20Malta%20ATD%209056" TargetMode="External" Id="rId565" /><Relationship Type="http://schemas.openxmlformats.org/officeDocument/2006/relationships/hyperlink" Target="https://www.google.com/maps/search/?api=1&amp;query=CHR%20home%20improvements%0ATriq%20Mikielang%20Sapiano%20%2C%0ALuqa%2C%20Malta%20LQA%201803" TargetMode="External" Id="rId566" /><Relationship Type="http://schemas.openxmlformats.org/officeDocument/2006/relationships/hyperlink" Target="https://www.google.com/maps/search/?api=1&amp;query=Coverite%20Waterproofing%0A3%20Pretty%20Lodge%20Pjazza%20San%20Leonardu%20%2C%0AMosta%2C%20Malta%20MST%201061" TargetMode="External" Id="rId567" /><Relationship Type="http://schemas.openxmlformats.org/officeDocument/2006/relationships/hyperlink" Target="https://theresincentre.com/contact-us/" TargetMode="External" Id="rId568" /><Relationship Type="http://schemas.openxmlformats.org/officeDocument/2006/relationships/hyperlink" Target="https://kendawaterproofing.com/contactV3.html#" TargetMode="External" Id="rId569" /><Relationship Type="http://schemas.openxmlformats.org/officeDocument/2006/relationships/hyperlink" Target="https://agwaterproofingmalta.com/" TargetMode="External" Id="rId570" /><Relationship Type="http://schemas.openxmlformats.org/officeDocument/2006/relationships/hyperlink" Target="https://cpwaterproofing.com/" TargetMode="External" Id="rId571" /><Relationship Type="http://schemas.openxmlformats.org/officeDocument/2006/relationships/hyperlink" Target="https://airsolutionslimited.com/" TargetMode="External" Id="rId572" /><Relationship Type="http://schemas.openxmlformats.org/officeDocument/2006/relationships/hyperlink" Target="https://fb.com/maximumwaterproofingmalta/" TargetMode="External" Id="rId573" /><Relationship Type="http://schemas.openxmlformats.org/officeDocument/2006/relationships/hyperlink" Target="https://dv.mt/de-valtech-category/waterproofing/" TargetMode="External" Id="rId574" /><Relationship Type="http://schemas.openxmlformats.org/officeDocument/2006/relationships/hyperlink" Target="https://wpmalta.com/?utm_source=Yellow&amp;utm_medium=Yellow-Website&amp;utm_campaign=Landing-Page" TargetMode="External" Id="rId575" /><Relationship Type="http://schemas.openxmlformats.org/officeDocument/2006/relationships/hyperlink" Target="https://yellow.com.mt/c-r-plastering/waterproofing-contractors/" TargetMode="External" Id="rId576" /><Relationship Type="http://schemas.openxmlformats.org/officeDocument/2006/relationships/hyperlink" Target="https://facebook.com/mrleewaterproofing/" TargetMode="External" Id="rId577" /><Relationship Type="http://schemas.openxmlformats.org/officeDocument/2006/relationships/hyperlink" Target="https://kibitec.com/waterproof-membrane-malta/" TargetMode="External" Id="rId578" /><Relationship Type="http://schemas.openxmlformats.org/officeDocument/2006/relationships/hyperlink" Target="https://yellow.com.mt/azzopardi-waterproofing-ltd_waterproofing-contractors+attard/" TargetMode="External" Id="rId579" /><Relationship Type="http://schemas.openxmlformats.org/officeDocument/2006/relationships/hyperlink" Target="https://facebook.com/CHR.home.improvements/?utm_source=Yellow&amp;utm_medium=Yellow-Website&amp;utm_campaign=Landing-Page" TargetMode="External" Id="rId580" /><Relationship Type="http://schemas.openxmlformats.org/officeDocument/2006/relationships/hyperlink" Target="https://yellow.com.mt/coverite-waterproofing_waterproofing-contractors+mosta/" TargetMode="External" Id="rId58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hyperlink" Target="MAILTO:info@halmannvella.com" TargetMode="External" Id="rId582" /><Relationship Type="http://schemas.openxmlformats.org/officeDocument/2006/relationships/hyperlink" Target="MAILTO:info@desanamarbles.com" TargetMode="External" Id="rId583" /><Relationship Type="http://schemas.openxmlformats.org/officeDocument/2006/relationships/hyperlink" Target="MAILTO:c.demirkiran@carradesign.com" TargetMode="External" Id="rId584" /><Relationship Type="http://schemas.openxmlformats.org/officeDocument/2006/relationships/hyperlink" Target="MAILTO:info@absolute.com.mt" TargetMode="External" Id="rId585" /><Relationship Type="http://schemas.openxmlformats.org/officeDocument/2006/relationships/hyperlink" Target="MAILTO:sales@marbleinnovation.com" TargetMode="External" Id="rId586" /><Relationship Type="http://schemas.openxmlformats.org/officeDocument/2006/relationships/hyperlink" Target="MAILTO:info@jpitre.com" TargetMode="External" Id="rId587" /><Relationship Type="http://schemas.openxmlformats.org/officeDocument/2006/relationships/hyperlink" Target="MAILTO:msida@iperceramica.mt" TargetMode="External" Id="rId588" /><Relationship Type="http://schemas.openxmlformats.org/officeDocument/2006/relationships/hyperlink" Target="MAILTO:info@radosystems.eu" TargetMode="External" Id="rId589" /><Relationship Type="http://schemas.openxmlformats.org/officeDocument/2006/relationships/hyperlink" Target="MAILTO:steve@cordina.eu" TargetMode="External" Id="rId590" /><Relationship Type="http://schemas.openxmlformats.org/officeDocument/2006/relationships/hyperlink" Target="MAILTO:info@mrcd.com.mt" TargetMode="External" Id="rId591" /><Relationship Type="http://schemas.openxmlformats.org/officeDocument/2006/relationships/hyperlink" Target="MAILTO:cpcamilleripatrick@gmail.com" TargetMode="External" Id="rId592" /><Relationship Type="http://schemas.openxmlformats.org/officeDocument/2006/relationships/hyperlink" Target="MAILTO:sales@seamless.com.mt" TargetMode="External" Id="rId593" /><Relationship Type="http://schemas.openxmlformats.org/officeDocument/2006/relationships/hyperlink" Target="MAILTO:sales@floorsofstone.com.mt" TargetMode="External" Id="rId594" /><Relationship Type="http://schemas.openxmlformats.org/officeDocument/2006/relationships/hyperlink" Target="MAILTO:info@cgaleamarble.com" TargetMode="External" Id="rId595" /><Relationship Type="http://schemas.openxmlformats.org/officeDocument/2006/relationships/hyperlink" Target="MAILTO:info@chicliving.com.mt" TargetMode="External" Id="rId596" /><Relationship Type="http://schemas.openxmlformats.org/officeDocument/2006/relationships/hyperlink" Target="MAILTO:info@distincthomes.com.mt" TargetMode="External" Id="rId597" /><Relationship Type="http://schemas.openxmlformats.org/officeDocument/2006/relationships/hyperlink" Target="MAILTO:info@bfmarbles.com" TargetMode="External" Id="rId598" /><Relationship Type="http://schemas.openxmlformats.org/officeDocument/2006/relationships/hyperlink" Target="MAILTO:info@soll.mt" TargetMode="External" Id="rId599" /><Relationship Type="http://schemas.openxmlformats.org/officeDocument/2006/relationships/hyperlink" Target="https://halmannvella.com/" TargetMode="External" Id="rId600" /><Relationship Type="http://schemas.openxmlformats.org/officeDocument/2006/relationships/hyperlink" Target="https://desanamarbles.com/materials/terrazzo" TargetMode="External" Id="rId601" /><Relationship Type="http://schemas.openxmlformats.org/officeDocument/2006/relationships/hyperlink" Target="https://facebook.com/p/Carradesign-100086413076922/" TargetMode="External" Id="rId602" /><Relationship Type="http://schemas.openxmlformats.org/officeDocument/2006/relationships/hyperlink" Target="https://absolute.com.mt/terrazzo/" TargetMode="External" Id="rId603" /><Relationship Type="http://schemas.openxmlformats.org/officeDocument/2006/relationships/hyperlink" Target="https://marbleinnovation.com/contact" TargetMode="External" Id="rId604" /><Relationship Type="http://schemas.openxmlformats.org/officeDocument/2006/relationships/hyperlink" Target="https://pitrebathrooms.com/contact-us" TargetMode="External" Id="rId605" /><Relationship Type="http://schemas.openxmlformats.org/officeDocument/2006/relationships/hyperlink" Target="https://facebook.com/radoflooring/" TargetMode="External" Id="rId606" /><Relationship Type="http://schemas.openxmlformats.org/officeDocument/2006/relationships/hyperlink" Target="https://facebook.com/cordinamt/" TargetMode="External" Id="rId607" /><Relationship Type="http://schemas.openxmlformats.org/officeDocument/2006/relationships/hyperlink" Target="https://mrcd.com.mt/en/home.htm" TargetMode="External" Id="rId608" /><Relationship Type="http://schemas.openxmlformats.org/officeDocument/2006/relationships/hyperlink" Target="https://facebook.com/profile.php?id=100054506707941" TargetMode="External" Id="rId609" /><Relationship Type="http://schemas.openxmlformats.org/officeDocument/2006/relationships/hyperlink" Target="https://facebook.com/seamlessmalta/" TargetMode="External" Id="rId61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hyperlink" Target="MAILTO:info@flamingo.com.mt" TargetMode="External" Id="rId611" /><Relationship Type="http://schemas.openxmlformats.org/officeDocument/2006/relationships/hyperlink" Target="MAILTO:info@washingmachinesmalta.com" TargetMode="External" Id="rId612" /><Relationship Type="http://schemas.openxmlformats.org/officeDocument/2006/relationships/hyperlink" Target="MAILTO:info@topchoice.com.mt" TargetMode="External" Id="rId613" /><Relationship Type="http://schemas.openxmlformats.org/officeDocument/2006/relationships/hyperlink" Target="MAILTO:info@petroni.com.mt" TargetMode="External" Id="rId614" /><Relationship Type="http://schemas.openxmlformats.org/officeDocument/2006/relationships/hyperlink" Target="MAILTO:info@teckline.com.mt" TargetMode="External" Id="rId615" /><Relationship Type="http://schemas.openxmlformats.org/officeDocument/2006/relationships/hyperlink" Target="MAILTO:info@soundmachine.com.mt" TargetMode="External" Id="rId616" /><Relationship Type="http://schemas.openxmlformats.org/officeDocument/2006/relationships/hyperlink" Target="MAILTO:info@kcl.com.mt" TargetMode="External" Id="rId617" /><Relationship Type="http://schemas.openxmlformats.org/officeDocument/2006/relationships/hyperlink" Target="MAILTO:info@jshousehold.com" TargetMode="External" Id="rId618" /><Relationship Type="http://schemas.openxmlformats.org/officeDocument/2006/relationships/hyperlink" Target="MAILTO:info@hotpointmalta.com" TargetMode="External" Id="rId619" /><Relationship Type="http://schemas.openxmlformats.org/officeDocument/2006/relationships/hyperlink" Target="MAILTO:info@lava.mt" TargetMode="External" Id="rId620" /><Relationship Type="http://schemas.openxmlformats.org/officeDocument/2006/relationships/hyperlink" Target="MAILTO:info@crosscraft.com.mt" TargetMode="External" Id="rId621" /><Relationship Type="http://schemas.openxmlformats.org/officeDocument/2006/relationships/hyperlink" Target="MAILTO:info@audiomalta.com" TargetMode="External" Id="rId622" /><Relationship Type="http://schemas.openxmlformats.org/officeDocument/2006/relationships/hyperlink" Target="MAILTO:info@electrofix.com.mt" TargetMode="External" Id="rId623" /><Relationship Type="http://schemas.openxmlformats.org/officeDocument/2006/relationships/hyperlink" Target="MAILTO:info@atoz.com.mt" TargetMode="External" Id="rId624" /><Relationship Type="http://schemas.openxmlformats.org/officeDocument/2006/relationships/hyperlink" Target="MAILTO:info@forestals.com" TargetMode="External" Id="rId625" /><Relationship Type="http://schemas.openxmlformats.org/officeDocument/2006/relationships/hyperlink" Target="MAILTO:adriangrech@venturamalta.com" TargetMode="External" Id="rId626" /><Relationship Type="http://schemas.openxmlformats.org/officeDocument/2006/relationships/hyperlink" Target="MAILTO:info@kcl.com.mt" TargetMode="External" Id="rId627" /><Relationship Type="http://schemas.openxmlformats.org/officeDocument/2006/relationships/hyperlink" Target="MAILTO:info@kcl.com.mt" TargetMode="External" Id="rId628" /><Relationship Type="http://schemas.openxmlformats.org/officeDocument/2006/relationships/hyperlink" Target="MAILTO:tabletsandmoreelectronics@yahoo.com" TargetMode="External" Id="rId629" /><Relationship Type="http://schemas.openxmlformats.org/officeDocument/2006/relationships/hyperlink" Target="MAILTO:info@soundsmart.com.mt" TargetMode="External" Id="rId630" /><Relationship Type="http://schemas.openxmlformats.org/officeDocument/2006/relationships/hyperlink" Target="MAILTO:futurahomeappliances@gmail.com" TargetMode="External" Id="rId631" /><Relationship Type="http://schemas.openxmlformats.org/officeDocument/2006/relationships/hyperlink" Target="MAILTO:lorrainevassallofabri@gmail.com" TargetMode="External" Id="rId632" /><Relationship Type="http://schemas.openxmlformats.org/officeDocument/2006/relationships/hyperlink" Target="MAILTO:freddies@onvol.net" TargetMode="External" Id="rId633" /><Relationship Type="http://schemas.openxmlformats.org/officeDocument/2006/relationships/hyperlink" Target="https://www.google.com/maps/search/?api=1&amp;query=Mrie%C4%A7el%2C%20Malta" TargetMode="External" Id="rId634" /><Relationship Type="http://schemas.openxmlformats.org/officeDocument/2006/relationships/hyperlink" Target="https://www.google.com/maps/search/?api=1&amp;query=Distribution%20Warehouse%20Center%2C%20Qormi%2C%20Malta" TargetMode="External" Id="rId635" /><Relationship Type="http://schemas.openxmlformats.org/officeDocument/2006/relationships/hyperlink" Target="https://www.google.com/maps/search/?api=1&amp;query=Il-%C4%A6amrun%20y%20San%20Pawl%20il-Ba%C4%A7ar%2C%20Malta" TargetMode="External" Id="rId636" /><Relationship Type="http://schemas.openxmlformats.org/officeDocument/2006/relationships/hyperlink" Target="https://www.google.com/maps/search/?api=1&amp;query=Msida%2C%20Malta" TargetMode="External" Id="rId637" /><Relationship Type="http://schemas.openxmlformats.org/officeDocument/2006/relationships/hyperlink" Target="https://www.google.com/maps/search/?api=1&amp;query=Il-%C4%A6amrun%2C%20Malta" TargetMode="External" Id="rId638" /><Relationship Type="http://schemas.openxmlformats.org/officeDocument/2006/relationships/hyperlink" Target="https://www.google.com/maps/search/?api=1&amp;query=Psaila%20Street%2C%20Birkirkara%2C%20Malta" TargetMode="External" Id="rId639" /><Relationship Type="http://schemas.openxmlformats.org/officeDocument/2006/relationships/hyperlink" Target="https://www.google.com/maps/search/?api=1&amp;query=22%2C%20Triq%20Sant%27%20Elija%2C%20Birkirkara%2C%20Fleur-De-Lys%2C%20Malta%20BKR%204942" TargetMode="External" Id="rId640" /><Relationship Type="http://schemas.openxmlformats.org/officeDocument/2006/relationships/hyperlink" Target="https://www.google.com/maps/search/?api=1&amp;query=71%2C%20Triq%20Il-Buqexrem%2C%20Il-Fgura%2C%20Malta" TargetMode="External" Id="rId641" /><Relationship Type="http://schemas.openxmlformats.org/officeDocument/2006/relationships/hyperlink" Target="https://www.google.com/maps/search/?api=1&amp;query=Valley%20Road%2C%20Birkirkara%20BKR9010%2C%20Malta" TargetMode="External" Id="rId642" /><Relationship Type="http://schemas.openxmlformats.org/officeDocument/2006/relationships/hyperlink" Target="https://www.google.com/maps/search/?api=1&amp;query=Zachary%20House%2C%20Marsa%20Industrial%20Estate%2C%20Marsa%20MRS%203000%2C%20Malta" TargetMode="External" Id="rId643" /><Relationship Type="http://schemas.openxmlformats.org/officeDocument/2006/relationships/hyperlink" Target="https://www.google.com/maps/search/?api=1&amp;query=Mriehel%20Bypass%2C%20Qormi%2C%20Malta" TargetMode="External" Id="rId644" /><Relationship Type="http://schemas.openxmlformats.org/officeDocument/2006/relationships/hyperlink" Target="https://www.google.com/maps/search/?api=1&amp;query=26C%20Triq%20Lispiera%2C%20Swieqi%2C%20Malta" TargetMode="External" Id="rId645" /><Relationship Type="http://schemas.openxmlformats.org/officeDocument/2006/relationships/hyperlink" Target="https://www.google.com/maps/search/?api=1&amp;query=Triq%20il-Kanun%2C%20Qormi%2C%20Malta" TargetMode="External" Id="rId646" /><Relationship Type="http://schemas.openxmlformats.org/officeDocument/2006/relationships/hyperlink" Target="https://www.google.com/maps/search/?api=1&amp;query=Valley%20Road%2C%20Msida%2C%20Malta" TargetMode="External" Id="rId647" /><Relationship Type="http://schemas.openxmlformats.org/officeDocument/2006/relationships/hyperlink" Target="https://www.google.com/maps/search/?api=1&amp;query=Mrie%C4%A7el%20Bypass%2C%20Birkirkara%2C%20Malta" TargetMode="External" Id="rId648" /><Relationship Type="http://schemas.openxmlformats.org/officeDocument/2006/relationships/hyperlink" Target="https://www.google.com/maps/search/?api=1&amp;query=BLB%20021%20Qasam%20Industrijali%2C%20Bulebel%20%2C%0AZejtun%2C%20Malta%20ZTN%203000" TargetMode="External" Id="rId649" /><Relationship Type="http://schemas.openxmlformats.org/officeDocument/2006/relationships/hyperlink" Target="https://www.google.com/maps/search/?api=1&amp;query=6%20Triq%20Alessju%20Xuereb%20%2C%0ASan%20Gwann%2C%20Malta%20SGN%203057" TargetMode="External" Id="rId650" /><Relationship Type="http://schemas.openxmlformats.org/officeDocument/2006/relationships/hyperlink" Target="https://www.google.com/maps/search/?api=1&amp;query=22%2C%20Triq%20Sant%E2%80%99%20Elija%20%2C%0AB%E2%80%99Kara%2C%20Malta%20BKR%202064" TargetMode="External" Id="rId651" /><Relationship Type="http://schemas.openxmlformats.org/officeDocument/2006/relationships/hyperlink" Target="https://www.google.com/maps/search/?api=1&amp;query=12%20Triq%20il-Hammieri%20%2C%0AQormi%2C%20Malta" TargetMode="External" Id="rId652" /><Relationship Type="http://schemas.openxmlformats.org/officeDocument/2006/relationships/hyperlink" Target="https://www.google.com/maps/search/?api=1&amp;query=Triq%20il-Kostituzzjoni%20%2C%0AMosta%2C%20Malta%20MST%209050" TargetMode="External" Id="rId653" /><Relationship Type="http://schemas.openxmlformats.org/officeDocument/2006/relationships/hyperlink" Target="https://www.google.com/maps/search/?api=1&amp;query=220%20Triq%20in-Naxxar%20%2C%0ASan%20Gwann%2C%20Malta%20SGN%209030" TargetMode="External" Id="rId654" /><Relationship Type="http://schemas.openxmlformats.org/officeDocument/2006/relationships/hyperlink" Target="https://www.google.com/maps/search/?api=1&amp;query=60%2C%20Triq%20Dun%20Filippo%20Calleja%20%2C%0AZebbug%2C%20Malta" TargetMode="External" Id="rId655" /><Relationship Type="http://schemas.openxmlformats.org/officeDocument/2006/relationships/hyperlink" Target="https://www.google.com/maps/search/?api=1&amp;query=Eucharistic%20Congress%20Road%2C%20Mosta%2C%20Malta" TargetMode="External" Id="rId656" /><Relationship Type="http://schemas.openxmlformats.org/officeDocument/2006/relationships/hyperlink" Target="https://flamingo.com.mt" TargetMode="External" Id="rId657" /><Relationship Type="http://schemas.openxmlformats.org/officeDocument/2006/relationships/hyperlink" Target="https://washingmachinesmalta.com" TargetMode="External" Id="rId658" /><Relationship Type="http://schemas.openxmlformats.org/officeDocument/2006/relationships/hyperlink" Target="https://topchoice.com.mt" TargetMode="External" Id="rId659" /><Relationship Type="http://schemas.openxmlformats.org/officeDocument/2006/relationships/hyperlink" Target="https://petroni.com.mt" TargetMode="External" Id="rId660" /><Relationship Type="http://schemas.openxmlformats.org/officeDocument/2006/relationships/hyperlink" Target="https://teckline.com.mt" TargetMode="External" Id="rId661" /><Relationship Type="http://schemas.openxmlformats.org/officeDocument/2006/relationships/hyperlink" Target="https://soundmachine.com.mt" TargetMode="External" Id="rId662" /><Relationship Type="http://schemas.openxmlformats.org/officeDocument/2006/relationships/hyperlink" Target="https://kcl.com.m" TargetMode="External" Id="rId663" /><Relationship Type="http://schemas.openxmlformats.org/officeDocument/2006/relationships/hyperlink" Target="https://jshousehold.com" TargetMode="External" Id="rId664" /><Relationship Type="http://schemas.openxmlformats.org/officeDocument/2006/relationships/hyperlink" Target="https://hotpointmalta.com" TargetMode="External" Id="rId665" /><Relationship Type="http://schemas.openxmlformats.org/officeDocument/2006/relationships/hyperlink" Target="https://lava.mt" TargetMode="External" Id="rId666" /><Relationship Type="http://schemas.openxmlformats.org/officeDocument/2006/relationships/hyperlink" Target="https://crosscraft.com.mt" TargetMode="External" Id="rId667" /><Relationship Type="http://schemas.openxmlformats.org/officeDocument/2006/relationships/hyperlink" Target="https://audiomalta.com" TargetMode="External" Id="rId668" /><Relationship Type="http://schemas.openxmlformats.org/officeDocument/2006/relationships/hyperlink" Target="https://electrofixgroup.com/" TargetMode="External" Id="rId669" /><Relationship Type="http://schemas.openxmlformats.org/officeDocument/2006/relationships/hyperlink" Target="https://atoz.com.mt" TargetMode="External" Id="rId670" /><Relationship Type="http://schemas.openxmlformats.org/officeDocument/2006/relationships/hyperlink" Target="https://forestals.com" TargetMode="External" Id="rId671" /><Relationship Type="http://schemas.openxmlformats.org/officeDocument/2006/relationships/hyperlink" Target="https://venturamalta.com" TargetMode="External" Id="rId67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hyperlink" Target="MAILTO:adriangrech@venturamalta.com" TargetMode="External" Id="rId673" /><Relationship Type="http://schemas.openxmlformats.org/officeDocument/2006/relationships/hyperlink" Target="MAILTO:info@forestals.com" TargetMode="External" Id="rId674" /><Relationship Type="http://schemas.openxmlformats.org/officeDocument/2006/relationships/hyperlink" Target="MAILTO:info@atoz.com.mt" TargetMode="External" Id="rId675" /><Relationship Type="http://schemas.openxmlformats.org/officeDocument/2006/relationships/hyperlink" Target="MAILTO:info@crosscraft.com.mt" TargetMode="External" Id="rId676" /><Relationship Type="http://schemas.openxmlformats.org/officeDocument/2006/relationships/hyperlink" Target="MAILTO:customercare@homemate.com.mt" TargetMode="External" Id="rId677" /><Relationship Type="http://schemas.openxmlformats.org/officeDocument/2006/relationships/hyperlink" Target="MAILTO:info@hotpointmalta.com" TargetMode="External" Id="rId678" /><Relationship Type="http://schemas.openxmlformats.org/officeDocument/2006/relationships/hyperlink" Target="MAILTO:info@kcl.com.mt" TargetMode="External" Id="rId679" /><Relationship Type="http://schemas.openxmlformats.org/officeDocument/2006/relationships/hyperlink" Target="MAILTO:info@soundmachine.com.mt" TargetMode="External" Id="rId680" /><Relationship Type="http://schemas.openxmlformats.org/officeDocument/2006/relationships/hyperlink" Target="MAILTO:info@petroni.com.mt" TargetMode="External" Id="rId681" /><Relationship Type="http://schemas.openxmlformats.org/officeDocument/2006/relationships/hyperlink" Target="MAILTO:info@topchoice.com.mt" TargetMode="External" Id="rId682" /><Relationship Type="http://schemas.openxmlformats.org/officeDocument/2006/relationships/hyperlink" Target="MAILTO:info@flamingo.com.mt" TargetMode="External" Id="rId683" /><Relationship Type="http://schemas.openxmlformats.org/officeDocument/2006/relationships/hyperlink" Target="MAILTO:info@vitelmalta.com" TargetMode="External" Id="rId684" /><Relationship Type="http://schemas.openxmlformats.org/officeDocument/2006/relationships/hyperlink" Target="MAILTO:info@triplea.mt" TargetMode="External" Id="rId685" /><Relationship Type="http://schemas.openxmlformats.org/officeDocument/2006/relationships/hyperlink" Target="MAILTO:paulsonmalta@gmail.com" TargetMode="External" Id="rId686" /><Relationship Type="http://schemas.openxmlformats.org/officeDocument/2006/relationships/hyperlink" Target="MAILTO:info@prochimps.com" TargetMode="External" Id="rId687" /><Relationship Type="http://schemas.openxmlformats.org/officeDocument/2006/relationships/hyperlink" Target="https://www.google.com/maps/search/?api=1&amp;query=BLB%20021%20Qasam%20Industrijali%2C%20Bulebel%20%2C%0AZejtun%2C%20Malta%20ZTN%203000" TargetMode="External" Id="rId688" /><Relationship Type="http://schemas.openxmlformats.org/officeDocument/2006/relationships/hyperlink" Target="https://www.google.com/maps/search/?api=1&amp;query=Mrie%C4%A7el%20Bypass%2C%20Birkirkara%2C%20Malta" TargetMode="External" Id="rId689" /><Relationship Type="http://schemas.openxmlformats.org/officeDocument/2006/relationships/hyperlink" Target="https://www.google.com/maps/search/?api=1&amp;query=Valley%20Road%2C%20Msida%2C%20Malta" TargetMode="External" Id="rId690" /><Relationship Type="http://schemas.openxmlformats.org/officeDocument/2006/relationships/hyperlink" Target="https://www.google.com/maps/search/?api=1&amp;query=Mriehel%20Bypass%2C%20Qormi%2C%20Malta" TargetMode="External" Id="rId691" /><Relationship Type="http://schemas.openxmlformats.org/officeDocument/2006/relationships/hyperlink" Target="https://www.google.com/maps/search/?api=1&amp;query=Mriehel" TargetMode="External" Id="rId692" /><Relationship Type="http://schemas.openxmlformats.org/officeDocument/2006/relationships/hyperlink" Target="https://www.google.com/maps/search/?api=1&amp;query=Valley%20Road%2C%20Birkirkara%20BKR9010%2C%20Malta" TargetMode="External" Id="rId693" /><Relationship Type="http://schemas.openxmlformats.org/officeDocument/2006/relationships/hyperlink" Target="https://www.google.com/maps/search/?api=1&amp;query=22%2C%20Triq%20Sant%27%20Elija%2C%20Birkirkara%2C%20Fleur-De-Lys%2C%20Malta%20BKR%204942" TargetMode="External" Id="rId694" /><Relationship Type="http://schemas.openxmlformats.org/officeDocument/2006/relationships/hyperlink" Target="https://www.google.com/maps/search/?api=1&amp;query=Psaila%20Street%2C%20Birkirkara%2C%20Malta" TargetMode="External" Id="rId695" /><Relationship Type="http://schemas.openxmlformats.org/officeDocument/2006/relationships/hyperlink" Target="https://www.google.com/maps/search/?api=1&amp;query=Msida%2C%20Malta" TargetMode="External" Id="rId696" /><Relationship Type="http://schemas.openxmlformats.org/officeDocument/2006/relationships/hyperlink" Target="https://www.google.com/maps/search/?api=1&amp;query=Il-%C4%A6amrun%20y%20San%20Pawl%20il-Ba%C4%A7ar%2C%20Malta" TargetMode="External" Id="rId697" /><Relationship Type="http://schemas.openxmlformats.org/officeDocument/2006/relationships/hyperlink" Target="https://www.google.com/maps/search/?api=1&amp;query=Mrie%C4%A7el%2C%20Malta" TargetMode="External" Id="rId698" /><Relationship Type="http://schemas.openxmlformats.org/officeDocument/2006/relationships/hyperlink" Target="https://www.google.com/maps/search/?api=1&amp;query=Triq%20R.%20Caruana%20Dingli%20San%20Gwann%2C%20SGN%201035%20Malta." TargetMode="External" Id="rId699" /><Relationship Type="http://schemas.openxmlformats.org/officeDocument/2006/relationships/hyperlink" Target="https://www.google.com/maps/search/?api=1&amp;query=Triple%20A%20Luqa%0A1%2C%20St.%20Thomas%20Street%2C%2C%20%C4%A6al%20Luqa%20LQA%209031" TargetMode="External" Id="rId700" /><Relationship Type="http://schemas.openxmlformats.org/officeDocument/2006/relationships/hyperlink" Target="https://www.google.com/maps/search/?api=1&amp;query=Paulson%20Home%20%26%20Hi-Fi%20Centre%2C%0ABir%20Deheb%20Road%2C%20Zejtun%2C%0AMalta" TargetMode="External" Id="rId701" /><Relationship Type="http://schemas.openxmlformats.org/officeDocument/2006/relationships/hyperlink" Target="https://www.google.com/maps/search/?api=1&amp;query=Santa%20Venera%2C%20Canon%20Road%2C%20Malta" TargetMode="External" Id="rId702" /><Relationship Type="http://schemas.openxmlformats.org/officeDocument/2006/relationships/hyperlink" Target="https://venturamalta.com" TargetMode="External" Id="rId703" /><Relationship Type="http://schemas.openxmlformats.org/officeDocument/2006/relationships/hyperlink" Target="https://forestals.com" TargetMode="External" Id="rId704" /><Relationship Type="http://schemas.openxmlformats.org/officeDocument/2006/relationships/hyperlink" Target="https://atoz.com.mt" TargetMode="External" Id="rId705" /><Relationship Type="http://schemas.openxmlformats.org/officeDocument/2006/relationships/hyperlink" Target="https://crosscraft.com.mt" TargetMode="External" Id="rId706" /><Relationship Type="http://schemas.openxmlformats.org/officeDocument/2006/relationships/hyperlink" Target="https://homemate.com.mt/product/midea-free-standing-tumble-dryer-white-10kg-a-class" TargetMode="External" Id="rId707" /><Relationship Type="http://schemas.openxmlformats.org/officeDocument/2006/relationships/hyperlink" Target="https://hotpointmalta.com" TargetMode="External" Id="rId708" /><Relationship Type="http://schemas.openxmlformats.org/officeDocument/2006/relationships/hyperlink" Target="https://kcl.com.m" TargetMode="External" Id="rId709" /><Relationship Type="http://schemas.openxmlformats.org/officeDocument/2006/relationships/hyperlink" Target="https://soundmachine.com.mt" TargetMode="External" Id="rId710" /><Relationship Type="http://schemas.openxmlformats.org/officeDocument/2006/relationships/hyperlink" Target="https://petroni.com.mt" TargetMode="External" Id="rId711" /><Relationship Type="http://schemas.openxmlformats.org/officeDocument/2006/relationships/hyperlink" Target="https://topchoice.com.mt" TargetMode="External" Id="rId712" /><Relationship Type="http://schemas.openxmlformats.org/officeDocument/2006/relationships/hyperlink" Target="https://flamingo.com.mt" TargetMode="External" Id="rId713" /><Relationship Type="http://schemas.openxmlformats.org/officeDocument/2006/relationships/hyperlink" Target="https://vitelmalta.com/shop/domestic-appliances/laundry-appliances/tumble-dryers/keen-tumble-dryer-10kg-dhb1053ba/" TargetMode="External" Id="rId714" /><Relationship Type="http://schemas.openxmlformats.org/officeDocument/2006/relationships/hyperlink" Target="https://triplea.mt/contactus" TargetMode="External" Id="rId715" /><Relationship Type="http://schemas.openxmlformats.org/officeDocument/2006/relationships/hyperlink" Target="https://paulson.com.mt/en/shop/webshop/683/concorde-10kg-tumble-dryer---condenser" TargetMode="External" Id="rId716" /><Relationship Type="http://schemas.openxmlformats.org/officeDocument/2006/relationships/hyperlink" Target="https://prochimps.com/collections/tumble-dryer" TargetMode="External" Id="rId71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hyperlink" Target="MAILTO:info@melibugeja.com.mt" TargetMode="External" Id="rId718" /><Relationship Type="http://schemas.openxmlformats.org/officeDocument/2006/relationships/hyperlink" Target="MAILTO:sales@summit.com.mt" TargetMode="External" Id="rId719" /><Relationship Type="http://schemas.openxmlformats.org/officeDocument/2006/relationships/hyperlink" Target="MAILTO:cagypsum@onvol.net" TargetMode="External" Id="rId720" /><Relationship Type="http://schemas.openxmlformats.org/officeDocument/2006/relationships/hyperlink" Target="MAILTO:dgypsumandlights@gmail.com" TargetMode="External" Id="rId721" /><Relationship Type="http://schemas.openxmlformats.org/officeDocument/2006/relationships/hyperlink" Target="MAILTO:grantgypsumwork@gmail.com" TargetMode="External" Id="rId722" /><Relationship Type="http://schemas.openxmlformats.org/officeDocument/2006/relationships/hyperlink" Target="MAILTO:gplusgypsum@gmail.com" TargetMode="External" Id="rId723" /><Relationship Type="http://schemas.openxmlformats.org/officeDocument/2006/relationships/hyperlink" Target="MAILTO:buffamalta@t4bservices.com" TargetMode="External" Id="rId724" /><Relationship Type="http://schemas.openxmlformats.org/officeDocument/2006/relationships/hyperlink" Target="MAILTO:pjgypsumworks@gmail.com" TargetMode="External" Id="rId725" /><Relationship Type="http://schemas.openxmlformats.org/officeDocument/2006/relationships/hyperlink" Target="MAILTO:pchircop76@gmail.com" TargetMode="External" Id="rId726" /><Relationship Type="http://schemas.openxmlformats.org/officeDocument/2006/relationships/hyperlink" Target="MAILTO:grimainteriors@hotmail.com" TargetMode="External" Id="rId727" /><Relationship Type="http://schemas.openxmlformats.org/officeDocument/2006/relationships/hyperlink" Target="MAILTO:donovanplastermalta@gmail.com" TargetMode="External" Id="rId728" /><Relationship Type="http://schemas.openxmlformats.org/officeDocument/2006/relationships/hyperlink" Target="MAILTO:jattard@jcrimports.com.mt" TargetMode="External" Id="rId729" /><Relationship Type="http://schemas.openxmlformats.org/officeDocument/2006/relationships/hyperlink" Target="MAILTO:info@ceilingsandwalls.com.mt" TargetMode="External" Id="rId730" /><Relationship Type="http://schemas.openxmlformats.org/officeDocument/2006/relationships/hyperlink" Target="MAILTO:info@bitmacltd.com" TargetMode="External" Id="rId731" /><Relationship Type="http://schemas.openxmlformats.org/officeDocument/2006/relationships/hyperlink" Target="MAILTO:info@mbfmalta.com" TargetMode="External" Id="rId732" /><Relationship Type="http://schemas.openxmlformats.org/officeDocument/2006/relationships/hyperlink" Target="MAILTO:info@grfmalta.com" TargetMode="External" Id="rId733" /><Relationship Type="http://schemas.openxmlformats.org/officeDocument/2006/relationships/hyperlink" Target="MAILTO:oandmgypsum.com@gmail.com" TargetMode="External" Id="rId734" /><Relationship Type="http://schemas.openxmlformats.org/officeDocument/2006/relationships/hyperlink" Target="MAILTO:Info@perfectum.mt" TargetMode="External" Id="rId735" /><Relationship Type="http://schemas.openxmlformats.org/officeDocument/2006/relationships/hyperlink" Target="MAILTO:alex@gad.com.mt" TargetMode="External" Id="rId736" /><Relationship Type="http://schemas.openxmlformats.org/officeDocument/2006/relationships/hyperlink" Target="MAILTO:xil@xuerebinstall.com" TargetMode="External" Id="rId737" /><Relationship Type="http://schemas.openxmlformats.org/officeDocument/2006/relationships/hyperlink" Target="MAILTO:josephgiordano54@gmail.com" TargetMode="External" Id="rId738" /><Relationship Type="http://schemas.openxmlformats.org/officeDocument/2006/relationships/hyperlink" Target="MAILTO:lukeattard89@gmail.com" TargetMode="External" Id="rId739" /><Relationship Type="http://schemas.openxmlformats.org/officeDocument/2006/relationships/hyperlink" Target="https://www.google.com/maps/search/?api=1&amp;query=Xwieki%20Road%2C%20Triq%20Tal-Balal%2C%20Tal-Balal%2C%20Iklin%2C%20IKL%209013%2C%20Malta" TargetMode="External" Id="rId740" /><Relationship Type="http://schemas.openxmlformats.org/officeDocument/2006/relationships/hyperlink" Target="https://www.google.com/maps/search/?api=1&amp;query=107%2C%20Triq%20L-Istadju%2C%20Gzira%2C%20GZR%201301%2C%20Malta" TargetMode="External" Id="rId741" /><Relationship Type="http://schemas.openxmlformats.org/officeDocument/2006/relationships/hyperlink" Target="https://www.google.com/maps/search/?api=1&amp;query=Triq%20Hal%20Tarxien%2C%20Il-Gudja%2C%20Malta" TargetMode="External" Id="rId742" /><Relationship Type="http://schemas.openxmlformats.org/officeDocument/2006/relationships/hyperlink" Target="https://www.google.com/maps/search/?api=1&amp;query=13%2C%20Triq%20Ignazio%20Saverio%20Mifsud%2C%20Birkirkara%2C%20BKR1017%2C%20Malta" TargetMode="External" Id="rId743" /><Relationship Type="http://schemas.openxmlformats.org/officeDocument/2006/relationships/hyperlink" Target="https://www.google.com/maps/search/?api=1&amp;query=43%2C%20Triq%20Qrajten%2C%20Tal-Pieta%27%2C%20Malta" TargetMode="External" Id="rId744" /><Relationship Type="http://schemas.openxmlformats.org/officeDocument/2006/relationships/hyperlink" Target="https://www.google.com/maps/search/?api=1&amp;query=Valletta%20Road%2C%20Qormi%20%28frente%20a%20Maltapost%29%2C%20Malta" TargetMode="External" Id="rId745" /><Relationship Type="http://schemas.openxmlformats.org/officeDocument/2006/relationships/hyperlink" Target="https://www.google.com/maps/search/?api=1&amp;query=94%2C%20Emmant%2C%20Triq%20Salvu%20Aquilina%2C%20Mosta%2C%20MST%203162%2C%20Malta" TargetMode="External" Id="rId746" /><Relationship Type="http://schemas.openxmlformats.org/officeDocument/2006/relationships/hyperlink" Target="https://www.google.com/maps/search/?api=1&amp;query=Marsaxlokk%2C%20Malta" TargetMode="External" Id="rId747" /><Relationship Type="http://schemas.openxmlformats.org/officeDocument/2006/relationships/hyperlink" Target="https://www.google.com/maps/search/?api=1&amp;query=Triq%20Luret%20Cutajar%2C%20%C4%A6a%C5%BC-%C5%BBebbu%C4%A1%20ZBG%20273%2C%20Malta" TargetMode="External" Id="rId748" /><Relationship Type="http://schemas.openxmlformats.org/officeDocument/2006/relationships/hyperlink" Target="https://www.google.com/maps/search/?api=1&amp;query=49%20Triq%20Spadaro%2C%20%C4%A6a%C5%BC-%C5%BBabbar%2C%20Malta" TargetMode="External" Id="rId749" /><Relationship Type="http://schemas.openxmlformats.org/officeDocument/2006/relationships/hyperlink" Target="https://www.google.com/maps/search/?api=1&amp;query=Triq%20In-Negozju%2C%20Mrie%C4%A7el%2C%20Birkirkara%20BKR%203000%2C%20Malta" TargetMode="External" Id="rId750" /><Relationship Type="http://schemas.openxmlformats.org/officeDocument/2006/relationships/hyperlink" Target="https://www.google.com/maps/search/?api=1&amp;query=27%20Triq%20Il-Vittmi%20Tax-Xog%C4%A7ol%2C%20Paola%2C%20Malta" TargetMode="External" Id="rId751" /><Relationship Type="http://schemas.openxmlformats.org/officeDocument/2006/relationships/hyperlink" Target="https://www.google.com/maps/search/?api=1&amp;query=Triq%20Tal-Balal%2C%20San%20%C4%A0wann%2C%20Malta" TargetMode="External" Id="rId752" /><Relationship Type="http://schemas.openxmlformats.org/officeDocument/2006/relationships/hyperlink" Target="https://www.google.com/maps/search/?api=1&amp;query=Riviera%20Court%2F2%2C%20Triq%20Forrest%2C%20San%20%C4%A0iljan%2C%20Malta" TargetMode="External" Id="rId753" /><Relationship Type="http://schemas.openxmlformats.org/officeDocument/2006/relationships/hyperlink" Target="https://www.google.com/maps/search/?api=1&amp;query=117%20Triq%20L-Assemblea%20Nazzjonali%2C%0ASan%20Gwann%20SGN%203034%2C%20Malta" TargetMode="External" Id="rId754" /><Relationship Type="http://schemas.openxmlformats.org/officeDocument/2006/relationships/hyperlink" Target="https://www.google.com/maps/search/?api=1&amp;query=69%2C%20Triq%20John%20Borg%2C%20Birkirkara%2C%20Malta%20BKR%201284" TargetMode="External" Id="rId755" /><Relationship Type="http://schemas.openxmlformats.org/officeDocument/2006/relationships/hyperlink" Target="https://www.google.com/maps/search/?api=1&amp;query=Valletta%2C%20Malta" TargetMode="External" Id="rId756" /><Relationship Type="http://schemas.openxmlformats.org/officeDocument/2006/relationships/hyperlink" Target="https://www.google.com/maps/search/?api=1&amp;query=21%2C%20Triq%20Gellewza%20Sewda%2C%0AMidland%20Park%2C%20D7%0ABurmarrad%20Road%2C%20Burmarrad%20LO%20Naxxar%0AMalta" TargetMode="External" Id="rId757" /><Relationship Type="http://schemas.openxmlformats.org/officeDocument/2006/relationships/hyperlink" Target="https://www.google.com/maps/search/?api=1&amp;query=Xuereb%20Installations%20Ltd.%20Tal-Hlas%20Road%2C%20Qormi%20QRM%205011.%20Malta" TargetMode="External" Id="rId758" /><Relationship Type="http://schemas.openxmlformats.org/officeDocument/2006/relationships/hyperlink" Target="https://www.google.com/maps/search/?api=1&amp;query=Hal%20Mula%20Street%2C%20Garage%20number%205." TargetMode="External" Id="rId759" /><Relationship Type="http://schemas.openxmlformats.org/officeDocument/2006/relationships/hyperlink" Target="https://melibugeja.com.mt" TargetMode="External" Id="rId760" /><Relationship Type="http://schemas.openxmlformats.org/officeDocument/2006/relationships/hyperlink" Target="https://summit.com.mt" TargetMode="External" Id="rId761" /><Relationship Type="http://schemas.openxmlformats.org/officeDocument/2006/relationships/hyperlink" Target="https://cagypsummalta.com" TargetMode="External" Id="rId762" /><Relationship Type="http://schemas.openxmlformats.org/officeDocument/2006/relationships/hyperlink" Target="https://dgypsumworks.com" TargetMode="External" Id="rId763" /><Relationship Type="http://schemas.openxmlformats.org/officeDocument/2006/relationships/hyperlink" Target="https://grantsgypsumwork.com" TargetMode="External" Id="rId764" /><Relationship Type="http://schemas.openxmlformats.org/officeDocument/2006/relationships/hyperlink" Target="https://pjgypsumworks.com" TargetMode="External" Id="rId765" /><Relationship Type="http://schemas.openxmlformats.org/officeDocument/2006/relationships/hyperlink" Target="https://summit.com.mt" TargetMode="External" Id="rId766" /><Relationship Type="http://schemas.openxmlformats.org/officeDocument/2006/relationships/hyperlink" Target="https://grimainteriors.com" TargetMode="External" Id="rId767" /><Relationship Type="http://schemas.openxmlformats.org/officeDocument/2006/relationships/hyperlink" Target="https://donovan-plastering.com" TargetMode="External" Id="rId768" /><Relationship Type="http://schemas.openxmlformats.org/officeDocument/2006/relationships/hyperlink" Target="https://jcrimports.com.mt" TargetMode="External" Id="rId769" /><Relationship Type="http://schemas.openxmlformats.org/officeDocument/2006/relationships/hyperlink" Target="https://ceilingsandwalls.com.mt" TargetMode="External" Id="rId770" /><Relationship Type="http://schemas.openxmlformats.org/officeDocument/2006/relationships/hyperlink" Target="https://bitmacltd.com/" TargetMode="External" Id="rId771" /><Relationship Type="http://schemas.openxmlformats.org/officeDocument/2006/relationships/hyperlink" Target="https://mbfmalta.com" TargetMode="External" Id="rId772" /><Relationship Type="http://schemas.openxmlformats.org/officeDocument/2006/relationships/hyperlink" Target="https://grfmalta.com/" TargetMode="External" Id="rId773" /><Relationship Type="http://schemas.openxmlformats.org/officeDocument/2006/relationships/hyperlink" Target="https://findit.com.mt/en/directory/listings/441/oandampm-gypsum-malta.htm" TargetMode="External" Id="rId774" /><Relationship Type="http://schemas.openxmlformats.org/officeDocument/2006/relationships/hyperlink" Target="https://facebook.com/perfectummt/" TargetMode="External" Id="rId775" /><Relationship Type="http://schemas.openxmlformats.org/officeDocument/2006/relationships/hyperlink" Target="https://gad.com.mt/" TargetMode="External" Id="rId776" /><Relationship Type="http://schemas.openxmlformats.org/officeDocument/2006/relationships/hyperlink" Target="https://xuerebinstall.com/" TargetMode="External" Id="rId777" /><Relationship Type="http://schemas.openxmlformats.org/officeDocument/2006/relationships/hyperlink" Target="https://josephgiordano54.wixsite.com/josephgiordano" TargetMode="External" Id="rId778" /><Relationship Type="http://schemas.openxmlformats.org/officeDocument/2006/relationships/hyperlink" Target="https://facebook.com/profile.php?id=61560664902130" TargetMode="External" Id="rId77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hyperlink" Target="MAILTO:marketing@crcmalta.com" TargetMode="External" Id="rId780" /><Relationship Type="http://schemas.openxmlformats.org/officeDocument/2006/relationships/hyperlink" Target="MAILTO:qualitypostform@gmail.com" TargetMode="External" Id="rId781" /><Relationship Type="http://schemas.openxmlformats.org/officeDocument/2006/relationships/hyperlink" Target="MAILTO:sales@probuildmalta.com" TargetMode="External" Id="rId782" /><Relationship Type="http://schemas.openxmlformats.org/officeDocument/2006/relationships/hyperlink" Target="MAILTO:sales@bsl-lifestyles.com" TargetMode="External" Id="rId783" /><Relationship Type="http://schemas.openxmlformats.org/officeDocument/2006/relationships/hyperlink" Target="MAILTO:info@devalier.com.mt" TargetMode="External" Id="rId784" /><Relationship Type="http://schemas.openxmlformats.org/officeDocument/2006/relationships/hyperlink" Target="MAILTO:xil@xuerebinstall.com" TargetMode="External" Id="rId785" /><Relationship Type="http://schemas.openxmlformats.org/officeDocument/2006/relationships/hyperlink" Target="MAILTO:info@trendsltdmalta.com" TargetMode="External" Id="rId786" /><Relationship Type="http://schemas.openxmlformats.org/officeDocument/2006/relationships/hyperlink" Target="MAILTO:sales@dimech-ent.com" TargetMode="External" Id="rId787" /><Relationship Type="http://schemas.openxmlformats.org/officeDocument/2006/relationships/hyperlink" Target="MAILTO:sales@shaker.com.mt" TargetMode="External" Id="rId788" /><Relationship Type="http://schemas.openxmlformats.org/officeDocument/2006/relationships/hyperlink" Target="MAILTO:sales@jialifucn.com" TargetMode="External" Id="rId789" /><Relationship Type="http://schemas.openxmlformats.org/officeDocument/2006/relationships/hyperlink" Target="https://crcmalta.com/shop/category/partitions-cubicles-for-showers-or-w-cs-656" TargetMode="External" Id="rId790" /><Relationship Type="http://schemas.openxmlformats.org/officeDocument/2006/relationships/hyperlink" Target="https://qualitypostform.com/en/products/products/21/algonquin-anti-vandal-cubicles" TargetMode="External" Id="rId791" /><Relationship Type="http://schemas.openxmlformats.org/officeDocument/2006/relationships/hyperlink" Target="https://probuildmalta.com/" TargetMode="External" Id="rId792" /><Relationship Type="http://schemas.openxmlformats.org/officeDocument/2006/relationships/hyperlink" Target="https://bsl-lifestyles.com/product-category/partitions-panels/?offset=4" TargetMode="External" Id="rId793" /><Relationship Type="http://schemas.openxmlformats.org/officeDocument/2006/relationships/hyperlink" Target="https://dv.mt/showroom-category/office-partitions/" TargetMode="External" Id="rId794" /><Relationship Type="http://schemas.openxmlformats.org/officeDocument/2006/relationships/hyperlink" Target="https://xuerebinstall.com/our-service/demountable-partitions/" TargetMode="External" Id="rId795" /><Relationship Type="http://schemas.openxmlformats.org/officeDocument/2006/relationships/hyperlink" Target="https://trendsltdmalta.com/products/commercial-bathrooms/cubicles/" TargetMode="External" Id="rId796" /><Relationship Type="http://schemas.openxmlformats.org/officeDocument/2006/relationships/hyperlink" Target="https://dimech-ent.com/" TargetMode="External" Id="rId797" /><Relationship Type="http://schemas.openxmlformats.org/officeDocument/2006/relationships/hyperlink" Target="https://jialifucn.com/compact-laminate-toilet-partitions/" TargetMode="External" Id="rId79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hyperlink" Target="MAILTO:info@vellabrothersandsons.com" TargetMode="External" Id="rId799" /><Relationship Type="http://schemas.openxmlformats.org/officeDocument/2006/relationships/hyperlink" Target="MAILTO:fardellhonda@gmail.com" TargetMode="External" Id="rId800" /><Relationship Type="http://schemas.openxmlformats.org/officeDocument/2006/relationships/hyperlink" Target="https://www.google.com/maps/search/?api=1&amp;query=TA%27%20DMIEREK%20QUARRY%0Ac%2Fo%20Maghlaq%20Quarry%20-%20Panoramic%20Road%2C%0AQrendi" TargetMode="External" Id="rId801" /><Relationship Type="http://schemas.openxmlformats.org/officeDocument/2006/relationships/hyperlink" Target="https://www.google.com/maps/search/?api=1&amp;query=111-113%20Hompesch%20Road%2C%20Fgura" TargetMode="External" Id="rId802" /><Relationship Type="http://schemas.openxmlformats.org/officeDocument/2006/relationships/hyperlink" Target="https://vellabrothersandsons.com/index.html" TargetMode="External" Id="rId803" /><Relationship Type="http://schemas.openxmlformats.org/officeDocument/2006/relationships/hyperlink" Target="https://fardellhonda.wixsite.com/fardellmaintenance" TargetMode="External" Id="rId80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hyperlink" Target="MAILTO:sales@ennegiltd.com" TargetMode="External" Id="rId805" /><Relationship Type="http://schemas.openxmlformats.org/officeDocument/2006/relationships/hyperlink" Target="MAILTO:storagesys@vol.net.mt" TargetMode="External" Id="rId806" /><Relationship Type="http://schemas.openxmlformats.org/officeDocument/2006/relationships/hyperlink" Target="MAILTO:dario@caravelmalta.com" TargetMode="External" Id="rId807" /><Relationship Type="http://schemas.openxmlformats.org/officeDocument/2006/relationships/hyperlink" Target="MAILTO:info@agps.com.mt" TargetMode="External" Id="rId808" /><Relationship Type="http://schemas.openxmlformats.org/officeDocument/2006/relationships/hyperlink" Target="MAILTO:info@t4bservices.com" TargetMode="External" Id="rId809" /><Relationship Type="http://schemas.openxmlformats.org/officeDocument/2006/relationships/hyperlink" Target="MAILTO:alfen@maltanet.net" TargetMode="External" Id="rId810" /><Relationship Type="http://schemas.openxmlformats.org/officeDocument/2006/relationships/hyperlink" Target="MAILTO:uds@maltanet.net" TargetMode="External" Id="rId811" /><Relationship Type="http://schemas.openxmlformats.org/officeDocument/2006/relationships/hyperlink" Target="MAILTO:info@360rs.com.mt" TargetMode="External" Id="rId812" /><Relationship Type="http://schemas.openxmlformats.org/officeDocument/2006/relationships/hyperlink" Target="MAILTO:info@devaltech.com" TargetMode="External" Id="rId813" /><Relationship Type="http://schemas.openxmlformats.org/officeDocument/2006/relationships/hyperlink" Target="MAILTO:info@devalier.com.mt" TargetMode="External" Id="rId814" /><Relationship Type="http://schemas.openxmlformats.org/officeDocument/2006/relationships/hyperlink" Target="MAILTO:info@metalock.com.mt" TargetMode="External" Id="rId815" /><Relationship Type="http://schemas.openxmlformats.org/officeDocument/2006/relationships/hyperlink" Target="MAILTO:info@ramilenemalta.com" TargetMode="External" Id="rId816" /><Relationship Type="http://schemas.openxmlformats.org/officeDocument/2006/relationships/hyperlink" Target="MAILTO:info@intervisions.com.mt" TargetMode="External" Id="rId817" /><Relationship Type="http://schemas.openxmlformats.org/officeDocument/2006/relationships/hyperlink" Target="MAILTO:info@petroleamalta.com" TargetMode="External" Id="rId818" /><Relationship Type="http://schemas.openxmlformats.org/officeDocument/2006/relationships/hyperlink" Target="MAILTO:sales@scengineering.com.mt" TargetMode="External" Id="rId819" /><Relationship Type="http://schemas.openxmlformats.org/officeDocument/2006/relationships/hyperlink" Target="https://www.google.com/maps/search/?api=1&amp;query=237%2C%20Triq%20Hal%20Qormi%2C%20Marsa%2C%20MRS%209045%2C%20Malta" TargetMode="External" Id="rId820" /><Relationship Type="http://schemas.openxmlformats.org/officeDocument/2006/relationships/hyperlink" Target="https://www.google.com/maps/search/?api=1&amp;query=KW12%2C%20Zona%20Industrijali%20Ta%27%20Kordin%2C%20Coradino%2C%20Paola%2C%20Malta" TargetMode="External" Id="rId821" /><Relationship Type="http://schemas.openxmlformats.org/officeDocument/2006/relationships/hyperlink" Target="https://www.google.com/maps/search/?api=1&amp;query=%E2%80%98Raycop%E2%80%99%2C%20Plot%2013%2F15%2C%20Sqaq%20iz-Ziemel%2C%20Handaq%2C%20Qormi%20QRM-4003%2C%20Malta" TargetMode="External" Id="rId822" /><Relationship Type="http://schemas.openxmlformats.org/officeDocument/2006/relationships/hyperlink" Target="https://www.google.com/maps/search/?api=1&amp;query=Zamco%20Buildings%2C%20Triq%20Il-Mithna%2C%20Hal%20Qormi%2C%20QRM%203103%2C%20Malta" TargetMode="External" Id="rId823" /><Relationship Type="http://schemas.openxmlformats.org/officeDocument/2006/relationships/hyperlink" Target="https://www.google.com/maps/search/?api=1&amp;query=Canter%20Business%20Centre%2C%20Triq%20Patri%20Felicjan%20Bilocca%2C%20Il-Marsa%2C%20Malta" TargetMode="External" Id="rId824" /><Relationship Type="http://schemas.openxmlformats.org/officeDocument/2006/relationships/hyperlink" Target="https://www.google.com/maps/search/?api=1&amp;query=96%2C%20Triq%20Il-Kbira%20San%20Guzepp%2C%20Il-Hamrun%2C%20Malta" TargetMode="External" Id="rId825" /><Relationship Type="http://schemas.openxmlformats.org/officeDocument/2006/relationships/hyperlink" Target="https://www.google.com/maps/search/?api=1&amp;query=Factory%20C%2C%20Triq%20L-Industrija%2C%20Ix-Xewkija%20%28Gozo%29%20XWK%203000%2C%20Malta" TargetMode="External" Id="rId826" /><Relationship Type="http://schemas.openxmlformats.org/officeDocument/2006/relationships/hyperlink" Target="https://www.google.com/maps/search/?api=1&amp;query=360%20Business%20Center%2C%20Mdina%20Road%2C%20%C4%A6a%C5%BC-%C5%BBebbu%C4%A1%2C%20ZBG%209014%2C%20Malta" TargetMode="External" Id="rId827" /><Relationship Type="http://schemas.openxmlformats.org/officeDocument/2006/relationships/hyperlink" Target="https://www.google.com/maps/search/?api=1&amp;query=de%20Valtech%20Building%2C%20San%20Gwakkin%20Street%2C%20Zone%203%2C%20Central%20Businees%20District%2C%20Mriehel%20CBD%203030%20Birkirkara%2C%20Malta" TargetMode="External" Id="rId828" /><Relationship Type="http://schemas.openxmlformats.org/officeDocument/2006/relationships/hyperlink" Target="https://www.google.com/maps/search/?api=1&amp;query=The%20Old%20Factory%2C%20San%20Gwakkin%20str%2C%20Mriehel%2CCentral%20Business%20District%20Birkirkara%20CBD%2C%203030" TargetMode="External" Id="rId829" /><Relationship Type="http://schemas.openxmlformats.org/officeDocument/2006/relationships/hyperlink" Target="https://www.google.com/maps/search/?api=1&amp;query=The%20Hillock%20-%20Block%20North%20C%208%2C%20Triq%20Il-Qolla%20S-Safra%2C%20Marsalforn%2C%20MFN%201405%2C%20Gozo" TargetMode="External" Id="rId830" /><Relationship Type="http://schemas.openxmlformats.org/officeDocument/2006/relationships/hyperlink" Target="https://www.google.com/maps/search/?api=1&amp;query=50%2F51%2C%20Triq%20It-Torri%2C%20Birkirkara%2C%20Is-Swatar%2C%20Malta%20BKR%204011" TargetMode="External" Id="rId831" /><Relationship Type="http://schemas.openxmlformats.org/officeDocument/2006/relationships/hyperlink" Target="https://www.google.com/maps/search/?api=1&amp;query=Hard%20Rocks%20Industrial%20Park%2C%20Triq%20Burmarrad%2C%20Naxxar%2C%20Malta%20NXR%206345" TargetMode="External" Id="rId832" /><Relationship Type="http://schemas.openxmlformats.org/officeDocument/2006/relationships/hyperlink" Target="https://www.google.com/maps/search/?api=1&amp;query=Valley%20Road%2C%20Msida%2C%20Malta" TargetMode="External" Id="rId833" /><Relationship Type="http://schemas.openxmlformats.org/officeDocument/2006/relationships/hyperlink" Target="https://www.google.com/maps/search/?api=1&amp;query=322%2C%20Qasam%20Industrijali%20Ta%27%20Hal%20Luqa%20Hal%20Luqa%2C%20Malta" TargetMode="External" Id="rId834" /><Relationship Type="http://schemas.openxmlformats.org/officeDocument/2006/relationships/hyperlink" Target="https://ennegiltd.com" TargetMode="External" Id="rId835" /><Relationship Type="http://schemas.openxmlformats.org/officeDocument/2006/relationships/hyperlink" Target="https://storagesystems.com.mt" TargetMode="External" Id="rId836" /><Relationship Type="http://schemas.openxmlformats.org/officeDocument/2006/relationships/hyperlink" Target="https://caravelmalta.com" TargetMode="External" Id="rId837" /><Relationship Type="http://schemas.openxmlformats.org/officeDocument/2006/relationships/hyperlink" Target="https://agps.com.mt" TargetMode="External" Id="rId838" /><Relationship Type="http://schemas.openxmlformats.org/officeDocument/2006/relationships/hyperlink" Target="https://t4bservices.com" TargetMode="External" Id="rId839" /><Relationship Type="http://schemas.openxmlformats.org/officeDocument/2006/relationships/hyperlink" Target="https://alfendisplays.com" TargetMode="External" Id="rId840" /><Relationship Type="http://schemas.openxmlformats.org/officeDocument/2006/relationships/hyperlink" Target="https://udsmalta.com" TargetMode="External" Id="rId841" /><Relationship Type="http://schemas.openxmlformats.org/officeDocument/2006/relationships/hyperlink" Target="https://360retailsupplies.com" TargetMode="External" Id="rId842" /><Relationship Type="http://schemas.openxmlformats.org/officeDocument/2006/relationships/hyperlink" Target="https://dv.mt/de-valtech/" TargetMode="External" Id="rId843" /><Relationship Type="http://schemas.openxmlformats.org/officeDocument/2006/relationships/hyperlink" Target="https://dv.mt/" TargetMode="External" Id="rId844" /><Relationship Type="http://schemas.openxmlformats.org/officeDocument/2006/relationships/hyperlink" Target="https://metalock.com.mt" TargetMode="External" Id="rId845" /><Relationship Type="http://schemas.openxmlformats.org/officeDocument/2006/relationships/hyperlink" Target="https://ramilenemalta.com/" TargetMode="External" Id="rId846" /><Relationship Type="http://schemas.openxmlformats.org/officeDocument/2006/relationships/hyperlink" Target="https://intervisions.com.mt" TargetMode="External" Id="rId847" /><Relationship Type="http://schemas.openxmlformats.org/officeDocument/2006/relationships/hyperlink" Target="https://petroleamalta.com" TargetMode="External" Id="rId848" /><Relationship Type="http://schemas.openxmlformats.org/officeDocument/2006/relationships/hyperlink" Target="https://scengineering.com.mt/" TargetMode="External" Id="rId84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hyperlink" Target="MAILTO:info@unicare.com.mt" TargetMode="External" Id="rId850" /><Relationship Type="http://schemas.openxmlformats.org/officeDocument/2006/relationships/hyperlink" Target="MAILTO:info@edusell.com.mt" TargetMode="External" Id="rId851" /><Relationship Type="http://schemas.openxmlformats.org/officeDocument/2006/relationships/hyperlink" Target="MAILTO:info@noriva.com.mt" TargetMode="External" Id="rId852" /><Relationship Type="http://schemas.openxmlformats.org/officeDocument/2006/relationships/hyperlink" Target="MAILTO:info@aim.com.mt" TargetMode="External" Id="rId853" /><Relationship Type="http://schemas.openxmlformats.org/officeDocument/2006/relationships/hyperlink" Target="MAILTO:info@tjnovelty.com" TargetMode="External" Id="rId854" /><Relationship Type="http://schemas.openxmlformats.org/officeDocument/2006/relationships/hyperlink" Target="https://www.google.com/maps/search/?api=1&amp;query=Birkirkara%2C%20Malta" TargetMode="External" Id="rId855" /><Relationship Type="http://schemas.openxmlformats.org/officeDocument/2006/relationships/hyperlink" Target="https://www.google.com/maps/search/?api=1&amp;query=Hamrun%2C%20Malta" TargetMode="External" Id="rId856" /><Relationship Type="http://schemas.openxmlformats.org/officeDocument/2006/relationships/hyperlink" Target="https://www.google.com/maps/search/?api=1&amp;query=mosta%20%2Cmalta" TargetMode="External" Id="rId857" /><Relationship Type="http://schemas.openxmlformats.org/officeDocument/2006/relationships/hyperlink" Target="https://www.google.com/maps/search/?api=1&amp;query=54%20telghet%20rahal%20gdid%2CPAOLA%2CMALTA%2CPLA%201706" TargetMode="External" Id="rId858" /><Relationship Type="http://schemas.openxmlformats.org/officeDocument/2006/relationships/hyperlink" Target="https://www.google.com/maps/search/?api=1&amp;query=triq%20Dun%20Karm%20Schembri%2CMosta%20MST%202440-MALTA" TargetMode="External" Id="rId859" /><Relationship Type="http://schemas.openxmlformats.org/officeDocument/2006/relationships/hyperlink" Target="https://unicare.com.mt" TargetMode="External" Id="rId860" /><Relationship Type="http://schemas.openxmlformats.org/officeDocument/2006/relationships/hyperlink" Target="https://edusell.com.mt" TargetMode="External" Id="rId861" /><Relationship Type="http://schemas.openxmlformats.org/officeDocument/2006/relationships/hyperlink" Target="https://noriva.com.mt" TargetMode="External" Id="rId862" /><Relationship Type="http://schemas.openxmlformats.org/officeDocument/2006/relationships/hyperlink" Target="https://facebook.com/AimEnterprisesLtd" TargetMode="External" Id="rId863" /><Relationship Type="http://schemas.openxmlformats.org/officeDocument/2006/relationships/hyperlink" Target="https://tjnovelty.com" TargetMode="External" Id="rId864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hyperlink" Target="MAILTO:info@mrcd.com.mt" TargetMode="External" Id="rId865" /><Relationship Type="http://schemas.openxmlformats.org/officeDocument/2006/relationships/hyperlink" Target="MAILTO:deluxebathroomsmanagement@gmail.com" TargetMode="External" Id="rId866" /><Relationship Type="http://schemas.openxmlformats.org/officeDocument/2006/relationships/hyperlink" Target="MAILTO:info@egrechcristalbath.com" TargetMode="External" Id="rId867" /><Relationship Type="http://schemas.openxmlformats.org/officeDocument/2006/relationships/hyperlink" Target="MAILTO:sales@alfredhili.com" TargetMode="External" Id="rId868" /><Relationship Type="http://schemas.openxmlformats.org/officeDocument/2006/relationships/hyperlink" Target="MAILTO:info@hallmannvella.com" TargetMode="External" Id="rId869" /><Relationship Type="http://schemas.openxmlformats.org/officeDocument/2006/relationships/hyperlink" Target="MAILTO:bugejamarbles@gmail.com" TargetMode="External" Id="rId870" /><Relationship Type="http://schemas.openxmlformats.org/officeDocument/2006/relationships/hyperlink" Target="MAILTO:custobathrooms@gmail.com" TargetMode="External" Id="rId871" /><Relationship Type="http://schemas.openxmlformats.org/officeDocument/2006/relationships/hyperlink" Target="MAILTO:info@alexmercieca.com" TargetMode="External" Id="rId872" /><Relationship Type="http://schemas.openxmlformats.org/officeDocument/2006/relationships/hyperlink" Target="MAILTO:faenzabathroomsmalta@gmail.com" TargetMode="External" Id="rId873" /><Relationship Type="http://schemas.openxmlformats.org/officeDocument/2006/relationships/hyperlink" Target="MAILTO:mail@afellis.com.tm" TargetMode="External" Id="rId874" /><Relationship Type="http://schemas.openxmlformats.org/officeDocument/2006/relationships/hyperlink" Target="MAILTO:info@absolute.com.mt" TargetMode="External" Id="rId875" /><Relationship Type="http://schemas.openxmlformats.org/officeDocument/2006/relationships/hyperlink" Target="MAILTO:meli@avantebathrooms.com" TargetMode="External" Id="rId876" /><Relationship Type="http://schemas.openxmlformats.org/officeDocument/2006/relationships/hyperlink" Target="MAILTO:info@banjuboutique.com" TargetMode="External" Id="rId877" /><Relationship Type="http://schemas.openxmlformats.org/officeDocument/2006/relationships/hyperlink" Target="MAILTO:info@bathlinemalta.com" TargetMode="External" Id="rId878" /><Relationship Type="http://schemas.openxmlformats.org/officeDocument/2006/relationships/hyperlink" Target="MAILTO:info@bathroomdesign.com.mt" TargetMode="External" Id="rId879" /><Relationship Type="http://schemas.openxmlformats.org/officeDocument/2006/relationships/hyperlink" Target="MAILTO:bc.bathrooms@gmail.com" TargetMode="External" Id="rId880" /><Relationship Type="http://schemas.openxmlformats.org/officeDocument/2006/relationships/hyperlink" Target="MAILTO:purchases@bhome.com.mt" TargetMode="External" Id="rId881" /><Relationship Type="http://schemas.openxmlformats.org/officeDocument/2006/relationships/hyperlink" Target="MAILTO:info@blaugrana.com.mt" TargetMode="External" Id="rId882" /><Relationship Type="http://schemas.openxmlformats.org/officeDocument/2006/relationships/hyperlink" Target="MAILTO:bubblesbathrooms@gmail.com" TargetMode="External" Id="rId883" /><Relationship Type="http://schemas.openxmlformats.org/officeDocument/2006/relationships/hyperlink" Target="MAILTO:cgrarbles@gmail.com" TargetMode="External" Id="rId884" /><Relationship Type="http://schemas.openxmlformats.org/officeDocument/2006/relationships/hyperlink" Target="MAILTO:calbrosltd@gmail.com" TargetMode="External" Id="rId885" /><Relationship Type="http://schemas.openxmlformats.org/officeDocument/2006/relationships/hyperlink" Target="MAILTO:info@casamiamalta.com" TargetMode="External" Id="rId886" /><Relationship Type="http://schemas.openxmlformats.org/officeDocument/2006/relationships/hyperlink" Target="MAILTO:info@chicliving.com.mt" TargetMode="External" Id="rId887" /><Relationship Type="http://schemas.openxmlformats.org/officeDocument/2006/relationships/hyperlink" Target="MAILTO:info@creationsomni.com" TargetMode="External" Id="rId888" /><Relationship Type="http://schemas.openxmlformats.org/officeDocument/2006/relationships/hyperlink" Target="MAILTO:info@farellbathrooms.com" TargetMode="External" Id="rId889" /><Relationship Type="http://schemas.openxmlformats.org/officeDocument/2006/relationships/hyperlink" Target="MAILTO:info@hauz.mt" TargetMode="External" Id="rId890" /><Relationship Type="http://schemas.openxmlformats.org/officeDocument/2006/relationships/hyperlink" Target="MAILTO:info@bayker.it" TargetMode="External" Id="rId891" /><Relationship Type="http://schemas.openxmlformats.org/officeDocument/2006/relationships/hyperlink" Target="MAILTO:josies@josies.com.mt" TargetMode="External" Id="rId892" /><Relationship Type="http://schemas.openxmlformats.org/officeDocument/2006/relationships/hyperlink" Target="MAILTO:jovanpisani@keramitbathrooms.com" TargetMode="External" Id="rId893" /><Relationship Type="http://schemas.openxmlformats.org/officeDocument/2006/relationships/hyperlink" Target="MAILTO:bugejamalcolm@gmail.com" TargetMode="External" Id="rId894" /><Relationship Type="http://schemas.openxmlformats.org/officeDocument/2006/relationships/hyperlink" Target="MAILTO:info@magribathrooms.com" TargetMode="External" Id="rId895" /><Relationship Type="http://schemas.openxmlformats.org/officeDocument/2006/relationships/hyperlink" Target="MAILTO:modabagnor@gmail.com" TargetMode="External" Id="rId896" /><Relationship Type="http://schemas.openxmlformats.org/officeDocument/2006/relationships/hyperlink" Target="MAILTO:michaelnuovobagno@gmail.com" TargetMode="External" Id="rId897" /><Relationship Type="http://schemas.openxmlformats.org/officeDocument/2006/relationships/hyperlink" Target="MAILTO:adrian@esclmalta.com" TargetMode="External" Id="rId898" /><Relationship Type="http://schemas.openxmlformats.org/officeDocument/2006/relationships/hyperlink" Target="MAILTO:info@ssbathrooms.com" TargetMode="External" Id="rId899" /><Relationship Type="http://schemas.openxmlformats.org/officeDocument/2006/relationships/hyperlink" Target="MAILTO:jg375@maltanet.net" TargetMode="External" Id="rId900" /><Relationship Type="http://schemas.openxmlformats.org/officeDocument/2006/relationships/hyperlink" Target="MAILTO:sales@thetubmalta.com" TargetMode="External" Id="rId901" /><Relationship Type="http://schemas.openxmlformats.org/officeDocument/2006/relationships/hyperlink" Target="MAILTO:info@vellafalzon.com" TargetMode="External" Id="rId902" /><Relationship Type="http://schemas.openxmlformats.org/officeDocument/2006/relationships/hyperlink" Target="MAILTO:info@vellmann.com" TargetMode="External" Id="rId903" /><Relationship Type="http://schemas.openxmlformats.org/officeDocument/2006/relationships/hyperlink" Target="MAILTO:info@vivo.com.mt" TargetMode="External" Id="rId904" /><Relationship Type="http://schemas.openxmlformats.org/officeDocument/2006/relationships/hyperlink" Target="MAILTO:classic-bathrooms@outlook.com" TargetMode="External" Id="rId905" /><Relationship Type="http://schemas.openxmlformats.org/officeDocument/2006/relationships/hyperlink" Target="MAILTO:info@fzammitglass.com" TargetMode="External" Id="rId906" /><Relationship Type="http://schemas.openxmlformats.org/officeDocument/2006/relationships/hyperlink" Target="MAILTO:verredemic@onvol.net" TargetMode="External" Id="rId907" /><Relationship Type="http://schemas.openxmlformats.org/officeDocument/2006/relationships/hyperlink" Target="MAILTO:info@idealbathrooms.com.mt" TargetMode="External" Id="rId908" /><Relationship Type="http://schemas.openxmlformats.org/officeDocument/2006/relationships/hyperlink" Target="MAILTO:sales@carinibathrooms.com" TargetMode="External" Id="rId909" /><Relationship Type="http://schemas.openxmlformats.org/officeDocument/2006/relationships/hyperlink" Target="MAILTO:info@jpitre.com" TargetMode="External" Id="rId910" /><Relationship Type="http://schemas.openxmlformats.org/officeDocument/2006/relationships/hyperlink" Target="MAILTO:info@falzons.com" TargetMode="External" Id="rId911" /><Relationship Type="http://schemas.openxmlformats.org/officeDocument/2006/relationships/hyperlink" Target="MAILTO:sales@bmsupplies.com" TargetMode="External" Id="rId912" /><Relationship Type="http://schemas.openxmlformats.org/officeDocument/2006/relationships/hyperlink" Target="MAILTO:info@alexmercieca.com" TargetMode="External" Id="rId913" /><Relationship Type="http://schemas.openxmlformats.org/officeDocument/2006/relationships/hyperlink" Target="MAILTO:info@ssbathrooms.com" TargetMode="External" Id="rId914" /><Relationship Type="http://schemas.openxmlformats.org/officeDocument/2006/relationships/hyperlink" Target="MAILTO:info@bathroomdesign.com.mt" TargetMode="External" Id="rId915" /><Relationship Type="http://schemas.openxmlformats.org/officeDocument/2006/relationships/hyperlink" Target="MAILTO:info@floatglassltd.com" TargetMode="External" Id="rId916" /><Relationship Type="http://schemas.openxmlformats.org/officeDocument/2006/relationships/hyperlink" Target="MAILTO:kl.glass@outlook.com" TargetMode="External" Id="rId917" /><Relationship Type="http://schemas.openxmlformats.org/officeDocument/2006/relationships/hyperlink" Target="MAILTO:sales@bridgepoint.com.mt" TargetMode="External" Id="rId918" /><Relationship Type="http://schemas.openxmlformats.org/officeDocument/2006/relationships/hyperlink" Target="MAILTO:deluxebathroomsmanagement@gmail.com" TargetMode="External" Id="rId919" /><Relationship Type="http://schemas.openxmlformats.org/officeDocument/2006/relationships/hyperlink" Target="MAILTO:info@egrechcristalbath.com" TargetMode="External" Id="rId920" /><Relationship Type="http://schemas.openxmlformats.org/officeDocument/2006/relationships/hyperlink" Target="MAILTO:bugejamarbles@gmail.com" TargetMode="External" Id="rId921" /><Relationship Type="http://schemas.openxmlformats.org/officeDocument/2006/relationships/hyperlink" Target="MAILTO:custobathrooms@gmail.com" TargetMode="External" Id="rId922" /><Relationship Type="http://schemas.openxmlformats.org/officeDocument/2006/relationships/hyperlink" Target="MAILTO:info@alexmercieca.com" TargetMode="External" Id="rId923" /><Relationship Type="http://schemas.openxmlformats.org/officeDocument/2006/relationships/hyperlink" Target="MAILTO:info@absolute.com.mt" TargetMode="External" Id="rId924" /><Relationship Type="http://schemas.openxmlformats.org/officeDocument/2006/relationships/hyperlink" Target="MAILTO:sales@alfredhili.com" TargetMode="External" Id="rId925" /><Relationship Type="http://schemas.openxmlformats.org/officeDocument/2006/relationships/hyperlink" Target="MAILTO:meli@avantebathrooms.com" TargetMode="External" Id="rId926" /><Relationship Type="http://schemas.openxmlformats.org/officeDocument/2006/relationships/hyperlink" Target="MAILTO:info@banjuboutique.com" TargetMode="External" Id="rId927" /><Relationship Type="http://schemas.openxmlformats.org/officeDocument/2006/relationships/hyperlink" Target="MAILTO:info@bathroomdesign.com.mt" TargetMode="External" Id="rId928" /><Relationship Type="http://schemas.openxmlformats.org/officeDocument/2006/relationships/hyperlink" Target="MAILTO:bc.bathrooms@gmail.com" TargetMode="External" Id="rId929" /><Relationship Type="http://schemas.openxmlformats.org/officeDocument/2006/relationships/hyperlink" Target="MAILTO:cgrarbles@gmail.com" TargetMode="External" Id="rId930" /><Relationship Type="http://schemas.openxmlformats.org/officeDocument/2006/relationships/hyperlink" Target="MAILTO:calbrosltd@gmail.com" TargetMode="External" Id="rId931" /><Relationship Type="http://schemas.openxmlformats.org/officeDocument/2006/relationships/hyperlink" Target="MAILTO:info@chicliving.com.mt" TargetMode="External" Id="rId932" /><Relationship Type="http://schemas.openxmlformats.org/officeDocument/2006/relationships/hyperlink" Target="MAILTO:classic-bathrooms@outlook.com" TargetMode="External" Id="rId933" /><Relationship Type="http://schemas.openxmlformats.org/officeDocument/2006/relationships/hyperlink" Target="MAILTO:info@farellbathrooms.com" TargetMode="External" Id="rId934" /><Relationship Type="http://schemas.openxmlformats.org/officeDocument/2006/relationships/hyperlink" Target="MAILTO:info@bayker.it" TargetMode="External" Id="rId935" /><Relationship Type="http://schemas.openxmlformats.org/officeDocument/2006/relationships/hyperlink" Target="MAILTO:josies@josies.com.mt" TargetMode="External" Id="rId936" /><Relationship Type="http://schemas.openxmlformats.org/officeDocument/2006/relationships/hyperlink" Target="MAILTO:jovanpisani@keramitbathrooms.com" TargetMode="External" Id="rId937" /><Relationship Type="http://schemas.openxmlformats.org/officeDocument/2006/relationships/hyperlink" Target="MAILTO:bugejamalcolm@gmail.com" TargetMode="External" Id="rId938" /><Relationship Type="http://schemas.openxmlformats.org/officeDocument/2006/relationships/hyperlink" Target="MAILTO:info@magribathrooms.com" TargetMode="External" Id="rId939" /><Relationship Type="http://schemas.openxmlformats.org/officeDocument/2006/relationships/hyperlink" Target="MAILTO:modabagnor@gmail.com" TargetMode="External" Id="rId940" /><Relationship Type="http://schemas.openxmlformats.org/officeDocument/2006/relationships/hyperlink" Target="MAILTO:michaelnuovobagno@gmail.com" TargetMode="External" Id="rId941" /><Relationship Type="http://schemas.openxmlformats.org/officeDocument/2006/relationships/hyperlink" Target="MAILTO:adrian@esclmalta.com" TargetMode="External" Id="rId942" /><Relationship Type="http://schemas.openxmlformats.org/officeDocument/2006/relationships/hyperlink" Target="MAILTO:info@ssbathrooms.com" TargetMode="External" Id="rId943" /><Relationship Type="http://schemas.openxmlformats.org/officeDocument/2006/relationships/hyperlink" Target="MAILTO:jg375@maltanet.net" TargetMode="External" Id="rId944" /><Relationship Type="http://schemas.openxmlformats.org/officeDocument/2006/relationships/hyperlink" Target="MAILTO:info@vellmann.com" TargetMode="External" Id="rId945" /><Relationship Type="http://schemas.openxmlformats.org/officeDocument/2006/relationships/hyperlink" Target="MAILTO:info@vivo.com.mt" TargetMode="External" Id="rId946" /><Relationship Type="http://schemas.openxmlformats.org/officeDocument/2006/relationships/hyperlink" Target="MAILTO:sales@carinibathrooms.com" TargetMode="External" Id="rId947" /><Relationship Type="http://schemas.openxmlformats.org/officeDocument/2006/relationships/hyperlink" Target="MAILTO:sales@bridgepoint.com.mt" TargetMode="External" Id="rId948" /><Relationship Type="http://schemas.openxmlformats.org/officeDocument/2006/relationships/hyperlink" Target="MAILTO:info@fbpmalta.com" TargetMode="External" Id="rId949" /><Relationship Type="http://schemas.openxmlformats.org/officeDocument/2006/relationships/hyperlink" Target="MAILTO:info@satarino.com" TargetMode="External" Id="rId950" /><Relationship Type="http://schemas.openxmlformats.org/officeDocument/2006/relationships/hyperlink" Target="MAILTO:deluxebathroomsmanagement@gmail.com" TargetMode="External" Id="rId951" /><Relationship Type="http://schemas.openxmlformats.org/officeDocument/2006/relationships/hyperlink" Target="MAILTO:newlineliving@gmail.com" TargetMode="External" Id="rId952" /><Relationship Type="http://schemas.openxmlformats.org/officeDocument/2006/relationships/hyperlink" Target="MAILTO:newlineliving@gmail.com" TargetMode="External" Id="rId953" /><Relationship Type="http://schemas.openxmlformats.org/officeDocument/2006/relationships/hyperlink" Target="MAILTO:info@jpitre.com" TargetMode="External" Id="rId954" /><Relationship Type="http://schemas.openxmlformats.org/officeDocument/2006/relationships/hyperlink" Target="MAILTO:info@banjuboutique.com" TargetMode="External" Id="rId955" /><Relationship Type="http://schemas.openxmlformats.org/officeDocument/2006/relationships/hyperlink" Target="MAILTO:sales@bridgepoint.com.mt" TargetMode="External" Id="rId956" /><Relationship Type="http://schemas.openxmlformats.org/officeDocument/2006/relationships/hyperlink" Target="MAILTO:gozobaths@gmail.com" TargetMode="External" Id="rId957" /><Relationship Type="http://schemas.openxmlformats.org/officeDocument/2006/relationships/hyperlink" Target="MAILTO:info@alexmercieca.com" TargetMode="External" Id="rId958" /><Relationship Type="http://schemas.openxmlformats.org/officeDocument/2006/relationships/hyperlink" Target="MAILTO:dfloorings@gmail.com" TargetMode="External" Id="rId959" /><Relationship Type="http://schemas.openxmlformats.org/officeDocument/2006/relationships/hyperlink" Target="MAILTO:faenzabathroomsmalta@gmail.com" TargetMode="External" Id="rId960" /><Relationship Type="http://schemas.openxmlformats.org/officeDocument/2006/relationships/hyperlink" Target="MAILTO:simonbonnicimarble@gmail.com" TargetMode="External" Id="rId961" /><Relationship Type="http://schemas.openxmlformats.org/officeDocument/2006/relationships/hyperlink" Target="MAILTO:mail@afellis.com.tm" TargetMode="External" Id="rId962" /><Relationship Type="http://schemas.openxmlformats.org/officeDocument/2006/relationships/hyperlink" Target="MAILTO:naasan.co@gmail.com" TargetMode="External" Id="rId963" /><Relationship Type="http://schemas.openxmlformats.org/officeDocument/2006/relationships/hyperlink" Target="MAILTO:info@vellmann.com" TargetMode="External" Id="rId964" /><Relationship Type="http://schemas.openxmlformats.org/officeDocument/2006/relationships/hyperlink" Target="MAILTO:info@magribathrooms.com" TargetMode="External" Id="rId965" /><Relationship Type="http://schemas.openxmlformats.org/officeDocument/2006/relationships/hyperlink" Target="MAILTO:info@falzons.com" TargetMode="External" Id="rId966" /><Relationship Type="http://schemas.openxmlformats.org/officeDocument/2006/relationships/hyperlink" Target="MAILTO:info@the-tile.com" TargetMode="External" Id="rId967" /><Relationship Type="http://schemas.openxmlformats.org/officeDocument/2006/relationships/hyperlink" Target="MAILTO:info@bathroomdesign.com.mt" TargetMode="External" Id="rId968" /><Relationship Type="http://schemas.openxmlformats.org/officeDocument/2006/relationships/hyperlink" Target="MAILTO:info@tilewarehousemalta.com" TargetMode="External" Id="rId969" /><Relationship Type="http://schemas.openxmlformats.org/officeDocument/2006/relationships/hyperlink" Target="MAILTO:sales@thetubmalta.com" TargetMode="External" Id="rId970" /><Relationship Type="http://schemas.openxmlformats.org/officeDocument/2006/relationships/hyperlink" Target="MAILTO:info@mrcd.com.mt" TargetMode="External" Id="rId971" /><Relationship Type="http://schemas.openxmlformats.org/officeDocument/2006/relationships/hyperlink" Target="MAILTO:sales@carinibathrooms.com" TargetMode="External" Id="rId972" /><Relationship Type="http://schemas.openxmlformats.org/officeDocument/2006/relationships/hyperlink" Target="MAILTO:info@waterartconcepts.com" TargetMode="External" Id="rId973" /><Relationship Type="http://schemas.openxmlformats.org/officeDocument/2006/relationships/hyperlink" Target="MAILTO:jysk@jysk.com.mt" TargetMode="External" Id="rId974" /><Relationship Type="http://schemas.openxmlformats.org/officeDocument/2006/relationships/hyperlink" Target="MAILTO:bc.bathrooms@gmail.com" TargetMode="External" Id="rId975" /><Relationship Type="http://schemas.openxmlformats.org/officeDocument/2006/relationships/hyperlink" Target="MAILTO:info@absolute.com.mt" TargetMode="External" Id="rId976" /><Relationship Type="http://schemas.openxmlformats.org/officeDocument/2006/relationships/hyperlink" Target="MAILTO:info@bmsupplies.com" TargetMode="External" Id="rId977" /><Relationship Type="http://schemas.openxmlformats.org/officeDocument/2006/relationships/hyperlink" Target="MAILTO:info@fino.com.mt" TargetMode="External" Id="rId978" /><Relationship Type="http://schemas.openxmlformats.org/officeDocument/2006/relationships/hyperlink" Target="MAILTO:malta@iperceamica.it" TargetMode="External" Id="rId979" /><Relationship Type="http://schemas.openxmlformats.org/officeDocument/2006/relationships/hyperlink" Target="MAILTO:info@goldenhouse.com.mt" TargetMode="External" Id="rId980" /><Relationship Type="http://schemas.openxmlformats.org/officeDocument/2006/relationships/hyperlink" Target="MAILTO:cristalbath@onvol.net" TargetMode="External" Id="rId981" /><Relationship Type="http://schemas.openxmlformats.org/officeDocument/2006/relationships/hyperlink" Target="MAILTO:deluxebathroomsmanagement@gmail.com" TargetMode="External" Id="rId982" /><Relationship Type="http://schemas.openxmlformats.org/officeDocument/2006/relationships/hyperlink" Target="MAILTO:info@egrechcristalbath.com" TargetMode="External" Id="rId983" /><Relationship Type="http://schemas.openxmlformats.org/officeDocument/2006/relationships/hyperlink" Target="MAILTO:info@alexmercieca.com" TargetMode="External" Id="rId984" /><Relationship Type="http://schemas.openxmlformats.org/officeDocument/2006/relationships/hyperlink" Target="MAILTO:mail@afellis.com.tm" TargetMode="External" Id="rId985" /><Relationship Type="http://schemas.openxmlformats.org/officeDocument/2006/relationships/hyperlink" Target="MAILTO:meli@avantebathrooms.com" TargetMode="External" Id="rId986" /><Relationship Type="http://schemas.openxmlformats.org/officeDocument/2006/relationships/hyperlink" Target="MAILTO:info@banjuboutique.com" TargetMode="External" Id="rId987" /><Relationship Type="http://schemas.openxmlformats.org/officeDocument/2006/relationships/hyperlink" Target="MAILTO:info@bathroomdesign.com.mt" TargetMode="External" Id="rId988" /><Relationship Type="http://schemas.openxmlformats.org/officeDocument/2006/relationships/hyperlink" Target="MAILTO:bc.bathrooms@gmail.com" TargetMode="External" Id="rId989" /><Relationship Type="http://schemas.openxmlformats.org/officeDocument/2006/relationships/hyperlink" Target="MAILTO:cgrarbles@gmail.com" TargetMode="External" Id="rId990" /><Relationship Type="http://schemas.openxmlformats.org/officeDocument/2006/relationships/hyperlink" Target="MAILTO:info@casamiamalta.com" TargetMode="External" Id="rId991" /><Relationship Type="http://schemas.openxmlformats.org/officeDocument/2006/relationships/hyperlink" Target="MAILTO:info@chicliving.com.mt" TargetMode="External" Id="rId992" /><Relationship Type="http://schemas.openxmlformats.org/officeDocument/2006/relationships/hyperlink" Target="MAILTO:info@farellbathrooms.com" TargetMode="External" Id="rId993" /><Relationship Type="http://schemas.openxmlformats.org/officeDocument/2006/relationships/hyperlink" Target="MAILTO:jovanpisani@keramitbathrooms.com" TargetMode="External" Id="rId994" /><Relationship Type="http://schemas.openxmlformats.org/officeDocument/2006/relationships/hyperlink" Target="MAILTO:info@magribathrooms.com" TargetMode="External" Id="rId995" /><Relationship Type="http://schemas.openxmlformats.org/officeDocument/2006/relationships/hyperlink" Target="MAILTO:modabagnor@gmail.com" TargetMode="External" Id="rId996" /><Relationship Type="http://schemas.openxmlformats.org/officeDocument/2006/relationships/hyperlink" Target="MAILTO:info@vellmann.com" TargetMode="External" Id="rId997" /><Relationship Type="http://schemas.openxmlformats.org/officeDocument/2006/relationships/hyperlink" Target="MAILTO:info@vivo.com.mt" TargetMode="External" Id="rId998" /><Relationship Type="http://schemas.openxmlformats.org/officeDocument/2006/relationships/hyperlink" Target="MAILTO:sales@wc.mt" TargetMode="External" Id="rId999" /><Relationship Type="http://schemas.openxmlformats.org/officeDocument/2006/relationships/hyperlink" Target="https://www.google.com/maps/search/?api=1&amp;query=MRCD%20Building%2C%0AKarmenu%20Camilleri%20Street%2C%0AQormi%2C%20QRM4631" TargetMode="External" Id="rId1000" /><Relationship Type="http://schemas.openxmlformats.org/officeDocument/2006/relationships/hyperlink" Target="https://www.google.com/maps/search/?api=1&amp;query=Triq%20Benghazi%2C%20Ghajnsielem-Gozo%2C%20GSM%201624" TargetMode="External" Id="rId1001" /><Relationship Type="http://schemas.openxmlformats.org/officeDocument/2006/relationships/hyperlink" Target="https://www.google.com/maps/search/?api=1&amp;query=Triq%20Salvu%20Psaila%2C%20B%27Kara%2C%20Matla%20BKR%209076" TargetMode="External" Id="rId1002" /><Relationship Type="http://schemas.openxmlformats.org/officeDocument/2006/relationships/hyperlink" Target="https://www.google.com/maps/search/?api=1&amp;query=17%20Triq%20Guze%27%20Galea%20Qormi%2C%20Malta%20QRM%202106" TargetMode="External" Id="rId1003" /><Relationship Type="http://schemas.openxmlformats.org/officeDocument/2006/relationships/hyperlink" Target="https://www.google.com/maps/search/?api=1&amp;query=The%20Factory%20Triq%20il-Mosta%2C%20Lija%2C%20Malta%20LJA%209016" TargetMode="External" Id="rId1004" /><Relationship Type="http://schemas.openxmlformats.org/officeDocument/2006/relationships/hyperlink" Target="https://www.google.com/maps/search/?api=1&amp;query=Zone%203%20Triq%20San%20Gwakkin%20Central%20Business%20District%2C%20B%27kara%2C%20Malta%20CBD%203030" TargetMode="External" Id="rId1005" /><Relationship Type="http://schemas.openxmlformats.org/officeDocument/2006/relationships/hyperlink" Target="https://www.google.com/maps/search/?api=1&amp;query=Triq%20Joe%20Sciberras%2C%20Hamrun%2C%20Malta%20HMR%201550" TargetMode="External" Id="rId1006" /><Relationship Type="http://schemas.openxmlformats.org/officeDocument/2006/relationships/hyperlink" Target="https://www.google.com/maps/search/?api=1&amp;query=25th%20November%20Avenue%2C%20Zejtun%2C%20ZTN2019" TargetMode="External" Id="rId1007" /><Relationship Type="http://schemas.openxmlformats.org/officeDocument/2006/relationships/hyperlink" Target="https://www.google.com/maps/search/?api=1&amp;query=7%20Triq%20I-Erba%27%20Qaddisin" TargetMode="External" Id="rId1008" /><Relationship Type="http://schemas.openxmlformats.org/officeDocument/2006/relationships/hyperlink" Target="https://www.google.com/maps/search/?api=1&amp;query=Triq%20il-Taflija%20Qasam%20Industrijali%2C%20Xewkija-Gozo%2C%20Gozo%20XWK%203000" TargetMode="External" Id="rId1009" /><Relationship Type="http://schemas.openxmlformats.org/officeDocument/2006/relationships/hyperlink" Target="https://www.google.com/maps/search/?api=1&amp;query=Triq%20Pantar%2C%20Hal%20Lija" TargetMode="External" Id="rId1010" /><Relationship Type="http://schemas.openxmlformats.org/officeDocument/2006/relationships/hyperlink" Target="https://www.google.com/maps/search/?api=1&amp;query=181%20Triq%20Salvu%20Psaila%2C%20B%27Kara%2C%20Malta%20BKR%209076" TargetMode="External" Id="rId1011" /><Relationship Type="http://schemas.openxmlformats.org/officeDocument/2006/relationships/hyperlink" Target="https://www.google.com/maps/search/?api=1&amp;query=Triq%20I-Arkata%2C%20Paola%2C%20Malta%20PLA%201212" TargetMode="External" Id="rId1012" /><Relationship Type="http://schemas.openxmlformats.org/officeDocument/2006/relationships/hyperlink" Target="https://www.google.com/maps/search/?api=1&amp;query=Triq%20Manwel%20Borg%20Qasam%20Indrustrijali%2C%20Tal-Handaq%2C%20Qormi%2C%20Malta%20QRM%204000" TargetMode="External" Id="rId1013" /><Relationship Type="http://schemas.openxmlformats.org/officeDocument/2006/relationships/hyperlink" Target="https://www.google.com/maps/search/?api=1&amp;query=358%20Triq%20in-Naxxar%2C%20B%27Kara%2C%20Malta%20BKR%209040" TargetMode="External" Id="rId1014" /><Relationship Type="http://schemas.openxmlformats.org/officeDocument/2006/relationships/hyperlink" Target="https://www.google.com/maps/search/?api=1&amp;query=Triq%20Dun%20Karm%20B%27Kara%20By%20Pass%2C%20B%27Kara%2C%20Malta%20BKR%202940" TargetMode="External" Id="rId1015" /><Relationship Type="http://schemas.openxmlformats.org/officeDocument/2006/relationships/hyperlink" Target="https://www.google.com/maps/search/?api=1&amp;query=Bilom%20T%2FG%20fi%20triq%20l-Imdina%2C%20Zebbug%2C%20Malta" TargetMode="External" Id="rId1016" /><Relationship Type="http://schemas.openxmlformats.org/officeDocument/2006/relationships/hyperlink" Target="https://www.google.com/maps/search/?api=1&amp;query=Triq%20il-Kbira%2C%20Mgarr%2C%20Malta%20MGR%201430" TargetMode="External" Id="rId1017" /><Relationship Type="http://schemas.openxmlformats.org/officeDocument/2006/relationships/hyperlink" Target="https://www.google.com/maps/search/?api=1&amp;query=Triq%20Fortunato%20Mizzi%2C%20Victoria-Gozo%2C%20Gozo%20VCT%202687" TargetMode="External" Id="rId1018" /><Relationship Type="http://schemas.openxmlformats.org/officeDocument/2006/relationships/hyperlink" Target="https://www.google.com/maps/search/?api=1&amp;query=11%20Triq%20I-Imdina%2C%20Attard%2C%20Malta%20ATD%209036" TargetMode="External" Id="rId1019" /><Relationship Type="http://schemas.openxmlformats.org/officeDocument/2006/relationships/hyperlink" Target="https://www.google.com/maps/search/?api=1&amp;query=1%20Triq%20I-Isqof%20Labini%2C%20B%27Kara%2C%20Malta%20BKR%201270" TargetMode="External" Id="rId1020" /><Relationship Type="http://schemas.openxmlformats.org/officeDocument/2006/relationships/hyperlink" Target="https://www.google.com/maps/search/?api=1&amp;query=Triq%20Ninu%20Ceremona%2C%20Victoria-Gozo%2C%20Gozo%20VCT%202563" TargetMode="External" Id="rId1021" /><Relationship Type="http://schemas.openxmlformats.org/officeDocument/2006/relationships/hyperlink" Target="https://www.google.com/maps/search/?api=1&amp;query=Triq%20Durumblat%2C%20II-Mosta%2C%20MST%204816" TargetMode="External" Id="rId1022" /><Relationship Type="http://schemas.openxmlformats.org/officeDocument/2006/relationships/hyperlink" Target="https://www.google.com/maps/search/?api=1&amp;query=Liland%20Bldgs%20Triq%20l-Imdina%2C%20Attard%2C%20Malta%20ATD%209036" TargetMode="External" Id="rId1023" /><Relationship Type="http://schemas.openxmlformats.org/officeDocument/2006/relationships/hyperlink" Target="https://www.google.com/maps/search/?api=1&amp;query=115%20Vjal%20iI-Blue%20Grotto%2C%20Zurrieq%2C%20Malta%20ZRQ%204015" TargetMode="External" Id="rId1024" /><Relationship Type="http://schemas.openxmlformats.org/officeDocument/2006/relationships/hyperlink" Target="https://www.google.com/maps/search/?api=1&amp;query=123%20Triq%20Dun%20Karm%20Sant%2C%20Tarxien%2C%20Malta" TargetMode="External" Id="rId1025" /><Relationship Type="http://schemas.openxmlformats.org/officeDocument/2006/relationships/hyperlink" Target="https://www.google.com/maps/search/?api=1&amp;query=Triq%20iI-Wied%20ta%27%20I-Imsida%2C%20Msida%2C%20Malta" TargetMode="External" Id="rId1026" /><Relationship Type="http://schemas.openxmlformats.org/officeDocument/2006/relationships/hyperlink" Target="https://www.google.com/maps/search/?api=1&amp;query=Triq%20in-Naxxar%2C%20Lija%2C%20Malta" TargetMode="External" Id="rId1027" /><Relationship Type="http://schemas.openxmlformats.org/officeDocument/2006/relationships/hyperlink" Target="https://www.google.com/maps/search/?api=1&amp;query=Naxxar%2C%20Malta%20NXR%206345" TargetMode="External" Id="rId1028" /><Relationship Type="http://schemas.openxmlformats.org/officeDocument/2006/relationships/hyperlink" Target="https://www.google.com/maps/search/?api=1&amp;query=137%20Triq%20Parades%2C%20San%20Pawl%20II-Bahar%2C%20Malta%20SPB%203430" TargetMode="External" Id="rId1029" /><Relationship Type="http://schemas.openxmlformats.org/officeDocument/2006/relationships/hyperlink" Target="https://www.google.com/maps/search/?api=1&amp;query=Triq%20iI-Kanun%2C%20Qormi%2C%20Malta%20QRM%209039" TargetMode="External" Id="rId1030" /><Relationship Type="http://schemas.openxmlformats.org/officeDocument/2006/relationships/hyperlink" Target="https://www.google.com/maps/search/?api=1&amp;query=Zone%203%20Triq%20I-Intornjatur%2C%20Zona%20Industrjali%2C%20Mriehel%2C%20B%27Kara%2C%20Malta%20BKR%203000" TargetMode="External" Id="rId1031" /><Relationship Type="http://schemas.openxmlformats.org/officeDocument/2006/relationships/hyperlink" Target="https://www.google.com/maps/search/?api=1&amp;query=M%27Skala%20By%20Pass%2C%20Zabbar%2C%20Malta%20ZBR%209042" TargetMode="External" Id="rId1032" /><Relationship Type="http://schemas.openxmlformats.org/officeDocument/2006/relationships/hyperlink" Target="https://www.google.com/maps/search/?api=1&amp;query=Triq%20San%20Bartolomew%2C%20Qormi%2C%20Malta" TargetMode="External" Id="rId1033" /><Relationship Type="http://schemas.openxmlformats.org/officeDocument/2006/relationships/hyperlink" Target="https://www.google.com/maps/search/?api=1&amp;query=Triq%20il-Mosta%2C%20Lija%2C%20Malta%20LJA%209012" TargetMode="External" Id="rId1034" /><Relationship Type="http://schemas.openxmlformats.org/officeDocument/2006/relationships/hyperlink" Target="https://www.google.com/maps/search/?api=1&amp;query=120%20Triq%20il-Kullegg%2C%20Rabat%2C%20Malta%20RBT%201408" TargetMode="External" Id="rId1035" /><Relationship Type="http://schemas.openxmlformats.org/officeDocument/2006/relationships/hyperlink" Target="https://www.google.com/maps/search/?api=1&amp;query=Misrah%20il-Barrieri%2C%20Sta%20Venera%2C%20Malta" TargetMode="External" Id="rId1036" /><Relationship Type="http://schemas.openxmlformats.org/officeDocument/2006/relationships/hyperlink" Target="https://www.google.com/maps/search/?api=1&amp;query=Triq%20il-Wied%20ta%27Imsida%2C%20Msida%2C%20Malta%20MSD%209022" TargetMode="External" Id="rId1037" /><Relationship Type="http://schemas.openxmlformats.org/officeDocument/2006/relationships/hyperlink" Target="https://www.google.com/maps/search/?api=1&amp;query=Pantar%20Estate%20Triq%20Pantar" TargetMode="External" Id="rId1038" /><Relationship Type="http://schemas.openxmlformats.org/officeDocument/2006/relationships/hyperlink" Target="https://www.google.com/maps/search/?api=1&amp;query=9%20Triq%20Geronimo%20Abos%2C%20Iklin%2C%20Malta%20IKL%201022" TargetMode="External" Id="rId1039" /><Relationship Type="http://schemas.openxmlformats.org/officeDocument/2006/relationships/hyperlink" Target="https://www.google.com/maps/search/?api=1&amp;query=118%20Triq%20iI-Kullegg%2C%20Rabat%2C%20Malta%20RBT%201408" TargetMode="External" Id="rId1040" /><Relationship Type="http://schemas.openxmlformats.org/officeDocument/2006/relationships/hyperlink" Target="https://www.google.com/maps/search/?api=1&amp;query=Triq%20il-Kummerc%2C%20Qormi%2C%20Malta" TargetMode="External" Id="rId1041" /><Relationship Type="http://schemas.openxmlformats.org/officeDocument/2006/relationships/hyperlink" Target="https://www.google.com/maps/search/?api=1&amp;query=Building%2046%20Crafts%20Village%20Ta%27%20Qali%2C%20Attard%2C%20Malta%20ATD%204000" TargetMode="External" Id="rId1042" /><Relationship Type="http://schemas.openxmlformats.org/officeDocument/2006/relationships/hyperlink" Target="https://www.google.com/maps/search/?api=1&amp;query=Constitution%20Street%2C%20Mosta%2C%20Malta" TargetMode="External" Id="rId1043" /><Relationship Type="http://schemas.openxmlformats.org/officeDocument/2006/relationships/hyperlink" Target="https://www.google.com/maps/search/?api=1&amp;query=435%20St.%20Joseph%20High%20Road%2C%20St.%20Venera%2C%20Malta" TargetMode="External" Id="rId1044" /><Relationship Type="http://schemas.openxmlformats.org/officeDocument/2006/relationships/hyperlink" Target="https://www.google.com/maps/search/?api=1&amp;query=Triq%20I-Imdina%2C%20Qormi%20QRM%209011" TargetMode="External" Id="rId1045" /><Relationship Type="http://schemas.openxmlformats.org/officeDocument/2006/relationships/hyperlink" Target="https://www.google.com/maps/search/?api=1&amp;query=Falzon%27s%20Bathroom%20%26%20Ceramics%2C%20Triq%20il-Kummerc%2C%20Qormi%2C%20Malta" TargetMode="External" Id="rId1046" /><Relationship Type="http://schemas.openxmlformats.org/officeDocument/2006/relationships/hyperlink" Target="https://www.google.com/maps/search/?api=1&amp;query=Triq%20Dun%20Karm%20Birkirkara%2C%20BKR9035%2C%20Malta" TargetMode="External" Id="rId1047" /><Relationship Type="http://schemas.openxmlformats.org/officeDocument/2006/relationships/hyperlink" Target="https://www.google.com/maps/search/?api=1&amp;query=25th%20November%20Avenue%2C%20Zejtun%2C%20ZTN2019" TargetMode="External" Id="rId1048" /><Relationship Type="http://schemas.openxmlformats.org/officeDocument/2006/relationships/hyperlink" Target="https://www.google.com/maps/search/?api=1&amp;query=New%20Street%2C%20Vjal%20Il-Labour%2C%20Nax%2C%20Malta" TargetMode="External" Id="rId1049" /><Relationship Type="http://schemas.openxmlformats.org/officeDocument/2006/relationships/hyperlink" Target="https://www.google.com/maps/search/?api=1&amp;query=358%20Triq%20in-Naxxar%2C%20B%27Kara%2C%20Malta%20BKR%209040" TargetMode="External" Id="rId1050" /><Relationship Type="http://schemas.openxmlformats.org/officeDocument/2006/relationships/hyperlink" Target="https://www.google.com/maps/search/?api=1&amp;query=26B%2C%20Marsa%20Industrial%20Estate%2C%20Marsa%20MRS%203000" TargetMode="External" Id="rId1051" /><Relationship Type="http://schemas.openxmlformats.org/officeDocument/2006/relationships/hyperlink" Target="https://www.google.com/maps/search/?api=1&amp;query=Plot%2034%2C%20Qasam%20Industrijali%20LQA%203000%20Luqa%20MT" TargetMode="External" Id="rId1052" /><Relationship Type="http://schemas.openxmlformats.org/officeDocument/2006/relationships/hyperlink" Target="https://www.google.com/maps/search/?api=1&amp;query=12%20Olt%20Trafford%2C%20Dun%20Filippu%20Borg%2C%20Birkirkara%2C%20Malta" TargetMode="External" Id="rId1053" /><Relationship Type="http://schemas.openxmlformats.org/officeDocument/2006/relationships/hyperlink" Target="https://www.google.com/maps/search/?api=1&amp;query=3%2C%20Triq%20Ferdinandu%20Inglott%2C%20%C4%A6%27Attard" TargetMode="External" Id="rId1054" /><Relationship Type="http://schemas.openxmlformats.org/officeDocument/2006/relationships/hyperlink" Target="https://www.google.com/maps/search/?api=1&amp;query=Triq%20Benghazi%2C%20Ghajnsielem-Gozo%2C%20GSM%201624" TargetMode="External" Id="rId1055" /><Relationship Type="http://schemas.openxmlformats.org/officeDocument/2006/relationships/hyperlink" Target="https://www.google.com/maps/search/?api=1&amp;query=Triq%20Salvu%20Psaila%2C%20B%27Kara%2C%20Matla%20BKR%209076" TargetMode="External" Id="rId1056" /><Relationship Type="http://schemas.openxmlformats.org/officeDocument/2006/relationships/hyperlink" Target="https://www.google.com/maps/search/?api=1&amp;query=Zone%203%20Triq%20San%20Gwakkin%20Central%20Business%20District%2C%20B%27kara%2C%20Malta%20CBD%203030" TargetMode="External" Id="rId1057" /><Relationship Type="http://schemas.openxmlformats.org/officeDocument/2006/relationships/hyperlink" Target="https://www.google.com/maps/search/?api=1&amp;query=Triq%20Joe%20Sciberras%2C%20Hamrun%2C%20Malta%20HMR%201550" TargetMode="External" Id="rId1058" /><Relationship Type="http://schemas.openxmlformats.org/officeDocument/2006/relationships/hyperlink" Target="https://www.google.com/maps/search/?api=1&amp;query=25th%20November%20Avenue%2C%20Zejtun%2C%20ZTN2019" TargetMode="External" Id="rId1059" /><Relationship Type="http://schemas.openxmlformats.org/officeDocument/2006/relationships/hyperlink" Target="https://www.google.com/maps/search/?api=1&amp;query=Triq%20Pantar%2C%20Hal%20Lija" TargetMode="External" Id="rId1060" /><Relationship Type="http://schemas.openxmlformats.org/officeDocument/2006/relationships/hyperlink" Target="https://www.google.com/maps/search/?api=1&amp;query=17%20Triq%20Guze%27%20Galea%20Qormi%2C%20Malta%20QRM%202106" TargetMode="External" Id="rId1061" /><Relationship Type="http://schemas.openxmlformats.org/officeDocument/2006/relationships/hyperlink" Target="https://www.google.com/maps/search/?api=1&amp;query=181%20Triq%20Salvu%20Psaila%2C%20B%27Kara%2C%20Malta%20BKR%209076" TargetMode="External" Id="rId1062" /><Relationship Type="http://schemas.openxmlformats.org/officeDocument/2006/relationships/hyperlink" Target="https://www.google.com/maps/search/?api=1&amp;query=Triq%20I-Arkata%2C%20Paola%2C%20Malta%20PLA%201212" TargetMode="External" Id="rId1063" /><Relationship Type="http://schemas.openxmlformats.org/officeDocument/2006/relationships/hyperlink" Target="https://www.google.com/maps/search/?api=1&amp;query=358%20Triq%20in-Naxxar%2C%20B%27Kara%2C%20Malta%20BKR%209040" TargetMode="External" Id="rId1064" /><Relationship Type="http://schemas.openxmlformats.org/officeDocument/2006/relationships/hyperlink" Target="https://www.google.com/maps/search/?api=1&amp;query=Triq%20Dun%20Karm%20B%27Kara%20By%20Pass%2C%20B%27Kara%2C%20Malta%20BKR%202940" TargetMode="External" Id="rId1065" /><Relationship Type="http://schemas.openxmlformats.org/officeDocument/2006/relationships/hyperlink" Target="https://www.google.com/maps/search/?api=1&amp;query=11%20Triq%20I-Imdina%2C%20Attard%2C%20Malta%20ATD%209036" TargetMode="External" Id="rId1066" /><Relationship Type="http://schemas.openxmlformats.org/officeDocument/2006/relationships/hyperlink" Target="https://www.google.com/maps/search/?api=1&amp;query=1%20Triq%20I-Isqof%20Labini%2C%20B%27Kara%2C%20Malta%20BKR%201270" TargetMode="External" Id="rId1067" /><Relationship Type="http://schemas.openxmlformats.org/officeDocument/2006/relationships/hyperlink" Target="https://www.google.com/maps/search/?api=1&amp;query=Triq%20Durumblat%2C%20II-Mosta%2C%20MST%204816" TargetMode="External" Id="rId1068" /><Relationship Type="http://schemas.openxmlformats.org/officeDocument/2006/relationships/hyperlink" Target="https://www.google.com/maps/search/?api=1&amp;query=118%20Triq%20iI-Kullegg%2C%20Rabat%2C%20Malta%20RBT%201408" TargetMode="External" Id="rId1069" /><Relationship Type="http://schemas.openxmlformats.org/officeDocument/2006/relationships/hyperlink" Target="https://www.google.com/maps/search/?api=1&amp;query=115%20Vjal%20iI-Blue%20Grotto%2C%20Zurrieq%2C%20Malta%20ZRQ%204015" TargetMode="External" Id="rId1070" /><Relationship Type="http://schemas.openxmlformats.org/officeDocument/2006/relationships/hyperlink" Target="https://www.google.com/maps/search/?api=1&amp;query=Triq%20iI-Wied%20ta%27%20I-Imsida%2C%20Msida%2C%20Malta" TargetMode="External" Id="rId1071" /><Relationship Type="http://schemas.openxmlformats.org/officeDocument/2006/relationships/hyperlink" Target="https://www.google.com/maps/search/?api=1&amp;query=Triq%20in-Naxxar%2C%20Lija%2C%20Malta" TargetMode="External" Id="rId1072" /><Relationship Type="http://schemas.openxmlformats.org/officeDocument/2006/relationships/hyperlink" Target="https://www.google.com/maps/search/?api=1&amp;query=Naxxar%2C%20Malta%20NXR%206345" TargetMode="External" Id="rId1073" /><Relationship Type="http://schemas.openxmlformats.org/officeDocument/2006/relationships/hyperlink" Target="https://www.google.com/maps/search/?api=1&amp;query=137%20Triq%20Parades%2C%20San%20Pawl%20II-Bahar%2C%20Malta%20SPB%203430" TargetMode="External" Id="rId1074" /><Relationship Type="http://schemas.openxmlformats.org/officeDocument/2006/relationships/hyperlink" Target="https://www.google.com/maps/search/?api=1&amp;query=Triq%20iI-Kanun%2C%20Qormi%2C%20Malta%20QRM%209039" TargetMode="External" Id="rId1075" /><Relationship Type="http://schemas.openxmlformats.org/officeDocument/2006/relationships/hyperlink" Target="https://www.google.com/maps/search/?api=1&amp;query=Zone%203%20Triq%20I-Intornjatur%2C%20Zona%20Industrjali%2C%20Mriehel%2C%20B%27Kara%2C%20Malta%20BKR%203000" TargetMode="External" Id="rId1076" /><Relationship Type="http://schemas.openxmlformats.org/officeDocument/2006/relationships/hyperlink" Target="https://www.google.com/maps/search/?api=1&amp;query=M%27Skala%20By%20Pass%2C%20Zabbar%2C%20Malta%20ZBR%209042" TargetMode="External" Id="rId1077" /><Relationship Type="http://schemas.openxmlformats.org/officeDocument/2006/relationships/hyperlink" Target="https://www.google.com/maps/search/?api=1&amp;query=Triq%20San%20Bartolomew%2C%20Qormi%2C%20Malta" TargetMode="External" Id="rId1078" /><Relationship Type="http://schemas.openxmlformats.org/officeDocument/2006/relationships/hyperlink" Target="https://www.google.com/maps/search/?api=1&amp;query=Triq%20il-Mosta%2C%20Lija%2C%20Malta%20LJA%209012" TargetMode="External" Id="rId1079" /><Relationship Type="http://schemas.openxmlformats.org/officeDocument/2006/relationships/hyperlink" Target="https://www.google.com/maps/search/?api=1&amp;query=120%20Triq%20il-Kullegg%2C%20Rabat%2C%20Malta%20RBT%201408" TargetMode="External" Id="rId1080" /><Relationship Type="http://schemas.openxmlformats.org/officeDocument/2006/relationships/hyperlink" Target="https://www.google.com/maps/search/?api=1&amp;query=Pantar%20Estate%20Triq%20Pantar" TargetMode="External" Id="rId1081" /><Relationship Type="http://schemas.openxmlformats.org/officeDocument/2006/relationships/hyperlink" Target="https://www.google.com/maps/search/?api=1&amp;query=9%20Triq%20Geronimo%20Abos%2C%20Iklin%2C%20Malta%20IKL%201022" TargetMode="External" Id="rId1082" /><Relationship Type="http://schemas.openxmlformats.org/officeDocument/2006/relationships/hyperlink" Target="https://www.google.com/maps/search/?api=1&amp;query=435%20St.%20Joseph%20High%20Road%2C%20St.%20Venera%2C%20Malta" TargetMode="External" Id="rId1083" /><Relationship Type="http://schemas.openxmlformats.org/officeDocument/2006/relationships/hyperlink" Target="https://www.google.com/maps/search/?api=1&amp;query=No%203%2C%20Triq%20Ferdinand%20Inglott%2C%20Attard%20ATD%203134" TargetMode="External" Id="rId1084" /><Relationship Type="http://schemas.openxmlformats.org/officeDocument/2006/relationships/hyperlink" Target="https://www.google.com/maps/search/?api=1&amp;query=139%2C%20Bajada%20Street%20ZBR%203011%20Zabbar%2C%20Malta" TargetMode="External" Id="rId1085" /><Relationship Type="http://schemas.openxmlformats.org/officeDocument/2006/relationships/hyperlink" Target="https://www.google.com/maps/search/?api=1&amp;query=122%2C%20Msida%20Valley%20Road%2C%20B%27kara%2C%20BKR%209024" TargetMode="External" Id="rId1086" /><Relationship Type="http://schemas.openxmlformats.org/officeDocument/2006/relationships/hyperlink" Target="https://www.google.com/maps/search/?api=1&amp;query=Triq%20Benghazi%2C%20Ghajnsielem-Gozo%2C%20GSM%201624" TargetMode="External" Id="rId1087" /><Relationship Type="http://schemas.openxmlformats.org/officeDocument/2006/relationships/hyperlink" Target="https://www.google.com/maps/search/?api=1&amp;query=Triq%20Papa%20Gwanni%20Pawlu%20II%2C%20Victoria-Gozo%2C%20Gozo%20VCT%209046" TargetMode="External" Id="rId1088" /><Relationship Type="http://schemas.openxmlformats.org/officeDocument/2006/relationships/hyperlink" Target="https://www.google.com/maps/search/?api=1&amp;query=Triq%20Papa%20Gwanni%20Pawlu%20ll%2C%20Victoria-Gozo%2C%20Gozo%20VCT%209046" TargetMode="External" Id="rId1089" /><Relationship Type="http://schemas.openxmlformats.org/officeDocument/2006/relationships/hyperlink" Target="https://www.google.com/maps/search/?api=1&amp;query=Mdina%20Road%2C%20Qormi%2C%20QRM%209011%2C%20Malta" TargetMode="External" Id="rId1090" /><Relationship Type="http://schemas.openxmlformats.org/officeDocument/2006/relationships/hyperlink" Target="https://www.google.com/maps/search/?api=1&amp;query=Paola%20Outlet%20Arcade%20Street%2C%20Paola%20PLA1212" TargetMode="External" Id="rId1091" /><Relationship Type="http://schemas.openxmlformats.org/officeDocument/2006/relationships/hyperlink" Target="https://www.google.com/maps/search/?api=1&amp;query=No%203%2C%20Triq%20Ferdinand%20Inglott%2C%20Attard%20ATD%203134" TargetMode="External" Id="rId1092" /><Relationship Type="http://schemas.openxmlformats.org/officeDocument/2006/relationships/hyperlink" Target="https://www.google.com/maps/search/?api=1&amp;query=Triq%20Dun%20Karm%2C%20Birkirkara%2C%20Malta" TargetMode="External" Id="rId1093" /><Relationship Type="http://schemas.openxmlformats.org/officeDocument/2006/relationships/hyperlink" Target="https://www.google.com/maps/search/?api=1&amp;query=25th%20November%20Avenue%2C%20Zejtun%2C%20ZTN2019" TargetMode="External" Id="rId1094" /><Relationship Type="http://schemas.openxmlformats.org/officeDocument/2006/relationships/hyperlink" Target="https://www.google.com/maps/search/?api=1&amp;query=Vjal%20il-Helsen%2C%20Zebbug%2C%20Malta" TargetMode="External" Id="rId1095" /><Relationship Type="http://schemas.openxmlformats.org/officeDocument/2006/relationships/hyperlink" Target="https://www.google.com/maps/search/?api=1&amp;query=7%20Triq%20I-Erba%27%20Qaddisin" TargetMode="External" Id="rId1096" /><Relationship Type="http://schemas.openxmlformats.org/officeDocument/2006/relationships/hyperlink" Target="https://www.google.com/maps/search/?api=1&amp;query=5%20Triq%20Profs%20Carmelo%20Coleiro%20Tal-Handaq%2C%20Qormi%2C%20Malta%20QRM%204000" TargetMode="External" Id="rId1097" /><Relationship Type="http://schemas.openxmlformats.org/officeDocument/2006/relationships/hyperlink" Target="https://www.google.com/maps/search/?api=1&amp;query=Triq%20il-Taflija%20Qasam%20Industrijali%2C%20Xewkija-Gozo%2C%20Gozo%20XWK%203000" TargetMode="External" Id="rId1098" /><Relationship Type="http://schemas.openxmlformats.org/officeDocument/2006/relationships/hyperlink" Target="https://www.google.com/maps/search/?api=1&amp;query=226%2C%20Triq%20Alfred%20Cachia%20Zammit%2C%20Zejtun%2C%20Malta" TargetMode="External" Id="rId1099" /><Relationship Type="http://schemas.openxmlformats.org/officeDocument/2006/relationships/hyperlink" Target="https://www.google.com/maps/search/?api=1&amp;query=13%2C%20Triq%20il-Furnar%20Qormi%20QRM%203504%2C%20Malta" TargetMode="External" Id="rId1100" /><Relationship Type="http://schemas.openxmlformats.org/officeDocument/2006/relationships/hyperlink" Target="https://www.google.com/maps/search/?api=1&amp;query=Pantar%20Road%20Hal%20Lija%20LJA%2C%202023" TargetMode="External" Id="rId1101" /><Relationship Type="http://schemas.openxmlformats.org/officeDocument/2006/relationships/hyperlink" Target="https://www.google.com/maps/search/?api=1&amp;query=Triq%20il-Kanun%2C%20al%20Qormi%2C%20Malta" TargetMode="External" Id="rId1102" /><Relationship Type="http://schemas.openxmlformats.org/officeDocument/2006/relationships/hyperlink" Target="https://www.google.com/maps/search/?api=1&amp;query=Zone%203%2C%20Triq%20In-Negozju%20Central%20Business%20District%20Birkirkara%20CBD%203010" TargetMode="External" Id="rId1103" /><Relationship Type="http://schemas.openxmlformats.org/officeDocument/2006/relationships/hyperlink" Target="https://www.google.com/maps/search/?api=1&amp;query=Falzon%27s%20Bathroom%20%26%20Ceramics%2C%20Triq%20il-Kummerc%2C%20Qormi%2C%20Malta" TargetMode="External" Id="rId1104" /><Relationship Type="http://schemas.openxmlformats.org/officeDocument/2006/relationships/hyperlink" Target="https://www.google.com/maps/search/?api=1&amp;query=160%2C%20Mdina%20Road%2C%20Zebbug%20ZBG9015" TargetMode="External" Id="rId1105" /><Relationship Type="http://schemas.openxmlformats.org/officeDocument/2006/relationships/hyperlink" Target="https://www.google.com/maps/search/?api=1&amp;query=Triq%20Bella%20Vista%2C%20San%20Gwann%2C%20Malta%20SGN%202690" TargetMode="External" Id="rId1106" /><Relationship Type="http://schemas.openxmlformats.org/officeDocument/2006/relationships/hyperlink" Target="https://www.google.com/maps/search/?api=1&amp;query=356%20Naxxar%20Road%2C%20B%27Kara%2C%20BKR%209040%2C%20Malta" TargetMode="External" Id="rId1107" /><Relationship Type="http://schemas.openxmlformats.org/officeDocument/2006/relationships/hyperlink" Target="https://www.google.com/maps/search/?api=1&amp;query=Triq%20iI-Qoton%2C%20Santa%20Lucija%2C%20Malta" TargetMode="External" Id="rId1108" /><Relationship Type="http://schemas.openxmlformats.org/officeDocument/2006/relationships/hyperlink" Target="https://www.google.com/maps/search/?api=1&amp;query=313A%2C%20Triq%20il-Barrieri%2C%20St%20Venera" TargetMode="External" Id="rId1109" /><Relationship Type="http://schemas.openxmlformats.org/officeDocument/2006/relationships/hyperlink" Target="https://www.google.com/maps/search/?api=1&amp;query=Karmenu%20Camilleri%20Street%2C%20Qormi%2C%20QRM46" TargetMode="External" Id="rId1110" /><Relationship Type="http://schemas.openxmlformats.org/officeDocument/2006/relationships/hyperlink" Target="https://www.google.com/maps/search/?api=1&amp;query=435%20St.%20Joseph%20High%20Road%2C%20St.%20Venera%2C%20Malta" TargetMode="External" Id="rId1111" /><Relationship Type="http://schemas.openxmlformats.org/officeDocument/2006/relationships/hyperlink" Target="https://www.google.com/maps/search/?api=1&amp;query=Mill%20Street%2C%20Qormi%20QRM%203102%2C%20Malta" TargetMode="External" Id="rId1112" /><Relationship Type="http://schemas.openxmlformats.org/officeDocument/2006/relationships/hyperlink" Target="https://www.google.com/maps/search/?api=1&amp;query=Triq%20II-Mosta%2C%20Lija%2C%20Malta" TargetMode="External" Id="rId1113" /><Relationship Type="http://schemas.openxmlformats.org/officeDocument/2006/relationships/hyperlink" Target="https://www.google.com/maps/search/?api=1&amp;query=Triq%20Dun%20Karm%2C%20B%27Kara%20Bypass%2C%20Birkirkara%20BKR%202940" TargetMode="External" Id="rId1114" /><Relationship Type="http://schemas.openxmlformats.org/officeDocument/2006/relationships/hyperlink" Target="https://www.google.com/maps/search/?api=1&amp;query=Triq%20Pantar%2C%20Hal%20Lija" TargetMode="External" Id="rId1115" /><Relationship Type="http://schemas.openxmlformats.org/officeDocument/2006/relationships/hyperlink" Target="https://www.google.com/maps/search/?api=1&amp;query=Triq%20Dun%20Karm%2C%20Kirkirkara%2C%20BKR%209035" TargetMode="External" Id="rId1116" /><Relationship Type="http://schemas.openxmlformats.org/officeDocument/2006/relationships/hyperlink" Target="https://www.google.com/maps/search/?api=1&amp;query=Triq%20I-Imdina%2C%20Zone%204%2C%20Meriehel%2FCentral%20Business%20District%20CBD%202010%2C%20Malta" TargetMode="External" Id="rId1117" /><Relationship Type="http://schemas.openxmlformats.org/officeDocument/2006/relationships/hyperlink" Target="https://www.google.com/maps/search/?api=1&amp;query=Velley%20Road%2C%20Msida%2C%20MSD%209020%2C%20Malta" TargetMode="External" Id="rId1118" /><Relationship Type="http://schemas.openxmlformats.org/officeDocument/2006/relationships/hyperlink" Target="https://www.google.com/maps/search/?api=1&amp;query=%C4%A6al%20Qormi%2C%20Malta" TargetMode="External" Id="rId1119" /><Relationship Type="http://schemas.openxmlformats.org/officeDocument/2006/relationships/hyperlink" Target="https://www.google.com/maps/search/?api=1&amp;query=E.Grech%20Cristal%20Bath%2C%20%0APsaila%20Street%2C%0ABirkirkara%2C%20BKR%209076%2C%20Malta." TargetMode="External" Id="rId1120" /><Relationship Type="http://schemas.openxmlformats.org/officeDocument/2006/relationships/hyperlink" Target="https://www.google.com/maps/search/?api=1&amp;query=Triq%20Benghazi%2C%20Ghajnsielem-Gozo%2C%20GSM%201624" TargetMode="External" Id="rId1121" /><Relationship Type="http://schemas.openxmlformats.org/officeDocument/2006/relationships/hyperlink" Target="https://www.google.com/maps/search/?api=1&amp;query=Triq%20Salvu%20Psaila%2C%20B%27Kara%2C%20Matla%20BKR%209076" TargetMode="External" Id="rId1122" /><Relationship Type="http://schemas.openxmlformats.org/officeDocument/2006/relationships/hyperlink" Target="https://www.google.com/maps/search/?api=1&amp;query=25th%20November%20Avenue%2C%20Zejtun%2C%20ZTN2019" TargetMode="External" Id="rId1123" /><Relationship Type="http://schemas.openxmlformats.org/officeDocument/2006/relationships/hyperlink" Target="https://www.google.com/maps/search/?api=1&amp;query=Triq%20il-Taflija%20Qasam%20Industrijali%2C%20Xewkija-Gozo%2C%20Gozo%20XWK%203000" TargetMode="External" Id="rId1124" /><Relationship Type="http://schemas.openxmlformats.org/officeDocument/2006/relationships/hyperlink" Target="https://www.google.com/maps/search/?api=1&amp;query=181%20Triq%20Salvu%20Psaila%2C%20B%27Kara%2C%20Malta%20BKR%209076" TargetMode="External" Id="rId1125" /><Relationship Type="http://schemas.openxmlformats.org/officeDocument/2006/relationships/hyperlink" Target="https://www.google.com/maps/search/?api=1&amp;query=Triq%20I-Arkata%2C%20Paola%2C%20Malta%20PLA%201212" TargetMode="External" Id="rId1126" /><Relationship Type="http://schemas.openxmlformats.org/officeDocument/2006/relationships/hyperlink" Target="https://www.google.com/maps/search/?api=1&amp;query=358%20Triq%20in-Naxxar%2C%20B%27Kara%2C%20Malta%20BKR%209040" TargetMode="External" Id="rId1127" /><Relationship Type="http://schemas.openxmlformats.org/officeDocument/2006/relationships/hyperlink" Target="https://www.google.com/maps/search/?api=1&amp;query=Triq%20Dun%20Karm%20B%27Kara%20By%20Pass%2C%20B%27Kara%2C%20Malta%20BKR%202940" TargetMode="External" Id="rId1128" /><Relationship Type="http://schemas.openxmlformats.org/officeDocument/2006/relationships/hyperlink" Target="https://www.google.com/maps/search/?api=1&amp;query=11%20Triq%20I-Imdina%2C%20Attard%2C%20Malta%20ATD%209036" TargetMode="External" Id="rId1129" /><Relationship Type="http://schemas.openxmlformats.org/officeDocument/2006/relationships/hyperlink" Target="https://www.google.com/maps/search/?api=1&amp;query=Triq%20Ninu%20Ceremona%2C%20Victoria-Gozo%2C%20Gozo%20VCT%202563" TargetMode="External" Id="rId1130" /><Relationship Type="http://schemas.openxmlformats.org/officeDocument/2006/relationships/hyperlink" Target="https://www.google.com/maps/search/?api=1&amp;query=Triq%20Durumblat%2C%20II-Mosta%2C%20MST%204816" TargetMode="External" Id="rId1131" /><Relationship Type="http://schemas.openxmlformats.org/officeDocument/2006/relationships/hyperlink" Target="https://www.google.com/maps/search/?api=1&amp;query=115%20Vjal%20iI-Blue%20Grotto%2C%20Zurrieq%2C%20Malta%20ZRQ%204015" TargetMode="External" Id="rId1132" /><Relationship Type="http://schemas.openxmlformats.org/officeDocument/2006/relationships/hyperlink" Target="https://www.google.com/maps/search/?api=1&amp;query=Naxxar%2C%20Malta%20NXR%206345" TargetMode="External" Id="rId1133" /><Relationship Type="http://schemas.openxmlformats.org/officeDocument/2006/relationships/hyperlink" Target="https://www.google.com/maps/search/?api=1&amp;query=Triq%20iI-Kanun%2C%20Qormi%2C%20Malta%20QRM%209039" TargetMode="External" Id="rId1134" /><Relationship Type="http://schemas.openxmlformats.org/officeDocument/2006/relationships/hyperlink" Target="https://www.google.com/maps/search/?api=1&amp;query=Zone%203%20Triq%20I-Intornjatur%2C%20Zona%20Industrjali%2C%20Mriehel%2C%20B%27Kara%2C%20Malta%20BKR%203000" TargetMode="External" Id="rId1135" /><Relationship Type="http://schemas.openxmlformats.org/officeDocument/2006/relationships/hyperlink" Target="https://www.google.com/maps/search/?api=1&amp;query=Pantar%20Estate%20Triq%20Pantar" TargetMode="External" Id="rId1136" /><Relationship Type="http://schemas.openxmlformats.org/officeDocument/2006/relationships/hyperlink" Target="https://www.google.com/maps/search/?api=1&amp;query=9%20Triq%20Geronimo%20Abos%2C%20Iklin%2C%20Malta%20IKL%201022" TargetMode="External" Id="rId1137" /><Relationship Type="http://schemas.openxmlformats.org/officeDocument/2006/relationships/hyperlink" Target="https://www.google.com/maps/search/?api=1&amp;query=1%20Lenger%2C%20Court%20A%2C%20Triq%20Mons%20Pawlu%20Mallia%2C%20Gudja%2C%20Malta" TargetMode="External" Id="rId1138" /><Relationship Type="http://schemas.openxmlformats.org/officeDocument/2006/relationships/hyperlink" Target="https://mrcd.com.mt/en/home.htm" TargetMode="External" Id="rId1139" /><Relationship Type="http://schemas.openxmlformats.org/officeDocument/2006/relationships/hyperlink" Target="https://deluxe-bathrooms.com" TargetMode="External" Id="rId1140" /><Relationship Type="http://schemas.openxmlformats.org/officeDocument/2006/relationships/hyperlink" Target="https://egrechcristalbath.com" TargetMode="External" Id="rId1141" /><Relationship Type="http://schemas.openxmlformats.org/officeDocument/2006/relationships/hyperlink" Target="https://alfredhili.com" TargetMode="External" Id="rId1142" /><Relationship Type="http://schemas.openxmlformats.org/officeDocument/2006/relationships/hyperlink" Target="https://halmannvella.com" TargetMode="External" Id="rId1143" /><Relationship Type="http://schemas.openxmlformats.org/officeDocument/2006/relationships/hyperlink" Target="https://bugeja-marbles.com" TargetMode="External" Id="rId1144" /><Relationship Type="http://schemas.openxmlformats.org/officeDocument/2006/relationships/hyperlink" Target="https://custobathrooms.com" TargetMode="External" Id="rId1145" /><Relationship Type="http://schemas.openxmlformats.org/officeDocument/2006/relationships/hyperlink" Target="https://alexmercieca.com" TargetMode="External" Id="rId1146" /><Relationship Type="http://schemas.openxmlformats.org/officeDocument/2006/relationships/hyperlink" Target="https://faenzabathrooms.com" TargetMode="External" Id="rId1147" /><Relationship Type="http://schemas.openxmlformats.org/officeDocument/2006/relationships/hyperlink" Target="https://afellis.com.mt" TargetMode="External" Id="rId1148" /><Relationship Type="http://schemas.openxmlformats.org/officeDocument/2006/relationships/hyperlink" Target="https://absolute.com.mt" TargetMode="External" Id="rId1149" /><Relationship Type="http://schemas.openxmlformats.org/officeDocument/2006/relationships/hyperlink" Target="https://facebook.com/avantebathrooms/" TargetMode="External" Id="rId1150" /><Relationship Type="http://schemas.openxmlformats.org/officeDocument/2006/relationships/hyperlink" Target="https://banjuboutique.com" TargetMode="External" Id="rId1151" /><Relationship Type="http://schemas.openxmlformats.org/officeDocument/2006/relationships/hyperlink" Target="https://facebook.com/bathlinemalta/" TargetMode="External" Id="rId1152" /><Relationship Type="http://schemas.openxmlformats.org/officeDocument/2006/relationships/hyperlink" Target="https://bathroomdesign.com.mt" TargetMode="External" Id="rId1153" /><Relationship Type="http://schemas.openxmlformats.org/officeDocument/2006/relationships/hyperlink" Target="https://bc-bathrooms.com" TargetMode="External" Id="rId1154" /><Relationship Type="http://schemas.openxmlformats.org/officeDocument/2006/relationships/hyperlink" Target="https://bilomtilesanddecor.com" TargetMode="External" Id="rId1155" /><Relationship Type="http://schemas.openxmlformats.org/officeDocument/2006/relationships/hyperlink" Target="https://blaugrana.com.mt" TargetMode="External" Id="rId1156" /><Relationship Type="http://schemas.openxmlformats.org/officeDocument/2006/relationships/hyperlink" Target="https://facebook.com/bubblesbathroomsmalta/" TargetMode="External" Id="rId1157" /><Relationship Type="http://schemas.openxmlformats.org/officeDocument/2006/relationships/hyperlink" Target="https://cgremarbles.com.mt" TargetMode="External" Id="rId1158" /><Relationship Type="http://schemas.openxmlformats.org/officeDocument/2006/relationships/hyperlink" Target="https://facebook.com/Calbros-Bathrooms-Ltd" TargetMode="External" Id="rId1159" /><Relationship Type="http://schemas.openxmlformats.org/officeDocument/2006/relationships/hyperlink" Target="https://casamiamalta.com" TargetMode="External" Id="rId1160" /><Relationship Type="http://schemas.openxmlformats.org/officeDocument/2006/relationships/hyperlink" Target="https://chicliving.com.mt" TargetMode="External" Id="rId1161" /><Relationship Type="http://schemas.openxmlformats.org/officeDocument/2006/relationships/hyperlink" Target="https://creationsomni.cpm" TargetMode="External" Id="rId1162" /><Relationship Type="http://schemas.openxmlformats.org/officeDocument/2006/relationships/hyperlink" Target="https://farellbathrooms.com" TargetMode="External" Id="rId1163" /><Relationship Type="http://schemas.openxmlformats.org/officeDocument/2006/relationships/hyperlink" Target="https://hauz.mt" TargetMode="External" Id="rId1164" /><Relationship Type="http://schemas.openxmlformats.org/officeDocument/2006/relationships/hyperlink" Target="https://iperceramica.it" TargetMode="External" Id="rId1165" /><Relationship Type="http://schemas.openxmlformats.org/officeDocument/2006/relationships/hyperlink" Target="https://facebook.com/Josies-Bathroom-Centre" TargetMode="External" Id="rId1166" /><Relationship Type="http://schemas.openxmlformats.org/officeDocument/2006/relationships/hyperlink" Target="https://facebook.com/keramitbathrooms/" TargetMode="External" Id="rId1167" /><Relationship Type="http://schemas.openxmlformats.org/officeDocument/2006/relationships/hyperlink" Target="https://magribathrooms.com" TargetMode="External" Id="rId1168" /><Relationship Type="http://schemas.openxmlformats.org/officeDocument/2006/relationships/hyperlink" Target="https://facebook.com/ModaBagnoMalta" TargetMode="External" Id="rId1169" /><Relationship Type="http://schemas.openxmlformats.org/officeDocument/2006/relationships/hyperlink" Target="https://facebook.com/Nuovo-Bagno" TargetMode="External" Id="rId1170" /><Relationship Type="http://schemas.openxmlformats.org/officeDocument/2006/relationships/hyperlink" Target="https://propertyservicesltd.com" TargetMode="External" Id="rId1171" /><Relationship Type="http://schemas.openxmlformats.org/officeDocument/2006/relationships/hyperlink" Target="https://ssbathrooms.com" TargetMode="External" Id="rId1172" /><Relationship Type="http://schemas.openxmlformats.org/officeDocument/2006/relationships/hyperlink" Target="https://facebook.com/SognoBagno/" TargetMode="External" Id="rId1173" /><Relationship Type="http://schemas.openxmlformats.org/officeDocument/2006/relationships/hyperlink" Target="https://thetubmalta.com" TargetMode="External" Id="rId1174" /><Relationship Type="http://schemas.openxmlformats.org/officeDocument/2006/relationships/hyperlink" Target="https://vellafalzon.com" TargetMode="External" Id="rId1175" /><Relationship Type="http://schemas.openxmlformats.org/officeDocument/2006/relationships/hyperlink" Target="https://facebook.com/Vellmann/" TargetMode="External" Id="rId1176" /><Relationship Type="http://schemas.openxmlformats.org/officeDocument/2006/relationships/hyperlink" Target="https://vivo.com.mt" TargetMode="External" Id="rId1177" /><Relationship Type="http://schemas.openxmlformats.org/officeDocument/2006/relationships/hyperlink" Target="https://facebook.com/classicbathroom/" TargetMode="External" Id="rId1178" /><Relationship Type="http://schemas.openxmlformats.org/officeDocument/2006/relationships/hyperlink" Target="https://fzammitglass.com" TargetMode="External" Id="rId1179" /><Relationship Type="http://schemas.openxmlformats.org/officeDocument/2006/relationships/hyperlink" Target="https://facebook.com/verredemic/" TargetMode="External" Id="rId1180" /><Relationship Type="http://schemas.openxmlformats.org/officeDocument/2006/relationships/hyperlink" Target="https://idealbathrooms.com.mt" TargetMode="External" Id="rId1181" /><Relationship Type="http://schemas.openxmlformats.org/officeDocument/2006/relationships/hyperlink" Target="https://carinibathrooms.com" TargetMode="External" Id="rId1182" /><Relationship Type="http://schemas.openxmlformats.org/officeDocument/2006/relationships/hyperlink" Target="https://pitrebathrooms.com" TargetMode="External" Id="rId1183" /><Relationship Type="http://schemas.openxmlformats.org/officeDocument/2006/relationships/hyperlink" Target="https://falzons.com" TargetMode="External" Id="rId1184" /><Relationship Type="http://schemas.openxmlformats.org/officeDocument/2006/relationships/hyperlink" Target="https://bmsupplies.com" TargetMode="External" Id="rId1185" /><Relationship Type="http://schemas.openxmlformats.org/officeDocument/2006/relationships/hyperlink" Target="https://alexmercieca.com" TargetMode="External" Id="rId1186" /><Relationship Type="http://schemas.openxmlformats.org/officeDocument/2006/relationships/hyperlink" Target="https://ssbathrooms.com" TargetMode="External" Id="rId1187" /><Relationship Type="http://schemas.openxmlformats.org/officeDocument/2006/relationships/hyperlink" Target="https://bathroomdesign.com.mt" TargetMode="External" Id="rId1188" /><Relationship Type="http://schemas.openxmlformats.org/officeDocument/2006/relationships/hyperlink" Target="https://floatglassltd.com" TargetMode="External" Id="rId1189" /><Relationship Type="http://schemas.openxmlformats.org/officeDocument/2006/relationships/hyperlink" Target="https://klglassmalta.com" TargetMode="External" Id="rId1190" /><Relationship Type="http://schemas.openxmlformats.org/officeDocument/2006/relationships/hyperlink" Target="https://glassdesignmalta.com" TargetMode="External" Id="rId1191" /><Relationship Type="http://schemas.openxmlformats.org/officeDocument/2006/relationships/hyperlink" Target="https://bridgepointmalta.com/" TargetMode="External" Id="rId1192" /><Relationship Type="http://schemas.openxmlformats.org/officeDocument/2006/relationships/hyperlink" Target="https://deluxe-bathrooms.com" TargetMode="External" Id="rId1193" /><Relationship Type="http://schemas.openxmlformats.org/officeDocument/2006/relationships/hyperlink" Target="https://egrechcristalbath.com" TargetMode="External" Id="rId1194" /><Relationship Type="http://schemas.openxmlformats.org/officeDocument/2006/relationships/hyperlink" Target="https://bugeja-marbles.com" TargetMode="External" Id="rId1195" /><Relationship Type="http://schemas.openxmlformats.org/officeDocument/2006/relationships/hyperlink" Target="https://custobathrooms.com" TargetMode="External" Id="rId1196" /><Relationship Type="http://schemas.openxmlformats.org/officeDocument/2006/relationships/hyperlink" Target="https://alexmercieca.com" TargetMode="External" Id="rId1197" /><Relationship Type="http://schemas.openxmlformats.org/officeDocument/2006/relationships/hyperlink" Target="https://absolute.com.mt" TargetMode="External" Id="rId1198" /><Relationship Type="http://schemas.openxmlformats.org/officeDocument/2006/relationships/hyperlink" Target="https://alfredhili.com" TargetMode="External" Id="rId1199" /><Relationship Type="http://schemas.openxmlformats.org/officeDocument/2006/relationships/hyperlink" Target="https://facebook.com/avantebathrooms/" TargetMode="External" Id="rId1200" /><Relationship Type="http://schemas.openxmlformats.org/officeDocument/2006/relationships/hyperlink" Target="https://banjuboutique.com" TargetMode="External" Id="rId1201" /><Relationship Type="http://schemas.openxmlformats.org/officeDocument/2006/relationships/hyperlink" Target="https://bathroomdesign.com.mt" TargetMode="External" Id="rId1202" /><Relationship Type="http://schemas.openxmlformats.org/officeDocument/2006/relationships/hyperlink" Target="https://bc-bathrooms.com" TargetMode="External" Id="rId1203" /><Relationship Type="http://schemas.openxmlformats.org/officeDocument/2006/relationships/hyperlink" Target="https://cgremarbles.com.mt" TargetMode="External" Id="rId1204" /><Relationship Type="http://schemas.openxmlformats.org/officeDocument/2006/relationships/hyperlink" Target="https://facebook.com/Calbros-Bathrooms-Ltd" TargetMode="External" Id="rId1205" /><Relationship Type="http://schemas.openxmlformats.org/officeDocument/2006/relationships/hyperlink" Target="https://chicliving.com.mt" TargetMode="External" Id="rId1206" /><Relationship Type="http://schemas.openxmlformats.org/officeDocument/2006/relationships/hyperlink" Target="https://facebook.com/classicbathroom/" TargetMode="External" Id="rId1207" /><Relationship Type="http://schemas.openxmlformats.org/officeDocument/2006/relationships/hyperlink" Target="https://farellbathrooms.com" TargetMode="External" Id="rId1208" /><Relationship Type="http://schemas.openxmlformats.org/officeDocument/2006/relationships/hyperlink" Target="https://iperceramica.it" TargetMode="External" Id="rId1209" /><Relationship Type="http://schemas.openxmlformats.org/officeDocument/2006/relationships/hyperlink" Target="https://facebook.com/Josies-Bathroom-Centre" TargetMode="External" Id="rId1210" /><Relationship Type="http://schemas.openxmlformats.org/officeDocument/2006/relationships/hyperlink" Target="https://facebook.com/keramitbathrooms/" TargetMode="External" Id="rId1211" /><Relationship Type="http://schemas.openxmlformats.org/officeDocument/2006/relationships/hyperlink" Target="https://magribathrooms.com" TargetMode="External" Id="rId1212" /><Relationship Type="http://schemas.openxmlformats.org/officeDocument/2006/relationships/hyperlink" Target="https://facebook.com/ModaBagnoMalta" TargetMode="External" Id="rId1213" /><Relationship Type="http://schemas.openxmlformats.org/officeDocument/2006/relationships/hyperlink" Target="https://facebook.com/Nuovo-Bagno" TargetMode="External" Id="rId1214" /><Relationship Type="http://schemas.openxmlformats.org/officeDocument/2006/relationships/hyperlink" Target="https://propertyservicesltd.com" TargetMode="External" Id="rId1215" /><Relationship Type="http://schemas.openxmlformats.org/officeDocument/2006/relationships/hyperlink" Target="https://ssbathrooms.com" TargetMode="External" Id="rId1216" /><Relationship Type="http://schemas.openxmlformats.org/officeDocument/2006/relationships/hyperlink" Target="https://facebook.com/SognoBagno/" TargetMode="External" Id="rId1217" /><Relationship Type="http://schemas.openxmlformats.org/officeDocument/2006/relationships/hyperlink" Target="https://facebook.com/Vellmann/" TargetMode="External" Id="rId1218" /><Relationship Type="http://schemas.openxmlformats.org/officeDocument/2006/relationships/hyperlink" Target="https://vivo.com.mt" TargetMode="External" Id="rId1219" /><Relationship Type="http://schemas.openxmlformats.org/officeDocument/2006/relationships/hyperlink" Target="https://carinibathrooms.com" TargetMode="External" Id="rId1220" /><Relationship Type="http://schemas.openxmlformats.org/officeDocument/2006/relationships/hyperlink" Target="https://bridgepoint.com" TargetMode="External" Id="rId1221" /><Relationship Type="http://schemas.openxmlformats.org/officeDocument/2006/relationships/hyperlink" Target="https://fbpmalta.com" TargetMode="External" Id="rId1222" /><Relationship Type="http://schemas.openxmlformats.org/officeDocument/2006/relationships/hyperlink" Target="https://satariano.com" TargetMode="External" Id="rId1223" /><Relationship Type="http://schemas.openxmlformats.org/officeDocument/2006/relationships/hyperlink" Target="https://deluxe-bathrooms.com" TargetMode="External" Id="rId1224" /><Relationship Type="http://schemas.openxmlformats.org/officeDocument/2006/relationships/hyperlink" Target="https://newline.com.mt" TargetMode="External" Id="rId1225" /><Relationship Type="http://schemas.openxmlformats.org/officeDocument/2006/relationships/hyperlink" Target="https://newline.com.mt" TargetMode="External" Id="rId1226" /><Relationship Type="http://schemas.openxmlformats.org/officeDocument/2006/relationships/hyperlink" Target="https://pitrebathrooms.com" TargetMode="External" Id="rId1227" /><Relationship Type="http://schemas.openxmlformats.org/officeDocument/2006/relationships/hyperlink" Target="https://banjuboutique.com" TargetMode="External" Id="rId1228" /><Relationship Type="http://schemas.openxmlformats.org/officeDocument/2006/relationships/hyperlink" Target="https://bridgepoint.com" TargetMode="External" Id="rId1229" /><Relationship Type="http://schemas.openxmlformats.org/officeDocument/2006/relationships/hyperlink" Target="https://facebook.com/p/Gozo-Baths-Ceramics-100063540523723/" TargetMode="External" Id="rId1230" /><Relationship Type="http://schemas.openxmlformats.org/officeDocument/2006/relationships/hyperlink" Target="https://alexmercieca.com" TargetMode="External" Id="rId1231" /><Relationship Type="http://schemas.openxmlformats.org/officeDocument/2006/relationships/hyperlink" Target="https://dfloorings.com" TargetMode="External" Id="rId1232" /><Relationship Type="http://schemas.openxmlformats.org/officeDocument/2006/relationships/hyperlink" Target="https://faenzabathrooms.com" TargetMode="External" Id="rId1233" /><Relationship Type="http://schemas.openxmlformats.org/officeDocument/2006/relationships/hyperlink" Target="https://sbmmarble.com" TargetMode="External" Id="rId1234" /><Relationship Type="http://schemas.openxmlformats.org/officeDocument/2006/relationships/hyperlink" Target="https://afellis.com.mt" TargetMode="External" Id="rId1235" /><Relationship Type="http://schemas.openxmlformats.org/officeDocument/2006/relationships/hyperlink" Target="https://nsntilesandceramics.com" TargetMode="External" Id="rId1236" /><Relationship Type="http://schemas.openxmlformats.org/officeDocument/2006/relationships/hyperlink" Target="https://wvellafalzon.com" TargetMode="External" Id="rId1237" /><Relationship Type="http://schemas.openxmlformats.org/officeDocument/2006/relationships/hyperlink" Target="https://vellmann.com" TargetMode="External" Id="rId1238" /><Relationship Type="http://schemas.openxmlformats.org/officeDocument/2006/relationships/hyperlink" Target="https://magribathrooms.com" TargetMode="External" Id="rId1239" /><Relationship Type="http://schemas.openxmlformats.org/officeDocument/2006/relationships/hyperlink" Target="https://wwwjcrimports.com.mt" TargetMode="External" Id="rId1240" /><Relationship Type="http://schemas.openxmlformats.org/officeDocument/2006/relationships/hyperlink" Target="https://falzons.com" TargetMode="External" Id="rId1241" /><Relationship Type="http://schemas.openxmlformats.org/officeDocument/2006/relationships/hyperlink" Target="https://maltadiy.com" TargetMode="External" Id="rId1242" /><Relationship Type="http://schemas.openxmlformats.org/officeDocument/2006/relationships/hyperlink" Target="https://the-tile.com" TargetMode="External" Id="rId1243" /><Relationship Type="http://schemas.openxmlformats.org/officeDocument/2006/relationships/hyperlink" Target="https://bathroomdesign.com.mt" TargetMode="External" Id="rId1244" /><Relationship Type="http://schemas.openxmlformats.org/officeDocument/2006/relationships/hyperlink" Target="https://facebook.com/tilewarehousemalta/" TargetMode="External" Id="rId1245" /><Relationship Type="http://schemas.openxmlformats.org/officeDocument/2006/relationships/hyperlink" Target="https://thetub.com" TargetMode="External" Id="rId1246" /><Relationship Type="http://schemas.openxmlformats.org/officeDocument/2006/relationships/hyperlink" Target="https://mrcd.com.mt" TargetMode="External" Id="rId1247" /><Relationship Type="http://schemas.openxmlformats.org/officeDocument/2006/relationships/hyperlink" Target="https://carinibathrooms.com" TargetMode="External" Id="rId1248" /><Relationship Type="http://schemas.openxmlformats.org/officeDocument/2006/relationships/hyperlink" Target="https://waterartconcepts.com" TargetMode="External" Id="rId1249" /><Relationship Type="http://schemas.openxmlformats.org/officeDocument/2006/relationships/hyperlink" Target="https://jysk.com.mt" TargetMode="External" Id="rId1250" /><Relationship Type="http://schemas.openxmlformats.org/officeDocument/2006/relationships/hyperlink" Target="https://bc-bathrooms.com" TargetMode="External" Id="rId1251" /><Relationship Type="http://schemas.openxmlformats.org/officeDocument/2006/relationships/hyperlink" Target="https://absolute.com.mt" TargetMode="External" Id="rId1252" /><Relationship Type="http://schemas.openxmlformats.org/officeDocument/2006/relationships/hyperlink" Target="https://bmsupplies.com" TargetMode="External" Id="rId1253" /><Relationship Type="http://schemas.openxmlformats.org/officeDocument/2006/relationships/hyperlink" Target="https://fino.com.mt" TargetMode="External" Id="rId1254" /><Relationship Type="http://schemas.openxmlformats.org/officeDocument/2006/relationships/hyperlink" Target="https://iperceramica.it/en/ita" TargetMode="External" Id="rId1255" /><Relationship Type="http://schemas.openxmlformats.org/officeDocument/2006/relationships/hyperlink" Target="https://goldenhouse.mt" TargetMode="External" Id="rId1256" /><Relationship Type="http://schemas.openxmlformats.org/officeDocument/2006/relationships/hyperlink" Target="https://egrechcristalbath.com/en/home.htm" TargetMode="External" Id="rId1257" /><Relationship Type="http://schemas.openxmlformats.org/officeDocument/2006/relationships/hyperlink" Target="https://deluxe-bathrooms.com" TargetMode="External" Id="rId1258" /><Relationship Type="http://schemas.openxmlformats.org/officeDocument/2006/relationships/hyperlink" Target="https://egrechcristalbath.com" TargetMode="External" Id="rId1259" /><Relationship Type="http://schemas.openxmlformats.org/officeDocument/2006/relationships/hyperlink" Target="https://alexmercieca.com" TargetMode="External" Id="rId1260" /><Relationship Type="http://schemas.openxmlformats.org/officeDocument/2006/relationships/hyperlink" Target="https://afellis.com.mt" TargetMode="External" Id="rId1261" /><Relationship Type="http://schemas.openxmlformats.org/officeDocument/2006/relationships/hyperlink" Target="https://facebook.com/avantebathrooms/" TargetMode="External" Id="rId1262" /><Relationship Type="http://schemas.openxmlformats.org/officeDocument/2006/relationships/hyperlink" Target="https://banjuboutique.com" TargetMode="External" Id="rId1263" /><Relationship Type="http://schemas.openxmlformats.org/officeDocument/2006/relationships/hyperlink" Target="https://bathroomdesign.com.mt" TargetMode="External" Id="rId1264" /><Relationship Type="http://schemas.openxmlformats.org/officeDocument/2006/relationships/hyperlink" Target="https://bc-bathrooms.com" TargetMode="External" Id="rId1265" /><Relationship Type="http://schemas.openxmlformats.org/officeDocument/2006/relationships/hyperlink" Target="https://cgremarbles.com.mt" TargetMode="External" Id="rId1266" /><Relationship Type="http://schemas.openxmlformats.org/officeDocument/2006/relationships/hyperlink" Target="https://casamiamalta.com" TargetMode="External" Id="rId1267" /><Relationship Type="http://schemas.openxmlformats.org/officeDocument/2006/relationships/hyperlink" Target="https://chicliving.com.mt" TargetMode="External" Id="rId1268" /><Relationship Type="http://schemas.openxmlformats.org/officeDocument/2006/relationships/hyperlink" Target="https://farellbathrooms.com" TargetMode="External" Id="rId1269" /><Relationship Type="http://schemas.openxmlformats.org/officeDocument/2006/relationships/hyperlink" Target="https://facebook.com/keramitbathrooms/" TargetMode="External" Id="rId1270" /><Relationship Type="http://schemas.openxmlformats.org/officeDocument/2006/relationships/hyperlink" Target="https://magribathrooms.com" TargetMode="External" Id="rId1271" /><Relationship Type="http://schemas.openxmlformats.org/officeDocument/2006/relationships/hyperlink" Target="https://facebook.com/ModaBagnoMalta" TargetMode="External" Id="rId1272" /><Relationship Type="http://schemas.openxmlformats.org/officeDocument/2006/relationships/hyperlink" Target="https://facebook.com/Vellmann/" TargetMode="External" Id="rId1273" /><Relationship Type="http://schemas.openxmlformats.org/officeDocument/2006/relationships/hyperlink" Target="https://vivo.com.mt" TargetMode="External" Id="rId1274" /><Relationship Type="http://schemas.openxmlformats.org/officeDocument/2006/relationships/hyperlink" Target="https://wc.mt" TargetMode="External" Id="rId127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hyperlink" Target="MAILTO:deluxebathroomsmanagement@gmail.com" TargetMode="External" Id="rId1276" /><Relationship Type="http://schemas.openxmlformats.org/officeDocument/2006/relationships/hyperlink" Target="MAILTO:newlineliving@gmail.com" TargetMode="External" Id="rId1277" /><Relationship Type="http://schemas.openxmlformats.org/officeDocument/2006/relationships/hyperlink" Target="MAILTO:info@jpitre.com" TargetMode="External" Id="rId1278" /><Relationship Type="http://schemas.openxmlformats.org/officeDocument/2006/relationships/hyperlink" Target="MAILTO:info@banjuboutique.com" TargetMode="External" Id="rId1279" /><Relationship Type="http://schemas.openxmlformats.org/officeDocument/2006/relationships/hyperlink" Target="MAILTO:sales@bridgepoint.com.mt" TargetMode="External" Id="rId1280" /><Relationship Type="http://schemas.openxmlformats.org/officeDocument/2006/relationships/hyperlink" Target="MAILTO:gozobaths@gmail.com" TargetMode="External" Id="rId1281" /><Relationship Type="http://schemas.openxmlformats.org/officeDocument/2006/relationships/hyperlink" Target="MAILTO:info@alexmercieca.com" TargetMode="External" Id="rId1282" /><Relationship Type="http://schemas.openxmlformats.org/officeDocument/2006/relationships/hyperlink" Target="MAILTO:faenzabathroomsmalta@gmail.com" TargetMode="External" Id="rId1283" /><Relationship Type="http://schemas.openxmlformats.org/officeDocument/2006/relationships/hyperlink" Target="MAILTO:mail@afellis.com.tm" TargetMode="External" Id="rId1284" /><Relationship Type="http://schemas.openxmlformats.org/officeDocument/2006/relationships/hyperlink" Target="MAILTO:info@vellafalzon.com" TargetMode="External" Id="rId1285" /><Relationship Type="http://schemas.openxmlformats.org/officeDocument/2006/relationships/hyperlink" Target="MAILTO:info@vellmann.com" TargetMode="External" Id="rId1286" /><Relationship Type="http://schemas.openxmlformats.org/officeDocument/2006/relationships/hyperlink" Target="MAILTO:info@magribathrooms.com" TargetMode="External" Id="rId1287" /><Relationship Type="http://schemas.openxmlformats.org/officeDocument/2006/relationships/hyperlink" Target="MAILTO:info@falzons.com" TargetMode="External" Id="rId1288" /><Relationship Type="http://schemas.openxmlformats.org/officeDocument/2006/relationships/hyperlink" Target="MAILTO:sales@maltadiy.com" TargetMode="External" Id="rId1289" /><Relationship Type="http://schemas.openxmlformats.org/officeDocument/2006/relationships/hyperlink" Target="MAILTO:info@the-tile.com" TargetMode="External" Id="rId1290" /><Relationship Type="http://schemas.openxmlformats.org/officeDocument/2006/relationships/hyperlink" Target="MAILTO:info@bathroomdesign.com.mt" TargetMode="External" Id="rId1291" /><Relationship Type="http://schemas.openxmlformats.org/officeDocument/2006/relationships/hyperlink" Target="MAILTO:sales@thetubmalta.com" TargetMode="External" Id="rId1292" /><Relationship Type="http://schemas.openxmlformats.org/officeDocument/2006/relationships/hyperlink" Target="MAILTO:sales@carinibathrooms.com" TargetMode="External" Id="rId1293" /><Relationship Type="http://schemas.openxmlformats.org/officeDocument/2006/relationships/hyperlink" Target="MAILTO:info@waterartconcepts.com" TargetMode="External" Id="rId1294" /><Relationship Type="http://schemas.openxmlformats.org/officeDocument/2006/relationships/hyperlink" Target="MAILTO:bc.bathrooms@gmail.com" TargetMode="External" Id="rId1295" /><Relationship Type="http://schemas.openxmlformats.org/officeDocument/2006/relationships/hyperlink" Target="MAILTO:info@bmsupplies.com" TargetMode="External" Id="rId1296" /><Relationship Type="http://schemas.openxmlformats.org/officeDocument/2006/relationships/hyperlink" Target="MAILTO:info@vellmann.com" TargetMode="External" Id="rId1297" /><Relationship Type="http://schemas.openxmlformats.org/officeDocument/2006/relationships/hyperlink" Target="MAILTO:info@dolphinpools.com.mt" TargetMode="External" Id="rId1298" /><Relationship Type="http://schemas.openxmlformats.org/officeDocument/2006/relationships/hyperlink" Target="MAILTO:mail@afellis.com.mt" TargetMode="External" Id="rId1299" /><Relationship Type="http://schemas.openxmlformats.org/officeDocument/2006/relationships/hyperlink" Target="MAILTO:pools@muscatpools.com" TargetMode="External" Id="rId1300" /><Relationship Type="http://schemas.openxmlformats.org/officeDocument/2006/relationships/hyperlink" Target="MAILTO:rodneycolombo@gmail.com" TargetMode="External" Id="rId1301" /><Relationship Type="http://schemas.openxmlformats.org/officeDocument/2006/relationships/hyperlink" Target="MAILTO:info@splashstoremalta.com" TargetMode="External" Id="rId1302" /><Relationship Type="http://schemas.openxmlformats.org/officeDocument/2006/relationships/hyperlink" Target="MAILTO:info@crystalpools.com.mt" TargetMode="External" Id="rId1303" /><Relationship Type="http://schemas.openxmlformats.org/officeDocument/2006/relationships/hyperlink" Target="MAILTO:faenzabathroomsmalta@gmail.com" TargetMode="External" Id="rId1304" /><Relationship Type="http://schemas.openxmlformats.org/officeDocument/2006/relationships/hyperlink" Target="MAILTO:shop@hometrends.com.mt" TargetMode="External" Id="rId1305" /><Relationship Type="http://schemas.openxmlformats.org/officeDocument/2006/relationships/hyperlink" Target="MAILTO:sales@casafini.com.mt" TargetMode="External" Id="rId1306" /><Relationship Type="http://schemas.openxmlformats.org/officeDocument/2006/relationships/hyperlink" Target="MAILTO:info@bigmatmalta.com" TargetMode="External" Id="rId1307" /><Relationship Type="http://schemas.openxmlformats.org/officeDocument/2006/relationships/hyperlink" Target="MAILTO:info@thegreatoutdoorsmalta.com" TargetMode="External" Id="rId1308" /><Relationship Type="http://schemas.openxmlformats.org/officeDocument/2006/relationships/hyperlink" Target="https://www.google.com/maps/search/?api=1&amp;query=Triq%20Benghazi%2C%20Ghajnsielem-Gozo%2C%20GSM%201624" TargetMode="External" Id="rId1309" /><Relationship Type="http://schemas.openxmlformats.org/officeDocument/2006/relationships/hyperlink" Target="https://www.google.com/maps/search/?api=1&amp;query=Triq%20Papa%20Gwanni%20Pawlu%20II%2C%20Victoria-Gozo%2C%20Gozo%20VCT%209046" TargetMode="External" Id="rId1310" /><Relationship Type="http://schemas.openxmlformats.org/officeDocument/2006/relationships/hyperlink" Target="https://www.google.com/maps/search/?api=1&amp;query=Mdina%20Road%2C%20Qormi%2C%20QRM%209011%2C%20Malta" TargetMode="External" Id="rId1311" /><Relationship Type="http://schemas.openxmlformats.org/officeDocument/2006/relationships/hyperlink" Target="https://www.google.com/maps/search/?api=1&amp;query=Paola%20Outlet%20Arcade%20Street%2C%20Paola%20PLA1212" TargetMode="External" Id="rId1312" /><Relationship Type="http://schemas.openxmlformats.org/officeDocument/2006/relationships/hyperlink" Target="https://www.google.com/maps/search/?api=1&amp;query=No%203%2C%20Triq%20Ferdinand%20Inglott%2C%20Attard%20ATD%203134" TargetMode="External" Id="rId1313" /><Relationship Type="http://schemas.openxmlformats.org/officeDocument/2006/relationships/hyperlink" Target="https://www.google.com/maps/search/?api=1&amp;query=Triq%20Dun%20Karm%2C%20Birkirkara%2C%20Malta" TargetMode="External" Id="rId1314" /><Relationship Type="http://schemas.openxmlformats.org/officeDocument/2006/relationships/hyperlink" Target="https://www.google.com/maps/search/?api=1&amp;query=25th%20November%20Avenue%2C%20Zejtun%2C%20ZTN2019" TargetMode="External" Id="rId1315" /><Relationship Type="http://schemas.openxmlformats.org/officeDocument/2006/relationships/hyperlink" Target="https://www.google.com/maps/search/?api=1&amp;query=7%20Triq%20I-Erba%27%20Qaddisin" TargetMode="External" Id="rId1316" /><Relationship Type="http://schemas.openxmlformats.org/officeDocument/2006/relationships/hyperlink" Target="https://www.google.com/maps/search/?api=1&amp;query=Triq%20il-Taflija%20Qasam%20Industrijali%2C%20Xewkija-Gozo%2C%20Gozo%20XWK%203000" TargetMode="External" Id="rId1317" /><Relationship Type="http://schemas.openxmlformats.org/officeDocument/2006/relationships/hyperlink" Target="https://www.google.com/maps/search/?api=1&amp;query=13%2C%20Triq%20il-Furnar%20Qormi%20QRM%203504%2C%20Malta" TargetMode="External" Id="rId1318" /><Relationship Type="http://schemas.openxmlformats.org/officeDocument/2006/relationships/hyperlink" Target="https://www.google.com/maps/search/?api=1&amp;query=Pantar%20Road%20Hal%20Lija%20LJA%2C%202023" TargetMode="External" Id="rId1319" /><Relationship Type="http://schemas.openxmlformats.org/officeDocument/2006/relationships/hyperlink" Target="https://www.google.com/maps/search/?api=1&amp;query=Triq%20il-Kanun%2C%20al%20Qormi%2C%20Malta" TargetMode="External" Id="rId1320" /><Relationship Type="http://schemas.openxmlformats.org/officeDocument/2006/relationships/hyperlink" Target="https://www.google.com/maps/search/?api=1&amp;query=Falzon%27s%20Bathroom%20%26%20Ceramics%2C%20Triq%20il-Kummerc%2C%20Qormi%2C%20Malta" TargetMode="External" Id="rId1321" /><Relationship Type="http://schemas.openxmlformats.org/officeDocument/2006/relationships/hyperlink" Target="https://www.google.com/maps/search/?api=1&amp;query=160%2C%20Mdina%20Road%2C%20Zebbug%20ZBG9015" TargetMode="External" Id="rId1322" /><Relationship Type="http://schemas.openxmlformats.org/officeDocument/2006/relationships/hyperlink" Target="https://www.google.com/maps/search/?api=1&amp;query=Triq%20Bella%20Vista%2C%20San%20Gwann%2C%20Malta%20SGN%202690" TargetMode="External" Id="rId1323" /><Relationship Type="http://schemas.openxmlformats.org/officeDocument/2006/relationships/hyperlink" Target="https://www.google.com/maps/search/?api=1&amp;query=356%20Naxxar%20Road%2C%20B%27Kara%2C%20BKR%209040%2C%20Malta" TargetMode="External" Id="rId1324" /><Relationship Type="http://schemas.openxmlformats.org/officeDocument/2006/relationships/hyperlink" Target="https://www.google.com/maps/search/?api=1&amp;query=313A%2C%20Triq%20il-Barrieri%2C%20St%20Venera" TargetMode="External" Id="rId1325" /><Relationship Type="http://schemas.openxmlformats.org/officeDocument/2006/relationships/hyperlink" Target="https://www.google.com/maps/search/?api=1&amp;query=435%20St.%20Joseph%20High%20Road%2C%20St.%20Venera%2C%20Malta" TargetMode="External" Id="rId1326" /><Relationship Type="http://schemas.openxmlformats.org/officeDocument/2006/relationships/hyperlink" Target="https://www.google.com/maps/search/?api=1&amp;query=Mill%20Street%2C%20Qormi%20QRM%203102%2C%20Malta" TargetMode="External" Id="rId1327" /><Relationship Type="http://schemas.openxmlformats.org/officeDocument/2006/relationships/hyperlink" Target="https://www.google.com/maps/search/?api=1&amp;query=Triq%20Dun%20Karm%2C%20B%27Kara%20Bypass%2C%20Birkirkara%20BKR%202940" TargetMode="External" Id="rId1328" /><Relationship Type="http://schemas.openxmlformats.org/officeDocument/2006/relationships/hyperlink" Target="https://www.google.com/maps/search/?api=1&amp;query=Triq%20Dun%20Karm%2C%20Kirkirkara%2C%20BKR%209035" TargetMode="External" Id="rId1329" /><Relationship Type="http://schemas.openxmlformats.org/officeDocument/2006/relationships/hyperlink" Target="https://www.google.com/maps/search/?api=1&amp;query=Pantar%20Estate%20Triq%20Pantar" TargetMode="External" Id="rId1330" /><Relationship Type="http://schemas.openxmlformats.org/officeDocument/2006/relationships/hyperlink" Target="https://deluxe-bathrooms.com" TargetMode="External" Id="rId1331" /><Relationship Type="http://schemas.openxmlformats.org/officeDocument/2006/relationships/hyperlink" Target="https://newline.com.mt" TargetMode="External" Id="rId1332" /><Relationship Type="http://schemas.openxmlformats.org/officeDocument/2006/relationships/hyperlink" Target="https://pitrebathrooms.com" TargetMode="External" Id="rId1333" /><Relationship Type="http://schemas.openxmlformats.org/officeDocument/2006/relationships/hyperlink" Target="https://banjuboutique.com" TargetMode="External" Id="rId1334" /><Relationship Type="http://schemas.openxmlformats.org/officeDocument/2006/relationships/hyperlink" Target="https://bridgepoint.com" TargetMode="External" Id="rId1335" /><Relationship Type="http://schemas.openxmlformats.org/officeDocument/2006/relationships/hyperlink" Target="https://facebook.com/p/Gozo-Baths-Ceramics-100063540523723/" TargetMode="External" Id="rId1336" /><Relationship Type="http://schemas.openxmlformats.org/officeDocument/2006/relationships/hyperlink" Target="https://alexmercieca.com" TargetMode="External" Id="rId1337" /><Relationship Type="http://schemas.openxmlformats.org/officeDocument/2006/relationships/hyperlink" Target="https://faenzabathrooms.com" TargetMode="External" Id="rId1338" /><Relationship Type="http://schemas.openxmlformats.org/officeDocument/2006/relationships/hyperlink" Target="https://afellis.com.mt" TargetMode="External" Id="rId1339" /><Relationship Type="http://schemas.openxmlformats.org/officeDocument/2006/relationships/hyperlink" Target="https://wvellafalzon.com" TargetMode="External" Id="rId1340" /><Relationship Type="http://schemas.openxmlformats.org/officeDocument/2006/relationships/hyperlink" Target="https://vellmann.com" TargetMode="External" Id="rId1341" /><Relationship Type="http://schemas.openxmlformats.org/officeDocument/2006/relationships/hyperlink" Target="https://magribathrooms.com" TargetMode="External" Id="rId1342" /><Relationship Type="http://schemas.openxmlformats.org/officeDocument/2006/relationships/hyperlink" Target="https://falzons.com" TargetMode="External" Id="rId1343" /><Relationship Type="http://schemas.openxmlformats.org/officeDocument/2006/relationships/hyperlink" Target="https://maltadiy.com" TargetMode="External" Id="rId1344" /><Relationship Type="http://schemas.openxmlformats.org/officeDocument/2006/relationships/hyperlink" Target="https://the-tile.com" TargetMode="External" Id="rId1345" /><Relationship Type="http://schemas.openxmlformats.org/officeDocument/2006/relationships/hyperlink" Target="https://bathroomdesign.com.mt" TargetMode="External" Id="rId1346" /><Relationship Type="http://schemas.openxmlformats.org/officeDocument/2006/relationships/hyperlink" Target="https://thetub.com" TargetMode="External" Id="rId1347" /><Relationship Type="http://schemas.openxmlformats.org/officeDocument/2006/relationships/hyperlink" Target="https://carinibathrooms.com" TargetMode="External" Id="rId1348" /><Relationship Type="http://schemas.openxmlformats.org/officeDocument/2006/relationships/hyperlink" Target="https://waterartconcepts.com" TargetMode="External" Id="rId1349" /><Relationship Type="http://schemas.openxmlformats.org/officeDocument/2006/relationships/hyperlink" Target="https://bc-bathrooms.com" TargetMode="External" Id="rId1350" /><Relationship Type="http://schemas.openxmlformats.org/officeDocument/2006/relationships/hyperlink" Target="https://bmsupplies.com" TargetMode="External" Id="rId1351" /><Relationship Type="http://schemas.openxmlformats.org/officeDocument/2006/relationships/hyperlink" Target="https://facebook.com/Vellmann/" TargetMode="External" Id="rId135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hyperlink" Target="MAILTO:sales@euroimjsm.com" TargetMode="External" Id="rId1353" /><Relationship Type="http://schemas.openxmlformats.org/officeDocument/2006/relationships/hyperlink" Target="MAILTO:info@styleinterni.com" TargetMode="External" Id="rId1354" /><Relationship Type="http://schemas.openxmlformats.org/officeDocument/2006/relationships/hyperlink" Target="MAILTO:homistic@yahoo.com" TargetMode="External" Id="rId1355" /><Relationship Type="http://schemas.openxmlformats.org/officeDocument/2006/relationships/hyperlink" Target="MAILTO:foam.leather@gmail.com" TargetMode="External" Id="rId1356" /><Relationship Type="http://schemas.openxmlformats.org/officeDocument/2006/relationships/hyperlink" Target="MAILTO:cbrltd1@go.net.mt" TargetMode="External" Id="rId1357" /><Relationship Type="http://schemas.openxmlformats.org/officeDocument/2006/relationships/hyperlink" Target="MAILTO:lawrenceagalea@yahoo.com" TargetMode="External" Id="rId1358" /><Relationship Type="http://schemas.openxmlformats.org/officeDocument/2006/relationships/hyperlink" Target="MAILTO:marketing@form.com.mt" TargetMode="External" Id="rId1359" /><Relationship Type="http://schemas.openxmlformats.org/officeDocument/2006/relationships/hyperlink" Target="MAILTO:sales@powerhousemalta.eu" TargetMode="External" Id="rId1360" /><Relationship Type="http://schemas.openxmlformats.org/officeDocument/2006/relationships/hyperlink" Target="MAILTO:info@krea.com.mt" TargetMode="External" Id="rId1361" /><Relationship Type="http://schemas.openxmlformats.org/officeDocument/2006/relationships/hyperlink" Target="MAILTO:jysk@jysk.com.mt" TargetMode="External" Id="rId1362" /><Relationship Type="http://schemas.openxmlformats.org/officeDocument/2006/relationships/hyperlink" Target="MAILTO:info@dinofino.com" TargetMode="External" Id="rId1363" /><Relationship Type="http://schemas.openxmlformats.org/officeDocument/2006/relationships/hyperlink" Target="MAILTO:help@mattresscollection.com.mt" TargetMode="External" Id="rId1364" /><Relationship Type="http://schemas.openxmlformats.org/officeDocument/2006/relationships/hyperlink" Target="MAILTO:info@royaltybedding.com" TargetMode="External" Id="rId1365" /><Relationship Type="http://schemas.openxmlformats.org/officeDocument/2006/relationships/hyperlink" Target="MAILTO:sales@shaker.com.mt" TargetMode="External" Id="rId1366" /><Relationship Type="http://schemas.openxmlformats.org/officeDocument/2006/relationships/hyperlink" Target="MAILTO:info@dreamsmalta.com" TargetMode="External" Id="rId1367" /><Relationship Type="http://schemas.openxmlformats.org/officeDocument/2006/relationships/hyperlink" Target="MAILTO:estevan@morfeus.com.mt" TargetMode="External" Id="rId1368" /><Relationship Type="http://schemas.openxmlformats.org/officeDocument/2006/relationships/hyperlink" Target="MAILTO:info@oxfordhouse.com.mt" TargetMode="External" Id="rId1369" /><Relationship Type="http://schemas.openxmlformats.org/officeDocument/2006/relationships/hyperlink" Target="MAILTO:info@okhome.com.mt" TargetMode="External" Id="rId1370" /><Relationship Type="http://schemas.openxmlformats.org/officeDocument/2006/relationships/hyperlink" Target="MAILTO:contactus@theatrium.com.mt" TargetMode="External" Id="rId1371" /><Relationship Type="http://schemas.openxmlformats.org/officeDocument/2006/relationships/hyperlink" Target="MAILTO:info@fino.com.mt" TargetMode="External" Id="rId1372" /><Relationship Type="http://schemas.openxmlformats.org/officeDocument/2006/relationships/hyperlink" Target="MAILTO:mosta@homemate.com.mt" TargetMode="External" Id="rId1373" /><Relationship Type="http://schemas.openxmlformats.org/officeDocument/2006/relationships/hyperlink" Target="MAILTO:info@vitafoammalta.com" TargetMode="External" Id="rId1374" /><Relationship Type="http://schemas.openxmlformats.org/officeDocument/2006/relationships/hyperlink" Target="MAILTO:sales@sylviabazaar.com" TargetMode="External" Id="rId1375" /><Relationship Type="http://schemas.openxmlformats.org/officeDocument/2006/relationships/hyperlink" Target="MAILTO:sales@omajco.net" TargetMode="External" Id="rId1376" /><Relationship Type="http://schemas.openxmlformats.org/officeDocument/2006/relationships/hyperlink" Target="MAILTO:help@wellbeingbedding.com" TargetMode="External" Id="rId1377" /><Relationship Type="http://schemas.openxmlformats.org/officeDocument/2006/relationships/hyperlink" Target="MAILTO:info@ctmliving.com" TargetMode="External" Id="rId1378" /><Relationship Type="http://schemas.openxmlformats.org/officeDocument/2006/relationships/hyperlink" Target="MAILTO:info@pcs.com.mt" TargetMode="External" Id="rId1379" /><Relationship Type="http://schemas.openxmlformats.org/officeDocument/2006/relationships/hyperlink" Target="MAILTO:sales@malta-design.com" TargetMode="External" Id="rId1380" /><Relationship Type="http://schemas.openxmlformats.org/officeDocument/2006/relationships/hyperlink" Target="MAILTO:info@promaninteriors.com" TargetMode="External" Id="rId1381" /><Relationship Type="http://schemas.openxmlformats.org/officeDocument/2006/relationships/hyperlink" Target="MAILTO:info@dari.mt" TargetMode="External" Id="rId1382" /><Relationship Type="http://schemas.openxmlformats.org/officeDocument/2006/relationships/hyperlink" Target="MAILTO:info@fairdealfurniture.com.mt" TargetMode="External" Id="rId1383" /><Relationship Type="http://schemas.openxmlformats.org/officeDocument/2006/relationships/hyperlink" Target="MAILTO:info@bdi.com.mt" TargetMode="External" Id="rId1384" /><Relationship Type="http://schemas.openxmlformats.org/officeDocument/2006/relationships/hyperlink" Target="MAILTO:info@boconcept.com.mt" TargetMode="External" Id="rId1385" /><Relationship Type="http://schemas.openxmlformats.org/officeDocument/2006/relationships/hyperlink" Target="MAILTO:info@brands.com.mt" TargetMode="External" Id="rId1386" /><Relationship Type="http://schemas.openxmlformats.org/officeDocument/2006/relationships/hyperlink" Target="MAILTO:stephen@rliving.com.mt" TargetMode="External" Id="rId1387" /><Relationship Type="http://schemas.openxmlformats.org/officeDocument/2006/relationships/hyperlink" Target="MAILTO:info@kubekgroup.com" TargetMode="External" Id="rId1388" /><Relationship Type="http://schemas.openxmlformats.org/officeDocument/2006/relationships/hyperlink" Target="MAILTO:abelanorbertjoiners@gmail.com" TargetMode="External" Id="rId1389" /><Relationship Type="http://schemas.openxmlformats.org/officeDocument/2006/relationships/hyperlink" Target="MAILTO:info@antoniocaruso.it" TargetMode="External" Id="rId1390" /><Relationship Type="http://schemas.openxmlformats.org/officeDocument/2006/relationships/hyperlink" Target="MAILTO:bedandsofamalta@gmail.com" TargetMode="External" Id="rId1391" /><Relationship Type="http://schemas.openxmlformats.org/officeDocument/2006/relationships/hyperlink" Target="MAILTO:sales@casafini.com.mt" TargetMode="External" Id="rId1392" /><Relationship Type="http://schemas.openxmlformats.org/officeDocument/2006/relationships/hyperlink" Target="MAILTO:info@casconehome.com" TargetMode="External" Id="rId1393" /><Relationship Type="http://schemas.openxmlformats.org/officeDocument/2006/relationships/hyperlink" Target="MAILTO:cieffejoinery@fsh.com.mt" TargetMode="External" Id="rId1394" /><Relationship Type="http://schemas.openxmlformats.org/officeDocument/2006/relationships/hyperlink" Target="MAILTO:info@constructfurniture.com.mt" TargetMode="External" Id="rId1395" /><Relationship Type="http://schemas.openxmlformats.org/officeDocument/2006/relationships/hyperlink" Target="MAILTO:sales@domal.mt" TargetMode="External" Id="rId1396" /><Relationship Type="http://schemas.openxmlformats.org/officeDocument/2006/relationships/hyperlink" Target="MAILTO:rachel@erickuster.com" TargetMode="External" Id="rId1397" /><Relationship Type="http://schemas.openxmlformats.org/officeDocument/2006/relationships/hyperlink" Target="MAILTO:gaspare@esteamt.com" TargetMode="External" Id="rId1398" /><Relationship Type="http://schemas.openxmlformats.org/officeDocument/2006/relationships/hyperlink" Target="MAILTO:agius65@hotmail.com" TargetMode="External" Id="rId1399" /><Relationship Type="http://schemas.openxmlformats.org/officeDocument/2006/relationships/hyperlink" Target="MAILTO:info@gozoarts.com.mt" TargetMode="External" Id="rId1400" /><Relationship Type="http://schemas.openxmlformats.org/officeDocument/2006/relationships/hyperlink" Target="MAILTO:info@formltd.com" TargetMode="External" Id="rId1401" /><Relationship Type="http://schemas.openxmlformats.org/officeDocument/2006/relationships/hyperlink" Target="MAILTO:info@immaginecasamalta.com" TargetMode="External" Id="rId1402" /><Relationship Type="http://schemas.openxmlformats.org/officeDocument/2006/relationships/hyperlink" Target="MAILTO:info@jdsfurniture.com" TargetMode="External" Id="rId1403" /><Relationship Type="http://schemas.openxmlformats.org/officeDocument/2006/relationships/hyperlink" Target="MAILTO:jurgen@jtstrading.com" TargetMode="External" Id="rId1404" /><Relationship Type="http://schemas.openxmlformats.org/officeDocument/2006/relationships/hyperlink" Target="MAILTO:marvinfurniture@gmail.com" TargetMode="External" Id="rId1405" /><Relationship Type="http://schemas.openxmlformats.org/officeDocument/2006/relationships/hyperlink" Target="MAILTO:info@mucciomobili.it" TargetMode="External" Id="rId1406" /><Relationship Type="http://schemas.openxmlformats.org/officeDocument/2006/relationships/hyperlink" Target="MAILTO:info@onepercent.com.mt" TargetMode="External" Id="rId1407" /><Relationship Type="http://schemas.openxmlformats.org/officeDocument/2006/relationships/hyperlink" Target="MAILTO:realwoodworks1@gmail.com" TargetMode="External" Id="rId1408" /><Relationship Type="http://schemas.openxmlformats.org/officeDocument/2006/relationships/hyperlink" Target="MAILTO:info@rusticahome.com.mt" TargetMode="External" Id="rId1409" /><Relationship Type="http://schemas.openxmlformats.org/officeDocument/2006/relationships/hyperlink" Target="MAILTO:info@promaninteriors.com" TargetMode="External" Id="rId1410" /><Relationship Type="http://schemas.openxmlformats.org/officeDocument/2006/relationships/hyperlink" Target="MAILTO:sales@powerhousemalta.eu" TargetMode="External" Id="rId1411" /><Relationship Type="http://schemas.openxmlformats.org/officeDocument/2006/relationships/hyperlink" Target="MAILTO:contactus@theatrium.com.mt" TargetMode="External" Id="rId1412" /><Relationship Type="http://schemas.openxmlformats.org/officeDocument/2006/relationships/hyperlink" Target="MAILTO:mosta@homemate.com.mt" TargetMode="External" Id="rId1413" /><Relationship Type="http://schemas.openxmlformats.org/officeDocument/2006/relationships/hyperlink" Target="MAILTO:jysk@jysk.com.mt" TargetMode="External" Id="rId1414" /><Relationship Type="http://schemas.openxmlformats.org/officeDocument/2006/relationships/hyperlink" Target="MAILTO:info@okhome.com.mt" TargetMode="External" Id="rId1415" /><Relationship Type="http://schemas.openxmlformats.org/officeDocument/2006/relationships/hyperlink" Target="MAILTO:sales@karrari.shop" TargetMode="External" Id="rId1416" /><Relationship Type="http://schemas.openxmlformats.org/officeDocument/2006/relationships/hyperlink" Target="MAILTO:info@fino.com.mt" TargetMode="External" Id="rId1417" /><Relationship Type="http://schemas.openxmlformats.org/officeDocument/2006/relationships/hyperlink" Target="MAILTO:newlineliving@gmail.com" TargetMode="External" Id="rId1418" /><Relationship Type="http://schemas.openxmlformats.org/officeDocument/2006/relationships/hyperlink" Target="MAILTO:info@luxonas.com" TargetMode="External" Id="rId1419" /><Relationship Type="http://schemas.openxmlformats.org/officeDocument/2006/relationships/hyperlink" Target="MAILTO:info@ecasa.com.mt" TargetMode="External" Id="rId1420" /><Relationship Type="http://schemas.openxmlformats.org/officeDocument/2006/relationships/hyperlink" Target="MAILTO:restorer@glreclaim.com" TargetMode="External" Id="rId1421" /><Relationship Type="http://schemas.openxmlformats.org/officeDocument/2006/relationships/hyperlink" Target="MAILTO:sales@objects.mt" TargetMode="External" Id="rId1422" /><Relationship Type="http://schemas.openxmlformats.org/officeDocument/2006/relationships/hyperlink" Target="MAILTO:info@brands.com.mt" TargetMode="External" Id="rId1423" /><Relationship Type="http://schemas.openxmlformats.org/officeDocument/2006/relationships/hyperlink" Target="MAILTO:stephen@rliving.com.mt" TargetMode="External" Id="rId1424" /><Relationship Type="http://schemas.openxmlformats.org/officeDocument/2006/relationships/hyperlink" Target="MAILTO:info@kubekgroup.com" TargetMode="External" Id="rId1425" /><Relationship Type="http://schemas.openxmlformats.org/officeDocument/2006/relationships/hyperlink" Target="MAILTO:topdrawer@topdrawermalta.com" TargetMode="External" Id="rId1426" /><Relationship Type="http://schemas.openxmlformats.org/officeDocument/2006/relationships/hyperlink" Target="MAILTO:casaform@onvol.net" TargetMode="External" Id="rId1427" /><Relationship Type="http://schemas.openxmlformats.org/officeDocument/2006/relationships/hyperlink" Target="MAILTO:sales@casafini.com.mt" TargetMode="External" Id="rId1428" /><Relationship Type="http://schemas.openxmlformats.org/officeDocument/2006/relationships/hyperlink" Target="MAILTO:jasoakwalnut@yahoo.com" TargetMode="External" Id="rId1429" /><Relationship Type="http://schemas.openxmlformats.org/officeDocument/2006/relationships/hyperlink" Target="MAILTO:cieffejoinery@fsh.com.mt" TargetMode="External" Id="rId1430" /><Relationship Type="http://schemas.openxmlformats.org/officeDocument/2006/relationships/hyperlink" Target="MAILTO:danwoodworks@yahoo.co.uk" TargetMode="External" Id="rId1431" /><Relationship Type="http://schemas.openxmlformats.org/officeDocument/2006/relationships/hyperlink" Target="MAILTO:sales@domal.mt" TargetMode="External" Id="rId1432" /><Relationship Type="http://schemas.openxmlformats.org/officeDocument/2006/relationships/hyperlink" Target="MAILTO:info@ecasa.com.mt" TargetMode="External" Id="rId1433" /><Relationship Type="http://schemas.openxmlformats.org/officeDocument/2006/relationships/hyperlink" Target="MAILTO:rachel@erickuster.com" TargetMode="External" Id="rId1434" /><Relationship Type="http://schemas.openxmlformats.org/officeDocument/2006/relationships/hyperlink" Target="MAILTO:agius65@hotmail.com" TargetMode="External" Id="rId1435" /><Relationship Type="http://schemas.openxmlformats.org/officeDocument/2006/relationships/hyperlink" Target="MAILTO:info@farrugiagroup.com" TargetMode="External" Id="rId1436" /><Relationship Type="http://schemas.openxmlformats.org/officeDocument/2006/relationships/hyperlink" Target="MAILTO:info@ferraramalta.com" TargetMode="External" Id="rId1437" /><Relationship Type="http://schemas.openxmlformats.org/officeDocument/2006/relationships/hyperlink" Target="MAILTO:sales@flamant.com.mt" TargetMode="External" Id="rId1438" /><Relationship Type="http://schemas.openxmlformats.org/officeDocument/2006/relationships/hyperlink" Target="MAILTO:info@gozoarts.com.mt" TargetMode="External" Id="rId1439" /><Relationship Type="http://schemas.openxmlformats.org/officeDocument/2006/relationships/hyperlink" Target="MAILTO:info@grannysmithshop.com" TargetMode="External" Id="rId1440" /><Relationship Type="http://schemas.openxmlformats.org/officeDocument/2006/relationships/hyperlink" Target="MAILTO:info@jcrfurniture.com" TargetMode="External" Id="rId1441" /><Relationship Type="http://schemas.openxmlformats.org/officeDocument/2006/relationships/hyperlink" Target="MAILTO:info@jagiuswoodworks.com" TargetMode="External" Id="rId1442" /><Relationship Type="http://schemas.openxmlformats.org/officeDocument/2006/relationships/hyperlink" Target="MAILTO:info@jdsfurniture.com" TargetMode="External" Id="rId1443" /><Relationship Type="http://schemas.openxmlformats.org/officeDocument/2006/relationships/hyperlink" Target="MAILTO:jysk@jysk.com.mt" TargetMode="External" Id="rId1444" /><Relationship Type="http://schemas.openxmlformats.org/officeDocument/2006/relationships/hyperlink" Target="MAILTO:jurgen@jtstrading.com" TargetMode="External" Id="rId1445" /><Relationship Type="http://schemas.openxmlformats.org/officeDocument/2006/relationships/hyperlink" Target="MAILTO:info@mucciomobili.it" TargetMode="External" Id="rId1446" /><Relationship Type="http://schemas.openxmlformats.org/officeDocument/2006/relationships/hyperlink" Target="MAILTO:ragsandrichesbuyandsell@gmail.com" TargetMode="External" Id="rId1447" /><Relationship Type="http://schemas.openxmlformats.org/officeDocument/2006/relationships/hyperlink" Target="MAILTO:seguna@onvol.net" TargetMode="External" Id="rId1448" /><Relationship Type="http://schemas.openxmlformats.org/officeDocument/2006/relationships/hyperlink" Target="MAILTO:ronaldmarmara@gmail.com" TargetMode="External" Id="rId1449" /><Relationship Type="http://schemas.openxmlformats.org/officeDocument/2006/relationships/hyperlink" Target="MAILTO:info@spaces.com.mt" TargetMode="External" Id="rId1450" /><Relationship Type="http://schemas.openxmlformats.org/officeDocument/2006/relationships/hyperlink" Target="MAILTO:deals@shabbychicmalta.com" TargetMode="External" Id="rId1451" /><Relationship Type="http://schemas.openxmlformats.org/officeDocument/2006/relationships/hyperlink" Target="MAILTO:info@stylefurnituremalta.com" TargetMode="External" Id="rId1452" /><Relationship Type="http://schemas.openxmlformats.org/officeDocument/2006/relationships/hyperlink" Target="MAILTO:marketing@tal-lira.com" TargetMode="External" Id="rId1453" /><Relationship Type="http://schemas.openxmlformats.org/officeDocument/2006/relationships/hyperlink" Target="MAILTO:lcwoodcreations@gmail.com" TargetMode="External" Id="rId1454" /><Relationship Type="http://schemas.openxmlformats.org/officeDocument/2006/relationships/hyperlink" Target="MAILTO:help@mattresscollection.com.mt" TargetMode="External" Id="rId1455" /><Relationship Type="http://schemas.openxmlformats.org/officeDocument/2006/relationships/hyperlink" Target="MAILTO:info@bondsmalta.com" TargetMode="External" Id="rId1456" /><Relationship Type="http://schemas.openxmlformats.org/officeDocument/2006/relationships/hyperlink" Target="MAILTO:info@form.com.mt" TargetMode="External" Id="rId1457" /><Relationship Type="http://schemas.openxmlformats.org/officeDocument/2006/relationships/hyperlink" Target="MAILTO:eurotexmalta@gmail.com" TargetMode="External" Id="rId1458" /><Relationship Type="http://schemas.openxmlformats.org/officeDocument/2006/relationships/hyperlink" Target="MAILTO:info@dreamsmalta.com" TargetMode="External" Id="rId1459" /><Relationship Type="http://schemas.openxmlformats.org/officeDocument/2006/relationships/hyperlink" Target="MAILTO:help@wellbeingbedding.com" TargetMode="External" Id="rId1460" /><Relationship Type="http://schemas.openxmlformats.org/officeDocument/2006/relationships/hyperlink" Target="MAILTO:info@royaltybedding.com" TargetMode="External" Id="rId1461" /><Relationship Type="http://schemas.openxmlformats.org/officeDocument/2006/relationships/hyperlink" Target="MAILTO:foam.leather@gmail.com" TargetMode="External" Id="rId1462" /><Relationship Type="http://schemas.openxmlformats.org/officeDocument/2006/relationships/hyperlink" Target="MAILTO:sales@sylviabazaar.com" TargetMode="External" Id="rId1463" /><Relationship Type="http://schemas.openxmlformats.org/officeDocument/2006/relationships/hyperlink" Target="MAILTO:info@vitafoammalta.com" TargetMode="External" Id="rId1464" /><Relationship Type="http://schemas.openxmlformats.org/officeDocument/2006/relationships/hyperlink" Target="MAILTO:estevan@morfeus.com.mt" TargetMode="External" Id="rId1465" /><Relationship Type="http://schemas.openxmlformats.org/officeDocument/2006/relationships/hyperlink" Target="MAILTO:jysk@jysk.com.mt" TargetMode="External" Id="rId1466" /><Relationship Type="http://schemas.openxmlformats.org/officeDocument/2006/relationships/hyperlink" Target="MAILTO:sales@omajco.net" TargetMode="External" Id="rId1467" /><Relationship Type="http://schemas.openxmlformats.org/officeDocument/2006/relationships/hyperlink" Target="MAILTO:info@oxfordhouse.com.mt" TargetMode="External" Id="rId1468" /><Relationship Type="http://schemas.openxmlformats.org/officeDocument/2006/relationships/hyperlink" Target="https://www.google.com/maps/search/?api=1&amp;query=2%2C%20Industrial%20Estate%0AMdina%20Road%0AAttard%2C%20ATD3000" TargetMode="External" Id="rId1469" /><Relationship Type="http://schemas.openxmlformats.org/officeDocument/2006/relationships/hyperlink" Target="https://www.google.com/maps/search/?api=1&amp;query=260%20Old%20Railway%20Track%2C%20Santa%20Venera%20SVR%209019" TargetMode="External" Id="rId1470" /><Relationship Type="http://schemas.openxmlformats.org/officeDocument/2006/relationships/hyperlink" Target="https://www.google.com/maps/search/?api=1&amp;query=22%2F23%20Triq%20hal%20mula%20Haz-zebbug%20ZBG" TargetMode="External" Id="rId1471" /><Relationship Type="http://schemas.openxmlformats.org/officeDocument/2006/relationships/hyperlink" Target="https://www.google.com/maps/search/?api=1&amp;query=836%2C%20838%20Triq%20il-Kbira%20San%20Guzepp%2C%20Hamrun%2C%20Malta%20HMR%201018" TargetMode="External" Id="rId1472" /><Relationship Type="http://schemas.openxmlformats.org/officeDocument/2006/relationships/hyperlink" Target="https://www.google.com/maps/search/?api=1&amp;query=Triq%20Hal%20Tarxien%2C%20Luqa%2C%20Malta%20LQA%201814" TargetMode="External" Id="rId1473" /><Relationship Type="http://schemas.openxmlformats.org/officeDocument/2006/relationships/hyperlink" Target="https://www.google.com/maps/search/?api=1&amp;query=City%20Pearl%20Shopping%20Arcades%20Triq%20Fortunato%20Mizzi%2C%20Victoria-Gozo%2C%20Gozo%20VCT%202571" TargetMode="External" Id="rId1474" /><Relationship Type="http://schemas.openxmlformats.org/officeDocument/2006/relationships/hyperlink" Target="https://www.google.com/maps/search/?api=1&amp;query=Triq%20il-Wied%20ta%27%20I-Imsida%2C%20Msida%2C%20Malta%20MSD%209023" TargetMode="External" Id="rId1475" /><Relationship Type="http://schemas.openxmlformats.org/officeDocument/2006/relationships/hyperlink" Target="https://www.google.com/maps/search/?api=1&amp;query=13%20Censu%20Bugeja%2C%20L-Iklin%20BZN%201170" TargetMode="External" Id="rId1476" /><Relationship Type="http://schemas.openxmlformats.org/officeDocument/2006/relationships/hyperlink" Target="https://www.google.com/maps/search/?api=1&amp;query=Triq%20I-Imdina%2C%20Qormi%2C%20Malta%20QRM%209011" TargetMode="External" Id="rId1477" /><Relationship Type="http://schemas.openxmlformats.org/officeDocument/2006/relationships/hyperlink" Target="https://www.google.com/maps/search/?api=1&amp;query=Triq%20il-Mosta%2C%20Lija%2C%20Malta%20LIJA%209012" TargetMode="External" Id="rId1478" /><Relationship Type="http://schemas.openxmlformats.org/officeDocument/2006/relationships/hyperlink" Target="https://www.google.com/maps/search/?api=1&amp;query=Triq%20il-Wied%20Ta%27%20L-Imsida%2C%20B%27Kara%2C%20Malta%20BKR%209025" TargetMode="External" Id="rId1479" /><Relationship Type="http://schemas.openxmlformats.org/officeDocument/2006/relationships/hyperlink" Target="https://www.google.com/maps/search/?api=1&amp;query=Mdina%20Road%20Zebbug%2C%20Malta" TargetMode="External" Id="rId1480" /><Relationship Type="http://schemas.openxmlformats.org/officeDocument/2006/relationships/hyperlink" Target="https://www.google.com/maps/search/?api=1&amp;query=Zone%205%2C%20Central%20Business%20District%20Triq%20il-Kummerc%20Qormi%2C%20CBD%205050" TargetMode="External" Id="rId1481" /><Relationship Type="http://schemas.openxmlformats.org/officeDocument/2006/relationships/hyperlink" Target="https://www.google.com/maps/search/?api=1&amp;query=3%2C%20Triq%20il%20Dibjun%2C%20San%20Gwann%2C%20SGN%20052%2C%20Malta" TargetMode="External" Id="rId1482" /><Relationship Type="http://schemas.openxmlformats.org/officeDocument/2006/relationships/hyperlink" Target="https://www.google.com/maps/search/?api=1&amp;query=GB%20Building%20Triq%20il-Watar%2C%20Ta%27%20Xbiex%20XBX1301%20Malta" TargetMode="External" Id="rId1483" /><Relationship Type="http://schemas.openxmlformats.org/officeDocument/2006/relationships/hyperlink" Target="https://www.google.com/maps/search/?api=1&amp;query=Triq%20San%20Pawl%20tal-Qliegha%2C%20MST9096%20Mosta%2C%20Malta" TargetMode="External" Id="rId1484" /><Relationship Type="http://schemas.openxmlformats.org/officeDocument/2006/relationships/hyperlink" Target="https://www.google.com/maps/search/?api=1&amp;query=Triq%20L-mdina%2C%20Zone%202%2C%20Central%20Business%20District%2C%20Birkirkara%20CBD%202010%2C%20Malta" TargetMode="External" Id="rId1485" /><Relationship Type="http://schemas.openxmlformats.org/officeDocument/2006/relationships/hyperlink" Target="https://www.google.com/maps/search/?api=1&amp;query=Pantar%20Road%2C%20Lija%2C%20Malta" TargetMode="External" Id="rId1486" /><Relationship Type="http://schemas.openxmlformats.org/officeDocument/2006/relationships/hyperlink" Target="https://www.google.com/maps/search/?api=1&amp;query=Giovanni%20Felice%20Street%2C%20Zone%203%2C%20Central%20Business%20District%2C%20Birkirkara%20CBD%203120" TargetMode="External" Id="rId1487" /><Relationship Type="http://schemas.openxmlformats.org/officeDocument/2006/relationships/hyperlink" Target="https://www.google.com/maps/search/?api=1&amp;query=Triq%20I-Imdina%2C%20Zone%204%2C%20Mriehel%2FCentral%20Business%20District%20CBD%204010%2C%20Malta" TargetMode="External" Id="rId1488" /><Relationship Type="http://schemas.openxmlformats.org/officeDocument/2006/relationships/hyperlink" Target="https://www.google.com/maps/search/?api=1&amp;query=Vjal%2025%20ta%27%20Novembru%2C%20Tal-Barrani%2C%20Zejtun" TargetMode="External" Id="rId1489" /><Relationship Type="http://schemas.openxmlformats.org/officeDocument/2006/relationships/hyperlink" Target="https://www.google.com/maps/search/?api=1&amp;query=Galeas%2C%20San%20Gwann" TargetMode="External" Id="rId1490" /><Relationship Type="http://schemas.openxmlformats.org/officeDocument/2006/relationships/hyperlink" Target="https://www.google.com/maps/search/?api=1&amp;query=Triq%20A%20Caligari%20Zabbar%20Malta%20ZBR%202806" TargetMode="External" Id="rId1491" /><Relationship Type="http://schemas.openxmlformats.org/officeDocument/2006/relationships/hyperlink" Target="https://www.google.com/maps/search/?api=1&amp;query=San%20Gwann%20Nexxar%20Road" TargetMode="External" Id="rId1492" /><Relationship Type="http://schemas.openxmlformats.org/officeDocument/2006/relationships/hyperlink" Target="https://www.google.com/maps/search/?api=1&amp;query=233%20Tower%20Road%2C%20Sliema%20SLM%201601" TargetMode="External" Id="rId1493" /><Relationship Type="http://schemas.openxmlformats.org/officeDocument/2006/relationships/hyperlink" Target="https://www.google.com/maps/search/?api=1&amp;query=5%2F6%20Msida%20Valley%20Road%20Birkirkara%20BKR%209022%20Malta" TargetMode="External" Id="rId1494" /><Relationship Type="http://schemas.openxmlformats.org/officeDocument/2006/relationships/hyperlink" Target="https://www.google.com/maps/search/?api=1&amp;query=5%2F7%20Triq%20Censu%20Bugeja%2C%20L-Iklin" TargetMode="External" Id="rId1495" /><Relationship Type="http://schemas.openxmlformats.org/officeDocument/2006/relationships/hyperlink" Target="https://www.google.com/maps/search/?api=1&amp;query=31%2C%20Cross%20Road%2C%20Marsa%20MRS%201548%2C%20Malta" TargetMode="External" Id="rId1496" /><Relationship Type="http://schemas.openxmlformats.org/officeDocument/2006/relationships/hyperlink" Target="https://www.google.com/maps/search/?api=1&amp;query=Malta%20Design%0A33%20Triq%20l-Oleandru%20%2C%0ASan%20Giljan%2C%20Malta" TargetMode="External" Id="rId1497" /><Relationship Type="http://schemas.openxmlformats.org/officeDocument/2006/relationships/hyperlink" Target="https://www.google.com/maps/search/?api=1&amp;query=Proman%20Interiors%2C%0A115%2C%20Valley%20Road%2C%0AB%27Kara.%20BKR%209022.%0AMalta." TargetMode="External" Id="rId1498" /><Relationship Type="http://schemas.openxmlformats.org/officeDocument/2006/relationships/hyperlink" Target="https://www.google.com/maps/search/?api=1&amp;query=Triq%20tal-Balal%2C%20San%20Gwann%2C%20Malta%20SGN%209016" TargetMode="External" Id="rId1499" /><Relationship Type="http://schemas.openxmlformats.org/officeDocument/2006/relationships/hyperlink" Target="https://www.google.com/maps/search/?api=1&amp;query=Dawert%20I-Imriehel%2C%20Qormi%2C%20Malta%20QRM%209052" TargetMode="External" Id="rId1500" /><Relationship Type="http://schemas.openxmlformats.org/officeDocument/2006/relationships/hyperlink" Target="https://www.google.com/maps/search/?api=1&amp;query=HF%205A%20Qasam%20Industrijali%2C%20Hal%20Far%2C%20B%27Bugia%2C%20Malta%20BBG%203000" TargetMode="External" Id="rId1501" /><Relationship Type="http://schemas.openxmlformats.org/officeDocument/2006/relationships/hyperlink" Target="https://www.google.com/maps/search/?api=1&amp;query=59%20Triq%20in-Nahal%2C%20Mellieha%2C%20Malta%20MLH%202166" TargetMode="External" Id="rId1502" /><Relationship Type="http://schemas.openxmlformats.org/officeDocument/2006/relationships/hyperlink" Target="https://www.google.com/maps/search/?api=1&amp;query=119%20Triq%20il-Kappillan%20Mifsud%2C%20Sta%20Venera%2C%20Malta" TargetMode="External" Id="rId1503" /><Relationship Type="http://schemas.openxmlformats.org/officeDocument/2006/relationships/hyperlink" Target="https://www.google.com/maps/search/?api=1&amp;query=57%20Naxxar%20road%2C%20San%20Gwann%20sgn%209032%2C%20Malta" TargetMode="External" Id="rId1504" /><Relationship Type="http://schemas.openxmlformats.org/officeDocument/2006/relationships/hyperlink" Target="https://www.google.com/maps/search/?api=1&amp;query=146%2C%20Balzan%20Valley%2C%20Hal%20Balzan%2C%20Malta" TargetMode="External" Id="rId1505" /><Relationship Type="http://schemas.openxmlformats.org/officeDocument/2006/relationships/hyperlink" Target="https://www.google.com/maps/search/?api=1&amp;query=Triq%20il-Wied%20Ta%27%20L-Imsida%2C%20B%27Kara%2C%20Malta%20BKR%209022" TargetMode="External" Id="rId1506" /><Relationship Type="http://schemas.openxmlformats.org/officeDocument/2006/relationships/hyperlink" Target="https://www.google.com/maps/search/?api=1&amp;query=Triq%20Hal%20Far%2C%20B%27Budia%2C%20Malta" TargetMode="External" Id="rId1507" /><Relationship Type="http://schemas.openxmlformats.org/officeDocument/2006/relationships/hyperlink" Target="https://www.google.com/maps/search/?api=1&amp;query=40%20Qasam%20Industrijali%2C%20Luqa%2C%20Malta%20LQA%203000" TargetMode="External" Id="rId1508" /><Relationship Type="http://schemas.openxmlformats.org/officeDocument/2006/relationships/hyperlink" Target="https://www.google.com/maps/search/?api=1&amp;query=192%20Triq%20in-Naxxar%2C%20B%27Kara%2C%20Malta%20BKR%209044" TargetMode="External" Id="rId1509" /><Relationship Type="http://schemas.openxmlformats.org/officeDocument/2006/relationships/hyperlink" Target="https://www.google.com/maps/search/?api=1&amp;query=Triq%20Wied%20Ghomor%2C%20San%20Giljan%2C%20Malta%20STJ%202040" TargetMode="External" Id="rId1510" /><Relationship Type="http://schemas.openxmlformats.org/officeDocument/2006/relationships/hyperlink" Target="https://www.google.com/maps/search/?api=1&amp;query=Monpalau%20Building%20Triq%20it-Torri%2C%20Msida%2C%20Malta" TargetMode="External" Id="rId1511" /><Relationship Type="http://schemas.openxmlformats.org/officeDocument/2006/relationships/hyperlink" Target="https://www.google.com/maps/search/?api=1&amp;query=69%20Triq%20Hal%20Qormi%2C%20Hamrun%2C%20Malta%20HMR%202183" TargetMode="External" Id="rId1512" /><Relationship Type="http://schemas.openxmlformats.org/officeDocument/2006/relationships/hyperlink" Target="https://www.google.com/maps/search/?api=1&amp;query=Triq%20Gorg%20Borg%20Olivier%2C%20Vicotria-Gozo%2C%20Gozo%20VCT%202515" TargetMode="External" Id="rId1513" /><Relationship Type="http://schemas.openxmlformats.org/officeDocument/2006/relationships/hyperlink" Target="https://www.google.com/maps/search/?api=1&amp;query=Triq%20il-Wied%20ta%27lmsida%2C%20Msida%2C%20Malta%20MSD%209023" TargetMode="External" Id="rId1514" /><Relationship Type="http://schemas.openxmlformats.org/officeDocument/2006/relationships/hyperlink" Target="https://www.google.com/maps/search/?api=1&amp;query=Triq%20il-Wied%20Ta%27%20L%27lmsida%2C%20B%27Kara%2C%20Malta%20BKR%203000" TargetMode="External" Id="rId1515" /><Relationship Type="http://schemas.openxmlformats.org/officeDocument/2006/relationships/hyperlink" Target="https://www.google.com/maps/search/?api=1&amp;query=Triq%20il-Kbira%2C%20Mellieha%2C%20Malta%20MLH%202317" TargetMode="External" Id="rId1516" /><Relationship Type="http://schemas.openxmlformats.org/officeDocument/2006/relationships/hyperlink" Target="https://www.google.com/maps/search/?api=1&amp;query=Zone%205%20Triq%20ll-Kummerc%20Central%20Business%20District%2C%20Qormi%2C%20Malta" TargetMode="External" Id="rId1517" /><Relationship Type="http://schemas.openxmlformats.org/officeDocument/2006/relationships/hyperlink" Target="https://www.google.com/maps/search/?api=1&amp;query=Triq%20il-Qoton%2C%20Sta%20Lucija%2C%20Malta%20SLC%201010" TargetMode="External" Id="rId1518" /><Relationship Type="http://schemas.openxmlformats.org/officeDocument/2006/relationships/hyperlink" Target="https://www.google.com/maps/search/?api=1&amp;query=154%20Triq%20il-Kappilan%20Mifsud%2C%20Sta%20Venera%2C%20Malta" TargetMode="External" Id="rId1519" /><Relationship Type="http://schemas.openxmlformats.org/officeDocument/2006/relationships/hyperlink" Target="https://www.google.com/maps/search/?api=1&amp;query=Triq%20il-Wied%20ta%27%20I-Imsida%2C%20Msida%2C%20Malta%20MSD%209022" TargetMode="External" Id="rId1520" /><Relationship Type="http://schemas.openxmlformats.org/officeDocument/2006/relationships/hyperlink" Target="https://www.google.com/maps/search/?api=1&amp;query=Binja%20San%20Guzepp%20Haddiem%20Triq%20Indri%20Psaila%2C%20Qormi%20Malta" TargetMode="External" Id="rId1521" /><Relationship Type="http://schemas.openxmlformats.org/officeDocument/2006/relationships/hyperlink" Target="https://www.google.com/maps/search/?api=1&amp;query=32%20II-Moll%20tal-Hatab%2C%20Marsa%2C%20Malta%20MRS%201440" TargetMode="External" Id="rId1522" /><Relationship Type="http://schemas.openxmlformats.org/officeDocument/2006/relationships/hyperlink" Target="https://www.google.com/maps/search/?api=1&amp;query=Proman%20Interiors%2C%0A115%2C%20Valley%20Road%2C%0AB%27Kara.%20BKR%209022.%0AMalta." TargetMode="External" Id="rId1523" /><Relationship Type="http://schemas.openxmlformats.org/officeDocument/2006/relationships/hyperlink" Target="https://www.google.com/maps/search/?api=1&amp;query=13%20Censu%20Bugeja%2C%20L-Iklin%20BZN%201170" TargetMode="External" Id="rId1524" /><Relationship Type="http://schemas.openxmlformats.org/officeDocument/2006/relationships/hyperlink" Target="https://www.google.com/maps/search/?api=1&amp;query=Giovanni%20Felice%20Street%2C%20Zone%203%2C%20Central%20Business%20District%2C%20Birkirkara%20CBD%203120" TargetMode="External" Id="rId1525" /><Relationship Type="http://schemas.openxmlformats.org/officeDocument/2006/relationships/hyperlink" Target="https://www.google.com/maps/search/?api=1&amp;query=Vjal%2025%20ta%27%20Novembru%2C%20Tal-Barrani%2C%20Zejtun" TargetMode="External" Id="rId1526" /><Relationship Type="http://schemas.openxmlformats.org/officeDocument/2006/relationships/hyperlink" Target="https://www.google.com/maps/search/?api=1&amp;query=Triq%20il-Mosta%2C%20Lija%2C%20Malta%20LIJA%209012" TargetMode="External" Id="rId1527" /><Relationship Type="http://schemas.openxmlformats.org/officeDocument/2006/relationships/hyperlink" Target="https://www.google.com/maps/search/?api=1&amp;query=Pantar%20Road%2C%20Lija%2C%20Malta" TargetMode="External" Id="rId1528" /><Relationship Type="http://schemas.openxmlformats.org/officeDocument/2006/relationships/hyperlink" Target="https://www.google.com/maps/search/?api=1&amp;query=77%20Commerce%20St%2C%20Birkirkara%2C%20CBD3010" TargetMode="External" Id="rId1529" /><Relationship Type="http://schemas.openxmlformats.org/officeDocument/2006/relationships/hyperlink" Target="https://www.google.com/maps/search/?api=1&amp;query=Triq%20I-Imdina%2C%20Zone%204%2C%20Mriehel%2FCentral%20Business%20District%20CBD%204010%2C%20Malta" TargetMode="External" Id="rId1530" /><Relationship Type="http://schemas.openxmlformats.org/officeDocument/2006/relationships/hyperlink" Target="https://www.google.com/maps/search/?api=1&amp;query=Triq%20L-Imdina%2C%20Zone%202%2C%20Central%20Business%20District%2C%20Birkirkara" TargetMode="External" Id="rId1531" /><Relationship Type="http://schemas.openxmlformats.org/officeDocument/2006/relationships/hyperlink" Target="https://www.google.com/maps/search/?api=1&amp;query=Triq%20Papa%20Gwanni%20Pawlu%20ll%2C%20Victoria-Gozo%2C%20Gozo%20VCT%209046" TargetMode="External" Id="rId1532" /><Relationship Type="http://schemas.openxmlformats.org/officeDocument/2006/relationships/hyperlink" Target="https://www.google.com/maps/search/?api=1&amp;query=Triq%20L-Mdina%2C%20Haz-Zebbug%2C%20ZBG09018" TargetMode="External" Id="rId1533" /><Relationship Type="http://schemas.openxmlformats.org/officeDocument/2006/relationships/hyperlink" Target="https://www.google.com/maps/search/?api=1&amp;query=San%20Gwakkin%20Building%20Triq%20Gwakkin%20Central%20Business%20District%2C%20B%27Kara%2C%20Malta%20CBD%204020" TargetMode="External" Id="rId1534" /><Relationship Type="http://schemas.openxmlformats.org/officeDocument/2006/relationships/hyperlink" Target="https://www.google.com/maps/search/?api=1&amp;query=Blk%20A%20No%207%2C%20Upper%20Level%2C%20Midland%20Mico%20Enterprise%20Park%2C%20Burmarrad%20Road%2C%20Naxxar" TargetMode="External" Id="rId1535" /><Relationship Type="http://schemas.openxmlformats.org/officeDocument/2006/relationships/hyperlink" Target="https://www.google.com/maps/search/?api=1&amp;query=25%2C%20Triq%20San%20Gorg%2C%20Naxxar%2C%20Malta" TargetMode="External" Id="rId1536" /><Relationship Type="http://schemas.openxmlformats.org/officeDocument/2006/relationships/hyperlink" Target="https://www.google.com/maps/search/?api=1&amp;query=Triq%20tal-Balal%2C%20San%20Gwann%2C%20Malta%20SGN%209016" TargetMode="External" Id="rId1537" /><Relationship Type="http://schemas.openxmlformats.org/officeDocument/2006/relationships/hyperlink" Target="https://www.google.com/maps/search/?api=1&amp;query=Dawert%20I-Imriehel%2C%20Qormi%2C%20Malta%20QRM%209052" TargetMode="External" Id="rId1538" /><Relationship Type="http://schemas.openxmlformats.org/officeDocument/2006/relationships/hyperlink" Target="https://www.google.com/maps/search/?api=1&amp;query=HF%205A%20Qasam%20Industrijali%2C%20Hal%20Far%2C%20B%27Bugia%2C%20Malta%20BBG%203000" TargetMode="External" Id="rId1539" /><Relationship Type="http://schemas.openxmlformats.org/officeDocument/2006/relationships/hyperlink" Target="https://www.google.com/maps/search/?api=1&amp;query=Triq%20il-Kappar%2C%20Mosta%2C%20Malta%20MST%204003" TargetMode="External" Id="rId1540" /><Relationship Type="http://schemas.openxmlformats.org/officeDocument/2006/relationships/hyperlink" Target="https://www.google.com/maps/search/?api=1&amp;query=T%2FG%20fi%20triq%20l-Imdina%2C%20Zebbug%2C%20Malta%20ZBG%205011" TargetMode="External" Id="rId1541" /><Relationship Type="http://schemas.openxmlformats.org/officeDocument/2006/relationships/hyperlink" Target="https://www.google.com/maps/search/?api=1&amp;query=146%2C%20Balzan%20Valley%2C%20Hal%20Balzan%2C%20Malta" TargetMode="External" Id="rId1542" /><Relationship Type="http://schemas.openxmlformats.org/officeDocument/2006/relationships/hyperlink" Target="https://www.google.com/maps/search/?api=1&amp;query=Triq%20I-Isqof%20Buhagiar%2C%20Paola%2C%20Malta%20PLA%201111" TargetMode="External" Id="rId1543" /><Relationship Type="http://schemas.openxmlformats.org/officeDocument/2006/relationships/hyperlink" Target="https://www.google.com/maps/search/?api=1&amp;query=Triq%20Hal%20Far%2C%20B%27Budia%2C%20Malta" TargetMode="External" Id="rId1544" /><Relationship Type="http://schemas.openxmlformats.org/officeDocument/2006/relationships/hyperlink" Target="https://www.google.com/maps/search/?api=1&amp;query=86%20Triq%20Valletta%20Hal%20Luqa%2C%20Malta%20LQA%201762" TargetMode="External" Id="rId1545" /><Relationship Type="http://schemas.openxmlformats.org/officeDocument/2006/relationships/hyperlink" Target="https://www.google.com/maps/search/?api=1&amp;query=192%20Triq%20in-Naxxar%2C%20B%27Kara%2C%20Malta%20BKR%209044" TargetMode="External" Id="rId1546" /><Relationship Type="http://schemas.openxmlformats.org/officeDocument/2006/relationships/hyperlink" Target="https://www.google.com/maps/search/?api=1&amp;query=San%20Gwakkin%20Building%20Triq%20Gwakkin%20Central%20Business%20District%2C%20B%27Kara%2C%20Malta%20CBD%204020" TargetMode="External" Id="rId1547" /><Relationship Type="http://schemas.openxmlformats.org/officeDocument/2006/relationships/hyperlink" Target="https://www.google.com/maps/search/?api=1&amp;query=Triq%20Wied%20Ghomor%2C%20San%20Giljan%2C%20Malta%20STJ%202040" TargetMode="External" Id="rId1548" /><Relationship Type="http://schemas.openxmlformats.org/officeDocument/2006/relationships/hyperlink" Target="https://www.google.com/maps/search/?api=1&amp;query=69%20Triq%20Hal%20Qormi%2C%20Hamrun%2C%20Malta%20HMR%202183" TargetMode="External" Id="rId1549" /><Relationship Type="http://schemas.openxmlformats.org/officeDocument/2006/relationships/hyperlink" Target="https://www.google.com/maps/search/?api=1&amp;query=61%20St%20Liberata%20Triq%20Santa%20Liberata%2C%20Kalkara%2C%20Malta%20KKR%201612" TargetMode="External" Id="rId1550" /><Relationship Type="http://schemas.openxmlformats.org/officeDocument/2006/relationships/hyperlink" Target="https://www.google.com/maps/search/?api=1&amp;query=Triq%20il-Wied%2C%20B%27Kara%2C%20Malta" TargetMode="External" Id="rId1551" /><Relationship Type="http://schemas.openxmlformats.org/officeDocument/2006/relationships/hyperlink" Target="https://www.google.com/maps/search/?api=1&amp;query=Pjazza%20Tigne%27%20Tigne%27%20Point%2C%20Slimea%2C%20Malta" TargetMode="External" Id="rId1552" /><Relationship Type="http://schemas.openxmlformats.org/officeDocument/2006/relationships/hyperlink" Target="https://www.google.com/maps/search/?api=1&amp;query=Triq%20Gorg%20Borg%20Olivier%2C%20Victoria-Gozo%2C%20Gozo%20VCT%202515" TargetMode="External" Id="rId1553" /><Relationship Type="http://schemas.openxmlformats.org/officeDocument/2006/relationships/hyperlink" Target="https://www.google.com/maps/search/?api=1&amp;query=Triq%20San%20Pawl%2C%20Naxxar%2C%20Malta%20NXR%204016" TargetMode="External" Id="rId1554" /><Relationship Type="http://schemas.openxmlformats.org/officeDocument/2006/relationships/hyperlink" Target="https://www.google.com/maps/search/?api=1&amp;query=Triq%20il-Labour%2C%20Marsa%2C%20Malta%20MRS%209030" TargetMode="External" Id="rId1555" /><Relationship Type="http://schemas.openxmlformats.org/officeDocument/2006/relationships/hyperlink" Target="https://www.google.com/maps/search/?api=1&amp;query=28%20Qasam%20Industrijali%2C%20Luqa%2C%20Malta%20LQA%203000" TargetMode="External" Id="rId1556" /><Relationship Type="http://schemas.openxmlformats.org/officeDocument/2006/relationships/hyperlink" Target="https://www.google.com/maps/search/?api=1&amp;query=Triq%20il-Kbita%2C%20Mellieha%2C%20Malta" TargetMode="External" Id="rId1557" /><Relationship Type="http://schemas.openxmlformats.org/officeDocument/2006/relationships/hyperlink" Target="https://www.google.com/maps/search/?api=1&amp;query=Triq%20il-Mosta%2C%20Lija%2C%20Malta%20LIJA%209012" TargetMode="External" Id="rId1558" /><Relationship Type="http://schemas.openxmlformats.org/officeDocument/2006/relationships/hyperlink" Target="https://www.google.com/maps/search/?api=1&amp;query=Zone%205%20Triq%20ll-Kummerc%20Central%20Business%20District%2C%20Qormi%2C%20Malta" TargetMode="External" Id="rId1559" /><Relationship Type="http://schemas.openxmlformats.org/officeDocument/2006/relationships/hyperlink" Target="https://www.google.com/maps/search/?api=1&amp;query=154%20Triq%20il-Kappillan%20Mifsud%2C%20Sta%20Venera%2C%20Malta" TargetMode="External" Id="rId1560" /><Relationship Type="http://schemas.openxmlformats.org/officeDocument/2006/relationships/hyperlink" Target="https://www.google.com/maps/search/?api=1&amp;query=Flat%209%2C%20Harmony%20Court%20Triq%20tal-Gardiel%2C%20M%27Skala%2C%20Malta%20MSK%203807" TargetMode="External" Id="rId1561" /><Relationship Type="http://schemas.openxmlformats.org/officeDocument/2006/relationships/hyperlink" Target="https://www.google.com/maps/search/?api=1&amp;query=91%20Triq%20il-Kbira%20San%20Guzepp%2C%20Hamrun%2C%20Malta%20HMR%201017" TargetMode="External" Id="rId1562" /><Relationship Type="http://schemas.openxmlformats.org/officeDocument/2006/relationships/hyperlink" Target="https://www.google.com/maps/search/?api=1&amp;query=210%20Triq%20il-Ferrovija%2C%20Sta%20Venera%2C%20Malta%20SVR%209019" TargetMode="External" Id="rId1563" /><Relationship Type="http://schemas.openxmlformats.org/officeDocument/2006/relationships/hyperlink" Target="https://www.google.com/maps/search/?api=1&amp;query=Triq%20il-Wied%2C%20B%27Kara%2C%20Malta%20BKR%209021" TargetMode="External" Id="rId1564" /><Relationship Type="http://schemas.openxmlformats.org/officeDocument/2006/relationships/hyperlink" Target="https://www.google.com/maps/search/?api=1&amp;query=17%20Triq%20Ganu%2C%20B%27Kara" TargetMode="External" Id="rId1565" /><Relationship Type="http://schemas.openxmlformats.org/officeDocument/2006/relationships/hyperlink" Target="https://www.google.com/maps/search/?api=1&amp;query=Triq%20il-Ferrovija%2C%20Sta%20Venera%2C%20Malta%20SVR%209019" TargetMode="External" Id="rId1566" /><Relationship Type="http://schemas.openxmlformats.org/officeDocument/2006/relationships/hyperlink" Target="https://www.google.com/maps/search/?api=1&amp;query=Triq%20Ponosonby%2C%20Mosta%2C%20Malta%20MST%204039" TargetMode="External" Id="rId1567" /><Relationship Type="http://schemas.openxmlformats.org/officeDocument/2006/relationships/hyperlink" Target="https://www.google.com/maps/search/?api=1&amp;query=Triq%20il-Kungress%20Ewkaristiku" TargetMode="External" Id="rId1568" /><Relationship Type="http://schemas.openxmlformats.org/officeDocument/2006/relationships/hyperlink" Target="https://www.google.com/maps/search/?api=1&amp;query=Mdina%20Road%2C%20Zebbug" TargetMode="External" Id="rId1569" /><Relationship Type="http://schemas.openxmlformats.org/officeDocument/2006/relationships/hyperlink" Target="https://www.google.com/maps/search/?api=1&amp;query=Mdina%20Road%2C%20Attard" TargetMode="External" Id="rId1570" /><Relationship Type="http://schemas.openxmlformats.org/officeDocument/2006/relationships/hyperlink" Target="https://www.google.com/maps/search/?api=1&amp;query=Triq%20il-Wied%20ta%27%20%28multiple%29" TargetMode="External" Id="rId1571" /><Relationship Type="http://schemas.openxmlformats.org/officeDocument/2006/relationships/hyperlink" Target="https://www.google.com/maps/search/?api=1&amp;query=163%20Triq%20il-Ferrovija%2C%20Santa%20Venera" TargetMode="External" Id="rId1572" /><Relationship Type="http://schemas.openxmlformats.org/officeDocument/2006/relationships/hyperlink" Target="https://www.google.com/maps/search/?api=1&amp;query=Abate%20Rigord%20St%2C%20Ta%27%20Xbiex" TargetMode="External" Id="rId1573" /><Relationship Type="http://schemas.openxmlformats.org/officeDocument/2006/relationships/hyperlink" Target="https://www.google.com/maps/search/?api=1&amp;query=5%2F6%20Msida%20Valley%20Road%2C%20Birkirkara" TargetMode="External" Id="rId1574" /><Relationship Type="http://schemas.openxmlformats.org/officeDocument/2006/relationships/hyperlink" Target="https://www.google.com/maps/search/?api=1&amp;query=Triq%20il-Kummerc%2C%20Qormi" TargetMode="External" Id="rId1575" /><Relationship Type="http://schemas.openxmlformats.org/officeDocument/2006/relationships/hyperlink" Target="https://www.google.com/maps/search/?api=1&amp;query=836%2F838%20High%20Street%2C%20Hamrun" TargetMode="External" Id="rId1576" /><Relationship Type="http://schemas.openxmlformats.org/officeDocument/2006/relationships/hyperlink" Target="https://www.google.com/maps/search/?api=1&amp;query=Triq%20A%20Caligari%2C%20Zabbar" TargetMode="External" Id="rId1577" /><Relationship Type="http://schemas.openxmlformats.org/officeDocument/2006/relationships/hyperlink" Target="https://www.google.com/maps/search/?api=1&amp;query=Galeas%2C%20San%20Gwann" TargetMode="External" Id="rId1578" /><Relationship Type="http://schemas.openxmlformats.org/officeDocument/2006/relationships/hyperlink" Target="https://www.google.com/maps/search/?api=1&amp;query=Triq%20San%20Pawl%2C%20Mosta" TargetMode="External" Id="rId1579" /><Relationship Type="http://schemas.openxmlformats.org/officeDocument/2006/relationships/hyperlink" Target="https://www.google.com/maps/search/?api=1&amp;query=Lija%20%2F%20Qormi%20stores" TargetMode="External" Id="rId1580" /><Relationship Type="http://schemas.openxmlformats.org/officeDocument/2006/relationships/hyperlink" Target="https://www.google.com/maps/search/?api=1&amp;query=San%20Gwann" TargetMode="External" Id="rId1581" /><Relationship Type="http://schemas.openxmlformats.org/officeDocument/2006/relationships/hyperlink" Target="https://euroimjsm.com/" TargetMode="External" Id="rId1582" /><Relationship Type="http://schemas.openxmlformats.org/officeDocument/2006/relationships/hyperlink" Target="https://styleinterni.com/" TargetMode="External" Id="rId1583" /><Relationship Type="http://schemas.openxmlformats.org/officeDocument/2006/relationships/hyperlink" Target="https://homisticrooms.com/" TargetMode="External" Id="rId1584" /><Relationship Type="http://schemas.openxmlformats.org/officeDocument/2006/relationships/hyperlink" Target="https://foamandleather.com" TargetMode="External" Id="rId1585" /><Relationship Type="http://schemas.openxmlformats.org/officeDocument/2006/relationships/hyperlink" Target="https://cbrltd.com" TargetMode="External" Id="rId1586" /><Relationship Type="http://schemas.openxmlformats.org/officeDocument/2006/relationships/hyperlink" Target="https://facebook.com/4mHome" TargetMode="External" Id="rId1587" /><Relationship Type="http://schemas.openxmlformats.org/officeDocument/2006/relationships/hyperlink" Target="https://powerhousemalta.eu" TargetMode="External" Id="rId1588" /><Relationship Type="http://schemas.openxmlformats.org/officeDocument/2006/relationships/hyperlink" Target="https://krea.com.mt" TargetMode="External" Id="rId1589" /><Relationship Type="http://schemas.openxmlformats.org/officeDocument/2006/relationships/hyperlink" Target="https://jysk.com.mt" TargetMode="External" Id="rId1590" /><Relationship Type="http://schemas.openxmlformats.org/officeDocument/2006/relationships/hyperlink" Target="https://dinofino.com" TargetMode="External" Id="rId1591" /><Relationship Type="http://schemas.openxmlformats.org/officeDocument/2006/relationships/hyperlink" Target="https://mattresscollection.com.mt" TargetMode="External" Id="rId1592" /><Relationship Type="http://schemas.openxmlformats.org/officeDocument/2006/relationships/hyperlink" Target="https://royaltybedding.com" TargetMode="External" Id="rId1593" /><Relationship Type="http://schemas.openxmlformats.org/officeDocument/2006/relationships/hyperlink" Target="https://shaker.com.mt" TargetMode="External" Id="rId1594" /><Relationship Type="http://schemas.openxmlformats.org/officeDocument/2006/relationships/hyperlink" Target="https://dreamsmalta.com" TargetMode="External" Id="rId1595" /><Relationship Type="http://schemas.openxmlformats.org/officeDocument/2006/relationships/hyperlink" Target="https://morfeus.com.mt" TargetMode="External" Id="rId1596" /><Relationship Type="http://schemas.openxmlformats.org/officeDocument/2006/relationships/hyperlink" Target="https://oxfordhouse.com.mt" TargetMode="External" Id="rId1597" /><Relationship Type="http://schemas.openxmlformats.org/officeDocument/2006/relationships/hyperlink" Target="https://okhome.com.mt" TargetMode="External" Id="rId1598" /><Relationship Type="http://schemas.openxmlformats.org/officeDocument/2006/relationships/hyperlink" Target="https://theatrium.com.mt" TargetMode="External" Id="rId1599" /><Relationship Type="http://schemas.openxmlformats.org/officeDocument/2006/relationships/hyperlink" Target="https://fino.com.mt" TargetMode="External" Id="rId1600" /><Relationship Type="http://schemas.openxmlformats.org/officeDocument/2006/relationships/hyperlink" Target="https://homemate.com.mt" TargetMode="External" Id="rId1601" /><Relationship Type="http://schemas.openxmlformats.org/officeDocument/2006/relationships/hyperlink" Target="https://vitafoammalta.com" TargetMode="External" Id="rId1602" /><Relationship Type="http://schemas.openxmlformats.org/officeDocument/2006/relationships/hyperlink" Target="https://sylviabazaar.com" TargetMode="External" Id="rId1603" /><Relationship Type="http://schemas.openxmlformats.org/officeDocument/2006/relationships/hyperlink" Target="https://omajcobedding.com" TargetMode="External" Id="rId1604" /><Relationship Type="http://schemas.openxmlformats.org/officeDocument/2006/relationships/hyperlink" Target="https://borisarcidiacono.com" TargetMode="External" Id="rId1605" /><Relationship Type="http://schemas.openxmlformats.org/officeDocument/2006/relationships/hyperlink" Target="https://wellbeingbedding.com" TargetMode="External" Id="rId1606" /><Relationship Type="http://schemas.openxmlformats.org/officeDocument/2006/relationships/hyperlink" Target="https://ctmliving.com" TargetMode="External" Id="rId1607" /><Relationship Type="http://schemas.openxmlformats.org/officeDocument/2006/relationships/hyperlink" Target="https://pcs.com.mt" TargetMode="External" Id="rId1608" /><Relationship Type="http://schemas.openxmlformats.org/officeDocument/2006/relationships/hyperlink" Target="https://malta-design.com" TargetMode="External" Id="rId1609" /><Relationship Type="http://schemas.openxmlformats.org/officeDocument/2006/relationships/hyperlink" Target="https://promaninteriors.com/" TargetMode="External" Id="rId1610" /><Relationship Type="http://schemas.openxmlformats.org/officeDocument/2006/relationships/hyperlink" Target="https://brands.com.mt" TargetMode="External" Id="rId1611" /><Relationship Type="http://schemas.openxmlformats.org/officeDocument/2006/relationships/hyperlink" Target="https://rliving.com.mt" TargetMode="External" Id="rId1612" /><Relationship Type="http://schemas.openxmlformats.org/officeDocument/2006/relationships/hyperlink" Target="https://kubekgroup.com" TargetMode="External" Id="rId1613" /><Relationship Type="http://schemas.openxmlformats.org/officeDocument/2006/relationships/hyperlink" Target="https://facebook.com/people/Abela-Norbert-Joiners/100057636902110/" TargetMode="External" Id="rId1614" /><Relationship Type="http://schemas.openxmlformats.org/officeDocument/2006/relationships/hyperlink" Target="https://facebook.com/photo/?fbid=518605750070651&amp;set=a.518605710070655" TargetMode="External" Id="rId1615" /><Relationship Type="http://schemas.openxmlformats.org/officeDocument/2006/relationships/hyperlink" Target="https://bedsofa.mypos.site/en" TargetMode="External" Id="rId1616" /><Relationship Type="http://schemas.openxmlformats.org/officeDocument/2006/relationships/hyperlink" Target="https://instagram.com/casafini_malta/?hl=en" TargetMode="External" Id="rId1617" /><Relationship Type="http://schemas.openxmlformats.org/officeDocument/2006/relationships/hyperlink" Target="https://casconehome.com" TargetMode="External" Id="rId1618" /><Relationship Type="http://schemas.openxmlformats.org/officeDocument/2006/relationships/hyperlink" Target="https://cieffeprojects.com.mt" TargetMode="External" Id="rId1619" /><Relationship Type="http://schemas.openxmlformats.org/officeDocument/2006/relationships/hyperlink" Target="https://constructfurniture.com.mt" TargetMode="External" Id="rId1620" /><Relationship Type="http://schemas.openxmlformats.org/officeDocument/2006/relationships/hyperlink" Target="https://domal.com.mt" TargetMode="External" Id="rId1621" /><Relationship Type="http://schemas.openxmlformats.org/officeDocument/2006/relationships/hyperlink" Target="https://erickuster.com" TargetMode="External" Id="rId1622" /><Relationship Type="http://schemas.openxmlformats.org/officeDocument/2006/relationships/hyperlink" Target="https://esteamt.com" TargetMode="External" Id="rId1623" /><Relationship Type="http://schemas.openxmlformats.org/officeDocument/2006/relationships/hyperlink" Target="https://gozoarts.com.mt" TargetMode="External" Id="rId1624" /><Relationship Type="http://schemas.openxmlformats.org/officeDocument/2006/relationships/hyperlink" Target="https://form.com.mt" TargetMode="External" Id="rId1625" /><Relationship Type="http://schemas.openxmlformats.org/officeDocument/2006/relationships/hyperlink" Target="https://imaginecasamalta.com" TargetMode="External" Id="rId1626" /><Relationship Type="http://schemas.openxmlformats.org/officeDocument/2006/relationships/hyperlink" Target="https://jdsfurniture.com" TargetMode="External" Id="rId1627" /><Relationship Type="http://schemas.openxmlformats.org/officeDocument/2006/relationships/hyperlink" Target="https://jtstrading.com" TargetMode="External" Id="rId1628" /><Relationship Type="http://schemas.openxmlformats.org/officeDocument/2006/relationships/hyperlink" Target="https://facebook.com/MarvinsWarehouse" TargetMode="External" Id="rId1629" /><Relationship Type="http://schemas.openxmlformats.org/officeDocument/2006/relationships/hyperlink" Target="https://mucciomobili.it" TargetMode="External" Id="rId1630" /><Relationship Type="http://schemas.openxmlformats.org/officeDocument/2006/relationships/hyperlink" Target="https://onepercent.com.mt" TargetMode="External" Id="rId1631" /><Relationship Type="http://schemas.openxmlformats.org/officeDocument/2006/relationships/hyperlink" Target="https://facebook.com/people/Real-woodworks/100057415459586/" TargetMode="External" Id="rId1632" /><Relationship Type="http://schemas.openxmlformats.org/officeDocument/2006/relationships/hyperlink" Target="https://rusticahome.com.mt" TargetMode="External" Id="rId1633" /><Relationship Type="http://schemas.openxmlformats.org/officeDocument/2006/relationships/hyperlink" Target="https://promaninteriors.com/" TargetMode="External" Id="rId1634" /><Relationship Type="http://schemas.openxmlformats.org/officeDocument/2006/relationships/hyperlink" Target="https://powerhousemalta.eu" TargetMode="External" Id="rId1635" /><Relationship Type="http://schemas.openxmlformats.org/officeDocument/2006/relationships/hyperlink" Target="https://theatrium.com.mt" TargetMode="External" Id="rId1636" /><Relationship Type="http://schemas.openxmlformats.org/officeDocument/2006/relationships/hyperlink" Target="https://homemate.com.mt" TargetMode="External" Id="rId1637" /><Relationship Type="http://schemas.openxmlformats.org/officeDocument/2006/relationships/hyperlink" Target="https://jysk.com.mt" TargetMode="External" Id="rId1638" /><Relationship Type="http://schemas.openxmlformats.org/officeDocument/2006/relationships/hyperlink" Target="https://okhome.com.mt" TargetMode="External" Id="rId1639" /><Relationship Type="http://schemas.openxmlformats.org/officeDocument/2006/relationships/hyperlink" Target="https://karrari.shop" TargetMode="External" Id="rId1640" /><Relationship Type="http://schemas.openxmlformats.org/officeDocument/2006/relationships/hyperlink" Target="https://fino.com.mt" TargetMode="External" Id="rId1641" /><Relationship Type="http://schemas.openxmlformats.org/officeDocument/2006/relationships/hyperlink" Target="https://orienta.mt" TargetMode="External" Id="rId1642" /><Relationship Type="http://schemas.openxmlformats.org/officeDocument/2006/relationships/hyperlink" Target="https://newline.com.mt" TargetMode="External" Id="rId1643" /><Relationship Type="http://schemas.openxmlformats.org/officeDocument/2006/relationships/hyperlink" Target="https://luxonas.com" TargetMode="External" Id="rId1644" /><Relationship Type="http://schemas.openxmlformats.org/officeDocument/2006/relationships/hyperlink" Target="https://ecasa.com.mt" TargetMode="External" Id="rId1645" /><Relationship Type="http://schemas.openxmlformats.org/officeDocument/2006/relationships/hyperlink" Target="https://glreclaim.com" TargetMode="External" Id="rId1646" /><Relationship Type="http://schemas.openxmlformats.org/officeDocument/2006/relationships/hyperlink" Target="https://objects.mt" TargetMode="External" Id="rId1647" /><Relationship Type="http://schemas.openxmlformats.org/officeDocument/2006/relationships/hyperlink" Target="https://brands.com.mt" TargetMode="External" Id="rId1648" /><Relationship Type="http://schemas.openxmlformats.org/officeDocument/2006/relationships/hyperlink" Target="https://rliving.com.mt" TargetMode="External" Id="rId1649" /><Relationship Type="http://schemas.openxmlformats.org/officeDocument/2006/relationships/hyperlink" Target="https://kubekgroup.com" TargetMode="External" Id="rId1650" /><Relationship Type="http://schemas.openxmlformats.org/officeDocument/2006/relationships/hyperlink" Target="https://facebook.com/people/Top-Drawer-Ltd/100057222588942/" TargetMode="External" Id="rId1651" /><Relationship Type="http://schemas.openxmlformats.org/officeDocument/2006/relationships/hyperlink" Target="https://casaformfurniture.com" TargetMode="External" Id="rId1652" /><Relationship Type="http://schemas.openxmlformats.org/officeDocument/2006/relationships/hyperlink" Target="https://instagram.com/casafini_malta/?hl=en" TargetMode="External" Id="rId1653" /><Relationship Type="http://schemas.openxmlformats.org/officeDocument/2006/relationships/hyperlink" Target="https://ciantarwoodworks.com" TargetMode="External" Id="rId1654" /><Relationship Type="http://schemas.openxmlformats.org/officeDocument/2006/relationships/hyperlink" Target="https://cieffeprojects.com.mt" TargetMode="External" Id="rId1655" /><Relationship Type="http://schemas.openxmlformats.org/officeDocument/2006/relationships/hyperlink" Target="https://danielwoodworksmalta.com" TargetMode="External" Id="rId1656" /><Relationship Type="http://schemas.openxmlformats.org/officeDocument/2006/relationships/hyperlink" Target="https://domal.com.mt" TargetMode="External" Id="rId1657" /><Relationship Type="http://schemas.openxmlformats.org/officeDocument/2006/relationships/hyperlink" Target="https://ecasa.com.mt" TargetMode="External" Id="rId1658" /><Relationship Type="http://schemas.openxmlformats.org/officeDocument/2006/relationships/hyperlink" Target="https://erickuster.com" TargetMode="External" Id="rId1659" /><Relationship Type="http://schemas.openxmlformats.org/officeDocument/2006/relationships/hyperlink" Target="https://fg.com.mt" TargetMode="External" Id="rId1660" /><Relationship Type="http://schemas.openxmlformats.org/officeDocument/2006/relationships/hyperlink" Target="https://ferraracasa.com.mt" TargetMode="External" Id="rId1661" /><Relationship Type="http://schemas.openxmlformats.org/officeDocument/2006/relationships/hyperlink" Target="https://gozoarts.com.mt" TargetMode="External" Id="rId1662" /><Relationship Type="http://schemas.openxmlformats.org/officeDocument/2006/relationships/hyperlink" Target="https://facebook.com/grannysmithfurnitureandinteriors" TargetMode="External" Id="rId1663" /><Relationship Type="http://schemas.openxmlformats.org/officeDocument/2006/relationships/hyperlink" Target="https://jcrfurniture.com" TargetMode="External" Id="rId1664" /><Relationship Type="http://schemas.openxmlformats.org/officeDocument/2006/relationships/hyperlink" Target="https://jagiuswoodworks.com" TargetMode="External" Id="rId1665" /><Relationship Type="http://schemas.openxmlformats.org/officeDocument/2006/relationships/hyperlink" Target="https://jdsfurniture.com" TargetMode="External" Id="rId1666" /><Relationship Type="http://schemas.openxmlformats.org/officeDocument/2006/relationships/hyperlink" Target="https://jysk.com.mt" TargetMode="External" Id="rId1667" /><Relationship Type="http://schemas.openxmlformats.org/officeDocument/2006/relationships/hyperlink" Target="https://jtstrading.com" TargetMode="External" Id="rId1668" /><Relationship Type="http://schemas.openxmlformats.org/officeDocument/2006/relationships/hyperlink" Target="https://mucciomobili.it" TargetMode="External" Id="rId1669" /><Relationship Type="http://schemas.openxmlformats.org/officeDocument/2006/relationships/hyperlink" Target="https://facebook.com/p/Rags-and-Riches-Buy-and-Sell-100041339592117/" TargetMode="External" Id="rId1670" /><Relationship Type="http://schemas.openxmlformats.org/officeDocument/2006/relationships/hyperlink" Target="https://lepseg.wix.com/richard-furniture" TargetMode="External" Id="rId1671" /><Relationship Type="http://schemas.openxmlformats.org/officeDocument/2006/relationships/hyperlink" Target="https://spaces.com.mt" TargetMode="External" Id="rId1672" /><Relationship Type="http://schemas.openxmlformats.org/officeDocument/2006/relationships/hyperlink" Target="https://shabbychic.world/" TargetMode="External" Id="rId1673" /><Relationship Type="http://schemas.openxmlformats.org/officeDocument/2006/relationships/hyperlink" Target="https://stylefurnituremalta.com" TargetMode="External" Id="rId1674" /><Relationship Type="http://schemas.openxmlformats.org/officeDocument/2006/relationships/hyperlink" Target="https://tal-lira.com" TargetMode="External" Id="rId1675" /><Relationship Type="http://schemas.openxmlformats.org/officeDocument/2006/relationships/hyperlink" Target="https://woodcreationsmalta.com" TargetMode="External" Id="rId1676" /><Relationship Type="http://schemas.openxmlformats.org/officeDocument/2006/relationships/hyperlink" Target="https://mattresscollection.com.mt" TargetMode="External" Id="rId1677" /><Relationship Type="http://schemas.openxmlformats.org/officeDocument/2006/relationships/hyperlink" Target="https://bondsmalta.com" TargetMode="External" Id="rId1678" /><Relationship Type="http://schemas.openxmlformats.org/officeDocument/2006/relationships/hyperlink" Target="https://form.com.mt" TargetMode="External" Id="rId1679" /><Relationship Type="http://schemas.openxmlformats.org/officeDocument/2006/relationships/hyperlink" Target="https://eurotexmalta.com" TargetMode="External" Id="rId1680" /><Relationship Type="http://schemas.openxmlformats.org/officeDocument/2006/relationships/hyperlink" Target="https://dreamsmalta.com" TargetMode="External" Id="rId1681" /><Relationship Type="http://schemas.openxmlformats.org/officeDocument/2006/relationships/hyperlink" Target="https://wellbeingbedding.com" TargetMode="External" Id="rId1682" /><Relationship Type="http://schemas.openxmlformats.org/officeDocument/2006/relationships/hyperlink" Target="https://royaltybedding.com" TargetMode="External" Id="rId1683" /><Relationship Type="http://schemas.openxmlformats.org/officeDocument/2006/relationships/hyperlink" Target="https://foamandleather.com" TargetMode="External" Id="rId1684" /><Relationship Type="http://schemas.openxmlformats.org/officeDocument/2006/relationships/hyperlink" Target="https://sylviabazaar.com" TargetMode="External" Id="rId1685" /><Relationship Type="http://schemas.openxmlformats.org/officeDocument/2006/relationships/hyperlink" Target="https://vitafoammalta.com" TargetMode="External" Id="rId1686" /><Relationship Type="http://schemas.openxmlformats.org/officeDocument/2006/relationships/hyperlink" Target="https://morfeus.com.mt" TargetMode="External" Id="rId1687" /><Relationship Type="http://schemas.openxmlformats.org/officeDocument/2006/relationships/hyperlink" Target="https://jysk.com.mt" TargetMode="External" Id="rId1688" /><Relationship Type="http://schemas.openxmlformats.org/officeDocument/2006/relationships/hyperlink" Target="https://omajcobedding.com" TargetMode="External" Id="rId168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hyperlink" Target="MAILTO:info@ferraramalta.com" TargetMode="External" Id="rId1690" /><Relationship Type="http://schemas.openxmlformats.org/officeDocument/2006/relationships/hyperlink" Target="MAILTO:info@styleinterni.com" TargetMode="External" Id="rId1691" /><Relationship Type="http://schemas.openxmlformats.org/officeDocument/2006/relationships/hyperlink" Target="MAILTO:info@sghendowoodworks.com" TargetMode="External" Id="rId1692" /><Relationship Type="http://schemas.openxmlformats.org/officeDocument/2006/relationships/hyperlink" Target="MAILTO:info@desanamarbles.com" TargetMode="External" Id="rId1693" /><Relationship Type="http://schemas.openxmlformats.org/officeDocument/2006/relationships/hyperlink" Target="MAILTO:info@fairdealfurniture.com.mt" TargetMode="External" Id="rId1694" /><Relationship Type="http://schemas.openxmlformats.org/officeDocument/2006/relationships/hyperlink" Target="MAILTO:artathomeltd@gmail.com" TargetMode="External" Id="rId1695" /><Relationship Type="http://schemas.openxmlformats.org/officeDocument/2006/relationships/hyperlink" Target="MAILTO:arnold@lowcostfurniture.com.mt" TargetMode="External" Id="rId1696" /><Relationship Type="http://schemas.openxmlformats.org/officeDocument/2006/relationships/hyperlink" Target="MAILTO:fran@fvcarpentry.com" TargetMode="External" Id="rId1697" /><Relationship Type="http://schemas.openxmlformats.org/officeDocument/2006/relationships/hyperlink" Target="MAILTO:topdrawer@topdrawermalta.com" TargetMode="External" Id="rId1698" /><Relationship Type="http://schemas.openxmlformats.org/officeDocument/2006/relationships/hyperlink" Target="MAILTO:info@brands.com.mt" TargetMode="External" Id="rId1699" /><Relationship Type="http://schemas.openxmlformats.org/officeDocument/2006/relationships/hyperlink" Target="MAILTO:igor@domestica.com.mt" TargetMode="External" Id="rId1700" /><Relationship Type="http://schemas.openxmlformats.org/officeDocument/2006/relationships/hyperlink" Target="MAILTO:info@core.com.mt" TargetMode="External" Id="rId1701" /><Relationship Type="http://schemas.openxmlformats.org/officeDocument/2006/relationships/hyperlink" Target="MAILTO:info@dinofino.com" TargetMode="External" Id="rId1702" /><Relationship Type="http://schemas.openxmlformats.org/officeDocument/2006/relationships/hyperlink" Target="MAILTO:info@distincthomes.com.mt" TargetMode="External" Id="rId1703" /><Relationship Type="http://schemas.openxmlformats.org/officeDocument/2006/relationships/hyperlink" Target="MAILTO:sales@grixtimobili.com" TargetMode="External" Id="rId1704" /><Relationship Type="http://schemas.openxmlformats.org/officeDocument/2006/relationships/hyperlink" Target="MAILTO:info@jdsfurniture.com" TargetMode="External" Id="rId1705" /><Relationship Type="http://schemas.openxmlformats.org/officeDocument/2006/relationships/hyperlink" Target="MAILTO:info@krea.com.mt" TargetMode="External" Id="rId1706" /><Relationship Type="http://schemas.openxmlformats.org/officeDocument/2006/relationships/hyperlink" Target="MAILTO:info@kubekgroup.com" TargetMode="External" Id="rId1707" /><Relationship Type="http://schemas.openxmlformats.org/officeDocument/2006/relationships/hyperlink" Target="MAILTO:info@petroni.com.mt" TargetMode="External" Id="rId1708" /><Relationship Type="http://schemas.openxmlformats.org/officeDocument/2006/relationships/hyperlink" Target="MAILTO:snfgrima@maltanet.net" TargetMode="External" Id="rId1709" /><Relationship Type="http://schemas.openxmlformats.org/officeDocument/2006/relationships/hyperlink" Target="MAILTO:bjorn@wellmadewoodworks.com.mt" TargetMode="External" Id="rId1710" /><Relationship Type="http://schemas.openxmlformats.org/officeDocument/2006/relationships/hyperlink" Target="MAILTO:info@oxfordhouse.com.mt" TargetMode="External" Id="rId1711" /><Relationship Type="http://schemas.openxmlformats.org/officeDocument/2006/relationships/hyperlink" Target="MAILTO:info@treedfurniture.com" TargetMode="External" Id="rId1712" /><Relationship Type="http://schemas.openxmlformats.org/officeDocument/2006/relationships/hyperlink" Target="MAILTO:casaform@onvol.net" TargetMode="External" Id="rId1713" /><Relationship Type="http://schemas.openxmlformats.org/officeDocument/2006/relationships/hyperlink" Target="MAILTO:jasoakwalnut@yahoo.com" TargetMode="External" Id="rId1714" /><Relationship Type="http://schemas.openxmlformats.org/officeDocument/2006/relationships/hyperlink" Target="MAILTO:jasoakwalnut@yahoo.com" TargetMode="External" Id="rId1715" /><Relationship Type="http://schemas.openxmlformats.org/officeDocument/2006/relationships/hyperlink" Target="MAILTO:jysk@jysk.com.mt" TargetMode="External" Id="rId1716" /><Relationship Type="http://schemas.openxmlformats.org/officeDocument/2006/relationships/hyperlink" Target="MAILTO:seguna@onvol.net" TargetMode="External" Id="rId1717" /><Relationship Type="http://schemas.openxmlformats.org/officeDocument/2006/relationships/hyperlink" Target="MAILTO:info@rusticahome.com.mt" TargetMode="External" Id="rId1718" /><Relationship Type="http://schemas.openxmlformats.org/officeDocument/2006/relationships/hyperlink" Target="MAILTO:info@spaces.com.mt" TargetMode="External" Id="rId1719" /><Relationship Type="http://schemas.openxmlformats.org/officeDocument/2006/relationships/hyperlink" Target="MAILTO:stephen@rliving.com.mt" TargetMode="External" Id="rId1720" /><Relationship Type="http://schemas.openxmlformats.org/officeDocument/2006/relationships/hyperlink" Target="MAILTO:info@treedfurniture.com" TargetMode="External" Id="rId1721" /><Relationship Type="http://schemas.openxmlformats.org/officeDocument/2006/relationships/hyperlink" Target="MAILTO:info@promaninteriors.com" TargetMode="External" Id="rId1722" /><Relationship Type="http://schemas.openxmlformats.org/officeDocument/2006/relationships/hyperlink" Target="MAILTO:info@desanamarbles.com" TargetMode="External" Id="rId1723" /><Relationship Type="http://schemas.openxmlformats.org/officeDocument/2006/relationships/hyperlink" Target="MAILTO:info@fairdealfurniture.com.mt" TargetMode="External" Id="rId1724" /><Relationship Type="http://schemas.openxmlformats.org/officeDocument/2006/relationships/hyperlink" Target="MAILTO:info@brands.com.mt" TargetMode="External" Id="rId1725" /><Relationship Type="http://schemas.openxmlformats.org/officeDocument/2006/relationships/hyperlink" Target="MAILTO:fran@fvcarpentry.com" TargetMode="External" Id="rId1726" /><Relationship Type="http://schemas.openxmlformats.org/officeDocument/2006/relationships/hyperlink" Target="MAILTO:topdrawer@topdrawermalta.com" TargetMode="External" Id="rId1727" /><Relationship Type="http://schemas.openxmlformats.org/officeDocument/2006/relationships/hyperlink" Target="MAILTO:igor@domestica.com.mt" TargetMode="External" Id="rId1728" /><Relationship Type="http://schemas.openxmlformats.org/officeDocument/2006/relationships/hyperlink" Target="MAILTO:info@dinofino.com" TargetMode="External" Id="rId1729" /><Relationship Type="http://schemas.openxmlformats.org/officeDocument/2006/relationships/hyperlink" Target="MAILTO:sales@grixtimobili.com" TargetMode="External" Id="rId1730" /><Relationship Type="http://schemas.openxmlformats.org/officeDocument/2006/relationships/hyperlink" Target="MAILTO:info@kubekgroup.com" TargetMode="External" Id="rId1731" /><Relationship Type="http://schemas.openxmlformats.org/officeDocument/2006/relationships/hyperlink" Target="MAILTO:info@petroni.com.mt" TargetMode="External" Id="rId1732" /><Relationship Type="http://schemas.openxmlformats.org/officeDocument/2006/relationships/hyperlink" Target="MAILTO:info@treedfurniture.com" TargetMode="External" Id="rId1733" /><Relationship Type="http://schemas.openxmlformats.org/officeDocument/2006/relationships/hyperlink" Target="MAILTO:mchire4@gmail.com" TargetMode="External" Id="rId1734" /><Relationship Type="http://schemas.openxmlformats.org/officeDocument/2006/relationships/hyperlink" Target="MAILTO:silviochairs@gmail.com" TargetMode="External" Id="rId1735" /><Relationship Type="http://schemas.openxmlformats.org/officeDocument/2006/relationships/hyperlink" Target="MAILTO:info@farrugiagroup.com" TargetMode="External" Id="rId1736" /><Relationship Type="http://schemas.openxmlformats.org/officeDocument/2006/relationships/hyperlink" Target="MAILTO:office.mfcoltd@gmail.com" TargetMode="External" Id="rId1737" /><Relationship Type="http://schemas.openxmlformats.org/officeDocument/2006/relationships/hyperlink" Target="MAILTO:jysk@jysk.com.mt" TargetMode="External" Id="rId1738" /><Relationship Type="http://schemas.openxmlformats.org/officeDocument/2006/relationships/hyperlink" Target="MAILTO:info@oxfordhouse.com.mt" TargetMode="External" Id="rId1739" /><Relationship Type="http://schemas.openxmlformats.org/officeDocument/2006/relationships/hyperlink" Target="MAILTO:sales@powerhousemalta.eu" TargetMode="External" Id="rId1740" /><Relationship Type="http://schemas.openxmlformats.org/officeDocument/2006/relationships/hyperlink" Target="MAILTO:info@dinofino.com" TargetMode="External" Id="rId1741" /><Relationship Type="http://schemas.openxmlformats.org/officeDocument/2006/relationships/hyperlink" Target="MAILTO:info@bdi.com.mt" TargetMode="External" Id="rId1742" /><Relationship Type="http://schemas.openxmlformats.org/officeDocument/2006/relationships/hyperlink" Target="MAILTO:sales@maltashopper.com" TargetMode="External" Id="rId1743" /><Relationship Type="http://schemas.openxmlformats.org/officeDocument/2006/relationships/hyperlink" Target="MAILTO:info@abra.com.mt" TargetMode="External" Id="rId1744" /><Relationship Type="http://schemas.openxmlformats.org/officeDocument/2006/relationships/hyperlink" Target="MAILTO:info@fino.com.mt" TargetMode="External" Id="rId1745" /><Relationship Type="http://schemas.openxmlformats.org/officeDocument/2006/relationships/hyperlink" Target="MAILTO:info@fairdealfurniture.com.mt" TargetMode="External" Id="rId1746" /><Relationship Type="http://schemas.openxmlformats.org/officeDocument/2006/relationships/hyperlink" Target="MAILTO:newlineliving@gmail.com" TargetMode="External" Id="rId1747" /><Relationship Type="http://schemas.openxmlformats.org/officeDocument/2006/relationships/hyperlink" Target="MAILTO:info@brands.com.mt" TargetMode="External" Id="rId1748" /><Relationship Type="http://schemas.openxmlformats.org/officeDocument/2006/relationships/hyperlink" Target="MAILTO:topdrawer@topdrawermalta.com" TargetMode="External" Id="rId1749" /><Relationship Type="http://schemas.openxmlformats.org/officeDocument/2006/relationships/hyperlink" Target="MAILTO:info@boconcept.com.mt" TargetMode="External" Id="rId1750" /><Relationship Type="http://schemas.openxmlformats.org/officeDocument/2006/relationships/hyperlink" Target="MAILTO:info@indexmalta.com" TargetMode="External" Id="rId1751" /><Relationship Type="http://schemas.openxmlformats.org/officeDocument/2006/relationships/hyperlink" Target="MAILTO:sales@malta-design.com" TargetMode="External" Id="rId1752" /><Relationship Type="http://schemas.openxmlformats.org/officeDocument/2006/relationships/hyperlink" Target="MAILTO:stephen@rliving.com.mt" TargetMode="External" Id="rId1753" /><Relationship Type="http://schemas.openxmlformats.org/officeDocument/2006/relationships/hyperlink" Target="MAILTO:fava@maltanet.net" TargetMode="External" Id="rId1754" /><Relationship Type="http://schemas.openxmlformats.org/officeDocument/2006/relationships/hyperlink" Target="MAILTO:acf1@melita.com" TargetMode="External" Id="rId1755" /><Relationship Type="http://schemas.openxmlformats.org/officeDocument/2006/relationships/hyperlink" Target="MAILTO:casaform@onvol.net" TargetMode="External" Id="rId1756" /><Relationship Type="http://schemas.openxmlformats.org/officeDocument/2006/relationships/hyperlink" Target="MAILTO:info@casconehome.com" TargetMode="External" Id="rId1757" /><Relationship Type="http://schemas.openxmlformats.org/officeDocument/2006/relationships/hyperlink" Target="MAILTO:jasoakwalnut@yahoo.com" TargetMode="External" Id="rId1758" /><Relationship Type="http://schemas.openxmlformats.org/officeDocument/2006/relationships/hyperlink" Target="MAILTO:info@ecasa.com.mt" TargetMode="External" Id="rId1759" /><Relationship Type="http://schemas.openxmlformats.org/officeDocument/2006/relationships/hyperlink" Target="MAILTO:info@constructfurniture.com.mt" TargetMode="External" Id="rId1760" /><Relationship Type="http://schemas.openxmlformats.org/officeDocument/2006/relationships/hyperlink" Target="MAILTO:epack@onvol.net" TargetMode="External" Id="rId1761" /><Relationship Type="http://schemas.openxmlformats.org/officeDocument/2006/relationships/hyperlink" Target="MAILTO:info@farrugiagroup.com" TargetMode="External" Id="rId1762" /><Relationship Type="http://schemas.openxmlformats.org/officeDocument/2006/relationships/hyperlink" Target="MAILTO:info@dinofino.com" TargetMode="External" Id="rId1763" /><Relationship Type="http://schemas.openxmlformats.org/officeDocument/2006/relationships/hyperlink" Target="MAILTO:agius65@hotmail.com" TargetMode="External" Id="rId1764" /><Relationship Type="http://schemas.openxmlformats.org/officeDocument/2006/relationships/hyperlink" Target="MAILTO:sales@fxb.com.mt" TargetMode="External" Id="rId1765" /><Relationship Type="http://schemas.openxmlformats.org/officeDocument/2006/relationships/hyperlink" Target="MAILTO:info@gozoarts.com.mt" TargetMode="External" Id="rId1766" /><Relationship Type="http://schemas.openxmlformats.org/officeDocument/2006/relationships/hyperlink" Target="MAILTO:info@jdsfurniture.com" TargetMode="External" Id="rId1767" /><Relationship Type="http://schemas.openxmlformats.org/officeDocument/2006/relationships/hyperlink" Target="MAILTO:jysk@jysk.com.mt" TargetMode="External" Id="rId1768" /><Relationship Type="http://schemas.openxmlformats.org/officeDocument/2006/relationships/hyperlink" Target="MAILTO:info@mobiliapenza.com" TargetMode="External" Id="rId1769" /><Relationship Type="http://schemas.openxmlformats.org/officeDocument/2006/relationships/hyperlink" Target="MAILTO:info@mucciomobili.it" TargetMode="External" Id="rId1770" /><Relationship Type="http://schemas.openxmlformats.org/officeDocument/2006/relationships/hyperlink" Target="MAILTO:info@onepercent.com.mt" TargetMode="External" Id="rId1771" /><Relationship Type="http://schemas.openxmlformats.org/officeDocument/2006/relationships/hyperlink" Target="MAILTO:info@orienta.com.mt" TargetMode="External" Id="rId1772" /><Relationship Type="http://schemas.openxmlformats.org/officeDocument/2006/relationships/hyperlink" Target="MAILTO:info@queensfurniture.com" TargetMode="External" Id="rId1773" /><Relationship Type="http://schemas.openxmlformats.org/officeDocument/2006/relationships/hyperlink" Target="MAILTO:seguna@onvol.net" TargetMode="External" Id="rId1774" /><Relationship Type="http://schemas.openxmlformats.org/officeDocument/2006/relationships/hyperlink" Target="MAILTO:ronaldmarmara@gmail.com" TargetMode="External" Id="rId1775" /><Relationship Type="http://schemas.openxmlformats.org/officeDocument/2006/relationships/hyperlink" Target="MAILTO:info@spaces.com.mt" TargetMode="External" Id="rId1776" /><Relationship Type="http://schemas.openxmlformats.org/officeDocument/2006/relationships/hyperlink" Target="MAILTO:info@stylefurnituremalta.com" TargetMode="External" Id="rId1777" /><Relationship Type="http://schemas.openxmlformats.org/officeDocument/2006/relationships/hyperlink" Target="MAILTO:marketing@tal-lira.com" TargetMode="External" Id="rId1778" /><Relationship Type="http://schemas.openxmlformats.org/officeDocument/2006/relationships/hyperlink" Target="MAILTO:info@tornelli.net" TargetMode="External" Id="rId1779" /><Relationship Type="http://schemas.openxmlformats.org/officeDocument/2006/relationships/hyperlink" Target="MAILTO:info@treedfurniture.com" TargetMode="External" Id="rId1780" /><Relationship Type="http://schemas.openxmlformats.org/officeDocument/2006/relationships/hyperlink" Target="MAILTO:info@petroni.com.mt" TargetMode="External" Id="rId1781" /><Relationship Type="http://schemas.openxmlformats.org/officeDocument/2006/relationships/hyperlink" Target="MAILTO:info@soundsmart.com.mt" TargetMode="External" Id="rId1782" /><Relationship Type="http://schemas.openxmlformats.org/officeDocument/2006/relationships/hyperlink" Target="MAILTO:info@kcl.com.mt" TargetMode="External" Id="rId1783" /><Relationship Type="http://schemas.openxmlformats.org/officeDocument/2006/relationships/hyperlink" Target="MAILTO:tabletsandmoreelectronics@yahoo.com" TargetMode="External" Id="rId1784" /><Relationship Type="http://schemas.openxmlformats.org/officeDocument/2006/relationships/hyperlink" Target="MAILTO:camrugun@hotmail.com" TargetMode="External" Id="rId1785" /><Relationship Type="http://schemas.openxmlformats.org/officeDocument/2006/relationships/hyperlink" Target="MAILTO:tagulinu@onvol.net" TargetMode="External" Id="rId1786" /><Relationship Type="http://schemas.openxmlformats.org/officeDocument/2006/relationships/hyperlink" Target="MAILTO:etv@etvhomeline.com" TargetMode="External" Id="rId1787" /><Relationship Type="http://schemas.openxmlformats.org/officeDocument/2006/relationships/hyperlink" Target="MAILTO:rightdealcosp@onvol.net" TargetMode="External" Id="rId1788" /><Relationship Type="http://schemas.openxmlformats.org/officeDocument/2006/relationships/hyperlink" Target="MAILTO:info@topchoice.com.mt" TargetMode="External" Id="rId1789" /><Relationship Type="http://schemas.openxmlformats.org/officeDocument/2006/relationships/hyperlink" Target="MAILTO:futurahomeappliances@gmail.com" TargetMode="External" Id="rId1790" /><Relationship Type="http://schemas.openxmlformats.org/officeDocument/2006/relationships/hyperlink" Target="MAILTO:sales@jjscerri.com" TargetMode="External" Id="rId1791" /><Relationship Type="http://schemas.openxmlformats.org/officeDocument/2006/relationships/hyperlink" Target="MAILTO:dpcomfortek@gmail.com" TargetMode="External" Id="rId1792" /><Relationship Type="http://schemas.openxmlformats.org/officeDocument/2006/relationships/hyperlink" Target="MAILTO:consigliohomeappliances@gmail.com" TargetMode="External" Id="rId1793" /><Relationship Type="http://schemas.openxmlformats.org/officeDocument/2006/relationships/hyperlink" Target="MAILTO:bakerspoint1@gmail.com" TargetMode="External" Id="rId1794" /><Relationship Type="http://schemas.openxmlformats.org/officeDocument/2006/relationships/hyperlink" Target="MAILTO:cutajarhifivideocentre@outlook.com" TargetMode="External" Id="rId1795" /><Relationship Type="http://schemas.openxmlformats.org/officeDocument/2006/relationships/hyperlink" Target="MAILTO:sales@flamingo.com.mt" TargetMode="External" Id="rId1796" /><Relationship Type="http://schemas.openxmlformats.org/officeDocument/2006/relationships/hyperlink" Target="MAILTO:info@forestals.com" TargetMode="External" Id="rId1797" /><Relationship Type="http://schemas.openxmlformats.org/officeDocument/2006/relationships/hyperlink" Target="MAILTO:freddies@onvol.net" TargetMode="External" Id="rId1798" /><Relationship Type="http://schemas.openxmlformats.org/officeDocument/2006/relationships/hyperlink" Target="MAILTO:gdatrade@waldonet.net.mt" TargetMode="External" Id="rId1799" /><Relationship Type="http://schemas.openxmlformats.org/officeDocument/2006/relationships/hyperlink" Target="MAILTO:info@hotpointmalta.com" TargetMode="External" Id="rId1800" /><Relationship Type="http://schemas.openxmlformats.org/officeDocument/2006/relationships/hyperlink" Target="MAILTO:showroom@itc-malta.com" TargetMode="External" Id="rId1801" /><Relationship Type="http://schemas.openxmlformats.org/officeDocument/2006/relationships/hyperlink" Target="MAILTO:info@oxfordhouse.com.mt" TargetMode="External" Id="rId1802" /><Relationship Type="http://schemas.openxmlformats.org/officeDocument/2006/relationships/hyperlink" Target="MAILTO:rightdealcosp@onvol.net" TargetMode="External" Id="rId1803" /><Relationship Type="http://schemas.openxmlformats.org/officeDocument/2006/relationships/hyperlink" Target="MAILTO:rotunda@maltanet.net" TargetMode="External" Id="rId1804" /><Relationship Type="http://schemas.openxmlformats.org/officeDocument/2006/relationships/hyperlink" Target="MAILTO:info@ultimate.com.mt" TargetMode="External" Id="rId1805" /><Relationship Type="http://schemas.openxmlformats.org/officeDocument/2006/relationships/hyperlink" Target="MAILTO:info@petroni.com.mt" TargetMode="External" Id="rId1806" /><Relationship Type="http://schemas.openxmlformats.org/officeDocument/2006/relationships/hyperlink" Target="MAILTO:info@soundsmart.com.mt" TargetMode="External" Id="rId1807" /><Relationship Type="http://schemas.openxmlformats.org/officeDocument/2006/relationships/hyperlink" Target="MAILTO:info@kcl.com.mt" TargetMode="External" Id="rId1808" /><Relationship Type="http://schemas.openxmlformats.org/officeDocument/2006/relationships/hyperlink" Target="MAILTO:tabletsandmoreelectronics@yahoo.com" TargetMode="External" Id="rId1809" /><Relationship Type="http://schemas.openxmlformats.org/officeDocument/2006/relationships/hyperlink" Target="MAILTO:futurahomeappliances@gmail.com" TargetMode="External" Id="rId1810" /><Relationship Type="http://schemas.openxmlformats.org/officeDocument/2006/relationships/hyperlink" Target="MAILTO:dpcomfortek@gmail.com" TargetMode="External" Id="rId1811" /><Relationship Type="http://schemas.openxmlformats.org/officeDocument/2006/relationships/hyperlink" Target="MAILTO:consigliohomeappliances@gmail.com" TargetMode="External" Id="rId1812" /><Relationship Type="http://schemas.openxmlformats.org/officeDocument/2006/relationships/hyperlink" Target="MAILTO:info@forestals.com" TargetMode="External" Id="rId1813" /><Relationship Type="http://schemas.openxmlformats.org/officeDocument/2006/relationships/hyperlink" Target="MAILTO:freddies@onvol.net" TargetMode="External" Id="rId1814" /><Relationship Type="http://schemas.openxmlformats.org/officeDocument/2006/relationships/hyperlink" Target="MAILTO:info@hotpointmalta.com" TargetMode="External" Id="rId1815" /><Relationship Type="http://schemas.openxmlformats.org/officeDocument/2006/relationships/hyperlink" Target="MAILTO:showroom@itc-malta.com" TargetMode="External" Id="rId1816" /><Relationship Type="http://schemas.openxmlformats.org/officeDocument/2006/relationships/hyperlink" Target="MAILTO:info@jshousehold.com" TargetMode="External" Id="rId1817" /><Relationship Type="http://schemas.openxmlformats.org/officeDocument/2006/relationships/hyperlink" Target="MAILTO:rightdealcosp@onvol.net" TargetMode="External" Id="rId1818" /><Relationship Type="http://schemas.openxmlformats.org/officeDocument/2006/relationships/hyperlink" Target="MAILTO:rotunda@maltanet.net" TargetMode="External" Id="rId1819" /><Relationship Type="http://schemas.openxmlformats.org/officeDocument/2006/relationships/hyperlink" Target="MAILTO:info@petroni.com.mt" TargetMode="External" Id="rId1820" /><Relationship Type="http://schemas.openxmlformats.org/officeDocument/2006/relationships/hyperlink" Target="MAILTO:info@soundsmart.com.mt" TargetMode="External" Id="rId1821" /><Relationship Type="http://schemas.openxmlformats.org/officeDocument/2006/relationships/hyperlink" Target="MAILTO:info@kcl.com.mt" TargetMode="External" Id="rId1822" /><Relationship Type="http://schemas.openxmlformats.org/officeDocument/2006/relationships/hyperlink" Target="MAILTO:tabletsandmoreelectronics@yahoo.com" TargetMode="External" Id="rId1823" /><Relationship Type="http://schemas.openxmlformats.org/officeDocument/2006/relationships/hyperlink" Target="MAILTO:futurahomeappliances@gmail.com" TargetMode="External" Id="rId1824" /><Relationship Type="http://schemas.openxmlformats.org/officeDocument/2006/relationships/hyperlink" Target="MAILTO:camrugun@hotmail.com" TargetMode="External" Id="rId1825" /><Relationship Type="http://schemas.openxmlformats.org/officeDocument/2006/relationships/hyperlink" Target="MAILTO:tagulinu@onvol.net" TargetMode="External" Id="rId1826" /><Relationship Type="http://schemas.openxmlformats.org/officeDocument/2006/relationships/hyperlink" Target="MAILTO:sales@jjscerri.com" TargetMode="External" Id="rId1827" /><Relationship Type="http://schemas.openxmlformats.org/officeDocument/2006/relationships/hyperlink" Target="MAILTO:dpcomfortek@gmail.com" TargetMode="External" Id="rId1828" /><Relationship Type="http://schemas.openxmlformats.org/officeDocument/2006/relationships/hyperlink" Target="MAILTO:consigliohomeappliances@gmail.com" TargetMode="External" Id="rId1829" /><Relationship Type="http://schemas.openxmlformats.org/officeDocument/2006/relationships/hyperlink" Target="MAILTO:cutajarhifivideocentre@outlook.com" TargetMode="External" Id="rId1830" /><Relationship Type="http://schemas.openxmlformats.org/officeDocument/2006/relationships/hyperlink" Target="MAILTO:info@divine.com.mt" TargetMode="External" Id="rId1831" /><Relationship Type="http://schemas.openxmlformats.org/officeDocument/2006/relationships/hyperlink" Target="MAILTO:sales@flamingo.com.mt" TargetMode="External" Id="rId1832" /><Relationship Type="http://schemas.openxmlformats.org/officeDocument/2006/relationships/hyperlink" Target="MAILTO:info@forestals.com" TargetMode="External" Id="rId1833" /><Relationship Type="http://schemas.openxmlformats.org/officeDocument/2006/relationships/hyperlink" Target="MAILTO:freddies@onvol.net" TargetMode="External" Id="rId1834" /><Relationship Type="http://schemas.openxmlformats.org/officeDocument/2006/relationships/hyperlink" Target="MAILTO:info@hotpointmalta.com" TargetMode="External" Id="rId1835" /><Relationship Type="http://schemas.openxmlformats.org/officeDocument/2006/relationships/hyperlink" Target="MAILTO:showroom@itc-malta.com" TargetMode="External" Id="rId1836" /><Relationship Type="http://schemas.openxmlformats.org/officeDocument/2006/relationships/hyperlink" Target="MAILTO:info@jshousehold.com" TargetMode="External" Id="rId1837" /><Relationship Type="http://schemas.openxmlformats.org/officeDocument/2006/relationships/hyperlink" Target="MAILTO:rightdealcosp@onvol.net" TargetMode="External" Id="rId1838" /><Relationship Type="http://schemas.openxmlformats.org/officeDocument/2006/relationships/hyperlink" Target="MAILTO:rotunda@maltanet.net" TargetMode="External" Id="rId1839" /><Relationship Type="http://schemas.openxmlformats.org/officeDocument/2006/relationships/hyperlink" Target="MAILTO:info@topchoice.com.mt" TargetMode="External" Id="rId1840" /><Relationship Type="http://schemas.openxmlformats.org/officeDocument/2006/relationships/hyperlink" Target="MAILTO:x.treme@onvol.net" TargetMode="External" Id="rId1841" /><Relationship Type="http://schemas.openxmlformats.org/officeDocument/2006/relationships/hyperlink" Target="MAILTO:info@petroni.com.mt" TargetMode="External" Id="rId1842" /><Relationship Type="http://schemas.openxmlformats.org/officeDocument/2006/relationships/hyperlink" Target="MAILTO:info@soundsmart.com.mt" TargetMode="External" Id="rId1843" /><Relationship Type="http://schemas.openxmlformats.org/officeDocument/2006/relationships/hyperlink" Target="MAILTO:info@kcl.com.mt" TargetMode="External" Id="rId1844" /><Relationship Type="http://schemas.openxmlformats.org/officeDocument/2006/relationships/hyperlink" Target="MAILTO:tabletsandmoreelectronics@yahoo.com" TargetMode="External" Id="rId1845" /><Relationship Type="http://schemas.openxmlformats.org/officeDocument/2006/relationships/hyperlink" Target="MAILTO:futurahomeappliances@gmail.com" TargetMode="External" Id="rId1846" /><Relationship Type="http://schemas.openxmlformats.org/officeDocument/2006/relationships/hyperlink" Target="MAILTO:camrugun@hotmail.com" TargetMode="External" Id="rId1847" /><Relationship Type="http://schemas.openxmlformats.org/officeDocument/2006/relationships/hyperlink" Target="MAILTO:sales@jjscerri.com" TargetMode="External" Id="rId1848" /><Relationship Type="http://schemas.openxmlformats.org/officeDocument/2006/relationships/hyperlink" Target="MAILTO:consigliohomeappliances@gmail.com" TargetMode="External" Id="rId1849" /><Relationship Type="http://schemas.openxmlformats.org/officeDocument/2006/relationships/hyperlink" Target="MAILTO:cutajarhifivideocentre@outlook.com" TargetMode="External" Id="rId1850" /><Relationship Type="http://schemas.openxmlformats.org/officeDocument/2006/relationships/hyperlink" Target="MAILTO:info@divine.com.mt" TargetMode="External" Id="rId1851" /><Relationship Type="http://schemas.openxmlformats.org/officeDocument/2006/relationships/hyperlink" Target="MAILTO:sales@flamingo.com.mt" TargetMode="External" Id="rId1852" /><Relationship Type="http://schemas.openxmlformats.org/officeDocument/2006/relationships/hyperlink" Target="MAILTO:freddies@onvol.net" TargetMode="External" Id="rId1853" /><Relationship Type="http://schemas.openxmlformats.org/officeDocument/2006/relationships/hyperlink" Target="MAILTO:gdatrade@waldonet.net.mt" TargetMode="External" Id="rId1854" /><Relationship Type="http://schemas.openxmlformats.org/officeDocument/2006/relationships/hyperlink" Target="MAILTO:info@hotpointmalta.com" TargetMode="External" Id="rId1855" /><Relationship Type="http://schemas.openxmlformats.org/officeDocument/2006/relationships/hyperlink" Target="MAILTO:showroom@itc-malta.com" TargetMode="External" Id="rId1856" /><Relationship Type="http://schemas.openxmlformats.org/officeDocument/2006/relationships/hyperlink" Target="MAILTO:refcold@maltanet.net" TargetMode="External" Id="rId1857" /><Relationship Type="http://schemas.openxmlformats.org/officeDocument/2006/relationships/hyperlink" Target="MAILTO:rightdealcosp@onvol.net" TargetMode="External" Id="rId1858" /><Relationship Type="http://schemas.openxmlformats.org/officeDocument/2006/relationships/hyperlink" Target="MAILTO:rotunda@maltanet.net" TargetMode="External" Id="rId1859" /><Relationship Type="http://schemas.openxmlformats.org/officeDocument/2006/relationships/hyperlink" Target="MAILTO:sales@shaker.com.mt" TargetMode="External" Id="rId1860" /><Relationship Type="http://schemas.openxmlformats.org/officeDocument/2006/relationships/hyperlink" Target="MAILTO:info@fairdealfurniture.com.mt" TargetMode="External" Id="rId1861" /><Relationship Type="http://schemas.openxmlformats.org/officeDocument/2006/relationships/hyperlink" Target="MAILTO:info@joinwellfxb.com" TargetMode="External" Id="rId1862" /><Relationship Type="http://schemas.openxmlformats.org/officeDocument/2006/relationships/hyperlink" Target="MAILTO:contactus@theatrium.com.mt" TargetMode="External" Id="rId1863" /><Relationship Type="http://schemas.openxmlformats.org/officeDocument/2006/relationships/hyperlink" Target="MAILTO:infodesk@form.com.mt" TargetMode="External" Id="rId1864" /><Relationship Type="http://schemas.openxmlformats.org/officeDocument/2006/relationships/hyperlink" Target="MAILTO:info@fino.com.mt" TargetMode="External" Id="rId1865" /><Relationship Type="http://schemas.openxmlformats.org/officeDocument/2006/relationships/hyperlink" Target="MAILTO:info@scavolini.mt" TargetMode="External" Id="rId1866" /><Relationship Type="http://schemas.openxmlformats.org/officeDocument/2006/relationships/hyperlink" Target="MAILTO:info@carmelodelia.com" TargetMode="External" Id="rId1867" /><Relationship Type="http://schemas.openxmlformats.org/officeDocument/2006/relationships/hyperlink" Target="https://www.google.com/maps/search/?api=1&amp;query=Ferraracasa%20Warehouse%0ATriq%20is-Salib%20ta%20l-Mriehel%0ACBD3020%20Birkirkara%0AMalta" TargetMode="External" Id="rId1868" /><Relationship Type="http://schemas.openxmlformats.org/officeDocument/2006/relationships/hyperlink" Target="https://www.google.com/maps/search/?api=1&amp;query=260%20Old%20Railway%20Track%2C%20Santa%20Venera%20SVR%209019" TargetMode="External" Id="rId1869" /><Relationship Type="http://schemas.openxmlformats.org/officeDocument/2006/relationships/hyperlink" Target="https://www.google.com/maps/search/?api=1&amp;query=Triq%20Mastru%20Gorg%20Cachia%20Tal-Handaq%2C%20Qormi%2C%20Malta%20WRM%204000" TargetMode="External" Id="rId1870" /><Relationship Type="http://schemas.openxmlformats.org/officeDocument/2006/relationships/hyperlink" Target="https://www.google.com/maps/search/?api=1&amp;query=Triq%20il-Buskett%2C%20Dingli%2C%20Malta%20DGL%202709" TargetMode="External" Id="rId1871" /><Relationship Type="http://schemas.openxmlformats.org/officeDocument/2006/relationships/hyperlink" Target="https://www.google.com/maps/search/?api=1&amp;query=Triq%20I-Imdina%2C%20Zebbug%2C%20Malta%20ZBG%204351" TargetMode="External" Id="rId1872" /><Relationship Type="http://schemas.openxmlformats.org/officeDocument/2006/relationships/hyperlink" Target="https://www.google.com/maps/search/?api=1&amp;query=Triq%20I-Imdina%2C%20Attard%2C%20Malta%20ATD%209037" TargetMode="External" Id="rId1873" /><Relationship Type="http://schemas.openxmlformats.org/officeDocument/2006/relationships/hyperlink" Target="https://www.google.com/maps/search/?api=1&amp;query=Triq%20I-Imdina%2C%20Zebbug%2C%20Malta" TargetMode="External" Id="rId1874" /><Relationship Type="http://schemas.openxmlformats.org/officeDocument/2006/relationships/hyperlink" Target="https://www.google.com/maps/search/?api=1&amp;query=42%20Triq%20ix-Xwieni%20Albert%20Town%2C%20Marsa%2C%20Malta" TargetMode="External" Id="rId1875" /><Relationship Type="http://schemas.openxmlformats.org/officeDocument/2006/relationships/hyperlink" Target="https://www.google.com/maps/search/?api=1&amp;query=Triq%20il-Kappar%2C%20Mosta%2C%20Malta%20MST%204003" TargetMode="External" Id="rId1876" /><Relationship Type="http://schemas.openxmlformats.org/officeDocument/2006/relationships/hyperlink" Target="https://www.google.com/maps/search/?api=1&amp;query=Triq%20tal-Balal%2C%20San%20Gwann%2C%20Malta%20SGN%209016" TargetMode="External" Id="rId1877" /><Relationship Type="http://schemas.openxmlformats.org/officeDocument/2006/relationships/hyperlink" Target="https://www.google.com/maps/search/?api=1&amp;query=Triq%20il-Wied%20ta%27%20I-Imsida%2C%20Msida%2C%20Malta%20MSD%209091" TargetMode="External" Id="rId1878" /><Relationship Type="http://schemas.openxmlformats.org/officeDocument/2006/relationships/hyperlink" Target="https://www.google.com/maps/search/?api=1&amp;query=Triq%20Mannarino%2C%20B%27Kara%2C%20Malta%20BKR%209085" TargetMode="External" Id="rId1879" /><Relationship Type="http://schemas.openxmlformats.org/officeDocument/2006/relationships/hyperlink" Target="https://www.google.com/maps/search/?api=1&amp;query=Triq%20il-Wied%20Ta%27%20L-Imsida%2C%20B%27Kara%2C%20Malta%20BKR%209025" TargetMode="External" Id="rId1880" /><Relationship Type="http://schemas.openxmlformats.org/officeDocument/2006/relationships/hyperlink" Target="https://www.google.com/maps/search/?api=1&amp;query=Triq%20Papa%20Gwanni%20Pawlu%20ll%2C%20Victoria-Gozo%2C%20Gozo%20VCT%209046" TargetMode="External" Id="rId1881" /><Relationship Type="http://schemas.openxmlformats.org/officeDocument/2006/relationships/hyperlink" Target="https://www.google.com/maps/search/?api=1&amp;query=1%20Triq%20il-Kanun%2C%20Qormi%2C%20Malta%20QRM%209036" TargetMode="External" Id="rId1882" /><Relationship Type="http://schemas.openxmlformats.org/officeDocument/2006/relationships/hyperlink" Target="https://www.google.com/maps/search/?api=1&amp;query=A%2023%20Triq%20Giuseppe%20Garibaldi%2C%20Marsa%2C%20Malta%20MRS%209082" TargetMode="External" Id="rId1883" /><Relationship Type="http://schemas.openxmlformats.org/officeDocument/2006/relationships/hyperlink" Target="https://www.google.com/maps/search/?api=1&amp;query=Triq%20I-Imdina%2C%20Qormi%2C%20Malta%20QRM%209011" TargetMode="External" Id="rId1884" /><Relationship Type="http://schemas.openxmlformats.org/officeDocument/2006/relationships/hyperlink" Target="https://www.google.com/maps/search/?api=1&amp;query=HF%205A%20Qasam%20Industrijali%2C%20Hal%20Far%2C%20B%27Bugia%2C%20Malta%20BBG%203000" TargetMode="External" Id="rId1885" /><Relationship Type="http://schemas.openxmlformats.org/officeDocument/2006/relationships/hyperlink" Target="https://www.google.com/maps/search/?api=1&amp;query=135%20Triq%20il-Kuncizzjoni%2C%20Qala-Gozo%2C%20Gozo%20QLA%201701" TargetMode="External" Id="rId1886" /><Relationship Type="http://schemas.openxmlformats.org/officeDocument/2006/relationships/hyperlink" Target="https://www.google.com/maps/search/?api=1&amp;query=Triq%20il-Wied%20ta%27%20I-Imsida%2C%20Msida%2C%20Malta%20MSD%209022" TargetMode="External" Id="rId1887" /><Relationship Type="http://schemas.openxmlformats.org/officeDocument/2006/relationships/hyperlink" Target="https://www.google.com/maps/search/?api=1&amp;query=G%20G%20X%200053%20Qasam%20Industrijali%2C%20Xewkija-Gozo%2C%20Gozo%20XWK%203000" TargetMode="External" Id="rId1888" /><Relationship Type="http://schemas.openxmlformats.org/officeDocument/2006/relationships/hyperlink" Target="https://www.google.com/maps/search/?api=1&amp;query=Triq%20Valletta%20Mosta%20Technopark%2C%20Mosta%2C%20Malta%20MST%203000" TargetMode="External" Id="rId1889" /><Relationship Type="http://schemas.openxmlformats.org/officeDocument/2006/relationships/hyperlink" Target="https://www.google.com/maps/search/?api=1&amp;query=Triq%20L-Imdina%2C%20Zone%202%2C%20Central%20Business%20District%2C%20Birkirkara%20CBD%202010%2C%20Malta" TargetMode="External" Id="rId1890" /><Relationship Type="http://schemas.openxmlformats.org/officeDocument/2006/relationships/hyperlink" Target="https://www.google.com/maps/search/?api=1&amp;query=T%2FG%20fi%20triq%20l-Imdina%2C%20Zebbug%2C%20Malta%20ZBG%205011" TargetMode="External" Id="rId1891" /><Relationship Type="http://schemas.openxmlformats.org/officeDocument/2006/relationships/hyperlink" Target="https://www.google.com/maps/search/?api=1&amp;query=Triq%20l-Isqof%20Buhagiar%2C%20Paola%2C%20Malta%20PLA%201111" TargetMode="External" Id="rId1892" /><Relationship Type="http://schemas.openxmlformats.org/officeDocument/2006/relationships/hyperlink" Target="https://www.google.com/maps/search/?api=1&amp;query=86%20Triq%20Vallettaa%2C%20Luqa%2C%20Malta%20LQA%201762" TargetMode="External" Id="rId1893" /><Relationship Type="http://schemas.openxmlformats.org/officeDocument/2006/relationships/hyperlink" Target="https://www.google.com/maps/search/?api=1&amp;query=Triq%20il-Mosta%2C%20Lija%2C%20Malta%20LIJA%209012" TargetMode="External" Id="rId1894" /><Relationship Type="http://schemas.openxmlformats.org/officeDocument/2006/relationships/hyperlink" Target="https://www.google.com/maps/search/?api=1&amp;query=91%20Triq%20il-Kbira%20San%20Guzepp%2C%20Hamrun%2C%20Malta%20HMR%201017" TargetMode="External" Id="rId1895" /><Relationship Type="http://schemas.openxmlformats.org/officeDocument/2006/relationships/hyperlink" Target="https://www.google.com/maps/search/?api=1&amp;query=32%20ll-Moll%20tal-Hatab%2C%20Marsa%2C%20Malta%20MRS%201440" TargetMode="External" Id="rId1896" /><Relationship Type="http://schemas.openxmlformats.org/officeDocument/2006/relationships/hyperlink" Target="https://www.google.com/maps/search/?api=1&amp;query=Triq%20il-Wied%2C%20B%27Kara%2C%20Malta%20BKR%209021" TargetMode="External" Id="rId1897" /><Relationship Type="http://schemas.openxmlformats.org/officeDocument/2006/relationships/hyperlink" Target="https://www.google.com/maps/search/?api=1&amp;query=Dawert%20I-Imriehel%2C%20Qormi%2C%20Malta%20QRM%209052" TargetMode="External" Id="rId1898" /><Relationship Type="http://schemas.openxmlformats.org/officeDocument/2006/relationships/hyperlink" Target="https://www.google.com/maps/search/?api=1&amp;query=Proman%20Interiors%2C%0A115%2C%20Valley%20Road%2C%0AB%27Kara.%20BKR%209022.%0AMalta" TargetMode="External" Id="rId1899" /><Relationship Type="http://schemas.openxmlformats.org/officeDocument/2006/relationships/hyperlink" Target="https://www.google.com/maps/search/?api=1&amp;query=Triq%20il-Buskett%2C%20Dingli%2C%20Malta%20DGL%202709" TargetMode="External" Id="rId1900" /><Relationship Type="http://schemas.openxmlformats.org/officeDocument/2006/relationships/hyperlink" Target="https://www.google.com/maps/search/?api=1&amp;query=Triq%20I-Imdina%2C%20Zebbug%2C%20Malta%20ZBG%204351" TargetMode="External" Id="rId1901" /><Relationship Type="http://schemas.openxmlformats.org/officeDocument/2006/relationships/hyperlink" Target="https://www.google.com/maps/search/?api=1&amp;query=Triq%20tal-Balal%2C%20San%20Gwann%2C%20Malta%20SGN%209016" TargetMode="External" Id="rId1902" /><Relationship Type="http://schemas.openxmlformats.org/officeDocument/2006/relationships/hyperlink" Target="https://www.google.com/maps/search/?api=1&amp;query=42%20Triq%20ix-Xwieni%20Albert%20Town%2C%20Marsa%2C%20Malta" TargetMode="External" Id="rId1903" /><Relationship Type="http://schemas.openxmlformats.org/officeDocument/2006/relationships/hyperlink" Target="https://www.google.com/maps/search/?api=1&amp;query=Triq%20il-Kappar%2C%20Mosta%2C%20Malta%20MST%204003" TargetMode="External" Id="rId1904" /><Relationship Type="http://schemas.openxmlformats.org/officeDocument/2006/relationships/hyperlink" Target="https://www.google.com/maps/search/?api=1&amp;query=Triq%20il-Wied%20ta%27%20I-Imsida%2C%20Msida%2C%20Malta%20MSD%209091" TargetMode="External" Id="rId1905" /><Relationship Type="http://schemas.openxmlformats.org/officeDocument/2006/relationships/hyperlink" Target="https://www.google.com/maps/search/?api=1&amp;query=Triq%20il-Wied%20Ta%27%20L-Imsida%2C%20B%27Kara%2C%20Malta%20BKR%209025" TargetMode="External" Id="rId1906" /><Relationship Type="http://schemas.openxmlformats.org/officeDocument/2006/relationships/hyperlink" Target="https://www.google.com/maps/search/?api=1&amp;query=1%20Triq%20il-Kanun%2C%20Qormi%2C%20Malta%20QRM%209036" TargetMode="External" Id="rId1907" /><Relationship Type="http://schemas.openxmlformats.org/officeDocument/2006/relationships/hyperlink" Target="https://www.google.com/maps/search/?api=1&amp;query=HF%205A%20Qasam%20Industrijali%2C%20Hal%20Far%2C%20B%27Bugia%2C%20Malta%20BBG%203000" TargetMode="External" Id="rId1908" /><Relationship Type="http://schemas.openxmlformats.org/officeDocument/2006/relationships/hyperlink" Target="https://www.google.com/maps/search/?api=1&amp;query=Triq%20il-Wied%20ta%27%20I-Imsida%2C%20Msida%2C%20Malta%20MSD%209022" TargetMode="External" Id="rId1909" /><Relationship Type="http://schemas.openxmlformats.org/officeDocument/2006/relationships/hyperlink" Target="https://www.google.com/maps/search/?api=1&amp;query=Factory%20M%2010%2C%20Zone%204%20Triq%20ll-Furnara%20Central%20Business%20District" TargetMode="External" Id="rId1910" /><Relationship Type="http://schemas.openxmlformats.org/officeDocument/2006/relationships/hyperlink" Target="https://www.google.com/maps/search/?api=1&amp;query=Casa%20Santa%20Rita%20Triq%20Santa%20Marta%2C%20Victoria-Gozo%2C%20Gozo%20VCT%202552" TargetMode="External" Id="rId1911" /><Relationship Type="http://schemas.openxmlformats.org/officeDocument/2006/relationships/hyperlink" Target="https://www.google.com/maps/search/?api=1&amp;query=25%20Triq%20il-Kataniz%2C%20Zebbug%2C%20Malta%20ZBG%202831" TargetMode="External" Id="rId1912" /><Relationship Type="http://schemas.openxmlformats.org/officeDocument/2006/relationships/hyperlink" Target="https://www.google.com/maps/search/?api=1&amp;query=61%20St%20Liberata%20Triq%20Santa%20Liberata%2C%20Kalkara%2C%20Malta%20KKR%201612" TargetMode="External" Id="rId1913" /><Relationship Type="http://schemas.openxmlformats.org/officeDocument/2006/relationships/hyperlink" Target="https://www.google.com/maps/search/?api=1&amp;query=184%2C%20186%20Triq%20Qormi%2C%20Marsa%2C%20Malta%20MRS%209044" TargetMode="External" Id="rId1914" /><Relationship Type="http://schemas.openxmlformats.org/officeDocument/2006/relationships/hyperlink" Target="https://www.google.com/maps/search/?api=1&amp;query=Triq%20il-Mosta%2C%20Lija%2C%20Malta%20LIJA%209012" TargetMode="External" Id="rId1915" /><Relationship Type="http://schemas.openxmlformats.org/officeDocument/2006/relationships/hyperlink" Target="https://www.google.com/maps/search/?api=1&amp;query=Triq%20L-Imdina%2C%20Zone%202%2C%20Central%20Business%20District%2C%20Birkirkara%20CBD%202010%2C%20Malta" TargetMode="External" Id="rId1916" /><Relationship Type="http://schemas.openxmlformats.org/officeDocument/2006/relationships/hyperlink" Target="https://www.google.com/maps/search/?api=1&amp;query=13%20Censu%20Bugeja%2C%20L-Iklin%20BZN%201170" TargetMode="External" Id="rId1917" /><Relationship Type="http://schemas.openxmlformats.org/officeDocument/2006/relationships/hyperlink" Target="https://www.google.com/maps/search/?api=1&amp;query=Triq%20il-Wied%20Ta%27%20L-Imsida%2C%20B%27Kara%2C%20Malta%20BKR%209025" TargetMode="External" Id="rId1918" /><Relationship Type="http://schemas.openxmlformats.org/officeDocument/2006/relationships/hyperlink" Target="https://www.google.com/maps/search/?api=1&amp;query=1%2C%20Triq%20Pietru%20Felici%2C%20Qormi%2C%20Malta" TargetMode="External" Id="rId1919" /><Relationship Type="http://schemas.openxmlformats.org/officeDocument/2006/relationships/hyperlink" Target="https://www.google.com/maps/search/?api=1&amp;query=162%20Cannon%20Road%2C%20Santa%20Venera%2C%20SVR%209034%2C%20Malta" TargetMode="External" Id="rId1920" /><Relationship Type="http://schemas.openxmlformats.org/officeDocument/2006/relationships/hyperlink" Target="https://www.google.com/maps/search/?api=1&amp;query=ABRA%2C%20Triq%20L-Imdina%20ATTARD%2C%20ATD%209037" TargetMode="External" Id="rId1921" /><Relationship Type="http://schemas.openxmlformats.org/officeDocument/2006/relationships/hyperlink" Target="https://www.google.com/maps/search/?api=1&amp;query=Fino%20Buildings%2C%0ATriq%20l-Imdina%2C%20Zone%204%2C%0AMriehel%2FCentral%20Business%20District%0ACBD%204010%2C%20Malta" TargetMode="External" Id="rId1922" /><Relationship Type="http://schemas.openxmlformats.org/officeDocument/2006/relationships/hyperlink" Target="https://www.google.com/maps/search/?api=1&amp;query=Triq%20I-Isof%20Labini%2C%20B%27Kara%2C%20Malta%20BKR%201275" TargetMode="External" Id="rId1923" /><Relationship Type="http://schemas.openxmlformats.org/officeDocument/2006/relationships/hyperlink" Target="https://www.google.com/maps/search/?api=1&amp;query=Triq%20I-Imdina%2C%20Zebbug%2C%20Malta%20ZBG%204351" TargetMode="External" Id="rId1924" /><Relationship Type="http://schemas.openxmlformats.org/officeDocument/2006/relationships/hyperlink" Target="https://www.google.com/maps/search/?api=1&amp;query=Triq%20Papa%20Gwanni%20Pawlu%20ll%2C%20Victoria-Gozo%2C%20Gozo%20VCT%209046" TargetMode="External" Id="rId1925" /><Relationship Type="http://schemas.openxmlformats.org/officeDocument/2006/relationships/hyperlink" Target="https://www.google.com/maps/search/?api=1&amp;query=Triq%20tal-Balal%2C%20San%20Gwann%2C%20Malta%20SGN%209016" TargetMode="External" Id="rId1926" /><Relationship Type="http://schemas.openxmlformats.org/officeDocument/2006/relationships/hyperlink" Target="https://www.google.com/maps/search/?api=1&amp;query=Triq%20il-Kappar%2C%20Mosta%2C%20Malta%20MST%204003" TargetMode="External" Id="rId1927" /><Relationship Type="http://schemas.openxmlformats.org/officeDocument/2006/relationships/hyperlink" Target="https://www.google.com/maps/search/?api=1&amp;query=Triq%20tal-Balal%2C%20San%20Gwann%2C%20Malta%20SGN%209016" TargetMode="External" Id="rId1928" /><Relationship Type="http://schemas.openxmlformats.org/officeDocument/2006/relationships/hyperlink" Target="https://www.google.com/maps/search/?api=1&amp;query=Tip%20Top%20Bldgs%20Triq%20Haz-Zabbar" TargetMode="External" Id="rId1929" /><Relationship Type="http://schemas.openxmlformats.org/officeDocument/2006/relationships/hyperlink" Target="https://www.google.com/maps/search/?api=1&amp;query=33%20Triq%20l-Oleandru%2C%20San%20Giljan%2C%20Malta" TargetMode="External" Id="rId1930" /><Relationship Type="http://schemas.openxmlformats.org/officeDocument/2006/relationships/hyperlink" Target="https://www.google.com/maps/search/?api=1&amp;query=Dawert%20I-Imriehel%2C%20Qormi%2C%20Malta%20QRM%209052" TargetMode="External" Id="rId1931" /><Relationship Type="http://schemas.openxmlformats.org/officeDocument/2006/relationships/hyperlink" Target="https://www.google.com/maps/search/?api=1&amp;query=KW%2017b%20Qasam%20Industrijali%2C%20Kordin%2C%20Paola%2C%20Malta%20PLA%203000" TargetMode="External" Id="rId1932" /><Relationship Type="http://schemas.openxmlformats.org/officeDocument/2006/relationships/hyperlink" Target="https://www.google.com/maps/search/?api=1&amp;query=117%20Dalli%20Yard%20Triq%20Hal%20Tarxien%2C%20Gudja%2C%20Malta" TargetMode="External" Id="rId1933" /><Relationship Type="http://schemas.openxmlformats.org/officeDocument/2006/relationships/hyperlink" Target="https://www.google.com/maps/search/?api=1&amp;query=T%2FG%20fi%20triq%20l-Imdina%2C%20Zebbug%2C%20Malta%20ZBG%205011" TargetMode="External" Id="rId1934" /><Relationship Type="http://schemas.openxmlformats.org/officeDocument/2006/relationships/hyperlink" Target="https://www.google.com/maps/search/?api=1&amp;query=Triq%20il-Wied%20Ta%27%20L-Imsida%2C%20B%27Kara%2C%20Malta%20BKR%209022" TargetMode="External" Id="rId1935" /><Relationship Type="http://schemas.openxmlformats.org/officeDocument/2006/relationships/hyperlink" Target="https://www.google.com/maps/search/?api=1&amp;query=Triq%20I-Isqof%20Buhagiar%2C%20Paola%2C%20Malta%20PLA%201111" TargetMode="External" Id="rId1936" /><Relationship Type="http://schemas.openxmlformats.org/officeDocument/2006/relationships/hyperlink" Target="https://www.google.com/maps/search/?api=1&amp;query=San%20Gwakkin%20Building%20Triq%20Gwakkin%20Central%20Business%20District%2C%20B%27Kara%2C%20Malta%20CBD%204020" TargetMode="External" Id="rId1937" /><Relationship Type="http://schemas.openxmlformats.org/officeDocument/2006/relationships/hyperlink" Target="https://www.google.com/maps/search/?api=1&amp;query=40%20Qasam%20Industrijali%2C%20Luqa%2C%20Malta%20LQA%203000" TargetMode="External" Id="rId1938" /><Relationship Type="http://schemas.openxmlformats.org/officeDocument/2006/relationships/hyperlink" Target="https://www.google.com/maps/search/?api=1&amp;query=Triq%20il-Pitkali%2C%20Attard%2C%20Malta" TargetMode="External" Id="rId1939" /><Relationship Type="http://schemas.openxmlformats.org/officeDocument/2006/relationships/hyperlink" Target="https://www.google.com/maps/search/?api=1&amp;query=61%20St%20Liberata%20Triq%20Santa%20Liberata%2C%20Kalkara%2C%20Malta%20KKR%201612" TargetMode="External" Id="rId1940" /><Relationship Type="http://schemas.openxmlformats.org/officeDocument/2006/relationships/hyperlink" Target="https://www.google.com/maps/search/?api=1&amp;query=Triq%20il-Wied%20Ta%27%20L-Imsida%2C%20B%27Kara%2C%20Malta%20BKR%209025" TargetMode="External" Id="rId1941" /><Relationship Type="http://schemas.openxmlformats.org/officeDocument/2006/relationships/hyperlink" Target="https://www.google.com/maps/search/?api=1&amp;query=69%20Triq%20Hal%20Qormi%2C%20Hamrun%2C%20Malta%20HMR%202183" TargetMode="External" Id="rId1942" /><Relationship Type="http://schemas.openxmlformats.org/officeDocument/2006/relationships/hyperlink" Target="https://www.google.com/maps/search/?api=1&amp;query=346%20Triq%20I-Imdina%2C%20Qormi%2C%20Malta%20QRM%209014" TargetMode="External" Id="rId1943" /><Relationship Type="http://schemas.openxmlformats.org/officeDocument/2006/relationships/hyperlink" Target="https://www.google.com/maps/search/?api=1&amp;query=Triq%20Gorg%20Borg%20Olivier%2C%20Vicotria-Gozo%2C%20Gozo%20VCT%202515" TargetMode="External" Id="rId1944" /><Relationship Type="http://schemas.openxmlformats.org/officeDocument/2006/relationships/hyperlink" Target="https://www.google.com/maps/search/?api=1&amp;query=Triq%20il-Kbira%2C%20Mellieha%2C%20Malta%20MLH%202317" TargetMode="External" Id="rId1945" /><Relationship Type="http://schemas.openxmlformats.org/officeDocument/2006/relationships/hyperlink" Target="https://www.google.com/maps/search/?api=1&amp;query=Triq%20il-Mosta%2C%20Lija%2C%20Malta%20LIJA%209012" TargetMode="External" Id="rId1946" /><Relationship Type="http://schemas.openxmlformats.org/officeDocument/2006/relationships/hyperlink" Target="https://www.google.com/maps/search/?api=1&amp;query=Qasam%20Industrijali%2C%20Luqa%20Malta%20LQA%203000" TargetMode="External" Id="rId1947" /><Relationship Type="http://schemas.openxmlformats.org/officeDocument/2006/relationships/hyperlink" Target="https://www.google.com/maps/search/?api=1&amp;query=154%20Triq%20il-Kappilan%20Mifsud%2C%20Sta%20Venera%2C%20Malta" TargetMode="External" Id="rId1948" /><Relationship Type="http://schemas.openxmlformats.org/officeDocument/2006/relationships/hyperlink" Target="https://www.google.com/maps/search/?api=1&amp;query=Triq%20il-Wied%20ta%27%20I-Imsida%2C%20Msida%2C%20Malta%20MSD%209022" TargetMode="External" Id="rId1949" /><Relationship Type="http://schemas.openxmlformats.org/officeDocument/2006/relationships/hyperlink" Target="https://www.google.com/maps/search/?api=1&amp;query=Qasam%20Industrijali%20Ta%27%20Qali%2C%20Attard%2C%20Malta%20ATD%204000" TargetMode="External" Id="rId1950" /><Relationship Type="http://schemas.openxmlformats.org/officeDocument/2006/relationships/hyperlink" Target="https://www.google.com/maps/search/?api=1&amp;query=Kw%2019D%20Qasam%20Industrijali%2C%20Kordin%2C%20Paola%2C%20Malta%20PLA%203000" TargetMode="External" Id="rId1951" /><Relationship Type="http://schemas.openxmlformats.org/officeDocument/2006/relationships/hyperlink" Target="https://www.google.com/maps/search/?api=1&amp;query=91%20Triq%20il-Kbira%20San%20Guzepp%2C%20Hamrun%2C%20Malta%20HMR%201017" TargetMode="External" Id="rId1952" /><Relationship Type="http://schemas.openxmlformats.org/officeDocument/2006/relationships/hyperlink" Target="https://www.google.com/maps/search/?api=1&amp;query=210%20Triq%20il-Ferrovija%2C%20Sta%20Venera%2C%20Malta%20SVR%209019" TargetMode="External" Id="rId1953" /><Relationship Type="http://schemas.openxmlformats.org/officeDocument/2006/relationships/hyperlink" Target="https://www.google.com/maps/search/?api=1&amp;query=Triq%20il-Wied%2C%20B%27Kara%2C%20Malta%20BKR%209021" TargetMode="External" Id="rId1954" /><Relationship Type="http://schemas.openxmlformats.org/officeDocument/2006/relationships/hyperlink" Target="https://www.google.com/maps/search/?api=1&amp;query=Triq%20il-Ferrovija%2C%20Sta%20Venera%2C%20Malta%20SVR%209019" TargetMode="External" Id="rId1955" /><Relationship Type="http://schemas.openxmlformats.org/officeDocument/2006/relationships/hyperlink" Target="https://www.google.com/maps/search/?api=1&amp;query=Triq%20Ponosonby%2C%20Mosta%2C%20Malta%20MST%204039" TargetMode="External" Id="rId1956" /><Relationship Type="http://schemas.openxmlformats.org/officeDocument/2006/relationships/hyperlink" Target="https://www.google.com/maps/search/?api=1&amp;query=197%20Triq%20I-Imdina%2C%20Qormi%2C%20Malta%20QRM%209012" TargetMode="External" Id="rId1957" /><Relationship Type="http://schemas.openxmlformats.org/officeDocument/2006/relationships/hyperlink" Target="https://www.google.com/maps/search/?api=1&amp;query=BLB%20021%20Qasam%20Industrijali%2C%20Bulebel%2C%20Zejtun%2C%20Malta%20ZTN%203000" TargetMode="External" Id="rId1958" /><Relationship Type="http://schemas.openxmlformats.org/officeDocument/2006/relationships/hyperlink" Target="https://www.google.com/maps/search/?api=1&amp;query=Triq%20il-Wied%20ta%27%20I-Imsida%2C%20Msida%2C%20Malta%20MSD%209022" TargetMode="External" Id="rId1959" /><Relationship Type="http://schemas.openxmlformats.org/officeDocument/2006/relationships/hyperlink" Target="https://www.google.com/maps/search/?api=1&amp;query=Triq%20il-Kostituzzjoni%2C%20Mosta%2C%20Malta%20MST%209050" TargetMode="External" Id="rId1960" /><Relationship Type="http://schemas.openxmlformats.org/officeDocument/2006/relationships/hyperlink" Target="https://www.google.com/maps/search/?api=1&amp;query=22%2C%20Triq%20Sant%27%20Elija%2C%20B%27Kara%2C%20Malta%20BKR%202064" TargetMode="External" Id="rId1961" /><Relationship Type="http://schemas.openxmlformats.org/officeDocument/2006/relationships/hyperlink" Target="https://www.google.com/maps/search/?api=1&amp;query=12%20Triq%20il-Hammieri%2C%20Qormi%2C%20Malta" TargetMode="External" Id="rId1962" /><Relationship Type="http://schemas.openxmlformats.org/officeDocument/2006/relationships/hyperlink" Target="https://www.google.com/maps/search/?api=1&amp;query=18%20Wesghat%20il-Knisja%20tan-Nattivita%2C%20Bormla%2C%20Malta%20BML%201650" TargetMode="External" Id="rId1963" /><Relationship Type="http://schemas.openxmlformats.org/officeDocument/2006/relationships/hyperlink" Target="https://www.google.com/maps/search/?api=1&amp;query=10%20Misrah%20I%27%20Isle%20Adam%2C%20Rabat%2C%20Malta%20RBT%201169" TargetMode="External" Id="rId1964" /><Relationship Type="http://schemas.openxmlformats.org/officeDocument/2006/relationships/hyperlink" Target="https://www.google.com/maps/search/?api=1&amp;query=Triq%20San%20Tumas%2C%20Luqa%2C%20Malta%20LQA%209031" TargetMode="External" Id="rId1965" /><Relationship Type="http://schemas.openxmlformats.org/officeDocument/2006/relationships/hyperlink" Target="https://www.google.com/maps/search/?api=1&amp;query=Misrah%20Gavino%20Gulia%2C%20Bormla" TargetMode="External" Id="rId1966" /><Relationship Type="http://schemas.openxmlformats.org/officeDocument/2006/relationships/hyperlink" Target="https://www.google.com/maps/search/?api=1&amp;query=280%20Triq%20il-Kbira%20San%20Guzepp%2C%20Hamrun" TargetMode="External" Id="rId1967" /><Relationship Type="http://schemas.openxmlformats.org/officeDocument/2006/relationships/hyperlink" Target="https://www.google.com/maps/search/?api=1&amp;query=220%20Triq%20in-Naxxar%2C%20San%20Gwann%2C%20Malta%20SGN%209030" TargetMode="External" Id="rId1968" /><Relationship Type="http://schemas.openxmlformats.org/officeDocument/2006/relationships/hyperlink" Target="https://www.google.com/maps/search/?api=1&amp;query=Triq%20il-Kappillan%20Mifsud%2C%20Sta%20Venera" TargetMode="External" Id="rId1969" /><Relationship Type="http://schemas.openxmlformats.org/officeDocument/2006/relationships/hyperlink" Target="https://www.google.com/maps/search/?api=1&amp;query=Vjal%20I-Infiprndenza%2C%20Mosta" TargetMode="External" Id="rId1970" /><Relationship Type="http://schemas.openxmlformats.org/officeDocument/2006/relationships/hyperlink" Target="https://www.google.com/maps/search/?api=1&amp;query=Triq%20Valetta%2C%20Mosta%2C%20Malta" TargetMode="External" Id="rId1971" /><Relationship Type="http://schemas.openxmlformats.org/officeDocument/2006/relationships/hyperlink" Target="https://www.google.com/maps/search/?api=1&amp;query=Triq%20it-Tabib%20Nikol%20Zammit%2C%20Siggiewi%2C%20Malta%20SHW%203075" TargetMode="External" Id="rId1972" /><Relationship Type="http://schemas.openxmlformats.org/officeDocument/2006/relationships/hyperlink" Target="https://www.google.com/maps/search/?api=1&amp;query=91%20Triq%20is-Santwarju%2C%20Zabbar" TargetMode="External" Id="rId1973" /><Relationship Type="http://schemas.openxmlformats.org/officeDocument/2006/relationships/hyperlink" Target="https://www.google.com/maps/search/?api=1&amp;query=Zone%205%20Triq%20ll-Kanun%20Central%20Business%20District%2C%20Qormi%2C%20Malta%20CBD%205060" TargetMode="External" Id="rId1974" /><Relationship Type="http://schemas.openxmlformats.org/officeDocument/2006/relationships/hyperlink" Target="https://www.google.com/maps/search/?api=1&amp;query=Zone%203%20Triq%20L-Intornjatur%20Central%20Business%20District%2C%20B%27Kara%2C%20Malta%20CBD%203050" TargetMode="External" Id="rId1975" /><Relationship Type="http://schemas.openxmlformats.org/officeDocument/2006/relationships/hyperlink" Target="https://www.google.com/maps/search/?api=1&amp;query=Triq%20il-Kungress%20Ewkaristiku%2C%20Mosta" TargetMode="External" Id="rId1976" /><Relationship Type="http://schemas.openxmlformats.org/officeDocument/2006/relationships/hyperlink" Target="https://www.google.com/maps/search/?api=1&amp;query=146%20Triq%20Sant%27%20Orsla%20Victoria-Gozo" TargetMode="External" Id="rId1977" /><Relationship Type="http://schemas.openxmlformats.org/officeDocument/2006/relationships/hyperlink" Target="https://www.google.com/maps/search/?api=1&amp;query=Triq%20il-Wied%2C%20B%27Kara" TargetMode="External" Id="rId1978" /><Relationship Type="http://schemas.openxmlformats.org/officeDocument/2006/relationships/hyperlink" Target="https://www.google.com/maps/search/?api=1&amp;query=Triq%20Nazzjonali%20Blata%20L-Blajda%2C%20Hamrun%2C%20Malta%20HMR%209012" TargetMode="External" Id="rId1979" /><Relationship Type="http://schemas.openxmlformats.org/officeDocument/2006/relationships/hyperlink" Target="https://www.google.com/maps/search/?api=1&amp;query=Zone%202%20Triq%20L-Imdina%20Central%20Business%20District%2C%20B%27Kara%2C%20Malta%20CBD%202010" TargetMode="External" Id="rId1980" /><Relationship Type="http://schemas.openxmlformats.org/officeDocument/2006/relationships/hyperlink" Target="https://www.google.com/maps/search/?api=1&amp;query=Misrah%20Gavino%20Gulia%2C%20Bormla" TargetMode="External" Id="rId1981" /><Relationship Type="http://schemas.openxmlformats.org/officeDocument/2006/relationships/hyperlink" Target="https://www.google.com/maps/search/?api=1&amp;query=7%2C%209%20Rotunda%20Dept%20Stores%20Triq%20il-Kungress%20Ewkaristiku%2C%20Mosta" TargetMode="External" Id="rId1982" /><Relationship Type="http://schemas.openxmlformats.org/officeDocument/2006/relationships/hyperlink" Target="https://www.google.com/maps/search/?api=1&amp;query=Triq%20Salvu%20Busuttil%2C%20San%20Gwann" TargetMode="External" Id="rId1983" /><Relationship Type="http://schemas.openxmlformats.org/officeDocument/2006/relationships/hyperlink" Target="https://www.google.com/maps/search/?api=1&amp;query=BLB%20021%20Qasam%20Industrijali%2C%20Bulebel%2C%20Zejtun%2C%20Malta%20ZTN%203000" TargetMode="External" Id="rId1984" /><Relationship Type="http://schemas.openxmlformats.org/officeDocument/2006/relationships/hyperlink" Target="https://www.google.com/maps/search/?api=1&amp;query=Triq%20il-Wied%20ta%27%20I-Imsida%2C%20Msida%2C%20Malta%20MSD%209022" TargetMode="External" Id="rId1985" /><Relationship Type="http://schemas.openxmlformats.org/officeDocument/2006/relationships/hyperlink" Target="https://www.google.com/maps/search/?api=1&amp;query=Triq%20il-Kostituzzjoni%2C%20Mosta%2C%20Malta%20MST%209050" TargetMode="External" Id="rId1986" /><Relationship Type="http://schemas.openxmlformats.org/officeDocument/2006/relationships/hyperlink" Target="https://www.google.com/maps/search/?api=1&amp;query=22%2C%20Triq%20Sant%27%20Elija%2C%20B%27Kara%2C%20Malta%20BKR%202064" TargetMode="External" Id="rId1987" /><Relationship Type="http://schemas.openxmlformats.org/officeDocument/2006/relationships/hyperlink" Target="https://www.google.com/maps/search/?api=1&amp;query=12%20Triq%20il-Hammieri%2C%20Qormi%2C%20Malta" TargetMode="External" Id="rId1988" /><Relationship Type="http://schemas.openxmlformats.org/officeDocument/2006/relationships/hyperlink" Target="https://www.google.com/maps/search/?api=1&amp;query=220%20Triq%20in-Naxxar%2C%20San%20Gwann%2C%20Malta%20SGN%209030" TargetMode="External" Id="rId1989" /><Relationship Type="http://schemas.openxmlformats.org/officeDocument/2006/relationships/hyperlink" Target="https://www.google.com/maps/search/?api=1&amp;query=Vjal%20I-Infiprndenza%2C%20Mosta" TargetMode="External" Id="rId1990" /><Relationship Type="http://schemas.openxmlformats.org/officeDocument/2006/relationships/hyperlink" Target="https://www.google.com/maps/search/?api=1&amp;query=Triq%20Valetta%2C%20Mosta%2C%20Malta" TargetMode="External" Id="rId1991" /><Relationship Type="http://schemas.openxmlformats.org/officeDocument/2006/relationships/hyperlink" Target="https://www.google.com/maps/search/?api=1&amp;query=Zone%203%20Triq%20L-Intornjatur%20Central%20Business%20District%2C%20B%27Kara%2C%20Malta%20CBD%203050" TargetMode="External" Id="rId1992" /><Relationship Type="http://schemas.openxmlformats.org/officeDocument/2006/relationships/hyperlink" Target="https://www.google.com/maps/search/?api=1&amp;query=Triq%20il-Kungress%20Ewkaristiku%2C%20Mosta" TargetMode="External" Id="rId1993" /><Relationship Type="http://schemas.openxmlformats.org/officeDocument/2006/relationships/hyperlink" Target="https://www.google.com/maps/search/?api=1&amp;query=Triq%20il-Wied%2C%20B%27Kara" TargetMode="External" Id="rId1994" /><Relationship Type="http://schemas.openxmlformats.org/officeDocument/2006/relationships/hyperlink" Target="https://www.google.com/maps/search/?api=1&amp;query=Triq%20Nazzjonali%20Blata%20L-Blajda%2C%20Hamrun%2C%20Malta%20HMR%209012" TargetMode="External" Id="rId1995" /><Relationship Type="http://schemas.openxmlformats.org/officeDocument/2006/relationships/hyperlink" Target="https://www.google.com/maps/search/?api=1&amp;query=71%20Triq%20il-Buqexrem%2C%20Fgura" TargetMode="External" Id="rId1996" /><Relationship Type="http://schemas.openxmlformats.org/officeDocument/2006/relationships/hyperlink" Target="https://www.google.com/maps/search/?api=1&amp;query=Misrah%20Gavino%20Gulia%2C%20Bormla" TargetMode="External" Id="rId1997" /><Relationship Type="http://schemas.openxmlformats.org/officeDocument/2006/relationships/hyperlink" Target="https://www.google.com/maps/search/?api=1&amp;query=7%2C%209%20Rotunda%20Dept%20Stores%20Triq%20il-Kungress%20Ewkaristiku%2C%20Mosta" TargetMode="External" Id="rId1998" /><Relationship Type="http://schemas.openxmlformats.org/officeDocument/2006/relationships/hyperlink" Target="https://www.google.com/maps/search/?api=1&amp;query=BLB%20021%20Qasam%20Industrijali%2C%20Bulebel%2C%20Zejtun%2C%20Malta%20ZTN%203000" TargetMode="External" Id="rId1999" /><Relationship Type="http://schemas.openxmlformats.org/officeDocument/2006/relationships/hyperlink" Target="https://www.google.com/maps/search/?api=1&amp;query=Triq%20il-Wied%20ta%27%20I-Imsida%2C%20Msida%2C%20Malta%20MSD%209022" TargetMode="External" Id="rId2000" /><Relationship Type="http://schemas.openxmlformats.org/officeDocument/2006/relationships/hyperlink" Target="https://www.google.com/maps/search/?api=1&amp;query=Triq%20il-Kostituzzjoni%2C%20Mosta%2C%20Malta%20MST%209050" TargetMode="External" Id="rId2001" /><Relationship Type="http://schemas.openxmlformats.org/officeDocument/2006/relationships/hyperlink" Target="https://www.google.com/maps/search/?api=1&amp;query=22%2C%20Triq%20Sant%27%20Elija%2C%20B%27Kara%2C%20Malta%20BKR%202064" TargetMode="External" Id="rId2002" /><Relationship Type="http://schemas.openxmlformats.org/officeDocument/2006/relationships/hyperlink" Target="https://www.google.com/maps/search/?api=1&amp;query=12%20Triq%20il-Hammieri%2C%20Qormi%2C%20Malta" TargetMode="External" Id="rId2003" /><Relationship Type="http://schemas.openxmlformats.org/officeDocument/2006/relationships/hyperlink" Target="https://www.google.com/maps/search/?api=1&amp;query=220%20Triq%20in-Naxxar%2C%20San%20Gwann%2C%20Malta%20SGN%209030" TargetMode="External" Id="rId2004" /><Relationship Type="http://schemas.openxmlformats.org/officeDocument/2006/relationships/hyperlink" Target="https://www.google.com/maps/search/?api=1&amp;query=18%20Wesghat%20il-Knisja%20tan-Nattivita%2C%20Bormla%2C%20Malta%20BML%201650" TargetMode="External" Id="rId2005" /><Relationship Type="http://schemas.openxmlformats.org/officeDocument/2006/relationships/hyperlink" Target="https://www.google.com/maps/search/?api=1&amp;query=10%20Misrah%20I%27%20Isle%20Adam%2C%20Rabat%2C%20Malta%20RBT%201169" TargetMode="External" Id="rId2006" /><Relationship Type="http://schemas.openxmlformats.org/officeDocument/2006/relationships/hyperlink" Target="https://www.google.com/maps/search/?api=1&amp;query=Triq%20il-Kappillan%20Mifsud%2C%20Sta%20Venera" TargetMode="External" Id="rId2007" /><Relationship Type="http://schemas.openxmlformats.org/officeDocument/2006/relationships/hyperlink" Target="https://www.google.com/maps/search/?api=1&amp;query=Vjal%20I-Infiprndenza%2C%20Mosta" TargetMode="External" Id="rId2008" /><Relationship Type="http://schemas.openxmlformats.org/officeDocument/2006/relationships/hyperlink" Target="https://www.google.com/maps/search/?api=1&amp;query=Triq%20Valetta%2C%20Mosta%2C%20Malta" TargetMode="External" Id="rId2009" /><Relationship Type="http://schemas.openxmlformats.org/officeDocument/2006/relationships/hyperlink" Target="https://www.google.com/maps/search/?api=1&amp;query=91%20Triq%20is-Santwarju%2C%20Zabbar" TargetMode="External" Id="rId2010" /><Relationship Type="http://schemas.openxmlformats.org/officeDocument/2006/relationships/hyperlink" Target="https://www.google.com/maps/search/?api=1&amp;query=Triq%20Gorg%20Borg%20Olivier%2C%20Victoria-Gozo%2C%20Gozo%20VCT%202514" TargetMode="External" Id="rId2011" /><Relationship Type="http://schemas.openxmlformats.org/officeDocument/2006/relationships/hyperlink" Target="https://www.google.com/maps/search/?api=1&amp;query=Zone%205%20Triq%20ll-Kanun%20Central%20Business%20District%2C%20Qormi%2C%20Malta%20CBD%205060" TargetMode="External" Id="rId2012" /><Relationship Type="http://schemas.openxmlformats.org/officeDocument/2006/relationships/hyperlink" Target="https://www.google.com/maps/search/?api=1&amp;query=Zone%203%20Triq%20L-Intornjatur%20Central%20Business%20District%2C%20B%27Kara%2C%20Malta%20CBD%203050" TargetMode="External" Id="rId2013" /><Relationship Type="http://schemas.openxmlformats.org/officeDocument/2006/relationships/hyperlink" Target="https://www.google.com/maps/search/?api=1&amp;query=Triq%20il-Kungress%20Ewkaristiku%2C%20Mosta" TargetMode="External" Id="rId2014" /><Relationship Type="http://schemas.openxmlformats.org/officeDocument/2006/relationships/hyperlink" Target="https://www.google.com/maps/search/?api=1&amp;query=Triq%20il-Wied%2C%20B%27Kara" TargetMode="External" Id="rId2015" /><Relationship Type="http://schemas.openxmlformats.org/officeDocument/2006/relationships/hyperlink" Target="https://www.google.com/maps/search/?api=1&amp;query=Triq%20Nazzjonali%20Blata%20L-Blajda%2C%20Hamrun%2C%20Malta%20HMR%209012" TargetMode="External" Id="rId2016" /><Relationship Type="http://schemas.openxmlformats.org/officeDocument/2006/relationships/hyperlink" Target="https://www.google.com/maps/search/?api=1&amp;query=71%20Triq%20il-Buqexrem%2C%20Fgura" TargetMode="External" Id="rId2017" /><Relationship Type="http://schemas.openxmlformats.org/officeDocument/2006/relationships/hyperlink" Target="https://www.google.com/maps/search/?api=1&amp;query=Misrah%20Gavino%20Gulia%2C%20Bormla" TargetMode="External" Id="rId2018" /><Relationship Type="http://schemas.openxmlformats.org/officeDocument/2006/relationships/hyperlink" Target="https://www.google.com/maps/search/?api=1&amp;query=7%2C%209%20Rotunda%20Dept%20Stores%20Triq%20il-Kungress%20Ewkaristiku%2C%20Mosta" TargetMode="External" Id="rId2019" /><Relationship Type="http://schemas.openxmlformats.org/officeDocument/2006/relationships/hyperlink" Target="https://www.google.com/maps/search/?api=1&amp;query=280%20Triq%20il-Kbira%20San%20Guzepp%2C%20Hamrun" TargetMode="External" Id="rId2020" /><Relationship Type="http://schemas.openxmlformats.org/officeDocument/2006/relationships/hyperlink" Target="https://www.google.com/maps/search/?api=1&amp;query=Triq%20Gorg%20Borg%20Olivier%2C%20Victoria-Gozo%2C%20Gozo%20VCT%202514" TargetMode="External" Id="rId2021" /><Relationship Type="http://schemas.openxmlformats.org/officeDocument/2006/relationships/hyperlink" Target="https://www.google.com/maps/search/?api=1&amp;query=BLB%20021%20Qasam%20Industrijali%2C%20Bulebel%2C%20Zejtun%2C%20Malta%20ZTN%203000" TargetMode="External" Id="rId2022" /><Relationship Type="http://schemas.openxmlformats.org/officeDocument/2006/relationships/hyperlink" Target="https://www.google.com/maps/search/?api=1&amp;query=Triq%20il-Wied%20ta%27%20I-Imsida%2C%20Msida%2C%20Malta%20MSD%209022" TargetMode="External" Id="rId2023" /><Relationship Type="http://schemas.openxmlformats.org/officeDocument/2006/relationships/hyperlink" Target="https://www.google.com/maps/search/?api=1&amp;query=Triq%20il-Kostituzzjoni%2C%20Mosta%2C%20Malta%20MST%209050" TargetMode="External" Id="rId2024" /><Relationship Type="http://schemas.openxmlformats.org/officeDocument/2006/relationships/hyperlink" Target="https://www.google.com/maps/search/?api=1&amp;query=22%2C%20Triq%20Sant%27%20Elija%2C%20B%27Kara%2C%20Malta%20BKR%202064" TargetMode="External" Id="rId2025" /><Relationship Type="http://schemas.openxmlformats.org/officeDocument/2006/relationships/hyperlink" Target="https://www.google.com/maps/search/?api=1&amp;query=12%20Triq%20il-Hammieri%2C%20Qormi%2C%20Malta" TargetMode="External" Id="rId2026" /><Relationship Type="http://schemas.openxmlformats.org/officeDocument/2006/relationships/hyperlink" Target="https://www.google.com/maps/search/?api=1&amp;query=220%20Triq%20in-Naxxar%2C%20San%20Gwann%2C%20Malta%20SGN%209030" TargetMode="External" Id="rId2027" /><Relationship Type="http://schemas.openxmlformats.org/officeDocument/2006/relationships/hyperlink" Target="https://www.google.com/maps/search/?api=1&amp;query=18%20Wesghat%20il-Knisja%20tan-Nattivita%2C%20Bormla%2C%20Malta%20BML%201650" TargetMode="External" Id="rId2028" /><Relationship Type="http://schemas.openxmlformats.org/officeDocument/2006/relationships/hyperlink" Target="https://www.google.com/maps/search/?api=1&amp;query=Triq%20il-Kappillan%20Mifsud%2C%20Sta%20Venera" TargetMode="External" Id="rId2029" /><Relationship Type="http://schemas.openxmlformats.org/officeDocument/2006/relationships/hyperlink" Target="https://www.google.com/maps/search/?api=1&amp;query=Triq%20Valetta%2C%20Mosta%2C%20Malta" TargetMode="External" Id="rId2030" /><Relationship Type="http://schemas.openxmlformats.org/officeDocument/2006/relationships/hyperlink" Target="https://www.google.com/maps/search/?api=1&amp;query=91%20Triq%20is-Santwarju%2C%20Zabbar" TargetMode="External" Id="rId2031" /><Relationship Type="http://schemas.openxmlformats.org/officeDocument/2006/relationships/hyperlink" Target="https://www.google.com/maps/search/?api=1&amp;query=Triq%20Gorg%20Borg%20Olivier%2C%20Victoria-Gozo%2C%20Gozo%20VCT%202514" TargetMode="External" Id="rId2032" /><Relationship Type="http://schemas.openxmlformats.org/officeDocument/2006/relationships/hyperlink" Target="https://www.google.com/maps/search/?api=1&amp;query=Zone%205%20Triq%20ll-Kanun%20Central%20Business%20District%2C%20Qormi%2C%20Malta%20CBD%205060" TargetMode="External" Id="rId2033" /><Relationship Type="http://schemas.openxmlformats.org/officeDocument/2006/relationships/hyperlink" Target="https://www.google.com/maps/search/?api=1&amp;query=Triq%20il-Kungress%20Ewkaristiku%2C%20Mosta" TargetMode="External" Id="rId2034" /><Relationship Type="http://schemas.openxmlformats.org/officeDocument/2006/relationships/hyperlink" Target="https://www.google.com/maps/search/?api=1&amp;query=146%20Triq%20Sant%27%20Orsla%20Victoria-Gozo" TargetMode="External" Id="rId2035" /><Relationship Type="http://schemas.openxmlformats.org/officeDocument/2006/relationships/hyperlink" Target="https://www.google.com/maps/search/?api=1&amp;query=Triq%20il-Wied%2C%20B%27Kara" TargetMode="External" Id="rId2036" /><Relationship Type="http://schemas.openxmlformats.org/officeDocument/2006/relationships/hyperlink" Target="https://www.google.com/maps/search/?api=1&amp;query=Triq%20Nazzjonali%20Blata%20L-Blajda%2C%20Hamrun%2C%20Malta%20HMR%209012" TargetMode="External" Id="rId2037" /><Relationship Type="http://schemas.openxmlformats.org/officeDocument/2006/relationships/hyperlink" Target="https://www.google.com/maps/search/?api=1&amp;query=Triq%20Fortunato%20Mizzi%2C%20Victoria-Gozo" TargetMode="External" Id="rId2038" /><Relationship Type="http://schemas.openxmlformats.org/officeDocument/2006/relationships/hyperlink" Target="https://www.google.com/maps/search/?api=1&amp;query=Misrah%20Gavino%20Gulia%2C%20Bormla" TargetMode="External" Id="rId2039" /><Relationship Type="http://schemas.openxmlformats.org/officeDocument/2006/relationships/hyperlink" Target="https://www.google.com/maps/search/?api=1&amp;query=7%2C%209%20Rotunda%20Dept%20Stores%20Triq%20il-Kungress%20Ewkaristiku%2C%20Mosta" TargetMode="External" Id="rId2040" /><Relationship Type="http://schemas.openxmlformats.org/officeDocument/2006/relationships/hyperlink" Target="https://www.google.com/maps/search/?api=1&amp;query=3%2C%20Triq%20il%20Gibjun%2C%20San%20Gwann%2C%20SGN%20052%2C%20Malta" TargetMode="External" Id="rId2041" /><Relationship Type="http://schemas.openxmlformats.org/officeDocument/2006/relationships/hyperlink" Target="https://www.google.com/maps/search/?api=1&amp;query=Fairdeal%20Furniture%20Malta%20LTD%0AMdina%20Road%0AZebbug%2C%20Malta" TargetMode="External" Id="rId2042" /><Relationship Type="http://schemas.openxmlformats.org/officeDocument/2006/relationships/hyperlink" Target="https://www.google.com/maps/search/?api=1&amp;query=JoinwellFXB%2C%0ATriq%20il-Mithna%2C%20Central%20Business%20District%2C%0AQormi%2C%20CBD%205090" TargetMode="External" Id="rId2043" /><Relationship Type="http://schemas.openxmlformats.org/officeDocument/2006/relationships/hyperlink" Target="https://www.google.com/maps/search/?api=1&amp;query=Triq%20Il-Wied%20Ta%E2%80%99%20L-Imsida%2C%20L-Imsida" TargetMode="External" Id="rId2044" /><Relationship Type="http://schemas.openxmlformats.org/officeDocument/2006/relationships/hyperlink" Target="https://www.google.com/maps/search/?api=1&amp;query=Birkirkara%20by-pass%2C%20Birkirkara%2C%20Malta%2C%20BKR%209037%0ALinks" TargetMode="External" Id="rId2045" /><Relationship Type="http://schemas.openxmlformats.org/officeDocument/2006/relationships/hyperlink" Target="https://www.google.com/maps/search/?api=1&amp;query=Valley%20Road%2C%20Birkirkara" TargetMode="External" Id="rId2046" /><Relationship Type="http://schemas.openxmlformats.org/officeDocument/2006/relationships/hyperlink" Target="https://ferraramalta.com/" TargetMode="External" Id="rId2047" /><Relationship Type="http://schemas.openxmlformats.org/officeDocument/2006/relationships/hyperlink" Target="https://styleinterni.com/" TargetMode="External" Id="rId2048" /><Relationship Type="http://schemas.openxmlformats.org/officeDocument/2006/relationships/hyperlink" Target="https://sghendo.com" TargetMode="External" Id="rId2049" /><Relationship Type="http://schemas.openxmlformats.org/officeDocument/2006/relationships/hyperlink" Target="https://desanamarbles.com" TargetMode="External" Id="rId2050" /><Relationship Type="http://schemas.openxmlformats.org/officeDocument/2006/relationships/hyperlink" Target="https://fairdealfurniture.com.mt" TargetMode="External" Id="rId2051" /><Relationship Type="http://schemas.openxmlformats.org/officeDocument/2006/relationships/hyperlink" Target="https://artathomemalta.com" TargetMode="External" Id="rId2052" /><Relationship Type="http://schemas.openxmlformats.org/officeDocument/2006/relationships/hyperlink" Target="https://lowcostfurniture.com.mt" TargetMode="External" Id="rId2053" /><Relationship Type="http://schemas.openxmlformats.org/officeDocument/2006/relationships/hyperlink" Target="https://fvcarpentry.com" TargetMode="External" Id="rId2054" /><Relationship Type="http://schemas.openxmlformats.org/officeDocument/2006/relationships/hyperlink" Target="https://facebook.com/people/Top-Drawer-Ltd/100057222588942/" TargetMode="External" Id="rId2055" /><Relationship Type="http://schemas.openxmlformats.org/officeDocument/2006/relationships/hyperlink" Target="https://brands.com.mt" TargetMode="External" Id="rId2056" /><Relationship Type="http://schemas.openxmlformats.org/officeDocument/2006/relationships/hyperlink" Target="https://domestica.com.mt" TargetMode="External" Id="rId2057" /><Relationship Type="http://schemas.openxmlformats.org/officeDocument/2006/relationships/hyperlink" Target="https://core.com.mt" TargetMode="External" Id="rId2058" /><Relationship Type="http://schemas.openxmlformats.org/officeDocument/2006/relationships/hyperlink" Target="https://dinofino.com" TargetMode="External" Id="rId2059" /><Relationship Type="http://schemas.openxmlformats.org/officeDocument/2006/relationships/hyperlink" Target="https://distincthomes.com.mt" TargetMode="External" Id="rId2060" /><Relationship Type="http://schemas.openxmlformats.org/officeDocument/2006/relationships/hyperlink" Target="https://grixtimobili.com" TargetMode="External" Id="rId2061" /><Relationship Type="http://schemas.openxmlformats.org/officeDocument/2006/relationships/hyperlink" Target="https://jdsfurniture.com" TargetMode="External" Id="rId2062" /><Relationship Type="http://schemas.openxmlformats.org/officeDocument/2006/relationships/hyperlink" Target="https://krea.com.mt" TargetMode="External" Id="rId2063" /><Relationship Type="http://schemas.openxmlformats.org/officeDocument/2006/relationships/hyperlink" Target="https://kubekgroup.com" TargetMode="External" Id="rId2064" /><Relationship Type="http://schemas.openxmlformats.org/officeDocument/2006/relationships/hyperlink" Target="https://petroni.com.mt" TargetMode="External" Id="rId2065" /><Relationship Type="http://schemas.openxmlformats.org/officeDocument/2006/relationships/hyperlink" Target="https://sgwoodworks.com" TargetMode="External" Id="rId2066" /><Relationship Type="http://schemas.openxmlformats.org/officeDocument/2006/relationships/hyperlink" Target="https://wellmadewoodworks.com.mt" TargetMode="External" Id="rId2067" /><Relationship Type="http://schemas.openxmlformats.org/officeDocument/2006/relationships/hyperlink" Target="https://oxfordhouse.com.mt" TargetMode="External" Id="rId2068" /><Relationship Type="http://schemas.openxmlformats.org/officeDocument/2006/relationships/hyperlink" Target="https://facebook.com/treedfurnituremalta?locale=nn_NO" TargetMode="External" Id="rId2069" /><Relationship Type="http://schemas.openxmlformats.org/officeDocument/2006/relationships/hyperlink" Target="https://casaformfurniture.com" TargetMode="External" Id="rId2070" /><Relationship Type="http://schemas.openxmlformats.org/officeDocument/2006/relationships/hyperlink" Target="https://ciantarwoodworks.com" TargetMode="External" Id="rId2071" /><Relationship Type="http://schemas.openxmlformats.org/officeDocument/2006/relationships/hyperlink" Target="https://danielwoodworksmalta.com" TargetMode="External" Id="rId2072" /><Relationship Type="http://schemas.openxmlformats.org/officeDocument/2006/relationships/hyperlink" Target="https://jysk.com.mt" TargetMode="External" Id="rId2073" /><Relationship Type="http://schemas.openxmlformats.org/officeDocument/2006/relationships/hyperlink" Target="https://lepseg.wix.com/richard-furniture" TargetMode="External" Id="rId2074" /><Relationship Type="http://schemas.openxmlformats.org/officeDocument/2006/relationships/hyperlink" Target="https://rusticahome.com.mt/site/" TargetMode="External" Id="rId2075" /><Relationship Type="http://schemas.openxmlformats.org/officeDocument/2006/relationships/hyperlink" Target="https://spaces.com.mt" TargetMode="External" Id="rId2076" /><Relationship Type="http://schemas.openxmlformats.org/officeDocument/2006/relationships/hyperlink" Target="https://rliving.com.mt" TargetMode="External" Id="rId2077" /><Relationship Type="http://schemas.openxmlformats.org/officeDocument/2006/relationships/hyperlink" Target="https://facebook.com/treedfurnituremalta?locale=nn_NO" TargetMode="External" Id="rId2078" /><Relationship Type="http://schemas.openxmlformats.org/officeDocument/2006/relationships/hyperlink" Target="https://promaninteriors.com/" TargetMode="External" Id="rId2079" /><Relationship Type="http://schemas.openxmlformats.org/officeDocument/2006/relationships/hyperlink" Target="https://desanamarbles.com" TargetMode="External" Id="rId2080" /><Relationship Type="http://schemas.openxmlformats.org/officeDocument/2006/relationships/hyperlink" Target="https://fairdealfurniture.com.mt" TargetMode="External" Id="rId2081" /><Relationship Type="http://schemas.openxmlformats.org/officeDocument/2006/relationships/hyperlink" Target="https://brands.com.mt" TargetMode="External" Id="rId2082" /><Relationship Type="http://schemas.openxmlformats.org/officeDocument/2006/relationships/hyperlink" Target="https://fvcarpentry.com" TargetMode="External" Id="rId2083" /><Relationship Type="http://schemas.openxmlformats.org/officeDocument/2006/relationships/hyperlink" Target="https://facebook.com/people/Top-Drawer-Ltd/100057222588942/" TargetMode="External" Id="rId2084" /><Relationship Type="http://schemas.openxmlformats.org/officeDocument/2006/relationships/hyperlink" Target="https://domestica.com.mt" TargetMode="External" Id="rId2085" /><Relationship Type="http://schemas.openxmlformats.org/officeDocument/2006/relationships/hyperlink" Target="https://dinofino.com" TargetMode="External" Id="rId2086" /><Relationship Type="http://schemas.openxmlformats.org/officeDocument/2006/relationships/hyperlink" Target="https://grixtimobili.com" TargetMode="External" Id="rId2087" /><Relationship Type="http://schemas.openxmlformats.org/officeDocument/2006/relationships/hyperlink" Target="https://kubekgroup.com" TargetMode="External" Id="rId2088" /><Relationship Type="http://schemas.openxmlformats.org/officeDocument/2006/relationships/hyperlink" Target="https://petroni.com.mt" TargetMode="External" Id="rId2089" /><Relationship Type="http://schemas.openxmlformats.org/officeDocument/2006/relationships/hyperlink" Target="https://facebook.com/treedfurnituremalta?locale=nn_NO" TargetMode="External" Id="rId2090" /><Relationship Type="http://schemas.openxmlformats.org/officeDocument/2006/relationships/hyperlink" Target="https://renovamalta.com" TargetMode="External" Id="rId2091" /><Relationship Type="http://schemas.openxmlformats.org/officeDocument/2006/relationships/hyperlink" Target="https://merciecaeventsuppliers.com" TargetMode="External" Id="rId2092" /><Relationship Type="http://schemas.openxmlformats.org/officeDocument/2006/relationships/hyperlink" Target="https://silvioschairs.com" TargetMode="External" Id="rId2093" /><Relationship Type="http://schemas.openxmlformats.org/officeDocument/2006/relationships/hyperlink" Target="https://fg.com.mt" TargetMode="External" Id="rId2094" /><Relationship Type="http://schemas.openxmlformats.org/officeDocument/2006/relationships/hyperlink" Target="https://facebook.com/mfcompanyltd" TargetMode="External" Id="rId2095" /><Relationship Type="http://schemas.openxmlformats.org/officeDocument/2006/relationships/hyperlink" Target="https://jysk.com.mt" TargetMode="External" Id="rId2096" /><Relationship Type="http://schemas.openxmlformats.org/officeDocument/2006/relationships/hyperlink" Target="https://oxfordhouse.com.mt" TargetMode="External" Id="rId2097" /><Relationship Type="http://schemas.openxmlformats.org/officeDocument/2006/relationships/hyperlink" Target="https://powerhousemalta.eu" TargetMode="External" Id="rId2098" /><Relationship Type="http://schemas.openxmlformats.org/officeDocument/2006/relationships/hyperlink" Target="https://dinofino.com" TargetMode="External" Id="rId2099" /><Relationship Type="http://schemas.openxmlformats.org/officeDocument/2006/relationships/hyperlink" Target="https://homesbybdi.com" TargetMode="External" Id="rId2100" /><Relationship Type="http://schemas.openxmlformats.org/officeDocument/2006/relationships/hyperlink" Target="https://maltashopper.com" TargetMode="External" Id="rId2101" /><Relationship Type="http://schemas.openxmlformats.org/officeDocument/2006/relationships/hyperlink" Target="https://abra.com.mt" TargetMode="External" Id="rId2102" /><Relationship Type="http://schemas.openxmlformats.org/officeDocument/2006/relationships/hyperlink" Target="https://fino.com.mt/" TargetMode="External" Id="rId2103" /><Relationship Type="http://schemas.openxmlformats.org/officeDocument/2006/relationships/hyperlink" Target="https://patroleamalta.com" TargetMode="External" Id="rId2104" /><Relationship Type="http://schemas.openxmlformats.org/officeDocument/2006/relationships/hyperlink" Target="https://fairdealfurniture.com.mt" TargetMode="External" Id="rId2105" /><Relationship Type="http://schemas.openxmlformats.org/officeDocument/2006/relationships/hyperlink" Target="https://newline.com.mt" TargetMode="External" Id="rId2106" /><Relationship Type="http://schemas.openxmlformats.org/officeDocument/2006/relationships/hyperlink" Target="https://brands.com.mt" TargetMode="External" Id="rId2107" /><Relationship Type="http://schemas.openxmlformats.org/officeDocument/2006/relationships/hyperlink" Target="https://facebook.com/people/Top-Drawer-Ltd/100057222588942/" TargetMode="External" Id="rId2108" /><Relationship Type="http://schemas.openxmlformats.org/officeDocument/2006/relationships/hyperlink" Target="https://boconcept.com/en-mt/" TargetMode="External" Id="rId2109" /><Relationship Type="http://schemas.openxmlformats.org/officeDocument/2006/relationships/hyperlink" Target="https://indexmalta.com" TargetMode="External" Id="rId2110" /><Relationship Type="http://schemas.openxmlformats.org/officeDocument/2006/relationships/hyperlink" Target="https://malta-design.com" TargetMode="External" Id="rId2111" /><Relationship Type="http://schemas.openxmlformats.org/officeDocument/2006/relationships/hyperlink" Target="https://rliving.com.mt" TargetMode="External" Id="rId2112" /><Relationship Type="http://schemas.openxmlformats.org/officeDocument/2006/relationships/hyperlink" Target="https://facebook.com/woodworksfava/" TargetMode="External" Id="rId2113" /><Relationship Type="http://schemas.openxmlformats.org/officeDocument/2006/relationships/hyperlink" Target="https://casaformfurniture.com" TargetMode="External" Id="rId2114" /><Relationship Type="http://schemas.openxmlformats.org/officeDocument/2006/relationships/hyperlink" Target="https://casconehome.com" TargetMode="External" Id="rId2115" /><Relationship Type="http://schemas.openxmlformats.org/officeDocument/2006/relationships/hyperlink" Target="https://ciantarwoodworks.com" TargetMode="External" Id="rId2116" /><Relationship Type="http://schemas.openxmlformats.org/officeDocument/2006/relationships/hyperlink" Target="https://ecasa.com.mt" TargetMode="External" Id="rId2117" /><Relationship Type="http://schemas.openxmlformats.org/officeDocument/2006/relationships/hyperlink" Target="https://constructfurniture.com.mt" TargetMode="External" Id="rId2118" /><Relationship Type="http://schemas.openxmlformats.org/officeDocument/2006/relationships/hyperlink" Target="https://fg.com.mt" TargetMode="External" Id="rId2119" /><Relationship Type="http://schemas.openxmlformats.org/officeDocument/2006/relationships/hyperlink" Target="https://dinofino.com" TargetMode="External" Id="rId2120" /><Relationship Type="http://schemas.openxmlformats.org/officeDocument/2006/relationships/hyperlink" Target="https://fxb.com.mt" TargetMode="External" Id="rId2121" /><Relationship Type="http://schemas.openxmlformats.org/officeDocument/2006/relationships/hyperlink" Target="https://gozoarts.com.mt" TargetMode="External" Id="rId2122" /><Relationship Type="http://schemas.openxmlformats.org/officeDocument/2006/relationships/hyperlink" Target="https://jdsfurniture.com" TargetMode="External" Id="rId2123" /><Relationship Type="http://schemas.openxmlformats.org/officeDocument/2006/relationships/hyperlink" Target="https://jysk.com.mt" TargetMode="External" Id="rId2124" /><Relationship Type="http://schemas.openxmlformats.org/officeDocument/2006/relationships/hyperlink" Target="https://mobiliapenza.com" TargetMode="External" Id="rId2125" /><Relationship Type="http://schemas.openxmlformats.org/officeDocument/2006/relationships/hyperlink" Target="https://mucciomobili.it" TargetMode="External" Id="rId2126" /><Relationship Type="http://schemas.openxmlformats.org/officeDocument/2006/relationships/hyperlink" Target="https://onepercent.com.mt" TargetMode="External" Id="rId2127" /><Relationship Type="http://schemas.openxmlformats.org/officeDocument/2006/relationships/hyperlink" Target="https://facebook.com/Orienta.mt/" TargetMode="External" Id="rId2128" /><Relationship Type="http://schemas.openxmlformats.org/officeDocument/2006/relationships/hyperlink" Target="https://facebook.com/queensfurnitureltd/" TargetMode="External" Id="rId2129" /><Relationship Type="http://schemas.openxmlformats.org/officeDocument/2006/relationships/hyperlink" Target="https://lepseg.wix.com/richard-furniture" TargetMode="External" Id="rId2130" /><Relationship Type="http://schemas.openxmlformats.org/officeDocument/2006/relationships/hyperlink" Target="https://spaces.com.mt" TargetMode="External" Id="rId2131" /><Relationship Type="http://schemas.openxmlformats.org/officeDocument/2006/relationships/hyperlink" Target="https://stylefurnituremalta.com" TargetMode="External" Id="rId2132" /><Relationship Type="http://schemas.openxmlformats.org/officeDocument/2006/relationships/hyperlink" Target="https://tal-lira.com" TargetMode="External" Id="rId2133" /><Relationship Type="http://schemas.openxmlformats.org/officeDocument/2006/relationships/hyperlink" Target="https://tornelloarredamenti.it" TargetMode="External" Id="rId2134" /><Relationship Type="http://schemas.openxmlformats.org/officeDocument/2006/relationships/hyperlink" Target="https://facebook.com/treedfurnituremalta?locale=nn_NO" TargetMode="External" Id="rId2135" /><Relationship Type="http://schemas.openxmlformats.org/officeDocument/2006/relationships/hyperlink" Target="https://venturamalta.com" TargetMode="External" Id="rId2136" /><Relationship Type="http://schemas.openxmlformats.org/officeDocument/2006/relationships/hyperlink" Target="https://petroni.com.mt" TargetMode="External" Id="rId2137" /><Relationship Type="http://schemas.openxmlformats.org/officeDocument/2006/relationships/hyperlink" Target="https://soundsmart.com.mt" TargetMode="External" Id="rId2138" /><Relationship Type="http://schemas.openxmlformats.org/officeDocument/2006/relationships/hyperlink" Target="https://kcl.com.mt" TargetMode="External" Id="rId2139" /><Relationship Type="http://schemas.openxmlformats.org/officeDocument/2006/relationships/hyperlink" Target="https://tabletsandmoreelectronics.com" TargetMode="External" Id="rId2140" /><Relationship Type="http://schemas.openxmlformats.org/officeDocument/2006/relationships/hyperlink" Target="https://facebook.com/akkwist" TargetMode="External" Id="rId2141" /><Relationship Type="http://schemas.openxmlformats.org/officeDocument/2006/relationships/hyperlink" Target="https://facebook.com/TaGulinu/info?tab=page%5Cuinfo" TargetMode="External" Id="rId2142" /><Relationship Type="http://schemas.openxmlformats.org/officeDocument/2006/relationships/hyperlink" Target="https://triplealuqa.com" TargetMode="External" Id="rId2143" /><Relationship Type="http://schemas.openxmlformats.org/officeDocument/2006/relationships/hyperlink" Target="https://rightdealmalta.com" TargetMode="External" Id="rId2144" /><Relationship Type="http://schemas.openxmlformats.org/officeDocument/2006/relationships/hyperlink" Target="https://topchoice.com.mt" TargetMode="External" Id="rId2145" /><Relationship Type="http://schemas.openxmlformats.org/officeDocument/2006/relationships/hyperlink" Target="https://facebook.com/futurahomeappliances/" TargetMode="External" Id="rId2146" /><Relationship Type="http://schemas.openxmlformats.org/officeDocument/2006/relationships/hyperlink" Target="https://centrocasalinga.com" TargetMode="External" Id="rId2147" /><Relationship Type="http://schemas.openxmlformats.org/officeDocument/2006/relationships/hyperlink" Target="https://fb.com/ComfortekMalta" TargetMode="External" Id="rId2148" /><Relationship Type="http://schemas.openxmlformats.org/officeDocument/2006/relationships/hyperlink" Target="https://consiglio.com.mt" TargetMode="External" Id="rId2149" /><Relationship Type="http://schemas.openxmlformats.org/officeDocument/2006/relationships/hyperlink" Target="https://cutajarhifi.com" TargetMode="External" Id="rId2150" /><Relationship Type="http://schemas.openxmlformats.org/officeDocument/2006/relationships/hyperlink" Target="https://flamingo.com.mt" TargetMode="External" Id="rId2151" /><Relationship Type="http://schemas.openxmlformats.org/officeDocument/2006/relationships/hyperlink" Target="https://forestalsgroup.com" TargetMode="External" Id="rId2152" /><Relationship Type="http://schemas.openxmlformats.org/officeDocument/2006/relationships/hyperlink" Target="https://facebook.com/people/Freddies-Household/100063498252557/?utm_source=Yellow&amp;utm_medium=Yellow-Website&amp;utm_campaign=Landing-Page#" TargetMode="External" Id="rId2153" /><Relationship Type="http://schemas.openxmlformats.org/officeDocument/2006/relationships/hyperlink" Target="https://gda.com.mt" TargetMode="External" Id="rId2154" /><Relationship Type="http://schemas.openxmlformats.org/officeDocument/2006/relationships/hyperlink" Target="https://hotpointmalta.com" TargetMode="External" Id="rId2155" /><Relationship Type="http://schemas.openxmlformats.org/officeDocument/2006/relationships/hyperlink" Target="https://itc-malta.com" TargetMode="External" Id="rId2156" /><Relationship Type="http://schemas.openxmlformats.org/officeDocument/2006/relationships/hyperlink" Target="https://oxfordhouse.com.mt" TargetMode="External" Id="rId2157" /><Relationship Type="http://schemas.openxmlformats.org/officeDocument/2006/relationships/hyperlink" Target="https://rightdealmalta.com" TargetMode="External" Id="rId2158" /><Relationship Type="http://schemas.openxmlformats.org/officeDocument/2006/relationships/hyperlink" Target="https://ultimate.com.mt" TargetMode="External" Id="rId2159" /><Relationship Type="http://schemas.openxmlformats.org/officeDocument/2006/relationships/hyperlink" Target="https://venturamalta.com" TargetMode="External" Id="rId2160" /><Relationship Type="http://schemas.openxmlformats.org/officeDocument/2006/relationships/hyperlink" Target="https://petroni.com.mt" TargetMode="External" Id="rId2161" /><Relationship Type="http://schemas.openxmlformats.org/officeDocument/2006/relationships/hyperlink" Target="https://soundsmart.com.mt" TargetMode="External" Id="rId2162" /><Relationship Type="http://schemas.openxmlformats.org/officeDocument/2006/relationships/hyperlink" Target="https://kcl.com.mt" TargetMode="External" Id="rId2163" /><Relationship Type="http://schemas.openxmlformats.org/officeDocument/2006/relationships/hyperlink" Target="https://tabletsandmoreelectronics.com" TargetMode="External" Id="rId2164" /><Relationship Type="http://schemas.openxmlformats.org/officeDocument/2006/relationships/hyperlink" Target="https://facebook.com/futurahomeappliances/" TargetMode="External" Id="rId2165" /><Relationship Type="http://schemas.openxmlformats.org/officeDocument/2006/relationships/hyperlink" Target="https://fb.com/ComfortekMalta" TargetMode="External" Id="rId2166" /><Relationship Type="http://schemas.openxmlformats.org/officeDocument/2006/relationships/hyperlink" Target="https://consiglio.com.mt" TargetMode="External" Id="rId2167" /><Relationship Type="http://schemas.openxmlformats.org/officeDocument/2006/relationships/hyperlink" Target="https://foresaksgroup.com" TargetMode="External" Id="rId2168" /><Relationship Type="http://schemas.openxmlformats.org/officeDocument/2006/relationships/hyperlink" Target="https://facebook.com/people/Freddies-Household/100063498252557/?utm_source=Yellow&amp;utm_medium=Yellow-Website&amp;utm_campaign=Landing-Page#" TargetMode="External" Id="rId2169" /><Relationship Type="http://schemas.openxmlformats.org/officeDocument/2006/relationships/hyperlink" Target="https://hotpointmalta.com" TargetMode="External" Id="rId2170" /><Relationship Type="http://schemas.openxmlformats.org/officeDocument/2006/relationships/hyperlink" Target="https://itc-malta.com" TargetMode="External" Id="rId2171" /><Relationship Type="http://schemas.openxmlformats.org/officeDocument/2006/relationships/hyperlink" Target="https://facebook.com/p/JS-Household-100063545924453/" TargetMode="External" Id="rId2172" /><Relationship Type="http://schemas.openxmlformats.org/officeDocument/2006/relationships/hyperlink" Target="https://rightdealmalta.com" TargetMode="External" Id="rId2173" /><Relationship Type="http://schemas.openxmlformats.org/officeDocument/2006/relationships/hyperlink" Target="https://venturamalta.com" TargetMode="External" Id="rId2174" /><Relationship Type="http://schemas.openxmlformats.org/officeDocument/2006/relationships/hyperlink" Target="https://petroni.com.mt" TargetMode="External" Id="rId2175" /><Relationship Type="http://schemas.openxmlformats.org/officeDocument/2006/relationships/hyperlink" Target="https://soundsmart.com.mt" TargetMode="External" Id="rId2176" /><Relationship Type="http://schemas.openxmlformats.org/officeDocument/2006/relationships/hyperlink" Target="https://kcl.com.mt" TargetMode="External" Id="rId2177" /><Relationship Type="http://schemas.openxmlformats.org/officeDocument/2006/relationships/hyperlink" Target="https://tabletsandmoreelectronics.com" TargetMode="External" Id="rId2178" /><Relationship Type="http://schemas.openxmlformats.org/officeDocument/2006/relationships/hyperlink" Target="https://facebook.com/futurahomeappliances/" TargetMode="External" Id="rId2179" /><Relationship Type="http://schemas.openxmlformats.org/officeDocument/2006/relationships/hyperlink" Target="https://facebook.com/akkwist" TargetMode="External" Id="rId2180" /><Relationship Type="http://schemas.openxmlformats.org/officeDocument/2006/relationships/hyperlink" Target="https://facebook.com/TaGulinu/info?tab=page%5Cuinfo" TargetMode="External" Id="rId2181" /><Relationship Type="http://schemas.openxmlformats.org/officeDocument/2006/relationships/hyperlink" Target="https://centrocasalinga.com" TargetMode="External" Id="rId2182" /><Relationship Type="http://schemas.openxmlformats.org/officeDocument/2006/relationships/hyperlink" Target="https://fb.com/ComfortekMalta" TargetMode="External" Id="rId2183" /><Relationship Type="http://schemas.openxmlformats.org/officeDocument/2006/relationships/hyperlink" Target="https://consiglio.com.mt" TargetMode="External" Id="rId2184" /><Relationship Type="http://schemas.openxmlformats.org/officeDocument/2006/relationships/hyperlink" Target="https://cutajarhifi.com" TargetMode="External" Id="rId2185" /><Relationship Type="http://schemas.openxmlformats.org/officeDocument/2006/relationships/hyperlink" Target="https://divine.com.mt" TargetMode="External" Id="rId2186" /><Relationship Type="http://schemas.openxmlformats.org/officeDocument/2006/relationships/hyperlink" Target="https://flamingo.com.mt" TargetMode="External" Id="rId2187" /><Relationship Type="http://schemas.openxmlformats.org/officeDocument/2006/relationships/hyperlink" Target="https://foresaksgroup.com" TargetMode="External" Id="rId2188" /><Relationship Type="http://schemas.openxmlformats.org/officeDocument/2006/relationships/hyperlink" Target="https://facebook.com/people/Freddies-Household/100063498252557/?utm_source=Yellow&amp;utm_medium=Yellow-Website&amp;utm_campaign=Landing-Page#" TargetMode="External" Id="rId2189" /><Relationship Type="http://schemas.openxmlformats.org/officeDocument/2006/relationships/hyperlink" Target="https://hotpointmalta.com" TargetMode="External" Id="rId2190" /><Relationship Type="http://schemas.openxmlformats.org/officeDocument/2006/relationships/hyperlink" Target="https://itc-malta.com" TargetMode="External" Id="rId2191" /><Relationship Type="http://schemas.openxmlformats.org/officeDocument/2006/relationships/hyperlink" Target="https://facebook.com/p/JS-Household-100063545924453/" TargetMode="External" Id="rId2192" /><Relationship Type="http://schemas.openxmlformats.org/officeDocument/2006/relationships/hyperlink" Target="https://rightdealmalta.com" TargetMode="External" Id="rId2193" /><Relationship Type="http://schemas.openxmlformats.org/officeDocument/2006/relationships/hyperlink" Target="https://topchoice.com.mt" TargetMode="External" Id="rId2194" /><Relationship Type="http://schemas.openxmlformats.org/officeDocument/2006/relationships/hyperlink" Target="https://xtmalta.com" TargetMode="External" Id="rId2195" /><Relationship Type="http://schemas.openxmlformats.org/officeDocument/2006/relationships/hyperlink" Target="https://venturamalta.com" TargetMode="External" Id="rId2196" /><Relationship Type="http://schemas.openxmlformats.org/officeDocument/2006/relationships/hyperlink" Target="https://petroni.com.mt" TargetMode="External" Id="rId2197" /><Relationship Type="http://schemas.openxmlformats.org/officeDocument/2006/relationships/hyperlink" Target="https://soundsmart.com.mt" TargetMode="External" Id="rId2198" /><Relationship Type="http://schemas.openxmlformats.org/officeDocument/2006/relationships/hyperlink" Target="https://kcl.com.mt" TargetMode="External" Id="rId2199" /><Relationship Type="http://schemas.openxmlformats.org/officeDocument/2006/relationships/hyperlink" Target="https://tabletsandmoreelectronics.com" TargetMode="External" Id="rId2200" /><Relationship Type="http://schemas.openxmlformats.org/officeDocument/2006/relationships/hyperlink" Target="https://facebook.com/futurahomeappliances/" TargetMode="External" Id="rId2201" /><Relationship Type="http://schemas.openxmlformats.org/officeDocument/2006/relationships/hyperlink" Target="https://facebook.com/akkwist" TargetMode="External" Id="rId2202" /><Relationship Type="http://schemas.openxmlformats.org/officeDocument/2006/relationships/hyperlink" Target="https://centrocasalinga.com" TargetMode="External" Id="rId2203" /><Relationship Type="http://schemas.openxmlformats.org/officeDocument/2006/relationships/hyperlink" Target="https://consiglio.com.mt" TargetMode="External" Id="rId2204" /><Relationship Type="http://schemas.openxmlformats.org/officeDocument/2006/relationships/hyperlink" Target="https://cutajarhifi.com" TargetMode="External" Id="rId2205" /><Relationship Type="http://schemas.openxmlformats.org/officeDocument/2006/relationships/hyperlink" Target="https://divine.com.mt" TargetMode="External" Id="rId2206" /><Relationship Type="http://schemas.openxmlformats.org/officeDocument/2006/relationships/hyperlink" Target="https://flamingo.com.mt" TargetMode="External" Id="rId2207" /><Relationship Type="http://schemas.openxmlformats.org/officeDocument/2006/relationships/hyperlink" Target="https://facebook.com/people/Freddies-Household/100063498252557/?utm_source=Yellow&amp;utm_medium=Yellow-Website&amp;utm_campaign=Landing-Page#" TargetMode="External" Id="rId2208" /><Relationship Type="http://schemas.openxmlformats.org/officeDocument/2006/relationships/hyperlink" Target="https://gda.com.mt" TargetMode="External" Id="rId2209" /><Relationship Type="http://schemas.openxmlformats.org/officeDocument/2006/relationships/hyperlink" Target="https://hotpointmalta.com" TargetMode="External" Id="rId2210" /><Relationship Type="http://schemas.openxmlformats.org/officeDocument/2006/relationships/hyperlink" Target="https://itc-malta.com" TargetMode="External" Id="rId2211" /><Relationship Type="http://schemas.openxmlformats.org/officeDocument/2006/relationships/hyperlink" Target="https://refcold.com.mt" TargetMode="External" Id="rId2212" /><Relationship Type="http://schemas.openxmlformats.org/officeDocument/2006/relationships/hyperlink" Target="https://rightdealmalta.com" TargetMode="External" Id="rId2213" /><Relationship Type="http://schemas.openxmlformats.org/officeDocument/2006/relationships/hyperlink" Target="https://shaker.com.mt/" TargetMode="External" Id="rId2214" /><Relationship Type="http://schemas.openxmlformats.org/officeDocument/2006/relationships/hyperlink" Target="https://fairdealfurniture.com.mt/contact-us/" TargetMode="External" Id="rId2215" /><Relationship Type="http://schemas.openxmlformats.org/officeDocument/2006/relationships/hyperlink" Target="https://joinwell.com.mt/contact-us/" TargetMode="External" Id="rId2216" /><Relationship Type="http://schemas.openxmlformats.org/officeDocument/2006/relationships/hyperlink" Target="https://theatrium.com.mt/contact-us" TargetMode="External" Id="rId2217" /><Relationship Type="http://schemas.openxmlformats.org/officeDocument/2006/relationships/hyperlink" Target="https://form.com.mt/contact-us/" TargetMode="External" Id="rId2218" /><Relationship Type="http://schemas.openxmlformats.org/officeDocument/2006/relationships/hyperlink" Target="https://fino.com.mt/" TargetMode="External" Id="rId2219" /><Relationship Type="http://schemas.openxmlformats.org/officeDocument/2006/relationships/hyperlink" Target="https://scavolini.mt/" TargetMode="External" Id="rId2220" /><Relationship Type="http://schemas.openxmlformats.org/officeDocument/2006/relationships/hyperlink" Target="https://carmelodelia.com/contact" TargetMode="External" Id="rId222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hyperlink" Target="MAILTO:sales@maltadiy.com" TargetMode="External" Id="rId2222" /><Relationship Type="http://schemas.openxmlformats.org/officeDocument/2006/relationships/hyperlink" Target="MAILTO:info@bigmatmalta.com" TargetMode="External" Id="rId2223" /><Relationship Type="http://schemas.openxmlformats.org/officeDocument/2006/relationships/hyperlink" Target="MAILTO:info@devalier.com.mt" TargetMode="External" Id="rId2224" /><Relationship Type="http://schemas.openxmlformats.org/officeDocument/2006/relationships/hyperlink" Target="MAILTO:info@aptc.com.mt" TargetMode="External" Id="rId2225" /><Relationship Type="http://schemas.openxmlformats.org/officeDocument/2006/relationships/hyperlink" Target="MAILTO:info@aphomes.com.mt" TargetMode="External" Id="rId2226" /><Relationship Type="http://schemas.openxmlformats.org/officeDocument/2006/relationships/hyperlink" Target="MAILTO:customercare@homemate.com.mt" TargetMode="External" Id="rId2227" /><Relationship Type="http://schemas.openxmlformats.org/officeDocument/2006/relationships/hyperlink" Target="MAILTO:info@rsgroup.com.mt" TargetMode="External" Id="rId2228" /><Relationship Type="http://schemas.openxmlformats.org/officeDocument/2006/relationships/hyperlink" Target="MAILTO:sales@multitrademalta.com" TargetMode="External" Id="rId2229" /><Relationship Type="http://schemas.openxmlformats.org/officeDocument/2006/relationships/hyperlink" Target="MAILTO:info@nineyards.com.mt" TargetMode="External" Id="rId2230" /><Relationship Type="http://schemas.openxmlformats.org/officeDocument/2006/relationships/hyperlink" Target="MAILTO:info@megahome.mt" TargetMode="External" Id="rId2231" /><Relationship Type="http://schemas.openxmlformats.org/officeDocument/2006/relationships/hyperlink" Target="MAILTO:info@bfmarbles.com" TargetMode="External" Id="rId2232" /><Relationship Type="http://schemas.openxmlformats.org/officeDocument/2006/relationships/hyperlink" Target="MAILTO:info@vicalinteriors.com" TargetMode="External" Id="rId2233" /><Relationship Type="http://schemas.openxmlformats.org/officeDocument/2006/relationships/hyperlink" Target="MAILTO:sales@panelshubmalta.com" TargetMode="External" Id="rId2234" /><Relationship Type="http://schemas.openxmlformats.org/officeDocument/2006/relationships/hyperlink" Target="MAILTO:info@ksprojects.mt" TargetMode="External" Id="rId2235" /><Relationship Type="http://schemas.openxmlformats.org/officeDocument/2006/relationships/hyperlink" Target="MAILTO:contactus@theatrium.com.mt" TargetMode="External" Id="rId2236" /><Relationship Type="http://schemas.openxmlformats.org/officeDocument/2006/relationships/hyperlink" Target="https://www.google.com/maps/search/?api=1&amp;query=Industrial%20Zone%2C%20ATD%204000%20Ta%27%20Qali" TargetMode="External" Id="rId2237" /><Relationship Type="http://schemas.openxmlformats.org/officeDocument/2006/relationships/hyperlink" Target="https://www.google.com/maps/search/?api=1&amp;query=Mdina%20Road%2C%0AZebbug%2C%20Malta%2C%0AZBG%209019" TargetMode="External" Id="rId2238" /><Relationship Type="http://schemas.openxmlformats.org/officeDocument/2006/relationships/hyperlink" Target="https://www.google.com/maps/search/?api=1&amp;query=No.1%2C%20Triq%20Daniel%20Sammut%2C%20Lija%2C%20c%2Fw%20Triq%20l-Gherusija%2C%20Balzan" TargetMode="External" Id="rId2239" /><Relationship Type="http://schemas.openxmlformats.org/officeDocument/2006/relationships/hyperlink" Target="https://www.google.com/maps/search/?api=1&amp;query=Triq%20Il-Vitorja%2C%20%C4%A6al%20Qormi%20QRM%202504" TargetMode="External" Id="rId2240" /><Relationship Type="http://schemas.openxmlformats.org/officeDocument/2006/relationships/hyperlink" Target="https://www.google.com/maps/search/?api=1&amp;query=40%2C%20Balzan%20Valley%20Road%2C%20Balzan%20BZN%201407%20-%20Malta" TargetMode="External" Id="rId2241" /><Relationship Type="http://schemas.openxmlformats.org/officeDocument/2006/relationships/hyperlink" Target="https://www.google.com/maps/search/?api=1&amp;query=84%2C%20Qormi%20Road%2C%20Hamrun" TargetMode="External" Id="rId2242" /><Relationship Type="http://schemas.openxmlformats.org/officeDocument/2006/relationships/hyperlink" Target="https://maltadiy.com/product-category/floors-walls/walls/3d-wall-panels/?utm_source=chatgpt.com" TargetMode="External" Id="rId2243" /><Relationship Type="http://schemas.openxmlformats.org/officeDocument/2006/relationships/hyperlink" Target="https://bigmatmalta.com/collections/wall-panels?utm_source=chatgpt.com" TargetMode="External" Id="rId2244" /><Relationship Type="http://schemas.openxmlformats.org/officeDocument/2006/relationships/hyperlink" Target="https://dv.mt/showroom-category/3d-panels/" TargetMode="External" Id="rId2245" /><Relationship Type="http://schemas.openxmlformats.org/officeDocument/2006/relationships/hyperlink" Target="https://gypsumworksmalta.com/store/c14/Panels" TargetMode="External" Id="rId2246" /><Relationship Type="http://schemas.openxmlformats.org/officeDocument/2006/relationships/hyperlink" Target="https://aphomesmalta.com/store/c3/PVC_panels.html#/" TargetMode="External" Id="rId2247" /><Relationship Type="http://schemas.openxmlformats.org/officeDocument/2006/relationships/hyperlink" Target="https://homemate.com.mt/product-category/feature-wall-planks" TargetMode="External" Id="rId2248" /><Relationship Type="http://schemas.openxmlformats.org/officeDocument/2006/relationships/hyperlink" Target="https://evolve.com.mt/products/wall-decor-malta/#3dwalls" TargetMode="External" Id="rId2249" /><Relationship Type="http://schemas.openxmlformats.org/officeDocument/2006/relationships/hyperlink" Target="https://multitrademalta.com/product-tag/corrugated-sheet/?utm_source=chatgpt.com" TargetMode="External" Id="rId2250" /><Relationship Type="http://schemas.openxmlformats.org/officeDocument/2006/relationships/hyperlink" Target="https://nineyards.com.mt/" TargetMode="External" Id="rId2251" /><Relationship Type="http://schemas.openxmlformats.org/officeDocument/2006/relationships/hyperlink" Target="https://megahome.mt/product/3d-wall-panels/" TargetMode="External" Id="rId2252" /><Relationship Type="http://schemas.openxmlformats.org/officeDocument/2006/relationships/hyperlink" Target="https://bfmarbles.com/#" TargetMode="External" Id="rId2253" /><Relationship Type="http://schemas.openxmlformats.org/officeDocument/2006/relationships/hyperlink" Target="https://facebook.com/profile.php?id=61561349402968" TargetMode="External" Id="rId2254" /><Relationship Type="http://schemas.openxmlformats.org/officeDocument/2006/relationships/hyperlink" Target="https://vicalinteriors.com/" TargetMode="External" Id="rId2255" /><Relationship Type="http://schemas.openxmlformats.org/officeDocument/2006/relationships/hyperlink" Target="https://panelshubmalta.com/flexible-panels/" TargetMode="External" Id="rId2256" /><Relationship Type="http://schemas.openxmlformats.org/officeDocument/2006/relationships/hyperlink" Target="https://facebook.com/profile.php?id=100091956755959" TargetMode="External" Id="rId2257" /><Relationship Type="http://schemas.openxmlformats.org/officeDocument/2006/relationships/hyperlink" Target="https://theatrium.com.mt/search-site-results?nostock=0&amp;search=panel" TargetMode="External" Id="rId2258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hyperlink" Target="MAILTO:info@ramilenemalta.com" TargetMode="External" Id="rId2259" /><Relationship Type="http://schemas.openxmlformats.org/officeDocument/2006/relationships/hyperlink" Target="MAILTO:info@devalier.com.mt" TargetMode="External" Id="rId2260" /><Relationship Type="http://schemas.openxmlformats.org/officeDocument/2006/relationships/hyperlink" Target="MAILTO:sales@malta-design.com" TargetMode="External" Id="rId2261" /><Relationship Type="http://schemas.openxmlformats.org/officeDocument/2006/relationships/hyperlink" Target="MAILTO:info@brands.com.mt" TargetMode="External" Id="rId2262" /><Relationship Type="http://schemas.openxmlformats.org/officeDocument/2006/relationships/hyperlink" Target="MAILTO:sales@maltadiy.com" TargetMode="External" Id="rId2263" /><Relationship Type="http://schemas.openxmlformats.org/officeDocument/2006/relationships/hyperlink" Target="MAILTO:info@ferraramalta.com" TargetMode="External" Id="rId2264" /><Relationship Type="http://schemas.openxmlformats.org/officeDocument/2006/relationships/hyperlink" Target="MAILTO:info@officelinemalta.com" TargetMode="External" Id="rId2265" /><Relationship Type="http://schemas.openxmlformats.org/officeDocument/2006/relationships/hyperlink" Target="MAILTO:info@linkprojects.com.mt" TargetMode="External" Id="rId2266" /><Relationship Type="http://schemas.openxmlformats.org/officeDocument/2006/relationships/hyperlink" Target="MAILTO:info@vivendo.mt" TargetMode="External" Id="rId2267" /><Relationship Type="http://schemas.openxmlformats.org/officeDocument/2006/relationships/hyperlink" Target="MAILTO:contactus@theatrium.com.mt" TargetMode="External" Id="rId2268" /><Relationship Type="http://schemas.openxmlformats.org/officeDocument/2006/relationships/hyperlink" Target="MAILTO:info@satariano.com" TargetMode="External" Id="rId2269" /><Relationship Type="http://schemas.openxmlformats.org/officeDocument/2006/relationships/hyperlink" Target="https://www.google.com/maps/search/?api=1&amp;query=Ramilene%20Office%20Supplies%20Ltd%0A50%2F51%20Ramilene%20Building%0ATriq%20it-Torri%2C%20Swatar%20%E2%80%93%20B%E2%80%99Kara%0ABKR%204011%2C%20Malta" TargetMode="External" Id="rId2270" /><Relationship Type="http://schemas.openxmlformats.org/officeDocument/2006/relationships/hyperlink" Target="https://www.google.com/maps/search/?api=1&amp;query=The%20Old%20Factory%2C%20San%20Gwakkin%20str%2C%20Mriehel%2CCentral%20Business%20District%20Birkirkara%20CBD%2C%203030" TargetMode="External" Id="rId2271" /><Relationship Type="http://schemas.openxmlformats.org/officeDocument/2006/relationships/hyperlink" Target="https://www.google.com/maps/search/?api=1&amp;query=Malta%20Design%0A33%20Triq%20l-Oleandru%20%2C%0ASan%20Giljan%2C%20Malta" TargetMode="External" Id="rId2272" /><Relationship Type="http://schemas.openxmlformats.org/officeDocument/2006/relationships/hyperlink" Target="https://www.google.com/maps/search/?api=1&amp;query=Triq%20tal-Balal%2C%20San%20Gwann%2C%20Malta" TargetMode="External" Id="rId2273" /><Relationship Type="http://schemas.openxmlformats.org/officeDocument/2006/relationships/hyperlink" Target="https://www.google.com/maps/search/?api=1&amp;query=Baldacchino%20Building%20B%2C%20Triq%20Il-Belt%20Valletta%2C%20Zurrieq" TargetMode="External" Id="rId2274" /><Relationship Type="http://schemas.openxmlformats.org/officeDocument/2006/relationships/hyperlink" Target="https://www.google.com/maps/search/?api=1&amp;query=Ferraracasa%20Warehouse%0ATriq%20is-Salib%20ta%20l-Mriehel%0ACBD3020%20Birkirkara%0AMalta" TargetMode="External" Id="rId2275" /><Relationship Type="http://schemas.openxmlformats.org/officeDocument/2006/relationships/hyperlink" Target="https://www.google.com/maps/search/?api=1&amp;query=Anthony%20Valletta%20Street%2C%20Swatar" TargetMode="External" Id="rId2276" /><Relationship Type="http://schemas.openxmlformats.org/officeDocument/2006/relationships/hyperlink" Target="https://www.google.com/maps/search/?api=1&amp;query=70%2C%20Ta%27%20Xbiex%20Seafront%20%2C%20Msida%2C%20Malta" TargetMode="External" Id="rId2277" /><Relationship Type="http://schemas.openxmlformats.org/officeDocument/2006/relationships/hyperlink" Target="https://www.google.com/maps/search/?api=1&amp;query=Mdina%20Road%2C%20Qormi%2C%20QRM%209011%2C%20Malta" TargetMode="External" Id="rId2278" /><Relationship Type="http://schemas.openxmlformats.org/officeDocument/2006/relationships/hyperlink" Target="https://www.google.com/maps/search/?api=1&amp;query=Central%20Business%20District%2C%20Giovanni%20Felice%20Street%20-%20Zone%203%2C%20Birkirkara%20CBD%203120%2C%20Malta" TargetMode="External" Id="rId2279" /><Relationship Type="http://schemas.openxmlformats.org/officeDocument/2006/relationships/hyperlink" Target="https://www.google.com/maps/search/?api=1&amp;query=122%2C%20Valley%20Road%20Birkirkara%2C%20BKR%209024" TargetMode="External" Id="rId2280" /><Relationship Type="http://schemas.openxmlformats.org/officeDocument/2006/relationships/hyperlink" Target="https://ramilenemalta.com/" TargetMode="External" Id="rId2281" /><Relationship Type="http://schemas.openxmlformats.org/officeDocument/2006/relationships/hyperlink" Target="https://dv.mt" TargetMode="External" Id="rId2282" /><Relationship Type="http://schemas.openxmlformats.org/officeDocument/2006/relationships/hyperlink" Target="https://malta-design.com" TargetMode="External" Id="rId2283" /><Relationship Type="http://schemas.openxmlformats.org/officeDocument/2006/relationships/hyperlink" Target="https://brands.com.mt/" TargetMode="External" Id="rId2284" /><Relationship Type="http://schemas.openxmlformats.org/officeDocument/2006/relationships/hyperlink" Target="https://maltadiy.com/product-category/lights-and-tech/lights/" TargetMode="External" Id="rId2285" /><Relationship Type="http://schemas.openxmlformats.org/officeDocument/2006/relationships/hyperlink" Target="https://ferraramalta.com/" TargetMode="External" Id="rId2286" /><Relationship Type="http://schemas.openxmlformats.org/officeDocument/2006/relationships/hyperlink" Target="https://officelinemalta.com/" TargetMode="External" Id="rId2287" /><Relationship Type="http://schemas.openxmlformats.org/officeDocument/2006/relationships/hyperlink" Target="https://linkprojects.com.mt/" TargetMode="External" Id="rId2288" /><Relationship Type="http://schemas.openxmlformats.org/officeDocument/2006/relationships/hyperlink" Target="https://vivendo.mt/" TargetMode="External" Id="rId2289" /><Relationship Type="http://schemas.openxmlformats.org/officeDocument/2006/relationships/hyperlink" Target="https://ikea.com/it/it/p/mariedamm-tavolo-grigio-scuro-50441510/" TargetMode="External" Id="rId2290" /><Relationship Type="http://schemas.openxmlformats.org/officeDocument/2006/relationships/hyperlink" Target="https://megastore.com.mt/en_MT/p/MITTZON-Conference-table%2C-round-walnut-veneerblack%2C-120x75-cm/2145800" TargetMode="External" Id="rId2291" /><Relationship Type="http://schemas.openxmlformats.org/officeDocument/2006/relationships/hyperlink" Target="https://theatrium.com.mt/dining/dining-tables/roxby-dining-table-black-oak-105cm/Item?c=267474" TargetMode="External" Id="rId2292" /><Relationship Type="http://schemas.openxmlformats.org/officeDocument/2006/relationships/hyperlink" Target="https://megastore.com.mt/en_MT/p/VIHALS-Table%2C-whitewhite%2C-107-cm/2237008" TargetMode="External" Id="rId2293" /><Relationship Type="http://schemas.openxmlformats.org/officeDocument/2006/relationships/hyperlink" Target="https://theatrium.com.mt/dining/dining-tables/atmosphera-ostras-dining-table-diameter-120cm-glass/Item?c=528741" TargetMode="External" Id="rId2294" /><Relationship Type="http://schemas.openxmlformats.org/officeDocument/2006/relationships/hyperlink" Target="https://theatrium.com.mt/dining/dining-tables/heaven-round-dining-table-with-clear-tempered-glass-top-and-thick-black-metal-legs/Item?c=512388" TargetMode="External" Id="rId2295" /><Relationship Type="http://schemas.openxmlformats.org/officeDocument/2006/relationships/hyperlink" Target="https://satariano.com/products/room/tables/" TargetMode="External" Id="rId2296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hyperlink" Target="MAILTO:sales@malta-design.com" TargetMode="External" Id="rId2297" /><Relationship Type="http://schemas.openxmlformats.org/officeDocument/2006/relationships/hyperlink" Target="MAILTO:info@joinwell.com.mt" TargetMode="External" Id="rId2298" /><Relationship Type="http://schemas.openxmlformats.org/officeDocument/2006/relationships/hyperlink" Target="MAILTO:info@brands.com.mt" TargetMode="External" Id="rId2299" /><Relationship Type="http://schemas.openxmlformats.org/officeDocument/2006/relationships/hyperlink" Target="MAILTO:info@promaninteriors.com" TargetMode="External" Id="rId2300" /><Relationship Type="http://schemas.openxmlformats.org/officeDocument/2006/relationships/hyperlink" Target="MAILTO:info@fino.com.mt" TargetMode="External" Id="rId2301" /><Relationship Type="http://schemas.openxmlformats.org/officeDocument/2006/relationships/hyperlink" Target="MAILTO:sales@powerhousemalta.eu" TargetMode="External" Id="rId2302" /><Relationship Type="http://schemas.openxmlformats.org/officeDocument/2006/relationships/hyperlink" Target="MAILTO:info@fairdealfurniture.com.mt" TargetMode="External" Id="rId2303" /><Relationship Type="http://schemas.openxmlformats.org/officeDocument/2006/relationships/hyperlink" Target="MAILTO:info@domestica.com.mt" TargetMode="External" Id="rId2304" /><Relationship Type="http://schemas.openxmlformats.org/officeDocument/2006/relationships/hyperlink" Target="MAILTO:info@onepercent.com.mt" TargetMode="External" Id="rId2305" /><Relationship Type="http://schemas.openxmlformats.org/officeDocument/2006/relationships/hyperlink" Target="MAILTO:info@distincthomes.com.mt" TargetMode="External" Id="rId2306" /><Relationship Type="http://schemas.openxmlformats.org/officeDocument/2006/relationships/hyperlink" Target="MAILTO:info@indexmalta.com" TargetMode="External" Id="rId2307" /><Relationship Type="http://schemas.openxmlformats.org/officeDocument/2006/relationships/hyperlink" Target="MAILTO:info@okhome.com.mt" TargetMode="External" Id="rId2308" /><Relationship Type="http://schemas.openxmlformats.org/officeDocument/2006/relationships/hyperlink" Target="MAILTO:contactus@theatrium.com.mt" TargetMode="External" Id="rId2309" /><Relationship Type="http://schemas.openxmlformats.org/officeDocument/2006/relationships/hyperlink" Target="MAILTO:customercare@homemate.com.mt" TargetMode="External" Id="rId2310" /><Relationship Type="http://schemas.openxmlformats.org/officeDocument/2006/relationships/hyperlink" Target="MAILTO:infodesk@form.com.mt" TargetMode="External" Id="rId2311" /><Relationship Type="http://schemas.openxmlformats.org/officeDocument/2006/relationships/hyperlink" Target="MAILTO:service@oxfordhouse.com.mt" TargetMode="External" Id="rId2312" /><Relationship Type="http://schemas.openxmlformats.org/officeDocument/2006/relationships/hyperlink" Target="MAILTO:jysk@jysk.com.mt" TargetMode="External" Id="rId2313" /><Relationship Type="http://schemas.openxmlformats.org/officeDocument/2006/relationships/hyperlink" Target="MAILTO:info@bdi.com.mt" TargetMode="External" Id="rId2314" /><Relationship Type="http://schemas.openxmlformats.org/officeDocument/2006/relationships/hyperlink" Target="MAILTO:info@dari.mt" TargetMode="External" Id="rId2315" /><Relationship Type="http://schemas.openxmlformats.org/officeDocument/2006/relationships/hyperlink" Target="MAILTO:info@satariano.com" TargetMode="External" Id="rId2316" /><Relationship Type="http://schemas.openxmlformats.org/officeDocument/2006/relationships/hyperlink" Target="MAILTO:sales@karrari.shop" TargetMode="External" Id="rId2317" /><Relationship Type="http://schemas.openxmlformats.org/officeDocument/2006/relationships/hyperlink" Target="MAILTO:info@dinofino.com" TargetMode="External" Id="rId2318" /><Relationship Type="http://schemas.openxmlformats.org/officeDocument/2006/relationships/hyperlink" Target="MAILTO:info@borgegroup.com" TargetMode="External" Id="rId2319" /><Relationship Type="http://schemas.openxmlformats.org/officeDocument/2006/relationships/hyperlink" Target="MAILTO:info@bondsmalta.com" TargetMode="External" Id="rId2320" /><Relationship Type="http://schemas.openxmlformats.org/officeDocument/2006/relationships/hyperlink" Target="MAILTO:info@immaginecasamalta.com" TargetMode="External" Id="rId2321" /><Relationship Type="http://schemas.openxmlformats.org/officeDocument/2006/relationships/hyperlink" Target="MAILTO:info@ferraramalta.com" TargetMode="External" Id="rId2322" /><Relationship Type="http://schemas.openxmlformats.org/officeDocument/2006/relationships/hyperlink" Target="MAILTO:info@constructfurniture.com.mt" TargetMode="External" Id="rId2323" /><Relationship Type="http://schemas.openxmlformats.org/officeDocument/2006/relationships/hyperlink" Target="MAILTO:sales@maltashopper.com" TargetMode="External" Id="rId2324" /><Relationship Type="http://schemas.openxmlformats.org/officeDocument/2006/relationships/hyperlink" Target="MAILTO:info@orienta.com.mt" TargetMode="External" Id="rId2325" /><Relationship Type="http://schemas.openxmlformats.org/officeDocument/2006/relationships/hyperlink" Target="MAILTO:info@azeta.com.mt" TargetMode="External" Id="rId2326" /><Relationship Type="http://schemas.openxmlformats.org/officeDocument/2006/relationships/hyperlink" Target="MAILTO:danwoodworks@yahoo.co.uk" TargetMode="External" Id="rId2327" /><Relationship Type="http://schemas.openxmlformats.org/officeDocument/2006/relationships/hyperlink" Target="MAILTO:sales@maltadiy.com" TargetMode="External" Id="rId2328" /><Relationship Type="http://schemas.openxmlformats.org/officeDocument/2006/relationships/hyperlink" Target="MAILTO:homistic@yahoo.com" TargetMode="External" Id="rId2329" /><Relationship Type="http://schemas.openxmlformats.org/officeDocument/2006/relationships/hyperlink" Target="MAILTO:info@styleinterni.com" TargetMode="External" Id="rId2330" /><Relationship Type="http://schemas.openxmlformats.org/officeDocument/2006/relationships/hyperlink" Target="MAILTO:info@arkomalta.com" TargetMode="External" Id="rId2331" /><Relationship Type="http://schemas.openxmlformats.org/officeDocument/2006/relationships/hyperlink" Target="MAILTO:info@luksfurniture.com" TargetMode="External" Id="rId2332" /><Relationship Type="http://schemas.openxmlformats.org/officeDocument/2006/relationships/hyperlink" Target="MAILTO:sales@euroimjsm.com" TargetMode="External" Id="rId2333" /><Relationship Type="http://schemas.openxmlformats.org/officeDocument/2006/relationships/hyperlink" Target="MAILTO:info@luxonas.com" TargetMode="External" Id="rId2334" /><Relationship Type="http://schemas.openxmlformats.org/officeDocument/2006/relationships/hyperlink" Target="MAILTO:sales@lingonberries.eu" TargetMode="External" Id="rId2335" /><Relationship Type="http://schemas.openxmlformats.org/officeDocument/2006/relationships/hyperlink" Target="MAILTO:info@boconcept.com.mt" TargetMode="External" Id="rId2336" /><Relationship Type="http://schemas.openxmlformats.org/officeDocument/2006/relationships/hyperlink" Target="MAILTO:info@loft.com.mt" TargetMode="External" Id="rId2337" /><Relationship Type="http://schemas.openxmlformats.org/officeDocument/2006/relationships/hyperlink" Target="MAILTO:pdgl1969@gmail.com" TargetMode="External" Id="rId2338" /><Relationship Type="http://schemas.openxmlformats.org/officeDocument/2006/relationships/hyperlink" Target="MAILTO:newlineliving@gmail.com" TargetMode="External" Id="rId2339" /><Relationship Type="http://schemas.openxmlformats.org/officeDocument/2006/relationships/hyperlink" Target="https://www.google.com/maps/search/?api=1&amp;query=Malta%20Design%0A33%20Triq%20l-Oleandru%20%2C%0ASan%20Giljan%2C%20Malta" TargetMode="External" Id="rId2340" /><Relationship Type="http://schemas.openxmlformats.org/officeDocument/2006/relationships/hyperlink" Target="https://www.google.com/maps/search/?api=1&amp;query=JoinwellFXB%2C%0ATriq%20il-Mithna%2C%20Central%20Business%20District%2C%0AQormi%2C%20CBD%205090" TargetMode="External" Id="rId2341" /><Relationship Type="http://schemas.openxmlformats.org/officeDocument/2006/relationships/hyperlink" Target="https://www.google.com/maps/search/?api=1&amp;query=Triq%20tal-Balal%2C%20San%20Gwann%2C%20Malta" TargetMode="External" Id="rId2342" /><Relationship Type="http://schemas.openxmlformats.org/officeDocument/2006/relationships/hyperlink" Target="https://www.google.com/maps/search/?api=1&amp;query=Proman%20Interiors%2C%0A115%2C%20Valley%20Road%2C%0AB%27Kara.%20BKR%209022.%0AMalta." TargetMode="External" Id="rId2343" /><Relationship Type="http://schemas.openxmlformats.org/officeDocument/2006/relationships/hyperlink" Target="https://www.google.com/maps/search/?api=1&amp;query=Fino%20Buildings%2C%0ATriq%20l-Imdina%2C%20Zone%204%2C%0AMriehel%2FCentral%20Business%20District%0ACBD%204010%2C%20Malta" TargetMode="External" Id="rId2344" /><Relationship Type="http://schemas.openxmlformats.org/officeDocument/2006/relationships/hyperlink" Target="https://www.google.com/maps/search/?api=1&amp;query=Power%20House%2C%2013%2C%0ACensu%20Bugeja%20Street%2C%0ABirkirkara%2C%20Malta" TargetMode="External" Id="rId2345" /><Relationship Type="http://schemas.openxmlformats.org/officeDocument/2006/relationships/hyperlink" Target="https://www.google.com/maps/search/?api=1&amp;query=Fairdeal%20Furniture%20Malta%20LTD%0AMdina%20Road%0AZebbug%2C%20Malta" TargetMode="External" Id="rId2346" /><Relationship Type="http://schemas.openxmlformats.org/officeDocument/2006/relationships/hyperlink" Target="https://www.google.com/maps/search/?api=1&amp;query=Domestica%20Complex%2C%20Level%201%2C%20Valley%20Road%0AMsida%2C%20MSD%209091%2C%20Malta" TargetMode="External" Id="rId2347" /><Relationship Type="http://schemas.openxmlformats.org/officeDocument/2006/relationships/hyperlink" Target="https://www.google.com/maps/search/?api=1&amp;query=Valley%20Road%0AMsida%20MSD%209022" TargetMode="External" Id="rId2348" /><Relationship Type="http://schemas.openxmlformats.org/officeDocument/2006/relationships/hyperlink" Target="https://www.google.com/maps/search/?api=1&amp;query=Mdina%20Road%2C%20Attard" TargetMode="External" Id="rId2349" /><Relationship Type="http://schemas.openxmlformats.org/officeDocument/2006/relationships/hyperlink" Target="https://www.google.com/maps/search/?api=1&amp;query=159%2C%20Tip%20Top%20Buildings%2C%0ASt%20Thomas%20Street%2C%20Fgura%2C%20%20FGR1605" TargetMode="External" Id="rId2350" /><Relationship Type="http://schemas.openxmlformats.org/officeDocument/2006/relationships/hyperlink" Target="https://www.google.com/maps/search/?api=1&amp;query=OK%20Home%2C%20Pantar%20Road%2C%0ALija%2C%20Malta" TargetMode="External" Id="rId2351" /><Relationship Type="http://schemas.openxmlformats.org/officeDocument/2006/relationships/hyperlink" Target="https://www.google.com/maps/search/?api=1&amp;query=The%20Atrium%2C%20Giovanni%20Felice%20Street%2C%20Zone%203%2C%20Central%20Business%20District%2C%20Birkirkara%20CBD%203120" TargetMode="External" Id="rId2352" /><Relationship Type="http://schemas.openxmlformats.org/officeDocument/2006/relationships/hyperlink" Target="https://www.google.com/maps/search/?api=1&amp;query=Homemate%20Mriehel" TargetMode="External" Id="rId2353" /><Relationship Type="http://schemas.openxmlformats.org/officeDocument/2006/relationships/hyperlink" Target="https://www.google.com/maps/search/?api=1&amp;query=Triq%20il-Wied%20Ta%27%20L-Imsida%2C%20L-Imsida" TargetMode="External" Id="rId2354" /><Relationship Type="http://schemas.openxmlformats.org/officeDocument/2006/relationships/hyperlink" Target="https://www.google.com/maps/search/?api=1&amp;query=Triq%20L-Imdina%2C%0AZone%202%2C%20Central%20Business%20District%2C%0ABirkirkara%20CBD%202010%2C%20Malta" TargetMode="External" Id="rId2355" /><Relationship Type="http://schemas.openxmlformats.org/officeDocument/2006/relationships/hyperlink" Target="https://www.google.com/maps/search/?api=1&amp;query=Triq-Il%20Mosta%2C%20Lija%2C%20Malta" TargetMode="External" Id="rId2356" /><Relationship Type="http://schemas.openxmlformats.org/officeDocument/2006/relationships/hyperlink" Target="https://www.google.com/maps/search/?api=1&amp;query=BDI%2C%201%2C%20Triq%20Pietru%20Felici%2C%20Qormi%2C%20Malta" TargetMode="External" Id="rId2357" /><Relationship Type="http://schemas.openxmlformats.org/officeDocument/2006/relationships/hyperlink" Target="https://www.google.com/maps/search/?api=1&amp;query=Industrial%20Estate%0A%C4%A6andaq%20Qormi%2C%0AQRM%204000%2C%20Malta" TargetMode="External" Id="rId2358" /><Relationship Type="http://schemas.openxmlformats.org/officeDocument/2006/relationships/hyperlink" Target="https://www.google.com/maps/search/?api=1&amp;query=122%2C%20Msida%20Valley%20Road%20B%E2%80%99kara%20BKR%209024" TargetMode="External" Id="rId2359" /><Relationship Type="http://schemas.openxmlformats.org/officeDocument/2006/relationships/hyperlink" Target="https://www.google.com/maps/search/?api=1&amp;query=Karrari%20%28Showroom%29%2C%20Avenue%2077%2C%20Commerce%20Street%2C%20Central%20Business%20District%2C%20%2C%20Birkirkara%2C%20Malta" TargetMode="External" Id="rId2360" /><Relationship Type="http://schemas.openxmlformats.org/officeDocument/2006/relationships/hyperlink" Target="https://www.google.com/maps/search/?api=1&amp;query=Dino%20Fino%20Home%20%2B%20Contract%2C%20Msida%2C%20Valley%20Road%2C%20Birkirkara%2C%20Birkirkara%2C%20Malta" TargetMode="External" Id="rId2361" /><Relationship Type="http://schemas.openxmlformats.org/officeDocument/2006/relationships/hyperlink" Target="https://www.google.com/maps/search/?api=1&amp;query=Bond%E2%80%99s%20Limited%20Mdina%20Road%2C%20Attard%2C%20ATD%209039" TargetMode="External" Id="rId2362" /><Relationship Type="http://schemas.openxmlformats.org/officeDocument/2006/relationships/hyperlink" Target="https://www.google.com/maps/search/?api=1&amp;query=Valley%20Road%2C%20Birkirkara%2C%20Malta." TargetMode="External" Id="rId2363" /><Relationship Type="http://schemas.openxmlformats.org/officeDocument/2006/relationships/hyperlink" Target="https://www.google.com/maps/search/?api=1&amp;query=Ferraracasa%20Warehouse%0ATriq%20is-Salib%20ta%20l-Mriehel%0ACBD3020%20Birkirkara%0AMalta" TargetMode="External" Id="rId2364" /><Relationship Type="http://schemas.openxmlformats.org/officeDocument/2006/relationships/hyperlink" Target="https://www.google.com/maps/search/?api=1&amp;query=40%2C%20Industrial%20Estate%2C%20Luqa%0ALQA%203000%2C%20Malta" TargetMode="External" Id="rId2365" /><Relationship Type="http://schemas.openxmlformats.org/officeDocument/2006/relationships/hyperlink" Target="https://www.google.com/maps/search/?api=1&amp;query=162%20Cannon%20Road%2C%20Santa%20Venera%2C%0ASVR%209034%2C%20Malta" TargetMode="External" Id="rId2366" /><Relationship Type="http://schemas.openxmlformats.org/officeDocument/2006/relationships/hyperlink" Target="https://www.google.com/maps/search/?api=1&amp;query=Triq%20L-Imdina%2C%20Zone%202%20Central%20Business%20District%2C%20Birkirkara%20CBD%202010%2C%20Malta" TargetMode="External" Id="rId2367" /><Relationship Type="http://schemas.openxmlformats.org/officeDocument/2006/relationships/hyperlink" Target="https://www.google.com/maps/search/?api=1&amp;query=Azeta%20Limited%0A354%20Cannon%20Road%2C%0ASt%20Venera%0ASVR9033%0AMalta" TargetMode="External" Id="rId2368" /><Relationship Type="http://schemas.openxmlformats.org/officeDocument/2006/relationships/hyperlink" Target="https://www.google.com/maps/search/?api=1&amp;query=86%0ATriq%20Valletta%0AHal%20Luqa%0AMalta%20%20LQA%201762" TargetMode="External" Id="rId2369" /><Relationship Type="http://schemas.openxmlformats.org/officeDocument/2006/relationships/hyperlink" Target="https://www.google.com/maps/search/?api=1&amp;query=Baldacchino%20Building%20B%2C%20Triq%20Il-Belt%20Valletta%2C%20Zurrieq" TargetMode="External" Id="rId2370" /><Relationship Type="http://schemas.openxmlformats.org/officeDocument/2006/relationships/hyperlink" Target="https://www.google.com/maps/search/?api=1&amp;query=22%2F23%20Triq%20hal%20mula%20Haz-zebbug%20ZBG" TargetMode="External" Id="rId2371" /><Relationship Type="http://schemas.openxmlformats.org/officeDocument/2006/relationships/hyperlink" Target="https://www.google.com/maps/search/?api=1&amp;query=260%20Old%20Railway%20Track%2C%20Santa%20Venera%20SVR%209019" TargetMode="External" Id="rId2372" /><Relationship Type="http://schemas.openxmlformats.org/officeDocument/2006/relationships/hyperlink" Target="https://www.google.com/maps/search/?api=1&amp;query=Triq%20is-Salib%20Ta%27%20l-Imriehel%0ABusiness%20District%0AMriehel" TargetMode="External" Id="rId2373" /><Relationship Type="http://schemas.openxmlformats.org/officeDocument/2006/relationships/hyperlink" Target="https://www.google.com/maps/search/?api=1&amp;query=Luks%20Furniture%2C%20Triq%20L-Imdina%2C%20Attard" TargetMode="External" Id="rId2374" /><Relationship Type="http://schemas.openxmlformats.org/officeDocument/2006/relationships/hyperlink" Target="https://www.google.com/maps/search/?api=1&amp;query=2%2C%20Industrial%20Estate%0AMdina%20Road%0AAttard%2C%20ATD3000" TargetMode="External" Id="rId2375" /><Relationship Type="http://schemas.openxmlformats.org/officeDocument/2006/relationships/hyperlink" Target="https://www.google.com/maps/search/?api=1&amp;query=Triq%20L-Mdina%2C%20Haz-Zebbug%2C%20ZBG09018" TargetMode="External" Id="rId2376" /><Relationship Type="http://schemas.openxmlformats.org/officeDocument/2006/relationships/hyperlink" Target="https://www.google.com/maps/search/?api=1&amp;query=27%20Triq%20Wignacourt%2C%20Birkirkara" TargetMode="External" Id="rId2377" /><Relationship Type="http://schemas.openxmlformats.org/officeDocument/2006/relationships/hyperlink" Target="https://malta-design.com" TargetMode="External" Id="rId2378" /><Relationship Type="http://schemas.openxmlformats.org/officeDocument/2006/relationships/hyperlink" Target="https://joinwell.com.mt/" TargetMode="External" Id="rId2379" /><Relationship Type="http://schemas.openxmlformats.org/officeDocument/2006/relationships/hyperlink" Target="https://brands.com.mt/" TargetMode="External" Id="rId2380" /><Relationship Type="http://schemas.openxmlformats.org/officeDocument/2006/relationships/hyperlink" Target="https://promaninteriors.com/" TargetMode="External" Id="rId2381" /><Relationship Type="http://schemas.openxmlformats.org/officeDocument/2006/relationships/hyperlink" Target="https://fino.com.mt/" TargetMode="External" Id="rId2382" /><Relationship Type="http://schemas.openxmlformats.org/officeDocument/2006/relationships/hyperlink" Target="https://powerhousemalta.eu/" TargetMode="External" Id="rId2383" /><Relationship Type="http://schemas.openxmlformats.org/officeDocument/2006/relationships/hyperlink" Target="https://fairdealfurniture.com.mt/" TargetMode="External" Id="rId2384" /><Relationship Type="http://schemas.openxmlformats.org/officeDocument/2006/relationships/hyperlink" Target="https://domestica.com.mt/" TargetMode="External" Id="rId2385" /><Relationship Type="http://schemas.openxmlformats.org/officeDocument/2006/relationships/hyperlink" Target="https://onepercent.com.mt/" TargetMode="External" Id="rId2386" /><Relationship Type="http://schemas.openxmlformats.org/officeDocument/2006/relationships/hyperlink" Target="https://distincthomes.com.mt/" TargetMode="External" Id="rId2387" /><Relationship Type="http://schemas.openxmlformats.org/officeDocument/2006/relationships/hyperlink" Target="https://indexmalta.com/" TargetMode="External" Id="rId2388" /><Relationship Type="http://schemas.openxmlformats.org/officeDocument/2006/relationships/hyperlink" Target="https://okhome.com.mt/" TargetMode="External" Id="rId2389" /><Relationship Type="http://schemas.openxmlformats.org/officeDocument/2006/relationships/hyperlink" Target="https://theatrium.com.mt/living" TargetMode="External" Id="rId2390" /><Relationship Type="http://schemas.openxmlformats.org/officeDocument/2006/relationships/hyperlink" Target="https://homemate.com.mt/" TargetMode="External" Id="rId2391" /><Relationship Type="http://schemas.openxmlformats.org/officeDocument/2006/relationships/hyperlink" Target="https://form.com.mt/living/" TargetMode="External" Id="rId2392" /><Relationship Type="http://schemas.openxmlformats.org/officeDocument/2006/relationships/hyperlink" Target="https://oxfordhouse.com.mt/" TargetMode="External" Id="rId2393" /><Relationship Type="http://schemas.openxmlformats.org/officeDocument/2006/relationships/hyperlink" Target="https://jysk.com.mt/" TargetMode="External" Id="rId2394" /><Relationship Type="http://schemas.openxmlformats.org/officeDocument/2006/relationships/hyperlink" Target="https://homesbybdi.com/en/home" TargetMode="External" Id="rId2395" /><Relationship Type="http://schemas.openxmlformats.org/officeDocument/2006/relationships/hyperlink" Target="https://dari.mt/living-rooms/" TargetMode="External" Id="rId2396" /><Relationship Type="http://schemas.openxmlformats.org/officeDocument/2006/relationships/hyperlink" Target="https://satariano.com/" TargetMode="External" Id="rId2397" /><Relationship Type="http://schemas.openxmlformats.org/officeDocument/2006/relationships/hyperlink" Target="https://karrari.shop/" TargetMode="External" Id="rId2398" /><Relationship Type="http://schemas.openxmlformats.org/officeDocument/2006/relationships/hyperlink" Target="https://dinofino.com/" TargetMode="External" Id="rId2399" /><Relationship Type="http://schemas.openxmlformats.org/officeDocument/2006/relationships/hyperlink" Target="https://borgegroup.com/" TargetMode="External" Id="rId2400" /><Relationship Type="http://schemas.openxmlformats.org/officeDocument/2006/relationships/hyperlink" Target="https://bondsmalta.com/" TargetMode="External" Id="rId2401" /><Relationship Type="http://schemas.openxmlformats.org/officeDocument/2006/relationships/hyperlink" Target="https://immaginecasamalta.com/living-2/" TargetMode="External" Id="rId2402" /><Relationship Type="http://schemas.openxmlformats.org/officeDocument/2006/relationships/hyperlink" Target="https://ferraramalta.com/" TargetMode="External" Id="rId2403" /><Relationship Type="http://schemas.openxmlformats.org/officeDocument/2006/relationships/hyperlink" Target="https://constructfurniture.com.mt/contact-us/" TargetMode="External" Id="rId2404" /><Relationship Type="http://schemas.openxmlformats.org/officeDocument/2006/relationships/hyperlink" Target="https://maltashopper.com/" TargetMode="External" Id="rId2405" /><Relationship Type="http://schemas.openxmlformats.org/officeDocument/2006/relationships/hyperlink" Target="https://orienta.mt/" TargetMode="External" Id="rId2406" /><Relationship Type="http://schemas.openxmlformats.org/officeDocument/2006/relationships/hyperlink" Target="https://azeta.com.mt/pages/contact" TargetMode="External" Id="rId2407" /><Relationship Type="http://schemas.openxmlformats.org/officeDocument/2006/relationships/hyperlink" Target="https://danielwoodworksmalta.com/en/home.htm" TargetMode="External" Id="rId2408" /><Relationship Type="http://schemas.openxmlformats.org/officeDocument/2006/relationships/hyperlink" Target="https://maltadiy.com/product-category/lights-and-tech/lights/" TargetMode="External" Id="rId2409" /><Relationship Type="http://schemas.openxmlformats.org/officeDocument/2006/relationships/hyperlink" Target="https://homisticrooms.com/" TargetMode="External" Id="rId2410" /><Relationship Type="http://schemas.openxmlformats.org/officeDocument/2006/relationships/hyperlink" Target="https://styleinterni.com/" TargetMode="External" Id="rId2411" /><Relationship Type="http://schemas.openxmlformats.org/officeDocument/2006/relationships/hyperlink" Target="https://arkomalta.com/" TargetMode="External" Id="rId2412" /><Relationship Type="http://schemas.openxmlformats.org/officeDocument/2006/relationships/hyperlink" Target="https://luksfurniture.com/" TargetMode="External" Id="rId2413" /><Relationship Type="http://schemas.openxmlformats.org/officeDocument/2006/relationships/hyperlink" Target="https://euroimjsm.com/" TargetMode="External" Id="rId2414" /><Relationship Type="http://schemas.openxmlformats.org/officeDocument/2006/relationships/hyperlink" Target="https://luxonas.com/" TargetMode="External" Id="rId2415" /><Relationship Type="http://schemas.openxmlformats.org/officeDocument/2006/relationships/hyperlink" Target="https://lingonberries.mt/" TargetMode="External" Id="rId2416" /><Relationship Type="http://schemas.openxmlformats.org/officeDocument/2006/relationships/hyperlink" Target="https://boconcept.com/en-mt/" TargetMode="External" Id="rId2417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hyperlink" Target="MAILTO:sales@pmhobby.com.mt" TargetMode="External" Id="rId2418" /><Relationship Type="http://schemas.openxmlformats.org/officeDocument/2006/relationships/hyperlink" Target="MAILTO:info@designhubmalta.com.mt" TargetMode="External" Id="rId2419" /><Relationship Type="http://schemas.openxmlformats.org/officeDocument/2006/relationships/hyperlink" Target="MAILTO:customer@devalier.com.mt" TargetMode="External" Id="rId2420" /><Relationship Type="http://schemas.openxmlformats.org/officeDocument/2006/relationships/hyperlink" Target="MAILTO:info@deffurniture.com" TargetMode="External" Id="rId2421" /><Relationship Type="http://schemas.openxmlformats.org/officeDocument/2006/relationships/hyperlink" Target="MAILTO:info@constructfurniture.com.mt" TargetMode="External" Id="rId2422" /><Relationship Type="http://schemas.openxmlformats.org/officeDocument/2006/relationships/hyperlink" Target="MAILTO:info@jcrfurniture.com" TargetMode="External" Id="rId2423" /><Relationship Type="http://schemas.openxmlformats.org/officeDocument/2006/relationships/hyperlink" Target="MAILTO:thecustomworkshop@gmail.com" TargetMode="External" Id="rId2424" /><Relationship Type="http://schemas.openxmlformats.org/officeDocument/2006/relationships/hyperlink" Target="MAILTO:info@ametsfurniture.com" TargetMode="External" Id="rId2425" /><Relationship Type="http://schemas.openxmlformats.org/officeDocument/2006/relationships/hyperlink" Target="MAILTO:info@ts-malta.com" TargetMode="External" Id="rId2426" /><Relationship Type="http://schemas.openxmlformats.org/officeDocument/2006/relationships/hyperlink" Target="MAILTO:info@jdsfurniture.com" TargetMode="External" Id="rId2427" /><Relationship Type="http://schemas.openxmlformats.org/officeDocument/2006/relationships/hyperlink" Target="MAILTO:jasoakwalnut@yahoo.com" TargetMode="External" Id="rId2428" /><Relationship Type="http://schemas.openxmlformats.org/officeDocument/2006/relationships/hyperlink" Target="MAILTO:candmww@gmail.com" TargetMode="External" Id="rId2429" /><Relationship Type="http://schemas.openxmlformats.org/officeDocument/2006/relationships/hyperlink" Target="MAILTO:contact@kibitec.com" TargetMode="External" Id="rId2430" /><Relationship Type="http://schemas.openxmlformats.org/officeDocument/2006/relationships/hyperlink" Target="MAILTO:infodesk@form.com.mt" TargetMode="External" Id="rId2431" /><Relationship Type="http://schemas.openxmlformats.org/officeDocument/2006/relationships/hyperlink" Target="MAILTO:kasa.arreda@gmail.com" TargetMode="External" Id="rId2432" /><Relationship Type="http://schemas.openxmlformats.org/officeDocument/2006/relationships/hyperlink" Target="MAILTO:info@lupa.mt" TargetMode="External" Id="rId2433" /><Relationship Type="http://schemas.openxmlformats.org/officeDocument/2006/relationships/hyperlink" Target="MAILTO:info@dari.mt" TargetMode="External" Id="rId2434" /><Relationship Type="http://schemas.openxmlformats.org/officeDocument/2006/relationships/hyperlink" Target="MAILTO:info@trendsltdmalta.com" TargetMode="External" Id="rId2435" /><Relationship Type="http://schemas.openxmlformats.org/officeDocument/2006/relationships/hyperlink" Target="MAILTO:chrissaliba295@gmail.com" TargetMode="External" Id="rId2436" /><Relationship Type="http://schemas.openxmlformats.org/officeDocument/2006/relationships/hyperlink" Target="MAILTO:info@paultarget.com" TargetMode="External" Id="rId2437" /><Relationship Type="http://schemas.openxmlformats.org/officeDocument/2006/relationships/hyperlink" Target="MAILTO:info@fairdealfurniture.com.mt" TargetMode="External" Id="rId2438" /><Relationship Type="http://schemas.openxmlformats.org/officeDocument/2006/relationships/hyperlink" Target="MAILTO:info@ferraramalta.com" TargetMode="External" Id="rId2439" /><Relationship Type="http://schemas.openxmlformats.org/officeDocument/2006/relationships/hyperlink" Target="MAILTO:info@dinofino.com" TargetMode="External" Id="rId2440" /><Relationship Type="http://schemas.openxmlformats.org/officeDocument/2006/relationships/hyperlink" Target="MAILTO:monlung@onvol.net" TargetMode="External" Id="rId2441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hyperlink" Target="MAILTO:info@brands.com.mt" TargetMode="External" Id="rId2442" /><Relationship Type="http://schemas.openxmlformats.org/officeDocument/2006/relationships/hyperlink" Target="MAILTO:info@okhome.com.mt" TargetMode="External" Id="rId2443" /><Relationship Type="http://schemas.openxmlformats.org/officeDocument/2006/relationships/hyperlink" Target="MAILTO:protrade@protrademalta.com" TargetMode="External" Id="rId2444" /><Relationship Type="http://schemas.openxmlformats.org/officeDocument/2006/relationships/hyperlink" Target="MAILTO:info@dinofino.com" TargetMode="External" Id="rId2445" /><Relationship Type="http://schemas.openxmlformats.org/officeDocument/2006/relationships/hyperlink" Target="MAILTO:you@camilleriparismode.com" TargetMode="External" Id="rId2446" /><Relationship Type="http://schemas.openxmlformats.org/officeDocument/2006/relationships/hyperlink" Target="MAILTO:sales@patroleamalta.com" TargetMode="External" Id="rId2447" /><Relationship Type="http://schemas.openxmlformats.org/officeDocument/2006/relationships/hyperlink" Target="MAILTO:jysk@jysk.com.mt" TargetMode="External" Id="rId2448" /><Relationship Type="http://schemas.openxmlformats.org/officeDocument/2006/relationships/hyperlink" Target="MAILTO:peter@gdl.com.mt" TargetMode="External" Id="rId2449" /><Relationship Type="http://schemas.openxmlformats.org/officeDocument/2006/relationships/hyperlink" Target="MAILTO:contactus@theatrium.com.mt" TargetMode="External" Id="rId2450" /><Relationship Type="http://schemas.openxmlformats.org/officeDocument/2006/relationships/hyperlink" Target="MAILTO:info@piscopogardens.com" TargetMode="External" Id="rId2451" /><Relationship Type="http://schemas.openxmlformats.org/officeDocument/2006/relationships/hyperlink" Target="MAILTO:home@jpitre.com" TargetMode="External" Id="rId2452" /><Relationship Type="http://schemas.openxmlformats.org/officeDocument/2006/relationships/hyperlink" Target="MAILTO:info@chlmalta.com" TargetMode="External" Id="rId2453" /><Relationship Type="http://schemas.openxmlformats.org/officeDocument/2006/relationships/hyperlink" Target="MAILTO:info@rattatanshop.mt" TargetMode="External" Id="rId2454" /><Relationship Type="http://schemas.openxmlformats.org/officeDocument/2006/relationships/hyperlink" Target="MAILTO:dicalgroup@gmail.com" TargetMode="External" Id="rId2455" /><Relationship Type="http://schemas.openxmlformats.org/officeDocument/2006/relationships/hyperlink" Target="MAILTO:sales@maltashopper.com" TargetMode="External" Id="rId2456" /><Relationship Type="http://schemas.openxmlformats.org/officeDocument/2006/relationships/hyperlink" Target="MAILTO:shop@hometrends.com.mt" TargetMode="External" Id="rId2457" /><Relationship Type="http://schemas.openxmlformats.org/officeDocument/2006/relationships/hyperlink" Target="MAILTO:info@sherriesestates.com" TargetMode="External" Id="rId2458" /><Relationship Type="http://schemas.openxmlformats.org/officeDocument/2006/relationships/hyperlink" Target="MAILTO:mosta@homemate.com.mt" TargetMode="External" Id="rId2459" /><Relationship Type="http://schemas.openxmlformats.org/officeDocument/2006/relationships/hyperlink" Target="MAILTO:sales@tabonedirect.com" TargetMode="External" Id="rId2460" /><Relationship Type="http://schemas.openxmlformats.org/officeDocument/2006/relationships/hyperlink" Target="MAILTO:info@khsmalta.com" TargetMode="External" Id="rId2461" /><Relationship Type="http://schemas.openxmlformats.org/officeDocument/2006/relationships/hyperlink" Target="MAILTO:info@pcs.com.mt" TargetMode="External" Id="rId2462" /><Relationship Type="http://schemas.openxmlformats.org/officeDocument/2006/relationships/hyperlink" Target="MAILTO:info@arkomalta.com" TargetMode="External" Id="rId2463" /><Relationship Type="http://schemas.openxmlformats.org/officeDocument/2006/relationships/hyperlink" Target="MAILTO:ronaldmarmara@gmail.com" TargetMode="External" Id="rId2464" /><Relationship Type="http://schemas.openxmlformats.org/officeDocument/2006/relationships/hyperlink" Target="MAILTO:info@bigmatmalta.com" TargetMode="External" Id="rId2465" /><Relationship Type="http://schemas.openxmlformats.org/officeDocument/2006/relationships/hyperlink" Target="MAILTO:customercare@butlers.com.mt" TargetMode="External" Id="rId2466" /><Relationship Type="http://schemas.openxmlformats.org/officeDocument/2006/relationships/hyperlink" Target="MAILTO:newlineliving@gmail.com" TargetMode="External" Id="rId2467" /><Relationship Type="http://schemas.openxmlformats.org/officeDocument/2006/relationships/hyperlink" Target="MAILTO:info@fbpmalta.com" TargetMode="External" Id="rId2468" /><Relationship Type="http://schemas.openxmlformats.org/officeDocument/2006/relationships/hyperlink" Target="MAILTO:you@camilleriparismode.com" TargetMode="External" Id="rId2469" /><Relationship Type="http://schemas.openxmlformats.org/officeDocument/2006/relationships/hyperlink" Target="MAILTO:sales@patroleamalta.com" TargetMode="External" Id="rId2470" /><Relationship Type="http://schemas.openxmlformats.org/officeDocument/2006/relationships/hyperlink" Target="MAILTO:protrade@protrademalta.com" TargetMode="External" Id="rId2471" /><Relationship Type="http://schemas.openxmlformats.org/officeDocument/2006/relationships/hyperlink" Target="MAILTO:info@piscopogardens.com" TargetMode="External" Id="rId2472" /><Relationship Type="http://schemas.openxmlformats.org/officeDocument/2006/relationships/hyperlink" Target="MAILTO:sciclunarennie@gmail.com" TargetMode="External" Id="rId2473" /><Relationship Type="http://schemas.openxmlformats.org/officeDocument/2006/relationships/hyperlink" Target="MAILTO:info@chlmalta.com" TargetMode="External" Id="rId2474" /><Relationship Type="http://schemas.openxmlformats.org/officeDocument/2006/relationships/hyperlink" Target="MAILTO:peter@gdl.com.mt" TargetMode="External" Id="rId2475" /><Relationship Type="http://schemas.openxmlformats.org/officeDocument/2006/relationships/hyperlink" Target="MAILTO:dicalgroup@gmail.com" TargetMode="External" Id="rId2476" /><Relationship Type="http://schemas.openxmlformats.org/officeDocument/2006/relationships/hyperlink" Target="MAILTO:shop@hometrends.com.mt" TargetMode="External" Id="rId2477" /><Relationship Type="http://schemas.openxmlformats.org/officeDocument/2006/relationships/hyperlink" Target="MAILTO:info@okhome.com.mt" TargetMode="External" Id="rId2478" /><Relationship Type="http://schemas.openxmlformats.org/officeDocument/2006/relationships/hyperlink" Target="MAILTO:protrade@protrademalta.com" TargetMode="External" Id="rId2479" /><Relationship Type="http://schemas.openxmlformats.org/officeDocument/2006/relationships/hyperlink" Target="MAILTO:sales@tabonedirect.com" TargetMode="External" Id="rId2480" /><Relationship Type="http://schemas.openxmlformats.org/officeDocument/2006/relationships/hyperlink" Target="MAILTO:info@bigmatmalta.com" TargetMode="External" Id="rId2481" /><Relationship Type="http://schemas.openxmlformats.org/officeDocument/2006/relationships/hyperlink" Target="MAILTO:info@dinofino.com" TargetMode="External" Id="rId2482" /><Relationship Type="http://schemas.openxmlformats.org/officeDocument/2006/relationships/hyperlink" Target="MAILTO:info@khsmalta.com" TargetMode="External" Id="rId2483" /><Relationship Type="http://schemas.openxmlformats.org/officeDocument/2006/relationships/hyperlink" Target="MAILTO:info@pcs.com.mt" TargetMode="External" Id="rId2484" /><Relationship Type="http://schemas.openxmlformats.org/officeDocument/2006/relationships/hyperlink" Target="MAILTO:ronaldmarmara@gmail.com" TargetMode="External" Id="rId2485" /><Relationship Type="http://schemas.openxmlformats.org/officeDocument/2006/relationships/hyperlink" Target="MAILTO:info@fbpmalta.com" TargetMode="External" Id="rId2486" /><Relationship Type="http://schemas.openxmlformats.org/officeDocument/2006/relationships/hyperlink" Target="MAILTO:sales@patroleamalta.com" TargetMode="External" Id="rId2487" /><Relationship Type="http://schemas.openxmlformats.org/officeDocument/2006/relationships/hyperlink" Target="MAILTO:dicalgroup@gmail.com" TargetMode="External" Id="rId2488" /><Relationship Type="http://schemas.openxmlformats.org/officeDocument/2006/relationships/hyperlink" Target="MAILTO:shop@hometrends.com.mt" TargetMode="External" Id="rId2489" /><Relationship Type="http://schemas.openxmlformats.org/officeDocument/2006/relationships/hyperlink" Target="MAILTO:protrade@protrademalta.com" TargetMode="External" Id="rId2490" /><Relationship Type="http://schemas.openxmlformats.org/officeDocument/2006/relationships/hyperlink" Target="MAILTO:info@okhome.com.mt" TargetMode="External" Id="rId2491" /><Relationship Type="http://schemas.openxmlformats.org/officeDocument/2006/relationships/hyperlink" Target="MAILTO:mosta@homemate.com.mt" TargetMode="External" Id="rId2492" /><Relationship Type="http://schemas.openxmlformats.org/officeDocument/2006/relationships/hyperlink" Target="MAILTO:jysk@jysk.com.mt" TargetMode="External" Id="rId2493" /><Relationship Type="http://schemas.openxmlformats.org/officeDocument/2006/relationships/hyperlink" Target="MAILTO:sciclunarennie@gmail.com" TargetMode="External" Id="rId2494" /><Relationship Type="http://schemas.openxmlformats.org/officeDocument/2006/relationships/hyperlink" Target="MAILTO:sales@patroleamalta.com" TargetMode="External" Id="rId2495" /><Relationship Type="http://schemas.openxmlformats.org/officeDocument/2006/relationships/hyperlink" Target="MAILTO:info@brands.com.mt" TargetMode="External" Id="rId2496" /><Relationship Type="http://schemas.openxmlformats.org/officeDocument/2006/relationships/hyperlink" Target="MAILTO:shop@hometrends.com.mt" TargetMode="External" Id="rId2497" /><Relationship Type="http://schemas.openxmlformats.org/officeDocument/2006/relationships/hyperlink" Target="MAILTO:info@calypsomfg.com" TargetMode="External" Id="rId2498" /><Relationship Type="http://schemas.openxmlformats.org/officeDocument/2006/relationships/hyperlink" Target="MAILTO:info@devalier.com.mt" TargetMode="External" Id="rId2499" /><Relationship Type="http://schemas.openxmlformats.org/officeDocument/2006/relationships/hyperlink" Target="MAILTO:protrade@protrademalta.com" TargetMode="External" Id="rId2500" /><Relationship Type="http://schemas.openxmlformats.org/officeDocument/2006/relationships/hyperlink" Target="MAILTO:sales@tabonedirect.com" TargetMode="External" Id="rId2501" /><Relationship Type="http://schemas.openxmlformats.org/officeDocument/2006/relationships/hyperlink" Target="MAILTO:info@piscopogardens.com" TargetMode="External" Id="rId2502" /><Relationship Type="http://schemas.openxmlformats.org/officeDocument/2006/relationships/hyperlink" Target="MAILTO:info@piscopogardens.com" TargetMode="External" Id="rId2503" /><Relationship Type="http://schemas.openxmlformats.org/officeDocument/2006/relationships/hyperlink" Target="MAILTO:info@flowerzonemalta.com" TargetMode="External" Id="rId2504" /><Relationship Type="http://schemas.openxmlformats.org/officeDocument/2006/relationships/hyperlink" Target="MAILTO:parisio@maltanet.net" TargetMode="External" Id="rId2505" /><Relationship Type="http://schemas.openxmlformats.org/officeDocument/2006/relationships/hyperlink" Target="MAILTO:samoaattard14@gmail.com" TargetMode="External" Id="rId2506" /><Relationship Type="http://schemas.openxmlformats.org/officeDocument/2006/relationships/hyperlink" Target="MAILTO:info@innogreens.com" TargetMode="External" Id="rId2507" /><Relationship Type="http://schemas.openxmlformats.org/officeDocument/2006/relationships/hyperlink" Target="MAILTO:info@jardinland.com.mt" TargetMode="External" Id="rId2508" /><Relationship Type="http://schemas.openxmlformats.org/officeDocument/2006/relationships/hyperlink" Target="MAILTO:alanmifsudmt@gmail.com" TargetMode="External" Id="rId2509" /><Relationship Type="http://schemas.openxmlformats.org/officeDocument/2006/relationships/hyperlink" Target="MAILTO:info@sherriesestates.com" TargetMode="External" Id="rId2510" /><Relationship Type="http://schemas.openxmlformats.org/officeDocument/2006/relationships/hyperlink" Target="MAILTO:admin@projectgaia.org" TargetMode="External" Id="rId2511" /><Relationship Type="http://schemas.openxmlformats.org/officeDocument/2006/relationships/hyperlink" Target="MAILTO:info@greenscapes.com.mt" TargetMode="External" Id="rId2512" /><Relationship Type="http://schemas.openxmlformats.org/officeDocument/2006/relationships/hyperlink" Target="MAILTO:info@callusgardencentre.com" TargetMode="External" Id="rId2513" /><Relationship Type="http://schemas.openxmlformats.org/officeDocument/2006/relationships/hyperlink" Target="MAILTO:info@bssagri.com" TargetMode="External" Id="rId2514" /><Relationship Type="http://schemas.openxmlformats.org/officeDocument/2006/relationships/hyperlink" Target="MAILTO:projects@garlandmalta.com" TargetMode="External" Id="rId2515" /><Relationship Type="http://schemas.openxmlformats.org/officeDocument/2006/relationships/hyperlink" Target="MAILTO:customercare@allseasons.mt" TargetMode="External" Id="rId2516" /><Relationship Type="http://schemas.openxmlformats.org/officeDocument/2006/relationships/hyperlink" Target="https://www.google.com/maps/search/?api=1&amp;query=Triq%20tal-Balal%2C%20San%20Gwann" TargetMode="External" Id="rId2517" /><Relationship Type="http://schemas.openxmlformats.org/officeDocument/2006/relationships/hyperlink" Target="https://www.google.com/maps/search/?api=1&amp;query=Triq%20Pantar%2C%20Lija" TargetMode="External" Id="rId2518" /><Relationship Type="http://schemas.openxmlformats.org/officeDocument/2006/relationships/hyperlink" Target="https://www.google.com/maps/search/?api=1&amp;query=Zone%205%20Triq%20Is-Sebh%20Central%20Business%20District%2C%20Qormi" TargetMode="External" Id="rId2519" /><Relationship Type="http://schemas.openxmlformats.org/officeDocument/2006/relationships/hyperlink" Target="https://www.google.com/maps/search/?api=1&amp;query=Triq%20il-Wied%20Ta%27%20L-Imsida%2C%20B%27Kara%2C%20Malta%20BKR%209025" TargetMode="External" Id="rId2520" /><Relationship Type="http://schemas.openxmlformats.org/officeDocument/2006/relationships/hyperlink" Target="https://www.google.com/maps/search/?api=1&amp;query=54%20Triq%20Santa%20Katerina%2C%20Rabat" TargetMode="External" Id="rId2521" /><Relationship Type="http://schemas.openxmlformats.org/officeDocument/2006/relationships/hyperlink" Target="https://www.google.com/maps/search/?api=1&amp;query=Triq%20il-Wied%20ta%27%20I-Imsida%2C%20Msida" TargetMode="External" Id="rId2522" /><Relationship Type="http://schemas.openxmlformats.org/officeDocument/2006/relationships/hyperlink" Target="https://www.google.com/maps/search/?api=1&amp;query=Triq%20il-Mosta%2C%20Lija%2C%20Malta%20LIJA%209012" TargetMode="External" Id="rId2523" /><Relationship Type="http://schemas.openxmlformats.org/officeDocument/2006/relationships/hyperlink" Target="https://www.google.com/maps/search/?api=1&amp;query=70%20Triq%20is-Salib%20tal-Marsa" TargetMode="External" Id="rId2524" /><Relationship Type="http://schemas.openxmlformats.org/officeDocument/2006/relationships/hyperlink" Target="https://www.google.com/maps/search/?api=1&amp;query=Giovanni%20Felice%20Street%2C%20Zone%203%2C%20Central%20Business%20District%2C%20Birkirkara%20CBD%203120" TargetMode="External" Id="rId2525" /><Relationship Type="http://schemas.openxmlformats.org/officeDocument/2006/relationships/hyperlink" Target="https://www.google.com/maps/search/?api=1&amp;query=Triq%20Toni%20Camilleri%2C%20Burmarrad" TargetMode="External" Id="rId2526" /><Relationship Type="http://schemas.openxmlformats.org/officeDocument/2006/relationships/hyperlink" Target="https://www.google.com/maps/search/?api=1&amp;query=Birkirkara" TargetMode="External" Id="rId2527" /><Relationship Type="http://schemas.openxmlformats.org/officeDocument/2006/relationships/hyperlink" Target="https://www.google.com/maps/search/?api=1&amp;query=Mdina%20Road%2C%20Qormi" TargetMode="External" Id="rId2528" /><Relationship Type="http://schemas.openxmlformats.org/officeDocument/2006/relationships/hyperlink" Target="https://www.google.com/maps/search/?api=1&amp;query=Kampanja%20Triq%20in-Nigret%2C%20Rabat" TargetMode="External" Id="rId2529" /><Relationship Type="http://schemas.openxmlformats.org/officeDocument/2006/relationships/hyperlink" Target="https://www.google.com/maps/search/?api=1&amp;query=Sliema%2C%20Malta" TargetMode="External" Id="rId2530" /><Relationship Type="http://schemas.openxmlformats.org/officeDocument/2006/relationships/hyperlink" Target="https://www.google.com/maps/search/?api=1&amp;query=Triq%20Sant%27%20Anton%20Abbati%2C%20Mosta" TargetMode="External" Id="rId2531" /><Relationship Type="http://schemas.openxmlformats.org/officeDocument/2006/relationships/hyperlink" Target="https://www.google.com/maps/search/?api=1&amp;query=Ta%20Ghadajma%20l%2Fo%20Mqabba" TargetMode="External" Id="rId2532" /><Relationship Type="http://schemas.openxmlformats.org/officeDocument/2006/relationships/hyperlink" Target="https://www.google.com/maps/search/?api=1&amp;query=JPR%20Bldgs%20Qasam%20Industrijali%2C%20San%20Gwann" TargetMode="External" Id="rId2533" /><Relationship Type="http://schemas.openxmlformats.org/officeDocument/2006/relationships/hyperlink" Target="https://www.google.com/maps/search/?api=1&amp;query=Burmarrad%20Road%2C%20Burmarrad" TargetMode="External" Id="rId2534" /><Relationship Type="http://schemas.openxmlformats.org/officeDocument/2006/relationships/hyperlink" Target="https://www.google.com/maps/search/?api=1&amp;query=Vjal%2025%20ta%27%20Novembru%2C%20Tal-Barrani%2C%20Zejtun" TargetMode="External" Id="rId2535" /><Relationship Type="http://schemas.openxmlformats.org/officeDocument/2006/relationships/hyperlink" Target="https://www.google.com/maps/search/?api=1&amp;query=Triq%20L-Imprendituri%2C%20Industrial%20Zone%203%2C%20Central%20business%20district%2C%20Birkirkara%2C%20CBD%203090" TargetMode="External" Id="rId2536" /><Relationship Type="http://schemas.openxmlformats.org/officeDocument/2006/relationships/hyperlink" Target="https://www.google.com/maps/search/?api=1&amp;query=54%2C%20Castaldi%20Street%2C%20Zabbar" TargetMode="External" Id="rId2537" /><Relationship Type="http://schemas.openxmlformats.org/officeDocument/2006/relationships/hyperlink" Target="https://www.google.com/maps/search/?api=1&amp;query=31%2C%20Cross%20Road%2C%20Marsa" TargetMode="External" Id="rId2538" /><Relationship Type="http://schemas.openxmlformats.org/officeDocument/2006/relationships/hyperlink" Target="https://www.google.com/maps/search/?api=1&amp;query=Triq%20is-Salib%20Ta%27%20I-Imriehel%20Business%20District%20Mriehel" TargetMode="External" Id="rId2539" /><Relationship Type="http://schemas.openxmlformats.org/officeDocument/2006/relationships/hyperlink" Target="https://www.google.com/maps/search/?api=1&amp;query=210%20Old%20Railway%20Track%2C%20Santa%20Venera" TargetMode="External" Id="rId2540" /><Relationship Type="http://schemas.openxmlformats.org/officeDocument/2006/relationships/hyperlink" Target="https://www.google.com/maps/search/?api=1&amp;query=Industrial%20Zone%2C%20ATD%204000%20Ta%27%20Qali" TargetMode="External" Id="rId2541" /><Relationship Type="http://schemas.openxmlformats.org/officeDocument/2006/relationships/hyperlink" Target="https://www.google.com/maps/search/?api=1&amp;query=Pjazza%20A%20De%20Paule%20Rahal%20Gdid%2C%20PLA%201269" TargetMode="External" Id="rId2542" /><Relationship Type="http://schemas.openxmlformats.org/officeDocument/2006/relationships/hyperlink" Target="https://www.google.com/maps/search/?api=1&amp;query=Triq%20Papa%20Gwanni%20Pawlu%20ll%2C%20Victoria-Gozo%2C%20Gozo%20VCT%209046" TargetMode="External" Id="rId2543" /><Relationship Type="http://schemas.openxmlformats.org/officeDocument/2006/relationships/hyperlink" Target="https://www.google.com/maps/search/?api=1&amp;query=139%2C%20Bajada%20Street%2C%20Zabbar%2C%20Malta" TargetMode="External" Id="rId2544" /><Relationship Type="http://schemas.openxmlformats.org/officeDocument/2006/relationships/hyperlink" Target="https://www.google.com/maps/search/?api=1&amp;query=54%20Triq%20Santa%20Katerina%2C%20Rabat" TargetMode="External" Id="rId2545" /><Relationship Type="http://schemas.openxmlformats.org/officeDocument/2006/relationships/hyperlink" Target="https://www.google.com/maps/search/?api=1&amp;query=Triq%20il-Wied%20ta%27%20I-Imsida%2C%20Msida" TargetMode="External" Id="rId2546" /><Relationship Type="http://schemas.openxmlformats.org/officeDocument/2006/relationships/hyperlink" Target="https://www.google.com/maps/search/?api=1&amp;query=Birkirkara" TargetMode="External" Id="rId2547" /><Relationship Type="http://schemas.openxmlformats.org/officeDocument/2006/relationships/hyperlink" Target="https://www.google.com/maps/search/?api=1&amp;query=Zone%205%20Triq%20Is-Sebh%20Central%20Business%20District%2C%20Qormi" TargetMode="External" Id="rId2548" /><Relationship Type="http://schemas.openxmlformats.org/officeDocument/2006/relationships/hyperlink" Target="https://www.google.com/maps/search/?api=1&amp;query=Triq%20Toni%20Camilleri%2C%20Burmarrad" TargetMode="External" Id="rId2549" /><Relationship Type="http://schemas.openxmlformats.org/officeDocument/2006/relationships/hyperlink" Target="https://www.google.com/maps/search/?api=1&amp;query=Triq%20Hal%20Resqun%2C%20Gudja" TargetMode="External" Id="rId2550" /><Relationship Type="http://schemas.openxmlformats.org/officeDocument/2006/relationships/hyperlink" Target="https://www.google.com/maps/search/?api=1&amp;query=Kampanja%20Triq%20in-Nigret%2C%20Rabat" TargetMode="External" Id="rId2551" /><Relationship Type="http://schemas.openxmlformats.org/officeDocument/2006/relationships/hyperlink" Target="https://www.google.com/maps/search/?api=1&amp;query=70%20Triq%20is-Salib%20tal-Marsa" TargetMode="External" Id="rId2552" /><Relationship Type="http://schemas.openxmlformats.org/officeDocument/2006/relationships/hyperlink" Target="https://www.google.com/maps/search/?api=1&amp;query=Triq%20Sant%27%20Anton%20Abbati%2C%20Mosta" TargetMode="External" Id="rId2553" /><Relationship Type="http://schemas.openxmlformats.org/officeDocument/2006/relationships/hyperlink" Target="https://www.google.com/maps/search/?api=1&amp;query=JPR%20Bldgs%20Qasam%20Industrijali%2C%20San%20Gwann" TargetMode="External" Id="rId2554" /><Relationship Type="http://schemas.openxmlformats.org/officeDocument/2006/relationships/hyperlink" Target="https://www.google.com/maps/search/?api=1&amp;query=Triq%20Pantar%2C%20Lija" TargetMode="External" Id="rId2555" /><Relationship Type="http://schemas.openxmlformats.org/officeDocument/2006/relationships/hyperlink" Target="https://www.google.com/maps/search/?api=1&amp;query=Zone%205%20Triq%20Is-Sebh%20Central%20Business%20District%2C%20Qormi" TargetMode="External" Id="rId2556" /><Relationship Type="http://schemas.openxmlformats.org/officeDocument/2006/relationships/hyperlink" Target="https://www.google.com/maps/search/?api=1&amp;query=Triq%20L-Imprendituri%2C%20Industrial%20Zone%203%2C%20Central%20business%20district%2C%20Birkirkara%2C%20CBD%203090" TargetMode="External" Id="rId2557" /><Relationship Type="http://schemas.openxmlformats.org/officeDocument/2006/relationships/hyperlink" Target="https://www.google.com/maps/search/?api=1&amp;query=Industrial%20Zone%2C%20ATD%204000%20Ta%27%20Qali" TargetMode="External" Id="rId2558" /><Relationship Type="http://schemas.openxmlformats.org/officeDocument/2006/relationships/hyperlink" Target="https://www.google.com/maps/search/?api=1&amp;query=Triq%20il-Wied%20Ta%27%20L-Imsida%2C%20B%27Kara%2C%20Malta%20BKR%209025" TargetMode="External" Id="rId2559" /><Relationship Type="http://schemas.openxmlformats.org/officeDocument/2006/relationships/hyperlink" Target="https://www.google.com/maps/search/?api=1&amp;query=54%2C%20Castaldi%20Street%2C%20Zabbar" TargetMode="External" Id="rId2560" /><Relationship Type="http://schemas.openxmlformats.org/officeDocument/2006/relationships/hyperlink" Target="https://www.google.com/maps/search/?api=1&amp;query=Birkirkara" TargetMode="External" Id="rId2561" /><Relationship Type="http://schemas.openxmlformats.org/officeDocument/2006/relationships/hyperlink" Target="https://www.google.com/maps/search/?api=1&amp;query=31%2C%20Cross%20Road%2C%20Marsa" TargetMode="External" Id="rId2562" /><Relationship Type="http://schemas.openxmlformats.org/officeDocument/2006/relationships/hyperlink" Target="https://www.google.com/maps/search/?api=1&amp;query=210%20Old%20Railway%20Track%2C%20Santa%20Venera" TargetMode="External" Id="rId2563" /><Relationship Type="http://schemas.openxmlformats.org/officeDocument/2006/relationships/hyperlink" Target="https://www.google.com/maps/search/?api=1&amp;query=139%2C%20Bajada%20Street%2C%20Zabbar%2C%20Malta" TargetMode="External" Id="rId2564" /><Relationship Type="http://schemas.openxmlformats.org/officeDocument/2006/relationships/hyperlink" Target="https://www.google.com/maps/search/?api=1&amp;query=Triq%20il-Wied%20ta%27%20I-Imsida%2C%20Msida" TargetMode="External" Id="rId2565" /><Relationship Type="http://schemas.openxmlformats.org/officeDocument/2006/relationships/hyperlink" Target="https://www.google.com/maps/search/?api=1&amp;query=Triq%20Sant%27%20Anton%20Abbati%2C%20Mosta" TargetMode="External" Id="rId2566" /><Relationship Type="http://schemas.openxmlformats.org/officeDocument/2006/relationships/hyperlink" Target="https://www.google.com/maps/search/?api=1&amp;query=JPR%20Bldgs%20Qasam%20Industrijali%2C%20San%20Gwann" TargetMode="External" Id="rId2567" /><Relationship Type="http://schemas.openxmlformats.org/officeDocument/2006/relationships/hyperlink" Target="https://www.google.com/maps/search/?api=1&amp;query=Zone%205%20Triq%20Is-Sebh%20Central%20Business%20District%2C%20Qormi" TargetMode="External" Id="rId2568" /><Relationship Type="http://schemas.openxmlformats.org/officeDocument/2006/relationships/hyperlink" Target="https://www.google.com/maps/search/?api=1&amp;query=Triq%20Pantar%2C%20Lija" TargetMode="External" Id="rId2569" /><Relationship Type="http://schemas.openxmlformats.org/officeDocument/2006/relationships/hyperlink" Target="https://www.google.com/maps/search/?api=1&amp;query=Vjal%2025%20ta%27%20Novembru%2C%20Tal-Barrani%2C%20Zejtun" TargetMode="External" Id="rId2570" /><Relationship Type="http://schemas.openxmlformats.org/officeDocument/2006/relationships/hyperlink" Target="https://www.google.com/maps/search/?api=1&amp;query=Triq%20il-Mosta%2C%20Lija%2C%20Malta%20LIJA%209012" TargetMode="External" Id="rId2571" /><Relationship Type="http://schemas.openxmlformats.org/officeDocument/2006/relationships/hyperlink" Target="https://www.google.com/maps/search/?api=1&amp;query=Triq%20Hal%20Resqun%2C%20Gudja" TargetMode="External" Id="rId2572" /><Relationship Type="http://schemas.openxmlformats.org/officeDocument/2006/relationships/hyperlink" Target="https://www.google.com/maps/search/?api=1&amp;query=Triq%20il-Wied%20ta%27%20I-Imsida%2C%20Msida" TargetMode="External" Id="rId2573" /><Relationship Type="http://schemas.openxmlformats.org/officeDocument/2006/relationships/hyperlink" Target="https://www.google.com/maps/search/?api=1&amp;query=Triq%20tal-Balal%2C%20San%20Gwann" TargetMode="External" Id="rId2574" /><Relationship Type="http://schemas.openxmlformats.org/officeDocument/2006/relationships/hyperlink" Target="https://www.google.com/maps/search/?api=1&amp;query=JPR%20Bldgs%20Qasam%20Industrijali%2C%20San%20Gwann" TargetMode="External" Id="rId2575" /><Relationship Type="http://schemas.openxmlformats.org/officeDocument/2006/relationships/hyperlink" Target="https://www.google.com/maps/search/?api=1&amp;query=5%20Triq%20Cospicua%2C%20Fgura" TargetMode="External" Id="rId2576" /><Relationship Type="http://schemas.openxmlformats.org/officeDocument/2006/relationships/hyperlink" Target="https://www.google.com/maps/search/?api=1&amp;query=The%20Old%20Factory%2C%20Zone%203%20Triq%20San%20Gwakkin%20Central%20Business%20District%2C%20B%27Kara" TargetMode="External" Id="rId2577" /><Relationship Type="http://schemas.openxmlformats.org/officeDocument/2006/relationships/hyperlink" Target="https://www.google.com/maps/search/?api=1&amp;query=Zone%205%20Triq%20Is-Sebh%20Central%20Business%20District%2C%20Qormi" TargetMode="External" Id="rId2578" /><Relationship Type="http://schemas.openxmlformats.org/officeDocument/2006/relationships/hyperlink" Target="https://www.google.com/maps/search/?api=1&amp;query=Triq%20L-Imprendituri%2C%20Industrial%20Zone%203%2C%20Central%20business%20district%2C%20Birkirkara%2C%20CBD%203090" TargetMode="External" Id="rId2579" /><Relationship Type="http://schemas.openxmlformats.org/officeDocument/2006/relationships/hyperlink" Target="https://www.google.com/maps/search/?api=1&amp;query=UB%2019%20Qasam%20Industrijali%2C%20San%20Gwann" TargetMode="External" Id="rId2580" /><Relationship Type="http://schemas.openxmlformats.org/officeDocument/2006/relationships/hyperlink" Target="https://www.google.com/maps/search/?api=1&amp;query=Triq%20Toni%20Camilleri%2C%20Burmarrad" TargetMode="External" Id="rId2581" /><Relationship Type="http://schemas.openxmlformats.org/officeDocument/2006/relationships/hyperlink" Target="https://www.google.com/maps/search/?api=1&amp;query=Triq%20Toni%20Camilleri%2C%20Burmarrad" TargetMode="External" Id="rId2582" /><Relationship Type="http://schemas.openxmlformats.org/officeDocument/2006/relationships/hyperlink" Target="https://www.google.com/maps/search/?api=1&amp;query=Triq%20ta%27%20Dun%20Luqa%2C%20Sannat-Gozo" TargetMode="External" Id="rId2583" /><Relationship Type="http://schemas.openxmlformats.org/officeDocument/2006/relationships/hyperlink" Target="https://www.google.com/maps/search/?api=1&amp;query=73%20Triq%20Sir%20Ugo%20Mifsud%2C%20Lija" TargetMode="External" Id="rId2584" /><Relationship Type="http://schemas.openxmlformats.org/officeDocument/2006/relationships/hyperlink" Target="https://www.google.com/maps/search/?api=1&amp;query=Redentur%20Triq%20San%20Gilijan%2C%20B%27Kara" TargetMode="External" Id="rId2585" /><Relationship Type="http://schemas.openxmlformats.org/officeDocument/2006/relationships/hyperlink" Target="https://www.google.com/maps/search/?api=1&amp;query=22%20Triq%20il-Belt%20Valletta%2C%20Qormi" TargetMode="External" Id="rId2586" /><Relationship Type="http://schemas.openxmlformats.org/officeDocument/2006/relationships/hyperlink" Target="https://www.google.com/maps/search/?api=1&amp;query=Triq%20Ghajn%20Tuffieha%2C%20San%20Pawl%20ll-Bahar" TargetMode="External" Id="rId2587" /><Relationship Type="http://schemas.openxmlformats.org/officeDocument/2006/relationships/hyperlink" Target="https://www.google.com/maps/search/?api=1&amp;query=153%20Triq%20il-Kappilan%20Mifsud%2C%20Sta%20Venera" TargetMode="External" Id="rId2588" /><Relationship Type="http://schemas.openxmlformats.org/officeDocument/2006/relationships/hyperlink" Target="https://www.google.com/maps/search/?api=1&amp;query=Burmarrad%20Road%2C%20Burmarrad" TargetMode="External" Id="rId2589" /><Relationship Type="http://schemas.openxmlformats.org/officeDocument/2006/relationships/hyperlink" Target="https://www.google.com/maps/search/?api=1&amp;query=The%20Elysium%20Tree%20Nursery%20And%20Visitors%20Centre%20Triq%20in-Nahhalija%20Ghajn%20Tuffieha%2C%20Mellieha" TargetMode="External" Id="rId2590" /><Relationship Type="http://schemas.openxmlformats.org/officeDocument/2006/relationships/hyperlink" Target="https://www.google.com/maps/search/?api=1&amp;query=Zebbug%20Road%20Attard" TargetMode="External" Id="rId2591" /><Relationship Type="http://schemas.openxmlformats.org/officeDocument/2006/relationships/hyperlink" Target="https://www.google.com/maps/search/?api=1&amp;query=Triq%20L-Imqabba%2C%20Is-Siggiewi" TargetMode="External" Id="rId2592" /><Relationship Type="http://schemas.openxmlformats.org/officeDocument/2006/relationships/hyperlink" Target="https://www.google.com/maps/search/?api=1&amp;query=Triq%20L-Imdina%2C%20Zebbug" TargetMode="External" Id="rId2593" /><Relationship Type="http://schemas.openxmlformats.org/officeDocument/2006/relationships/hyperlink" Target="https://www.google.com/maps/search/?api=1&amp;query=71%20Canon%20Road%2C%20Qormi" TargetMode="External" Id="rId2594" /><Relationship Type="http://schemas.openxmlformats.org/officeDocument/2006/relationships/hyperlink" Target="https://brands.com.mt" TargetMode="External" Id="rId2595" /><Relationship Type="http://schemas.openxmlformats.org/officeDocument/2006/relationships/hyperlink" Target="https://okhome.com.mt" TargetMode="External" Id="rId2596" /><Relationship Type="http://schemas.openxmlformats.org/officeDocument/2006/relationships/hyperlink" Target="https://facebook.com/@protrademalta/" TargetMode="External" Id="rId2597" /><Relationship Type="http://schemas.openxmlformats.org/officeDocument/2006/relationships/hyperlink" Target="https://dinofino.com" TargetMode="External" Id="rId2598" /><Relationship Type="http://schemas.openxmlformats.org/officeDocument/2006/relationships/hyperlink" Target="https://camilleriparismode.com" TargetMode="External" Id="rId2599" /><Relationship Type="http://schemas.openxmlformats.org/officeDocument/2006/relationships/hyperlink" Target="https://patroleamalta.com" TargetMode="External" Id="rId2600" /><Relationship Type="http://schemas.openxmlformats.org/officeDocument/2006/relationships/hyperlink" Target="https://jysk.com.mt" TargetMode="External" Id="rId2601" /><Relationship Type="http://schemas.openxmlformats.org/officeDocument/2006/relationships/hyperlink" Target="https://facebook.com/maltawarehousesale/" TargetMode="External" Id="rId2602" /><Relationship Type="http://schemas.openxmlformats.org/officeDocument/2006/relationships/hyperlink" Target="https://theatrium.com.mt" TargetMode="External" Id="rId2603" /><Relationship Type="http://schemas.openxmlformats.org/officeDocument/2006/relationships/hyperlink" Target="https://piscopogardens.com" TargetMode="External" Id="rId2604" /><Relationship Type="http://schemas.openxmlformats.org/officeDocument/2006/relationships/hyperlink" Target="https://malta-design.com" TargetMode="External" Id="rId2605" /><Relationship Type="http://schemas.openxmlformats.org/officeDocument/2006/relationships/hyperlink" Target="https://pitreonline.com" TargetMode="External" Id="rId2606" /><Relationship Type="http://schemas.openxmlformats.org/officeDocument/2006/relationships/hyperlink" Target="https://chlmalta.com" TargetMode="External" Id="rId2607" /><Relationship Type="http://schemas.openxmlformats.org/officeDocument/2006/relationships/hyperlink" Target="https://rattatanshop.mt" TargetMode="External" Id="rId2608" /><Relationship Type="http://schemas.openxmlformats.org/officeDocument/2006/relationships/hyperlink" Target="https://facebook.com/p/Garden-House-100066818242898/" TargetMode="External" Id="rId2609" /><Relationship Type="http://schemas.openxmlformats.org/officeDocument/2006/relationships/hyperlink" Target="https://maltashopper.com" TargetMode="External" Id="rId2610" /><Relationship Type="http://schemas.openxmlformats.org/officeDocument/2006/relationships/hyperlink" Target="https://hometrends.com.mt" TargetMode="External" Id="rId2611" /><Relationship Type="http://schemas.openxmlformats.org/officeDocument/2006/relationships/hyperlink" Target="https://sherriesestates.com" TargetMode="External" Id="rId2612" /><Relationship Type="http://schemas.openxmlformats.org/officeDocument/2006/relationships/hyperlink" Target="https://homemate.com.mt" TargetMode="External" Id="rId2613" /><Relationship Type="http://schemas.openxmlformats.org/officeDocument/2006/relationships/hyperlink" Target="https://tabonedirect.com" TargetMode="External" Id="rId2614" /><Relationship Type="http://schemas.openxmlformats.org/officeDocument/2006/relationships/hyperlink" Target="https://khsmalta.com" TargetMode="External" Id="rId2615" /><Relationship Type="http://schemas.openxmlformats.org/officeDocument/2006/relationships/hyperlink" Target="https://pcs.com.mt" TargetMode="External" Id="rId2616" /><Relationship Type="http://schemas.openxmlformats.org/officeDocument/2006/relationships/hyperlink" Target="https://arkomalta.com" TargetMode="External" Id="rId2617" /><Relationship Type="http://schemas.openxmlformats.org/officeDocument/2006/relationships/hyperlink" Target="https://facebook.com/gejtumarmara/" TargetMode="External" Id="rId2618" /><Relationship Type="http://schemas.openxmlformats.org/officeDocument/2006/relationships/hyperlink" Target="https://bigmatmalta.com" TargetMode="External" Id="rId2619" /><Relationship Type="http://schemas.openxmlformats.org/officeDocument/2006/relationships/hyperlink" Target="https://butlers.com.mt" TargetMode="External" Id="rId2620" /><Relationship Type="http://schemas.openxmlformats.org/officeDocument/2006/relationships/hyperlink" Target="https://newline.com.mt" TargetMode="External" Id="rId2621" /><Relationship Type="http://schemas.openxmlformats.org/officeDocument/2006/relationships/hyperlink" Target="https://fbpmalta.com/index.php/products/household/chairs-tables" TargetMode="External" Id="rId2622" /><Relationship Type="http://schemas.openxmlformats.org/officeDocument/2006/relationships/hyperlink" Target="https://camilleriparismode.com" TargetMode="External" Id="rId2623" /><Relationship Type="http://schemas.openxmlformats.org/officeDocument/2006/relationships/hyperlink" Target="https://patroleamalta.com" TargetMode="External" Id="rId2624" /><Relationship Type="http://schemas.openxmlformats.org/officeDocument/2006/relationships/hyperlink" Target="https://malta-design.com" TargetMode="External" Id="rId2625" /><Relationship Type="http://schemas.openxmlformats.org/officeDocument/2006/relationships/hyperlink" Target="https://facebook.com/@protrademalta/" TargetMode="External" Id="rId2626" /><Relationship Type="http://schemas.openxmlformats.org/officeDocument/2006/relationships/hyperlink" Target="https://piscopogardens.com" TargetMode="External" Id="rId2627" /><Relationship Type="http://schemas.openxmlformats.org/officeDocument/2006/relationships/hyperlink" Target="https://sciclunarennie.com" TargetMode="External" Id="rId2628" /><Relationship Type="http://schemas.openxmlformats.org/officeDocument/2006/relationships/hyperlink" Target="https://chlmalta.com" TargetMode="External" Id="rId2629" /><Relationship Type="http://schemas.openxmlformats.org/officeDocument/2006/relationships/hyperlink" Target="https://facebook.com/maltawarehousesale/" TargetMode="External" Id="rId2630" /><Relationship Type="http://schemas.openxmlformats.org/officeDocument/2006/relationships/hyperlink" Target="https://facebook.com/p/Garden-House-100066818242898/" TargetMode="External" Id="rId2631" /><Relationship Type="http://schemas.openxmlformats.org/officeDocument/2006/relationships/hyperlink" Target="https://hometrends.com.mt" TargetMode="External" Id="rId2632" /><Relationship Type="http://schemas.openxmlformats.org/officeDocument/2006/relationships/hyperlink" Target="https://okhome.com.mt" TargetMode="External" Id="rId2633" /><Relationship Type="http://schemas.openxmlformats.org/officeDocument/2006/relationships/hyperlink" Target="https://facebook.com/@protrademalta/" TargetMode="External" Id="rId2634" /><Relationship Type="http://schemas.openxmlformats.org/officeDocument/2006/relationships/hyperlink" Target="https://tabonedirect.com" TargetMode="External" Id="rId2635" /><Relationship Type="http://schemas.openxmlformats.org/officeDocument/2006/relationships/hyperlink" Target="https://bigmatmalta.com" TargetMode="External" Id="rId2636" /><Relationship Type="http://schemas.openxmlformats.org/officeDocument/2006/relationships/hyperlink" Target="https://dinofino.com" TargetMode="External" Id="rId2637" /><Relationship Type="http://schemas.openxmlformats.org/officeDocument/2006/relationships/hyperlink" Target="https://khsmalta.com" TargetMode="External" Id="rId2638" /><Relationship Type="http://schemas.openxmlformats.org/officeDocument/2006/relationships/hyperlink" Target="https://malta-design.com" TargetMode="External" Id="rId2639" /><Relationship Type="http://schemas.openxmlformats.org/officeDocument/2006/relationships/hyperlink" Target="https://pcs.com.mt" TargetMode="External" Id="rId2640" /><Relationship Type="http://schemas.openxmlformats.org/officeDocument/2006/relationships/hyperlink" Target="https://facebook.com/gejtumarmara/" TargetMode="External" Id="rId2641" /><Relationship Type="http://schemas.openxmlformats.org/officeDocument/2006/relationships/hyperlink" Target="https://fbpmalta.com/index.php/products/household/chairs-tables" TargetMode="External" Id="rId2642" /><Relationship Type="http://schemas.openxmlformats.org/officeDocument/2006/relationships/hyperlink" Target="https://patroleamalta.com" TargetMode="External" Id="rId2643" /><Relationship Type="http://schemas.openxmlformats.org/officeDocument/2006/relationships/hyperlink" Target="https://facebook.com/p/Garden-House-100066818242898/" TargetMode="External" Id="rId2644" /><Relationship Type="http://schemas.openxmlformats.org/officeDocument/2006/relationships/hyperlink" Target="https://hometrends.com.mt" TargetMode="External" Id="rId2645" /><Relationship Type="http://schemas.openxmlformats.org/officeDocument/2006/relationships/hyperlink" Target="https://facebook.com/@protrademalta/" TargetMode="External" Id="rId2646" /><Relationship Type="http://schemas.openxmlformats.org/officeDocument/2006/relationships/hyperlink" Target="https://okhome.com.mt" TargetMode="External" Id="rId2647" /><Relationship Type="http://schemas.openxmlformats.org/officeDocument/2006/relationships/hyperlink" Target="https://homemate.com.mt" TargetMode="External" Id="rId2648" /><Relationship Type="http://schemas.openxmlformats.org/officeDocument/2006/relationships/hyperlink" Target="https://jysk.com.mt" TargetMode="External" Id="rId2649" /><Relationship Type="http://schemas.openxmlformats.org/officeDocument/2006/relationships/hyperlink" Target="https://sciclunarennie.com" TargetMode="External" Id="rId2650" /><Relationship Type="http://schemas.openxmlformats.org/officeDocument/2006/relationships/hyperlink" Target="https://patroleamalta.com" TargetMode="External" Id="rId2651" /><Relationship Type="http://schemas.openxmlformats.org/officeDocument/2006/relationships/hyperlink" Target="https://brands.com.mt" TargetMode="External" Id="rId2652" /><Relationship Type="http://schemas.openxmlformats.org/officeDocument/2006/relationships/hyperlink" Target="https://hometrends.com.mt" TargetMode="External" Id="rId2653" /><Relationship Type="http://schemas.openxmlformats.org/officeDocument/2006/relationships/hyperlink" Target="https://calypsomfg.com" TargetMode="External" Id="rId2654" /><Relationship Type="http://schemas.openxmlformats.org/officeDocument/2006/relationships/hyperlink" Target="https://devalier.com.mt" TargetMode="External" Id="rId2655" /><Relationship Type="http://schemas.openxmlformats.org/officeDocument/2006/relationships/hyperlink" Target="https://facebook.com/@protrademalta/" TargetMode="External" Id="rId2656" /><Relationship Type="http://schemas.openxmlformats.org/officeDocument/2006/relationships/hyperlink" Target="https://tabonedirect.com" TargetMode="External" Id="rId2657" /><Relationship Type="http://schemas.openxmlformats.org/officeDocument/2006/relationships/hyperlink" Target="https://facebook.com/people/Zet-Ltd/61555689586816/" TargetMode="External" Id="rId2658" /><Relationship Type="http://schemas.openxmlformats.org/officeDocument/2006/relationships/hyperlink" Target="https://piscopogardens.com" TargetMode="External" Id="rId2659" /><Relationship Type="http://schemas.openxmlformats.org/officeDocument/2006/relationships/hyperlink" Target="https://piscopogardens.com" TargetMode="External" Id="rId2660" /><Relationship Type="http://schemas.openxmlformats.org/officeDocument/2006/relationships/hyperlink" Target="https://flowerzonemalta.com" TargetMode="External" Id="rId2661" /><Relationship Type="http://schemas.openxmlformats.org/officeDocument/2006/relationships/hyperlink" Target="https://facebook.com/p/Parisio-Nursery-Garden-Centre-100057061346114/" TargetMode="External" Id="rId2662" /><Relationship Type="http://schemas.openxmlformats.org/officeDocument/2006/relationships/hyperlink" Target="https://facebook.com/fmagius/?utm_source=Yellow&amp;utm_medium=Yellow-Website&amp;utm_campaign=Landing-Page" TargetMode="External" Id="rId2663" /><Relationship Type="http://schemas.openxmlformats.org/officeDocument/2006/relationships/hyperlink" Target="https://innogreens.com" TargetMode="External" Id="rId2664" /><Relationship Type="http://schemas.openxmlformats.org/officeDocument/2006/relationships/hyperlink" Target="https://jardinland.com.mt" TargetMode="External" Id="rId2665" /><Relationship Type="http://schemas.openxmlformats.org/officeDocument/2006/relationships/hyperlink" Target="https://facebook.com/secretgardenmalta?utm_source=Yellow&amp;utm_medium=Yellow-Website&amp;utm_campaign=Landing-Page" TargetMode="External" Id="rId2666" /><Relationship Type="http://schemas.openxmlformats.org/officeDocument/2006/relationships/hyperlink" Target="https://sherriesestates.com" TargetMode="External" Id="rId2667" /><Relationship Type="http://schemas.openxmlformats.org/officeDocument/2006/relationships/hyperlink" Target="https://projectgaia.org" TargetMode="External" Id="rId2668" /><Relationship Type="http://schemas.openxmlformats.org/officeDocument/2006/relationships/hyperlink" Target="https://greenscapes.com.mt" TargetMode="External" Id="rId2669" /><Relationship Type="http://schemas.openxmlformats.org/officeDocument/2006/relationships/hyperlink" Target="https://callusgardencentre.com" TargetMode="External" Id="rId2670" /><Relationship Type="http://schemas.openxmlformats.org/officeDocument/2006/relationships/hyperlink" Target="https://bssagri.com" TargetMode="External" Id="rId2671" /><Relationship Type="http://schemas.openxmlformats.org/officeDocument/2006/relationships/hyperlink" Target="https://derekmalta.com" TargetMode="External" Id="rId2672" /><Relationship Type="http://schemas.openxmlformats.org/officeDocument/2006/relationships/hyperlink" Target="https://garlandmalta.com/" TargetMode="External" Id="rId2673" /><Relationship Type="http://schemas.openxmlformats.org/officeDocument/2006/relationships/hyperlink" Target="https://allseasons.mt/" TargetMode="External" Id="rId2674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hyperlink" Target="MAILTO:sales@malta-design.com" TargetMode="External" Id="rId2675" /><Relationship Type="http://schemas.openxmlformats.org/officeDocument/2006/relationships/hyperlink" Target="MAILTO:home@jpitre.com" TargetMode="External" Id="rId2676" /><Relationship Type="http://schemas.openxmlformats.org/officeDocument/2006/relationships/hyperlink" Target="MAILTO:info@brands.com.mt" TargetMode="External" Id="rId2677" /><Relationship Type="http://schemas.openxmlformats.org/officeDocument/2006/relationships/hyperlink" Target="MAILTO:info@fino.com.mt" TargetMode="External" Id="rId2678" /><Relationship Type="http://schemas.openxmlformats.org/officeDocument/2006/relationships/hyperlink" Target="MAILTO:info@styleinterni.com" TargetMode="External" Id="rId2679" /><Relationship Type="http://schemas.openxmlformats.org/officeDocument/2006/relationships/hyperlink" Target="MAILTO:customercare@allseasons.mt" TargetMode="External" Id="rId2680" /><Relationship Type="http://schemas.openxmlformats.org/officeDocument/2006/relationships/hyperlink" Target="https://www.google.com/maps/search/?api=1&amp;query=Malta%20Design%0A33%20Triq%20l-Oleandru%20%2C%0ASan%20Giljan%2C%20Malta" TargetMode="External" Id="rId2681" /><Relationship Type="http://schemas.openxmlformats.org/officeDocument/2006/relationships/hyperlink" Target="https://www.google.com/maps/search/?api=1&amp;query=Pitre%20Home%20Ltd%2C%20Mdina%20Road%2C%20Qormi" TargetMode="External" Id="rId2682" /><Relationship Type="http://schemas.openxmlformats.org/officeDocument/2006/relationships/hyperlink" Target="https://www.google.com/maps/search/?api=1&amp;query=Triq%20tal-Balal%2C%20San%20Gwann%2C%20Malta" TargetMode="External" Id="rId2683" /><Relationship Type="http://schemas.openxmlformats.org/officeDocument/2006/relationships/hyperlink" Target="https://www.google.com/maps/search/?api=1&amp;query=Fino%20Buildings%2C%0ATriq%20l-Imdina%2C%20Zone%204%2C%0AMriehel%2FCentral%20Business%20District%0ACBD%204010%2C%20Malta" TargetMode="External" Id="rId2684" /><Relationship Type="http://schemas.openxmlformats.org/officeDocument/2006/relationships/hyperlink" Target="https://www.google.com/maps/search/?api=1&amp;query=260%20Old%20Railway%20Track%2C%20Santa%20Venera%20SVR%209019" TargetMode="External" Id="rId2685" /><Relationship Type="http://schemas.openxmlformats.org/officeDocument/2006/relationships/hyperlink" Target="https://malta-design.com" TargetMode="External" Id="rId2686" /><Relationship Type="http://schemas.openxmlformats.org/officeDocument/2006/relationships/hyperlink" Target="https://pitreonline.com/" TargetMode="External" Id="rId2687" /><Relationship Type="http://schemas.openxmlformats.org/officeDocument/2006/relationships/hyperlink" Target="https://brands.com.mt/" TargetMode="External" Id="rId2688" /><Relationship Type="http://schemas.openxmlformats.org/officeDocument/2006/relationships/hyperlink" Target="https://fino.com.mt/" TargetMode="External" Id="rId2689" /><Relationship Type="http://schemas.openxmlformats.org/officeDocument/2006/relationships/hyperlink" Target="https://styleinterni.com/" TargetMode="External" Id="rId2690" /><Relationship Type="http://schemas.openxmlformats.org/officeDocument/2006/relationships/hyperlink" Target="https://allseasons.mt/" TargetMode="External" Id="rId2691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hyperlink" Target="MAILTO:info@styleinterni.com" TargetMode="External" Id="rId2692" /><Relationship Type="http://schemas.openxmlformats.org/officeDocument/2006/relationships/hyperlink" Target="MAILTO:info@spotonmalta.com" TargetMode="External" Id="rId2693" /><Relationship Type="http://schemas.openxmlformats.org/officeDocument/2006/relationships/hyperlink" Target="MAILTO:info@megahome.mt" TargetMode="External" Id="rId2694" /><Relationship Type="http://schemas.openxmlformats.org/officeDocument/2006/relationships/hyperlink" Target="MAILTO:info@bfmarbles.com" TargetMode="External" Id="rId2695" /><Relationship Type="http://schemas.openxmlformats.org/officeDocument/2006/relationships/hyperlink" Target="MAILTO:sales@lingonberries.eu" TargetMode="External" Id="rId2696" /><Relationship Type="http://schemas.openxmlformats.org/officeDocument/2006/relationships/hyperlink" Target="MAILTO:info@bigbeninteriors.com.mt" TargetMode="External" Id="rId2697" /><Relationship Type="http://schemas.openxmlformats.org/officeDocument/2006/relationships/hyperlink" Target="https://www.google.com/maps/search/?api=1&amp;query=260%20Old%20Railway%20Track%2C%20Santa%20Venera%20SVR%209019" TargetMode="External" Id="rId2698" /><Relationship Type="http://schemas.openxmlformats.org/officeDocument/2006/relationships/hyperlink" Target="https://www.google.com/maps/search/?api=1&amp;query=102%20Palm%20Street%2C%0APLA1414%20Paola%20MALTA." TargetMode="External" Id="rId2699" /><Relationship Type="http://schemas.openxmlformats.org/officeDocument/2006/relationships/hyperlink" Target="https://www.google.com/maps/search/?api=1&amp;query=Triq%20Il-Vitorja%2C%20%C4%A6al%20Qormi%20QRM%202504" TargetMode="External" Id="rId2700" /><Relationship Type="http://schemas.openxmlformats.org/officeDocument/2006/relationships/hyperlink" Target="https://www.google.com/maps/search/?api=1&amp;query=27%20Triq%20Wignacourt%2C%20Birkirkara" TargetMode="External" Id="rId2701" /><Relationship Type="http://schemas.openxmlformats.org/officeDocument/2006/relationships/hyperlink" Target="https://www.google.com/maps/search/?api=1&amp;query=Naxxar%20Road%2C%20Birkirkara%2C%0AMalta%2C%20BKR%209045" TargetMode="External" Id="rId2702" /><Relationship Type="http://schemas.openxmlformats.org/officeDocument/2006/relationships/hyperlink" Target="https://styleinterni.com/" TargetMode="External" Id="rId2703" /><Relationship Type="http://schemas.openxmlformats.org/officeDocument/2006/relationships/hyperlink" Target="https://spotonmalta.com/" TargetMode="External" Id="rId2704" /><Relationship Type="http://schemas.openxmlformats.org/officeDocument/2006/relationships/hyperlink" Target="https://megahome.mt/" TargetMode="External" Id="rId2705" /><Relationship Type="http://schemas.openxmlformats.org/officeDocument/2006/relationships/hyperlink" Target="https://bfmarbles.com/#" TargetMode="External" Id="rId2706" /><Relationship Type="http://schemas.openxmlformats.org/officeDocument/2006/relationships/hyperlink" Target="https://lingonberries.mt/" TargetMode="External" Id="rId2707" /><Relationship Type="http://schemas.openxmlformats.org/officeDocument/2006/relationships/hyperlink" Target="https://bigbeninteriors.com.mt/" TargetMode="External" Id="rId2708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hyperlink" Target="MAILTO:info@megahome.mt" TargetMode="External" Id="rId2709" /><Relationship Type="http://schemas.openxmlformats.org/officeDocument/2006/relationships/hyperlink" Target="MAILTO:info@bfmarbles.com" TargetMode="External" Id="rId2710" /><Relationship Type="http://schemas.openxmlformats.org/officeDocument/2006/relationships/hyperlink" Target="MAILTO:info@soll.mt" TargetMode="External" Id="rId2711" /><Relationship Type="http://schemas.openxmlformats.org/officeDocument/2006/relationships/hyperlink" Target="https://www.google.com/maps/search/?api=1&amp;query=Triq%20Il-Vitorja%2C%20%C4%A6al%20Qormi%20QRM%202504" TargetMode="External" Id="rId2712" /><Relationship Type="http://schemas.openxmlformats.org/officeDocument/2006/relationships/hyperlink" Target="https://www.google.com/maps/search/?api=1&amp;query=B1%2C%20Midland%20Enterprise%20Park%0ABurmarrad%20Road%2C%0ANaxxar%2C%20Malta" TargetMode="External" Id="rId2713" /><Relationship Type="http://schemas.openxmlformats.org/officeDocument/2006/relationships/hyperlink" Target="https://megahome.mt/" TargetMode="External" Id="rId2714" /><Relationship Type="http://schemas.openxmlformats.org/officeDocument/2006/relationships/hyperlink" Target="https://bfmarbles.com/#" TargetMode="External" Id="rId2715" /><Relationship Type="http://schemas.openxmlformats.org/officeDocument/2006/relationships/hyperlink" Target="https://soll.mt/" TargetMode="External" Id="rId2716" /><Relationship Type="http://schemas.openxmlformats.org/officeDocument/2006/relationships/hyperlink" Target="https://facebook.com/profile.php?id=61561349402968" TargetMode="External" Id="rId2717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hyperlink" Target="MAILTO:venezianocreazioni@gmail.com" TargetMode="External" Id="rId2718" /><Relationship Type="http://schemas.openxmlformats.org/officeDocument/2006/relationships/hyperlink" Target="MAILTO:info@megahome.mt" TargetMode="External" Id="rId2719" /><Relationship Type="http://schemas.openxmlformats.org/officeDocument/2006/relationships/hyperlink" Target="MAILTO:sales@maltadiy.com" TargetMode="External" Id="rId2720" /><Relationship Type="http://schemas.openxmlformats.org/officeDocument/2006/relationships/hyperlink" Target="MAILTO:info@styleinterni.com" TargetMode="External" Id="rId2721" /><Relationship Type="http://schemas.openxmlformats.org/officeDocument/2006/relationships/hyperlink" Target="MAILTO:info@ferraramalta.com" TargetMode="External" Id="rId2722" /><Relationship Type="http://schemas.openxmlformats.org/officeDocument/2006/relationships/hyperlink" Target="MAILTO:sales@lingonberries.eu" TargetMode="External" Id="rId2723" /><Relationship Type="http://schemas.openxmlformats.org/officeDocument/2006/relationships/hyperlink" Target="MAILTO:info@luxonas.com" TargetMode="External" Id="rId2724" /><Relationship Type="http://schemas.openxmlformats.org/officeDocument/2006/relationships/hyperlink" Target="https://www.google.com/maps/search/?api=1&amp;query=Mosta%2C%20Malta" TargetMode="External" Id="rId2725" /><Relationship Type="http://schemas.openxmlformats.org/officeDocument/2006/relationships/hyperlink" Target="https://www.google.com/maps/search/?api=1&amp;query=Triq%20Il-Vitorja%2C%20%C4%A6al%20Qormi%20QRM%202504" TargetMode="External" Id="rId2726" /><Relationship Type="http://schemas.openxmlformats.org/officeDocument/2006/relationships/hyperlink" Target="https://www.google.com/maps/search/?api=1&amp;query=Baldacchino%20Building%20B%2C%20Triq%20Il-Belt%20Valletta%2C%20Zurrieq" TargetMode="External" Id="rId2727" /><Relationship Type="http://schemas.openxmlformats.org/officeDocument/2006/relationships/hyperlink" Target="https://www.google.com/maps/search/?api=1&amp;query=260%20Old%20Railway%20Track%2C%20Santa%20Venera%20SVR%209019" TargetMode="External" Id="rId2728" /><Relationship Type="http://schemas.openxmlformats.org/officeDocument/2006/relationships/hyperlink" Target="https://www.google.com/maps/search/?api=1&amp;query=Ferraracasa%20Warehouse%0ATriq%20is-Salib%20ta%20l-Mriehel%0ACBD3020%20Birkirkara%0AMalta" TargetMode="External" Id="rId2729" /><Relationship Type="http://schemas.openxmlformats.org/officeDocument/2006/relationships/hyperlink" Target="https://www.google.com/maps/search/?api=1&amp;query=27%20Triq%20Wignacourt%2C%20Birkirkara" TargetMode="External" Id="rId2730" /><Relationship Type="http://schemas.openxmlformats.org/officeDocument/2006/relationships/hyperlink" Target="https://www.google.com/maps/search/?api=1&amp;query=Triq%20L-Mdina%2C%20Haz-Zebbug%2C%20ZBG09018" TargetMode="External" Id="rId2731" /><Relationship Type="http://schemas.openxmlformats.org/officeDocument/2006/relationships/hyperlink" Target="https://facebook.com/venezianocreazioni/?locale=it_IT" TargetMode="External" Id="rId2732" /><Relationship Type="http://schemas.openxmlformats.org/officeDocument/2006/relationships/hyperlink" Target="https://megahome.mt/" TargetMode="External" Id="rId2733" /><Relationship Type="http://schemas.openxmlformats.org/officeDocument/2006/relationships/hyperlink" Target="https://maltadiy.com/product-category/lights-and-tech/lights/" TargetMode="External" Id="rId2734" /><Relationship Type="http://schemas.openxmlformats.org/officeDocument/2006/relationships/hyperlink" Target="https://styleinterni.com/" TargetMode="External" Id="rId2735" /><Relationship Type="http://schemas.openxmlformats.org/officeDocument/2006/relationships/hyperlink" Target="https://ferraramalta.com/" TargetMode="External" Id="rId2736" /><Relationship Type="http://schemas.openxmlformats.org/officeDocument/2006/relationships/hyperlink" Target="https://lingonberries.mt/" TargetMode="External" Id="rId2737" /><Relationship Type="http://schemas.openxmlformats.org/officeDocument/2006/relationships/hyperlink" Target="https://luxonas.com/" TargetMode="External" Id="rId2738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hyperlink" Target="MAILTO:turbosigns@outlook.com" TargetMode="External" Id="rId2739" /><Relationship Type="http://schemas.openxmlformats.org/officeDocument/2006/relationships/hyperlink" Target="https://www.google.com/maps/search/?api=1&amp;query=Parades%20Street%2C%20St%20Paul%27s%20Bay" TargetMode="External" Id="rId2740" /><Relationship Type="http://schemas.openxmlformats.org/officeDocument/2006/relationships/hyperlink" Target="https://turbosignsmalta.com/" TargetMode="External" Id="rId2741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hyperlink" Target="MAILTO:info@petroni.com.mt" TargetMode="External" Id="rId2742" /><Relationship Type="http://schemas.openxmlformats.org/officeDocument/2006/relationships/hyperlink" Target="MAILTO:info@soundsmart.com.mt" TargetMode="External" Id="rId2743" /><Relationship Type="http://schemas.openxmlformats.org/officeDocument/2006/relationships/hyperlink" Target="MAILTO:info@kcl.com.mt" TargetMode="External" Id="rId2744" /><Relationship Type="http://schemas.openxmlformats.org/officeDocument/2006/relationships/hyperlink" Target="MAILTO:futurahomeappliances@gmail.com" TargetMode="External" Id="rId2745" /><Relationship Type="http://schemas.openxmlformats.org/officeDocument/2006/relationships/hyperlink" Target="MAILTO:tabletsandmoreelectronics@yahoo.com" TargetMode="External" Id="rId2746" /><Relationship Type="http://schemas.openxmlformats.org/officeDocument/2006/relationships/hyperlink" Target="MAILTO:camrugun@hotmail.com" TargetMode="External" Id="rId2747" /><Relationship Type="http://schemas.openxmlformats.org/officeDocument/2006/relationships/hyperlink" Target="MAILTO:tagulinu@onvol.net" TargetMode="External" Id="rId2748" /><Relationship Type="http://schemas.openxmlformats.org/officeDocument/2006/relationships/hyperlink" Target="MAILTO:etv@etvhomeline.com" TargetMode="External" Id="rId2749" /><Relationship Type="http://schemas.openxmlformats.org/officeDocument/2006/relationships/hyperlink" Target="MAILTO:bakerspoint1@gmail.com" TargetMode="External" Id="rId2750" /><Relationship Type="http://schemas.openxmlformats.org/officeDocument/2006/relationships/hyperlink" Target="MAILTO:caths@melita.com" TargetMode="External" Id="rId2751" /><Relationship Type="http://schemas.openxmlformats.org/officeDocument/2006/relationships/hyperlink" Target="MAILTO:dpcomfortek@gmail.com" TargetMode="External" Id="rId2752" /><Relationship Type="http://schemas.openxmlformats.org/officeDocument/2006/relationships/hyperlink" Target="MAILTO:consigliohomeappliances@gmail.com" TargetMode="External" Id="rId2753" /><Relationship Type="http://schemas.openxmlformats.org/officeDocument/2006/relationships/hyperlink" Target="MAILTO:info@divine.com.mt" TargetMode="External" Id="rId2754" /><Relationship Type="http://schemas.openxmlformats.org/officeDocument/2006/relationships/hyperlink" Target="MAILTO:sales@flamingo.com.mt" TargetMode="External" Id="rId2755" /><Relationship Type="http://schemas.openxmlformats.org/officeDocument/2006/relationships/hyperlink" Target="MAILTO:info@forestals.com" TargetMode="External" Id="rId2756" /><Relationship Type="http://schemas.openxmlformats.org/officeDocument/2006/relationships/hyperlink" Target="MAILTO:freddies@onvol.net" TargetMode="External" Id="rId2757" /><Relationship Type="http://schemas.openxmlformats.org/officeDocument/2006/relationships/hyperlink" Target="MAILTO:gdatrade@waldonet.net.mt" TargetMode="External" Id="rId2758" /><Relationship Type="http://schemas.openxmlformats.org/officeDocument/2006/relationships/hyperlink" Target="MAILTO:georgetvhifi@gmail.com" TargetMode="External" Id="rId2759" /><Relationship Type="http://schemas.openxmlformats.org/officeDocument/2006/relationships/hyperlink" Target="MAILTO:info@hotpointmalta.com" TargetMode="External" Id="rId2760" /><Relationship Type="http://schemas.openxmlformats.org/officeDocument/2006/relationships/hyperlink" Target="MAILTO:showroom@itc-malta.com" TargetMode="External" Id="rId2761" /><Relationship Type="http://schemas.openxmlformats.org/officeDocument/2006/relationships/hyperlink" Target="MAILTO:info@oxfordhouse.com.mt" TargetMode="External" Id="rId2762" /><Relationship Type="http://schemas.openxmlformats.org/officeDocument/2006/relationships/hyperlink" Target="MAILTO:refcold@maltanet.net" TargetMode="External" Id="rId2763" /><Relationship Type="http://schemas.openxmlformats.org/officeDocument/2006/relationships/hyperlink" Target="MAILTO:rightdealcosp@onvol.net" TargetMode="External" Id="rId2764" /><Relationship Type="http://schemas.openxmlformats.org/officeDocument/2006/relationships/hyperlink" Target="MAILTO:rotunda@maltanet.net" TargetMode="External" Id="rId2765" /><Relationship Type="http://schemas.openxmlformats.org/officeDocument/2006/relationships/hyperlink" Target="MAILTO:info@topchoice.com.mt" TargetMode="External" Id="rId2766" /><Relationship Type="http://schemas.openxmlformats.org/officeDocument/2006/relationships/hyperlink" Target="MAILTO:info@ultimate.com.mt" TargetMode="External" Id="rId2767" /><Relationship Type="http://schemas.openxmlformats.org/officeDocument/2006/relationships/hyperlink" Target="MAILTO:x.treme@onvol.net" TargetMode="External" Id="rId2768" /><Relationship Type="http://schemas.openxmlformats.org/officeDocument/2006/relationships/hyperlink" Target="MAILTO:info@petroni.com.mt" TargetMode="External" Id="rId2769" /><Relationship Type="http://schemas.openxmlformats.org/officeDocument/2006/relationships/hyperlink" Target="MAILTO:info@soundsmart.com.mt" TargetMode="External" Id="rId2770" /><Relationship Type="http://schemas.openxmlformats.org/officeDocument/2006/relationships/hyperlink" Target="MAILTO:info@kcl.com.mt" TargetMode="External" Id="rId2771" /><Relationship Type="http://schemas.openxmlformats.org/officeDocument/2006/relationships/hyperlink" Target="MAILTO:futurahomeappliances@gmail.com" TargetMode="External" Id="rId2772" /><Relationship Type="http://schemas.openxmlformats.org/officeDocument/2006/relationships/hyperlink" Target="MAILTO:tabletsandmoreelectronics@yahoo.com" TargetMode="External" Id="rId2773" /><Relationship Type="http://schemas.openxmlformats.org/officeDocument/2006/relationships/hyperlink" Target="MAILTO:camrugun@hotmail.com" TargetMode="External" Id="rId2774" /><Relationship Type="http://schemas.openxmlformats.org/officeDocument/2006/relationships/hyperlink" Target="MAILTO:tagulinu@onvol.net" TargetMode="External" Id="rId2775" /><Relationship Type="http://schemas.openxmlformats.org/officeDocument/2006/relationships/hyperlink" Target="MAILTO:sales@jjscerri.com" TargetMode="External" Id="rId2776" /><Relationship Type="http://schemas.openxmlformats.org/officeDocument/2006/relationships/hyperlink" Target="MAILTO:dpcomfortek@gmail.com" TargetMode="External" Id="rId2777" /><Relationship Type="http://schemas.openxmlformats.org/officeDocument/2006/relationships/hyperlink" Target="MAILTO:consigliohomeappliances@gmail.com" TargetMode="External" Id="rId2778" /><Relationship Type="http://schemas.openxmlformats.org/officeDocument/2006/relationships/hyperlink" Target="MAILTO:cutajarhifivideocentre@outlook.com" TargetMode="External" Id="rId2779" /><Relationship Type="http://schemas.openxmlformats.org/officeDocument/2006/relationships/hyperlink" Target="MAILTO:sales@flamingo.com.mt" TargetMode="External" Id="rId2780" /><Relationship Type="http://schemas.openxmlformats.org/officeDocument/2006/relationships/hyperlink" Target="MAILTO:info@forestals.com" TargetMode="External" Id="rId2781" /><Relationship Type="http://schemas.openxmlformats.org/officeDocument/2006/relationships/hyperlink" Target="MAILTO:freddies@onvol.net" TargetMode="External" Id="rId2782" /><Relationship Type="http://schemas.openxmlformats.org/officeDocument/2006/relationships/hyperlink" Target="MAILTO:gdatrade@waldonet.net.mt" TargetMode="External" Id="rId2783" /><Relationship Type="http://schemas.openxmlformats.org/officeDocument/2006/relationships/hyperlink" Target="MAILTO:georgetvhifi@gmail.com" TargetMode="External" Id="rId2784" /><Relationship Type="http://schemas.openxmlformats.org/officeDocument/2006/relationships/hyperlink" Target="MAILTO:info@hotpointmalta.com" TargetMode="External" Id="rId2785" /><Relationship Type="http://schemas.openxmlformats.org/officeDocument/2006/relationships/hyperlink" Target="MAILTO:showroom@itc-malta.com" TargetMode="External" Id="rId2786" /><Relationship Type="http://schemas.openxmlformats.org/officeDocument/2006/relationships/hyperlink" Target="MAILTO:info@jshousehold.com" TargetMode="External" Id="rId2787" /><Relationship Type="http://schemas.openxmlformats.org/officeDocument/2006/relationships/hyperlink" Target="MAILTO:rightdealcosp@onvol.net" TargetMode="External" Id="rId2788" /><Relationship Type="http://schemas.openxmlformats.org/officeDocument/2006/relationships/hyperlink" Target="MAILTO:rotunda@maltanet.net" TargetMode="External" Id="rId2789" /><Relationship Type="http://schemas.openxmlformats.org/officeDocument/2006/relationships/hyperlink" Target="MAILTO:admin@stopshopmt.com" TargetMode="External" Id="rId2790" /><Relationship Type="http://schemas.openxmlformats.org/officeDocument/2006/relationships/hyperlink" Target="MAILTO:info@topchoice.com.mt" TargetMode="External" Id="rId2791" /><Relationship Type="http://schemas.openxmlformats.org/officeDocument/2006/relationships/hyperlink" Target="MAILTO:x.treme@onvol.net" TargetMode="External" Id="rId2792" /><Relationship Type="http://schemas.openxmlformats.org/officeDocument/2006/relationships/hyperlink" Target="https://www.google.com/maps/search/?api=1&amp;query=BLB%20021%20Qasam%20Industrijali%2C%20Bulebel%2C%20Zejtun%2C%20Malta%20ZTN%203000" TargetMode="External" Id="rId2793" /><Relationship Type="http://schemas.openxmlformats.org/officeDocument/2006/relationships/hyperlink" Target="https://www.google.com/maps/search/?api=1&amp;query=Triq%20il-Wied%20ta%27%20I-Imsida%2C%20Msida%2C%20Malta%20MSD%209022" TargetMode="External" Id="rId2794" /><Relationship Type="http://schemas.openxmlformats.org/officeDocument/2006/relationships/hyperlink" Target="https://www.google.com/maps/search/?api=1&amp;query=Triq%20il-Kostituzzjoni%2C%20Mosta%2C%20Malta%20MST%209050" TargetMode="External" Id="rId2795" /><Relationship Type="http://schemas.openxmlformats.org/officeDocument/2006/relationships/hyperlink" Target="https://www.google.com/maps/search/?api=1&amp;query=22%2C%20Triq%20Sant%27%20Elija%2C%20B%27Kara%2C%20Malta%20BKR%202064" TargetMode="External" Id="rId2796" /><Relationship Type="http://schemas.openxmlformats.org/officeDocument/2006/relationships/hyperlink" Target="https://www.google.com/maps/search/?api=1&amp;query=220%20Triq%20in-Naxxar%2C%20San%20Gwann%2C%20Malta%20SGN%209030" TargetMode="External" Id="rId2797" /><Relationship Type="http://schemas.openxmlformats.org/officeDocument/2006/relationships/hyperlink" Target="https://www.google.com/maps/search/?api=1&amp;query=12%20Triq%20il-Hammieri%2C%20Qormi%2C%20Malta" TargetMode="External" Id="rId2798" /><Relationship Type="http://schemas.openxmlformats.org/officeDocument/2006/relationships/hyperlink" Target="https://www.google.com/maps/search/?api=1&amp;query=18%20Wesghat%20il-Knisja%20tan-Nattivita%2C%20Bormla%2C%20Malta%20BML%201650" TargetMode="External" Id="rId2799" /><Relationship Type="http://schemas.openxmlformats.org/officeDocument/2006/relationships/hyperlink" Target="https://www.google.com/maps/search/?api=1&amp;query=10%20Misrah%20I%27%20Isle%20Adam%2C%20Rabat%2C%20Malta%20RBT%201169" TargetMode="External" Id="rId2800" /><Relationship Type="http://schemas.openxmlformats.org/officeDocument/2006/relationships/hyperlink" Target="https://www.google.com/maps/search/?api=1&amp;query=Triq%20San%20Tumas%2C%20Luqa%2C%20Malta%20LQA%209031" TargetMode="External" Id="rId2801" /><Relationship Type="http://schemas.openxmlformats.org/officeDocument/2006/relationships/hyperlink" Target="https://www.google.com/maps/search/?api=1&amp;query=Triq%20it-Tabib%20Nikol%20Zammit%2C%20Siggiewi%2C%20Malta%20SHW%203075" TargetMode="External" Id="rId2802" /><Relationship Type="http://schemas.openxmlformats.org/officeDocument/2006/relationships/hyperlink" Target="https://www.google.com/maps/search/?api=1&amp;query=Triq%20il-Gzira%2C%20Malta%20GZR%201312" TargetMode="External" Id="rId2803" /><Relationship Type="http://schemas.openxmlformats.org/officeDocument/2006/relationships/hyperlink" Target="https://www.google.com/maps/search/?api=1&amp;query=Vjal%20I-Infiprndenza%2C%20Mosta" TargetMode="External" Id="rId2804" /><Relationship Type="http://schemas.openxmlformats.org/officeDocument/2006/relationships/hyperlink" Target="https://www.google.com/maps/search/?api=1&amp;query=Triq%20Valetta%2C%20Mosta%2C%20Malta" TargetMode="External" Id="rId2805" /><Relationship Type="http://schemas.openxmlformats.org/officeDocument/2006/relationships/hyperlink" Target="https://www.google.com/maps/search/?api=1&amp;query=Triq%20Gorg%20Borg%20Olivier%2C%20Victoria-Gozo%2C%20Gozo%20VCT%202514" TargetMode="External" Id="rId2806" /><Relationship Type="http://schemas.openxmlformats.org/officeDocument/2006/relationships/hyperlink" Target="https://www.google.com/maps/search/?api=1&amp;query=Zone%205%20Triq%20ll-Kanun%20Central%20Business%20District%2C%20Qormi%2C%20Malta%20CBD%205060" TargetMode="External" Id="rId2807" /><Relationship Type="http://schemas.openxmlformats.org/officeDocument/2006/relationships/hyperlink" Target="https://www.google.com/maps/search/?api=1&amp;query=Zone%203%20Triq%20L-Intornjatur%20Central%20Business%20District%2C%20B%27Kara%2C%20Malta%20CBD%203050" TargetMode="External" Id="rId2808" /><Relationship Type="http://schemas.openxmlformats.org/officeDocument/2006/relationships/hyperlink" Target="https://www.google.com/maps/search/?api=1&amp;query=Triq%20il-Kungress%20Ewkaristiku%2C%20Mosta" TargetMode="External" Id="rId2809" /><Relationship Type="http://schemas.openxmlformats.org/officeDocument/2006/relationships/hyperlink" Target="https://www.google.com/maps/search/?api=1&amp;query=146%20Triq%20Sant%27%20Orsla%20Victoria-Gozo" TargetMode="External" Id="rId2810" /><Relationship Type="http://schemas.openxmlformats.org/officeDocument/2006/relationships/hyperlink" Target="https://www.google.com/maps/search/?api=1&amp;query=191%20Triq%20Hal%20Qormi%2C%20Marsa" TargetMode="External" Id="rId2811" /><Relationship Type="http://schemas.openxmlformats.org/officeDocument/2006/relationships/hyperlink" Target="https://www.google.com/maps/search/?api=1&amp;query=Triq%20il-Wied%2C%20B%27Kara" TargetMode="External" Id="rId2812" /><Relationship Type="http://schemas.openxmlformats.org/officeDocument/2006/relationships/hyperlink" Target="https://www.google.com/maps/search/?api=1&amp;query=Triq%20Nazzjonali%20Blata%20L-Blajda%2C%20Hamrun%2C%20Malta%20HMR%209012" TargetMode="External" Id="rId2813" /><Relationship Type="http://schemas.openxmlformats.org/officeDocument/2006/relationships/hyperlink" Target="https://www.google.com/maps/search/?api=1&amp;query=Zone%202%20Triq%20L-Imdina%20Central%20Business%20District%2C%20B%27Kara%2C%20Malta%20CBD%202010" TargetMode="External" Id="rId2814" /><Relationship Type="http://schemas.openxmlformats.org/officeDocument/2006/relationships/hyperlink" Target="https://www.google.com/maps/search/?api=1&amp;query=Triq%20Fortunato%20Mizzi%2C%20Victoria-Gozo" TargetMode="External" Id="rId2815" /><Relationship Type="http://schemas.openxmlformats.org/officeDocument/2006/relationships/hyperlink" Target="https://www.google.com/maps/search/?api=1&amp;query=Misrah%20Gavino%20Gulia%2C%20Bormla" TargetMode="External" Id="rId2816" /><Relationship Type="http://schemas.openxmlformats.org/officeDocument/2006/relationships/hyperlink" Target="https://www.google.com/maps/search/?api=1&amp;query=7%2C%209%20Rotunda%20Dept%20Stores%20Triq%20il-Kungress%20Ewkaristiku%2C%20Mosta" TargetMode="External" Id="rId2817" /><Relationship Type="http://schemas.openxmlformats.org/officeDocument/2006/relationships/hyperlink" Target="https://www.google.com/maps/search/?api=1&amp;query=280%20Triq%20il-Kbira%20San%20Guzepp%2C%20Hamrun" TargetMode="External" Id="rId2818" /><Relationship Type="http://schemas.openxmlformats.org/officeDocument/2006/relationships/hyperlink" Target="https://www.google.com/maps/search/?api=1&amp;query=Triq%20Salvu%20Busuttil%2C%20San%20Gwann" TargetMode="External" Id="rId2819" /><Relationship Type="http://schemas.openxmlformats.org/officeDocument/2006/relationships/hyperlink" Target="https://www.google.com/maps/search/?api=1&amp;query=Triq%20Gorg%20Borg%20Olivier%2C%20Victoria-Gozo%2C%20Gozo%20VCT%202514" TargetMode="External" Id="rId2820" /><Relationship Type="http://schemas.openxmlformats.org/officeDocument/2006/relationships/hyperlink" Target="https://www.google.com/maps/search/?api=1&amp;query=Triq%20il-Wied%20ta%27%20I-Imsida%2C%20Msida%2C%20Malta%20MSD%209022" TargetMode="External" Id="rId2821" /><Relationship Type="http://schemas.openxmlformats.org/officeDocument/2006/relationships/hyperlink" Target="https://www.google.com/maps/search/?api=1&amp;query=Triq%20il-Kostituzzjoni%2C%20Mosta%2C%20Malta%20MST%209050" TargetMode="External" Id="rId2822" /><Relationship Type="http://schemas.openxmlformats.org/officeDocument/2006/relationships/hyperlink" Target="https://www.google.com/maps/search/?api=1&amp;query=22%2C%20Triq%20Sant%27%20Elija%2C%20B%27Kara%2C%20Malta%20BKR%202064" TargetMode="External" Id="rId2823" /><Relationship Type="http://schemas.openxmlformats.org/officeDocument/2006/relationships/hyperlink" Target="https://www.google.com/maps/search/?api=1&amp;query=220%20Triq%20in-Naxxar%2C%20San%20Gwann%2C%20Malta%20SGN%209030" TargetMode="External" Id="rId2824" /><Relationship Type="http://schemas.openxmlformats.org/officeDocument/2006/relationships/hyperlink" Target="https://www.google.com/maps/search/?api=1&amp;query=12%20Triq%20il-Hammieri%2C%20Qormi%2C%20Malta" TargetMode="External" Id="rId2825" /><Relationship Type="http://schemas.openxmlformats.org/officeDocument/2006/relationships/hyperlink" Target="https://www.google.com/maps/search/?api=1&amp;query=18%20Wesghat%20il-Knisja%20tan-Nattivita%2C%20Bormla%2C%20Malta%20BML%201650" TargetMode="External" Id="rId2826" /><Relationship Type="http://schemas.openxmlformats.org/officeDocument/2006/relationships/hyperlink" Target="https://www.google.com/maps/search/?api=1&amp;query=10%20Misrah%20I%27%20Isle%20Adam%2C%20Rabat%2C%20Malta%20RBT%201169" TargetMode="External" Id="rId2827" /><Relationship Type="http://schemas.openxmlformats.org/officeDocument/2006/relationships/hyperlink" Target="https://www.google.com/maps/search/?api=1&amp;query=Triq%20il-Kappillan%20Mifsud%2C%20Sta%20Venera" TargetMode="External" Id="rId2828" /><Relationship Type="http://schemas.openxmlformats.org/officeDocument/2006/relationships/hyperlink" Target="https://www.google.com/maps/search/?api=1&amp;query=Vjal%20I-Infiprndenza%2C%20Mosta" TargetMode="External" Id="rId2829" /><Relationship Type="http://schemas.openxmlformats.org/officeDocument/2006/relationships/hyperlink" Target="https://www.google.com/maps/search/?api=1&amp;query=Triq%20Valetta%2C%20Mosta%2C%20Malta" TargetMode="External" Id="rId2830" /><Relationship Type="http://schemas.openxmlformats.org/officeDocument/2006/relationships/hyperlink" Target="https://www.google.com/maps/search/?api=1&amp;query=91%20Triq%20is-Santwarju%2C%20Zabbar" TargetMode="External" Id="rId2831" /><Relationship Type="http://schemas.openxmlformats.org/officeDocument/2006/relationships/hyperlink" Target="https://www.google.com/maps/search/?api=1&amp;query=Zone%205%20Triq%20ll-Kanun%20Central%20Business%20District%2C%20Qormi%2C%20Malta%20CBD%205060" TargetMode="External" Id="rId2832" /><Relationship Type="http://schemas.openxmlformats.org/officeDocument/2006/relationships/hyperlink" Target="https://www.google.com/maps/search/?api=1&amp;query=Zone%203%20Triq%20L-Intornjatur%20Central%20Business%20District%2C%20B%27Kara%2C%20Malta%20CBD%203050" TargetMode="External" Id="rId2833" /><Relationship Type="http://schemas.openxmlformats.org/officeDocument/2006/relationships/hyperlink" Target="https://www.google.com/maps/search/?api=1&amp;query=Triq%20il-Kungress%20Ewkaristiku%2C%20Mosta" TargetMode="External" Id="rId2834" /><Relationship Type="http://schemas.openxmlformats.org/officeDocument/2006/relationships/hyperlink" Target="https://www.google.com/maps/search/?api=1&amp;query=146%20Triq%20Sant%27%20Orsla%20Victoria-Gozo" TargetMode="External" Id="rId2835" /><Relationship Type="http://schemas.openxmlformats.org/officeDocument/2006/relationships/hyperlink" Target="https://www.google.com/maps/search/?api=1&amp;query=191%20Triq%20Hal%20Qormi%2C%20Marsa" TargetMode="External" Id="rId2836" /><Relationship Type="http://schemas.openxmlformats.org/officeDocument/2006/relationships/hyperlink" Target="https://www.google.com/maps/search/?api=1&amp;query=Triq%20il-Wied%2C%20B%27Kara" TargetMode="External" Id="rId2837" /><Relationship Type="http://schemas.openxmlformats.org/officeDocument/2006/relationships/hyperlink" Target="https://www.google.com/maps/search/?api=1&amp;query=Triq%20Nazzjonali%20Blata%20L-Blajda%2C%20Hamrun%2C%20Malta%20HMR%209012" TargetMode="External" Id="rId2838" /><Relationship Type="http://schemas.openxmlformats.org/officeDocument/2006/relationships/hyperlink" Target="https://www.google.com/maps/search/?api=1&amp;query=71%20Triq%20il-Buqexrem%2C%20Fgura" TargetMode="External" Id="rId2839" /><Relationship Type="http://schemas.openxmlformats.org/officeDocument/2006/relationships/hyperlink" Target="https://www.google.com/maps/search/?api=1&amp;query=Misrah%20Gavino%20Gulia%2C%20Bormla" TargetMode="External" Id="rId2840" /><Relationship Type="http://schemas.openxmlformats.org/officeDocument/2006/relationships/hyperlink" Target="https://www.google.com/maps/search/?api=1&amp;query=7%2C%209%20Rotunda%20Dept%20Stores%20Triq%20il-Kungress%20Ewkaristiku%2C%20Mosta" TargetMode="External" Id="rId2841" /><Relationship Type="http://schemas.openxmlformats.org/officeDocument/2006/relationships/hyperlink" Target="https://www.google.com/maps/search/?api=1&amp;query=Triq%20il-Lampuki%2C%20San%20Pawl%20ll-Bahar" TargetMode="External" Id="rId2842" /><Relationship Type="http://schemas.openxmlformats.org/officeDocument/2006/relationships/hyperlink" Target="https://www.google.com/maps/search/?api=1&amp;query=280%20Triq%20il-Kbira%20San%20Guzepp%2C%20Hamrun" TargetMode="External" Id="rId2843" /><Relationship Type="http://schemas.openxmlformats.org/officeDocument/2006/relationships/hyperlink" Target="https://www.google.com/maps/search/?api=1&amp;query=Triq%20Gorg%20Borg%20Olivier%2C%20Victoria-Gozo%2C%20Gozo%20VCT%202514" TargetMode="External" Id="rId2844" /><Relationship Type="http://schemas.openxmlformats.org/officeDocument/2006/relationships/hyperlink" Target="https://venturamalta.com" TargetMode="External" Id="rId2845" /><Relationship Type="http://schemas.openxmlformats.org/officeDocument/2006/relationships/hyperlink" Target="https://petroni.com.mt" TargetMode="External" Id="rId2846" /><Relationship Type="http://schemas.openxmlformats.org/officeDocument/2006/relationships/hyperlink" Target="https://soundsmart.com.mt" TargetMode="External" Id="rId2847" /><Relationship Type="http://schemas.openxmlformats.org/officeDocument/2006/relationships/hyperlink" Target="https://kcl.com.mt" TargetMode="External" Id="rId2848" /><Relationship Type="http://schemas.openxmlformats.org/officeDocument/2006/relationships/hyperlink" Target="https://facebook.com/futurahomeappliances/" TargetMode="External" Id="rId2849" /><Relationship Type="http://schemas.openxmlformats.org/officeDocument/2006/relationships/hyperlink" Target="https://tabletsandmoreelectronics.com" TargetMode="External" Id="rId2850" /><Relationship Type="http://schemas.openxmlformats.org/officeDocument/2006/relationships/hyperlink" Target="https://facebook.com/akkwist" TargetMode="External" Id="rId2851" /><Relationship Type="http://schemas.openxmlformats.org/officeDocument/2006/relationships/hyperlink" Target="https://facebook.com/TaGulinu/info?tab=page%5Cuinfo" TargetMode="External" Id="rId2852" /><Relationship Type="http://schemas.openxmlformats.org/officeDocument/2006/relationships/hyperlink" Target="https://triplealuqa.com" TargetMode="External" Id="rId2853" /><Relationship Type="http://schemas.openxmlformats.org/officeDocument/2006/relationships/hyperlink" Target="https://facebook.com/cathshome" TargetMode="External" Id="rId2854" /><Relationship Type="http://schemas.openxmlformats.org/officeDocument/2006/relationships/hyperlink" Target="https://fb.com/ComfortekMalta" TargetMode="External" Id="rId2855" /><Relationship Type="http://schemas.openxmlformats.org/officeDocument/2006/relationships/hyperlink" Target="https://consiglio.com.mt" TargetMode="External" Id="rId2856" /><Relationship Type="http://schemas.openxmlformats.org/officeDocument/2006/relationships/hyperlink" Target="https://divine.com.mt" TargetMode="External" Id="rId2857" /><Relationship Type="http://schemas.openxmlformats.org/officeDocument/2006/relationships/hyperlink" Target="https://flamingo.com.mt" TargetMode="External" Id="rId2858" /><Relationship Type="http://schemas.openxmlformats.org/officeDocument/2006/relationships/hyperlink" Target="https://foresaksgroup.com" TargetMode="External" Id="rId2859" /><Relationship Type="http://schemas.openxmlformats.org/officeDocument/2006/relationships/hyperlink" Target="https://facebook.com/people/Freddies-Household/100063498252557/?utm_source=Yellow&amp;utm_medium=Yellow-Website&amp;utm_campaign=Landing-Page#" TargetMode="External" Id="rId2860" /><Relationship Type="http://schemas.openxmlformats.org/officeDocument/2006/relationships/hyperlink" Target="https://gda.com.mt" TargetMode="External" Id="rId2861" /><Relationship Type="http://schemas.openxmlformats.org/officeDocument/2006/relationships/hyperlink" Target="https://hotpointmalta.com" TargetMode="External" Id="rId2862" /><Relationship Type="http://schemas.openxmlformats.org/officeDocument/2006/relationships/hyperlink" Target="https://itc-malta.com" TargetMode="External" Id="rId2863" /><Relationship Type="http://schemas.openxmlformats.org/officeDocument/2006/relationships/hyperlink" Target="https://oxfordhouse.com.mt" TargetMode="External" Id="rId2864" /><Relationship Type="http://schemas.openxmlformats.org/officeDocument/2006/relationships/hyperlink" Target="https://refcold.com.mt" TargetMode="External" Id="rId2865" /><Relationship Type="http://schemas.openxmlformats.org/officeDocument/2006/relationships/hyperlink" Target="https://rightdealmalta.com" TargetMode="External" Id="rId2866" /><Relationship Type="http://schemas.openxmlformats.org/officeDocument/2006/relationships/hyperlink" Target="https://topchoice.com.mt" TargetMode="External" Id="rId2867" /><Relationship Type="http://schemas.openxmlformats.org/officeDocument/2006/relationships/hyperlink" Target="https://ultimate.com.mt" TargetMode="External" Id="rId2868" /><Relationship Type="http://schemas.openxmlformats.org/officeDocument/2006/relationships/hyperlink" Target="https://xtmalta.com" TargetMode="External" Id="rId2869" /><Relationship Type="http://schemas.openxmlformats.org/officeDocument/2006/relationships/hyperlink" Target="https://petroni.com.mt" TargetMode="External" Id="rId2870" /><Relationship Type="http://schemas.openxmlformats.org/officeDocument/2006/relationships/hyperlink" Target="https://soundsmart.com.mt" TargetMode="External" Id="rId2871" /><Relationship Type="http://schemas.openxmlformats.org/officeDocument/2006/relationships/hyperlink" Target="https://kcl.com.mt" TargetMode="External" Id="rId2872" /><Relationship Type="http://schemas.openxmlformats.org/officeDocument/2006/relationships/hyperlink" Target="https://facebook.com/futurahomeappliances/" TargetMode="External" Id="rId2873" /><Relationship Type="http://schemas.openxmlformats.org/officeDocument/2006/relationships/hyperlink" Target="https://tabletsandmoreelectronics.com" TargetMode="External" Id="rId2874" /><Relationship Type="http://schemas.openxmlformats.org/officeDocument/2006/relationships/hyperlink" Target="https://facebook.com/akkwist" TargetMode="External" Id="rId2875" /><Relationship Type="http://schemas.openxmlformats.org/officeDocument/2006/relationships/hyperlink" Target="https://facebook.com/TaGulinu/info?tab=page%5Cuinfo" TargetMode="External" Id="rId2876" /><Relationship Type="http://schemas.openxmlformats.org/officeDocument/2006/relationships/hyperlink" Target="https://centrocasalinga.com" TargetMode="External" Id="rId2877" /><Relationship Type="http://schemas.openxmlformats.org/officeDocument/2006/relationships/hyperlink" Target="https://fb.com/ComfortekMalta" TargetMode="External" Id="rId2878" /><Relationship Type="http://schemas.openxmlformats.org/officeDocument/2006/relationships/hyperlink" Target="https://consiglio.com.mt" TargetMode="External" Id="rId2879" /><Relationship Type="http://schemas.openxmlformats.org/officeDocument/2006/relationships/hyperlink" Target="https://cutajarhifi.com" TargetMode="External" Id="rId2880" /><Relationship Type="http://schemas.openxmlformats.org/officeDocument/2006/relationships/hyperlink" Target="https://flamingo.com.mt" TargetMode="External" Id="rId2881" /><Relationship Type="http://schemas.openxmlformats.org/officeDocument/2006/relationships/hyperlink" Target="https://forestalsgroup.com" TargetMode="External" Id="rId2882" /><Relationship Type="http://schemas.openxmlformats.org/officeDocument/2006/relationships/hyperlink" Target="https://facebook.com/people/Freddies-Household/100063498252557/?utm_source=Yellow&amp;utm_medium=Yellow-Website&amp;utm_campaign=Landing-Page#" TargetMode="External" Id="rId2883" /><Relationship Type="http://schemas.openxmlformats.org/officeDocument/2006/relationships/hyperlink" Target="https://gda.com.mt" TargetMode="External" Id="rId2884" /><Relationship Type="http://schemas.openxmlformats.org/officeDocument/2006/relationships/hyperlink" Target="https://hotpointmalta.com" TargetMode="External" Id="rId2885" /><Relationship Type="http://schemas.openxmlformats.org/officeDocument/2006/relationships/hyperlink" Target="https://itc-malta.com" TargetMode="External" Id="rId2886" /><Relationship Type="http://schemas.openxmlformats.org/officeDocument/2006/relationships/hyperlink" Target="https://facebook.com/p/JS-Household-100063545924453/" TargetMode="External" Id="rId2887" /><Relationship Type="http://schemas.openxmlformats.org/officeDocument/2006/relationships/hyperlink" Target="https://rightdealmalta.com" TargetMode="External" Id="rId2888" /><Relationship Type="http://schemas.openxmlformats.org/officeDocument/2006/relationships/hyperlink" Target="https://topchoice.com.mt" TargetMode="External" Id="rId2889" /><Relationship Type="http://schemas.openxmlformats.org/officeDocument/2006/relationships/hyperlink" Target="https://xtmalta.com" TargetMode="External" Id="rId2890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hyperlink" Target="MAILTO:ppl@pplmalta.com" TargetMode="External" Id="rId2891" /><Relationship Type="http://schemas.openxmlformats.org/officeDocument/2006/relationships/hyperlink" Target="MAILTO:solartechmalta@gmail.com" TargetMode="External" Id="rId2892" /><Relationship Type="http://schemas.openxmlformats.org/officeDocument/2006/relationships/hyperlink" Target="MAILTO:info@recowatt.com" TargetMode="External" Id="rId2893" /><Relationship Type="http://schemas.openxmlformats.org/officeDocument/2006/relationships/hyperlink" Target="MAILTO:info@signworldmalta.com" TargetMode="External" Id="rId2894" /><Relationship Type="http://schemas.openxmlformats.org/officeDocument/2006/relationships/hyperlink" Target="MAILTO:turbosigns@outlook.com" TargetMode="External" Id="rId2895" /><Relationship Type="http://schemas.openxmlformats.org/officeDocument/2006/relationships/hyperlink" Target="MAILTO:info@justltdmalta.com" TargetMode="External" Id="rId2896" /><Relationship Type="http://schemas.openxmlformats.org/officeDocument/2006/relationships/hyperlink" Target="MAILTO:admin@zaffarese.com" TargetMode="External" Id="rId2897" /><Relationship Type="http://schemas.openxmlformats.org/officeDocument/2006/relationships/hyperlink" Target="MAILTO:info@grfmalta.com" TargetMode="External" Id="rId2898" /><Relationship Type="http://schemas.openxmlformats.org/officeDocument/2006/relationships/hyperlink" Target="MAILTO:contact@opaque.mt" TargetMode="External" Id="rId2899" /><Relationship Type="http://schemas.openxmlformats.org/officeDocument/2006/relationships/hyperlink" Target="https://www.google.com/maps/search/?api=1&amp;query=112%20Industrial%20Estate%20%2C%20%C4%A6al%20Luqa%2C%20Malta" TargetMode="External" Id="rId2900" /><Relationship Type="http://schemas.openxmlformats.org/officeDocument/2006/relationships/hyperlink" Target="https://www.google.com/maps/search/?api=1&amp;query=12%2C%20SolarTech%2C%20Triq%20il-Masgar%0AQormi%2C%20QRM%203217%2C%20Malta" TargetMode="External" Id="rId2901" /><Relationship Type="http://schemas.openxmlformats.org/officeDocument/2006/relationships/hyperlink" Target="https://www.google.com/maps/search/?api=1&amp;query=Triq%20L-Imdina%2C%20%C4%A6a%C5%BC-%C5%BBebbu%C4%A1%20ZBG%209019%2C%20Malta" TargetMode="External" Id="rId2902" /><Relationship Type="http://schemas.openxmlformats.org/officeDocument/2006/relationships/hyperlink" Target="https://www.google.com/maps/search/?api=1&amp;query=Triq%20il-Frangiskani%2C%20L-Imsida%0AMSD%201120%2C%20Malta" TargetMode="External" Id="rId2903" /><Relationship Type="http://schemas.openxmlformats.org/officeDocument/2006/relationships/hyperlink" Target="https://www.google.com/maps/search/?api=1&amp;query=Parades%20Street%2C%20St%20Paul%27s%20Bay" TargetMode="External" Id="rId2904" /><Relationship Type="http://schemas.openxmlformats.org/officeDocument/2006/relationships/hyperlink" Target="https://www.google.com/maps/search/?api=1&amp;query=194%2C%20Luqa%20Briffa%20Street%2C%20Gzira%20GZR1504%2C%20Malta" TargetMode="External" Id="rId2905" /><Relationship Type="http://schemas.openxmlformats.org/officeDocument/2006/relationships/hyperlink" Target="https://www.google.com/maps/search/?api=1&amp;query=CCG%20Building%2C%20Triq%203%20Ta%E2%80%99%20Settembru%201798%0AZone%203%2C%20Central%20Business%20District%2C%20Birkirkara%0ACBD%203100%20Malta" TargetMode="External" Id="rId2906" /><Relationship Type="http://schemas.openxmlformats.org/officeDocument/2006/relationships/hyperlink" Target="https://www.google.com/maps/search/?api=1&amp;query=117%20Triq%20L-Assemblea%20Nazzjonali%2C%0ASan%20Gwann%20SGN%203034%2C%20Malta" TargetMode="External" Id="rId2907" /><Relationship Type="http://schemas.openxmlformats.org/officeDocument/2006/relationships/hyperlink" Target="https://pplmalta.com/" TargetMode="External" Id="rId2908" /><Relationship Type="http://schemas.openxmlformats.org/officeDocument/2006/relationships/hyperlink" Target="https://solartech.com.mt/" TargetMode="External" Id="rId2909" /><Relationship Type="http://schemas.openxmlformats.org/officeDocument/2006/relationships/hyperlink" Target="https://recowatt.com/" TargetMode="External" Id="rId2910" /><Relationship Type="http://schemas.openxmlformats.org/officeDocument/2006/relationships/hyperlink" Target="https://signworldmalta.com/" TargetMode="External" Id="rId2911" /><Relationship Type="http://schemas.openxmlformats.org/officeDocument/2006/relationships/hyperlink" Target="https://turbosignsmalta.com/" TargetMode="External" Id="rId2912" /><Relationship Type="http://schemas.openxmlformats.org/officeDocument/2006/relationships/hyperlink" Target="https://justltdmalta.com/home.html" TargetMode="External" Id="rId2913" /><Relationship Type="http://schemas.openxmlformats.org/officeDocument/2006/relationships/hyperlink" Target="https://zaffarese.com/" TargetMode="External" Id="rId2914" /><Relationship Type="http://schemas.openxmlformats.org/officeDocument/2006/relationships/hyperlink" Target="https://grfmalta.com/" TargetMode="External" Id="rId2915" /><Relationship Type="http://schemas.openxmlformats.org/officeDocument/2006/relationships/hyperlink" Target="https://opaquemalta.com/" TargetMode="External" Id="rId2916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hyperlink" Target="MAILTO:sales@blindsandmore.com.mt" TargetMode="External" Id="rId2917" /><Relationship Type="http://schemas.openxmlformats.org/officeDocument/2006/relationships/hyperlink" Target="MAILTO:info@sunlockblinds.com" TargetMode="External" Id="rId2918" /><Relationship Type="http://schemas.openxmlformats.org/officeDocument/2006/relationships/hyperlink" Target="MAILTO:info@gozoverticals.com" TargetMode="External" Id="rId2919" /><Relationship Type="http://schemas.openxmlformats.org/officeDocument/2006/relationships/hyperlink" Target="MAILTO:mghomeinteriorsltd@gmail.com" TargetMode="External" Id="rId2920" /><Relationship Type="http://schemas.openxmlformats.org/officeDocument/2006/relationships/hyperlink" Target="MAILTO:info@nigeldimech.com" TargetMode="External" Id="rId2921" /><Relationship Type="http://schemas.openxmlformats.org/officeDocument/2006/relationships/hyperlink" Target="MAILTO:sales@blinds4all.mt" TargetMode="External" Id="rId2922" /><Relationship Type="http://schemas.openxmlformats.org/officeDocument/2006/relationships/hyperlink" Target="MAILTO:kulurimalta@gmail.com" TargetMode="External" Id="rId2923" /><Relationship Type="http://schemas.openxmlformats.org/officeDocument/2006/relationships/hyperlink" Target="MAILTO:customercare@homemate.com.mt" TargetMode="External" Id="rId2924" /><Relationship Type="http://schemas.openxmlformats.org/officeDocument/2006/relationships/hyperlink" Target="MAILTO:info@bdblinds.mt" TargetMode="External" Id="rId2925" /><Relationship Type="http://schemas.openxmlformats.org/officeDocument/2006/relationships/hyperlink" Target="MAILTO:jysk@jysk.com.mt" TargetMode="External" Id="rId2926" /><Relationship Type="http://schemas.openxmlformats.org/officeDocument/2006/relationships/hyperlink" Target="MAILTO:hello@latenda.com.mt" TargetMode="External" Id="rId2927" /><Relationship Type="http://schemas.openxmlformats.org/officeDocument/2006/relationships/hyperlink" Target="MAILTO:info@yourblindsmalta.com" TargetMode="External" Id="rId2928" /><Relationship Type="http://schemas.openxmlformats.org/officeDocument/2006/relationships/hyperlink" Target="MAILTO:contactus@theatrium.com.mt" TargetMode="External" Id="rId2929" /><Relationship Type="http://schemas.openxmlformats.org/officeDocument/2006/relationships/hyperlink" Target="MAILTO:info@vicalinteriors.com" TargetMode="External" Id="rId2930" /><Relationship Type="http://schemas.openxmlformats.org/officeDocument/2006/relationships/hyperlink" Target="MAILTO:shop@megastore.com.mt" TargetMode="External" Id="rId2931" /><Relationship Type="http://schemas.openxmlformats.org/officeDocument/2006/relationships/hyperlink" Target="MAILTO:info@bigbeninteriors.com.mt" TargetMode="External" Id="rId2932" /><Relationship Type="http://schemas.openxmlformats.org/officeDocument/2006/relationships/hyperlink" Target="MAILTO:info@hml.com.mt" TargetMode="External" Id="rId2933" /><Relationship Type="http://schemas.openxmlformats.org/officeDocument/2006/relationships/hyperlink" Target="MAILTO:sales@dimech-ent.com" TargetMode="External" Id="rId2934" /><Relationship Type="http://schemas.openxmlformats.org/officeDocument/2006/relationships/hyperlink" Target="MAILTO:nblindsmalta@gmail.com" TargetMode="External" Id="rId2935" /><Relationship Type="http://schemas.openxmlformats.org/officeDocument/2006/relationships/hyperlink" Target="MAILTO:micasasolutions3@gmail.com" TargetMode="External" Id="rId2936" /><Relationship Type="http://schemas.openxmlformats.org/officeDocument/2006/relationships/hyperlink" Target="MAILTO:info@davidinteriors.com" TargetMode="External" Id="rId2937" /><Relationship Type="http://schemas.openxmlformats.org/officeDocument/2006/relationships/hyperlink" Target="MAILTO:sales@pvcmalta.com" TargetMode="External" Id="rId2938" /><Relationship Type="http://schemas.openxmlformats.org/officeDocument/2006/relationships/hyperlink" Target="MAILTO:zebrablindsmalta@gmail.com" TargetMode="External" Id="rId2939" /><Relationship Type="http://schemas.openxmlformats.org/officeDocument/2006/relationships/hyperlink" Target="MAILTO:sales@maltadiy.com" TargetMode="External" Id="rId2940" /><Relationship Type="http://schemas.openxmlformats.org/officeDocument/2006/relationships/hyperlink" Target="MAILTO:info@jbstores.com" TargetMode="External" Id="rId2941" /><Relationship Type="http://schemas.openxmlformats.org/officeDocument/2006/relationships/hyperlink" Target="MAILTO:infobudgetblindsmalta@gmail.com" TargetMode="External" Id="rId2942" /><Relationship Type="http://schemas.openxmlformats.org/officeDocument/2006/relationships/hyperlink" Target="MAILTO:info@royaltyscreens.com" TargetMode="External" Id="rId2943" /><Relationship Type="http://schemas.openxmlformats.org/officeDocument/2006/relationships/hyperlink" Target="https://www.google.com/maps/search/?api=1&amp;query=41%20Triq%20in-Naxxar%2C%20San%20%C4%A0wann%2C%20Malta%20SGN%209030" TargetMode="External" Id="rId2944" /><Relationship Type="http://schemas.openxmlformats.org/officeDocument/2006/relationships/hyperlink" Target="https://www.google.com/maps/search/?api=1&amp;query=Triq%20l-Imdina%2C%20%C5%BBebbu%C4%A1%2C%20ZBG%209016%2C%20Malta" TargetMode="External" Id="rId2945" /><Relationship Type="http://schemas.openxmlformats.org/officeDocument/2006/relationships/hyperlink" Target="https://www.google.com/maps/search/?api=1&amp;query=MG%20Home%20Interiors%20Ltd%2C%202%20Triq%20San%20Tumas%2C%20%C4%A6al%20Luqa" TargetMode="External" Id="rId2946" /><Relationship Type="http://schemas.openxmlformats.org/officeDocument/2006/relationships/hyperlink" Target="https://www.google.com/maps/search/?api=1&amp;query=KKW%20721%2C%20Corradino%20%0AIndustrial%20Estate%0APaola%2C%20PLA%203000%2C%20Malta" TargetMode="External" Id="rId2947" /><Relationship Type="http://schemas.openxmlformats.org/officeDocument/2006/relationships/hyperlink" Target="https://www.google.com/maps/search/?api=1&amp;query=Mriehel%2C%20Malta" TargetMode="External" Id="rId2948" /><Relationship Type="http://schemas.openxmlformats.org/officeDocument/2006/relationships/hyperlink" Target="https://www.google.com/maps/search/?api=1&amp;query=Industrial%20Estate%20%0ABulebel%2C%20Zejtun%0AZTN%203000%0AMalta" TargetMode="External" Id="rId2949" /><Relationship Type="http://schemas.openxmlformats.org/officeDocument/2006/relationships/hyperlink" Target="https://www.google.com/maps/search/?api=1&amp;query=Triq-Il%20Mosta%2C%20Lija%2C%20Malta" TargetMode="External" Id="rId2950" /><Relationship Type="http://schemas.openxmlformats.org/officeDocument/2006/relationships/hyperlink" Target="https://www.google.com/maps/search/?api=1&amp;query=58%2C%20Daddy%E2%80%99s%20Court%20Flat%201%2C%20Triq%20Il-Pitkali%2C%20Attard" TargetMode="External" Id="rId2951" /><Relationship Type="http://schemas.openxmlformats.org/officeDocument/2006/relationships/hyperlink" Target="https://www.google.com/maps/search/?api=1&amp;query=The%20Atrium%2C%20Giovanni%20Felice%20Street%2C%20Zone%203%2C%20Central%20Business%20District%2C%20Birkirkara%20CBD%203120" TargetMode="External" Id="rId2952" /><Relationship Type="http://schemas.openxmlformats.org/officeDocument/2006/relationships/hyperlink" Target="https://www.google.com/maps/search/?api=1&amp;query=84%2C%20Qormi%20Road%2C%20Hamrun" TargetMode="External" Id="rId2953" /><Relationship Type="http://schemas.openxmlformats.org/officeDocument/2006/relationships/hyperlink" Target="https://www.google.com/maps/search/?api=1&amp;query=Warehouse%20No.%2025%2C%20Hard%20Rocks%20Industrial%20Park%2C%20Burmarrad%20Road%2C%20Naxxar%2C%20Malta" TargetMode="External" Id="rId2954" /><Relationship Type="http://schemas.openxmlformats.org/officeDocument/2006/relationships/hyperlink" Target="https://www.google.com/maps/search/?api=1&amp;query=Naxxar%20Road%2C%20Birkirkara%2C%0AMalta%2C%20BKR%209045" TargetMode="External" Id="rId2955" /><Relationship Type="http://schemas.openxmlformats.org/officeDocument/2006/relationships/hyperlink" Target="https://www.google.com/maps/search/?api=1&amp;query=HML%20Workshop%2C%20Cannon%20Road%20Qormi" TargetMode="External" Id="rId2956" /><Relationship Type="http://schemas.openxmlformats.org/officeDocument/2006/relationships/hyperlink" Target="https://www.google.com/maps/search/?api=1&amp;query=Dimech%20Enterprises%20Ltd%0ACentre%20Point%2C%20Triq%20Valletta%0ALuqa%20%0AMalta%20LQA%201762" TargetMode="External" Id="rId2957" /><Relationship Type="http://schemas.openxmlformats.org/officeDocument/2006/relationships/hyperlink" Target="https://www.google.com/maps/search/?api=1&amp;query=219%2C%20Sanctuary%20Street%2C%20Zabbar%2C%20Malta" TargetMode="External" Id="rId2958" /><Relationship Type="http://schemas.openxmlformats.org/officeDocument/2006/relationships/hyperlink" Target="https://www.google.com/maps/search/?api=1&amp;query=156%20Triq%20Ganu%2C%20Birkirkara%2C%20Malta" TargetMode="External" Id="rId2959" /><Relationship Type="http://schemas.openxmlformats.org/officeDocument/2006/relationships/hyperlink" Target="https://www.google.com/maps/search/?api=1&amp;query=David%20Interiors%2C%20161%2C%20St.%20Edwards%20Street%2C%20Qormi" TargetMode="External" Id="rId2960" /><Relationship Type="http://schemas.openxmlformats.org/officeDocument/2006/relationships/hyperlink" Target="https://www.google.com/maps/search/?api=1&amp;query=L%2C%2052%20Triq%20Il-%20Muzika%2C%20Iklin%20IKL%201091" TargetMode="External" Id="rId2961" /><Relationship Type="http://schemas.openxmlformats.org/officeDocument/2006/relationships/hyperlink" Target="https://www.google.com/maps/search/?api=1&amp;query=JB%20Stores%2C%20JB%20House%2C%20Iklin%20Road%2C%20Iklin" TargetMode="External" Id="rId2962" /><Relationship Type="http://schemas.openxmlformats.org/officeDocument/2006/relationships/hyperlink" Target="https://www.google.com/maps/search/?api=1&amp;query=Triq-il%20Bufura%20l-Hamra%2C%20Mosta" TargetMode="External" Id="rId2963" /><Relationship Type="http://schemas.openxmlformats.org/officeDocument/2006/relationships/hyperlink" Target="https://www.google.com/maps/search/?api=1&amp;query=Zircon%20Suites%20Triq%20ta%27%20Zejfa%2CMosta%2C%20Malta." TargetMode="External" Id="rId2964" /><Relationship Type="http://schemas.openxmlformats.org/officeDocument/2006/relationships/hyperlink" Target="https://blindsandmore.com.mt" TargetMode="External" Id="rId2965" /><Relationship Type="http://schemas.openxmlformats.org/officeDocument/2006/relationships/hyperlink" Target="https://sunlockblinds.com" TargetMode="External" Id="rId2966" /><Relationship Type="http://schemas.openxmlformats.org/officeDocument/2006/relationships/hyperlink" Target="https://gozoverticals.com/" TargetMode="External" Id="rId2967" /><Relationship Type="http://schemas.openxmlformats.org/officeDocument/2006/relationships/hyperlink" Target="https://mghomeinteriors.com/#services" TargetMode="External" Id="rId2968" /><Relationship Type="http://schemas.openxmlformats.org/officeDocument/2006/relationships/hyperlink" Target="https://nigeldimech.com/" TargetMode="External" Id="rId2969" /><Relationship Type="http://schemas.openxmlformats.org/officeDocument/2006/relationships/hyperlink" Target="https://facebook.com/blinds4allmalta" TargetMode="External" Id="rId2970" /><Relationship Type="http://schemas.openxmlformats.org/officeDocument/2006/relationships/hyperlink" Target="https://kulurimalta.com/" TargetMode="External" Id="rId2971" /><Relationship Type="http://schemas.openxmlformats.org/officeDocument/2006/relationships/hyperlink" Target="https://homemate.com.mt/" TargetMode="External" Id="rId2972" /><Relationship Type="http://schemas.openxmlformats.org/officeDocument/2006/relationships/hyperlink" Target="https://bdblinds.mt/" TargetMode="External" Id="rId2973" /><Relationship Type="http://schemas.openxmlformats.org/officeDocument/2006/relationships/hyperlink" Target="https://jysk.com.mt/" TargetMode="External" Id="rId2974" /><Relationship Type="http://schemas.openxmlformats.org/officeDocument/2006/relationships/hyperlink" Target="https://latenda.com.mt/" TargetMode="External" Id="rId2975" /><Relationship Type="http://schemas.openxmlformats.org/officeDocument/2006/relationships/hyperlink" Target="https://yourblindsmalta.com/" TargetMode="External" Id="rId2976" /><Relationship Type="http://schemas.openxmlformats.org/officeDocument/2006/relationships/hyperlink" Target="https://theatrium.com.mt/living" TargetMode="External" Id="rId2977" /><Relationship Type="http://schemas.openxmlformats.org/officeDocument/2006/relationships/hyperlink" Target="https://vicalinteriors.com/" TargetMode="External" Id="rId2978" /><Relationship Type="http://schemas.openxmlformats.org/officeDocument/2006/relationships/hyperlink" Target="https://megastore.com.mt/" TargetMode="External" Id="rId2979" /><Relationship Type="http://schemas.openxmlformats.org/officeDocument/2006/relationships/hyperlink" Target="https://bigbeninteriors.com.mt/" TargetMode="External" Id="rId2980" /><Relationship Type="http://schemas.openxmlformats.org/officeDocument/2006/relationships/hyperlink" Target="https://hml.com.mt/" TargetMode="External" Id="rId2981" /><Relationship Type="http://schemas.openxmlformats.org/officeDocument/2006/relationships/hyperlink" Target="https://dimech-ent.com/" TargetMode="External" Id="rId2982" /><Relationship Type="http://schemas.openxmlformats.org/officeDocument/2006/relationships/hyperlink" Target="https://facebook.com/nblindsmalta/?utm_source=chatgpt.com" TargetMode="External" Id="rId2983" /><Relationship Type="http://schemas.openxmlformats.org/officeDocument/2006/relationships/hyperlink" Target="https://micasasolutions.eu/" TargetMode="External" Id="rId2984" /><Relationship Type="http://schemas.openxmlformats.org/officeDocument/2006/relationships/hyperlink" Target="https://davidinteriors.com/en/home.htm" TargetMode="External" Id="rId2985" /><Relationship Type="http://schemas.openxmlformats.org/officeDocument/2006/relationships/hyperlink" Target="https://pvcmalta.com/en/home.htm" TargetMode="External" Id="rId2986" /><Relationship Type="http://schemas.openxmlformats.org/officeDocument/2006/relationships/hyperlink" Target="https://zebrablindsmalta.com/" TargetMode="External" Id="rId2987" /><Relationship Type="http://schemas.openxmlformats.org/officeDocument/2006/relationships/hyperlink" Target="https://maltadiy.com/" TargetMode="External" Id="rId2988" /><Relationship Type="http://schemas.openxmlformats.org/officeDocument/2006/relationships/hyperlink" Target="https://jbstoresonline.com/" TargetMode="External" Id="rId2989" /><Relationship Type="http://schemas.openxmlformats.org/officeDocument/2006/relationships/hyperlink" Target="https://budgetblinds.mt/" TargetMode="External" Id="rId2990" /><Relationship Type="http://schemas.openxmlformats.org/officeDocument/2006/relationships/hyperlink" Target="https://royaltyscreens.com/contact-us" TargetMode="External" Id="rId299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hyperlink" Target="MAILTO:info@jgrima.com" TargetMode="External" Id="rId2992" /><Relationship Type="http://schemas.openxmlformats.org/officeDocument/2006/relationships/hyperlink" Target="MAILTO:info@antifire.com.mt" TargetMode="External" Id="rId2993" /><Relationship Type="http://schemas.openxmlformats.org/officeDocument/2006/relationships/hyperlink" Target="MAILTO:info@aeco.com.mt" TargetMode="External" Id="rId2994" /><Relationship Type="http://schemas.openxmlformats.org/officeDocument/2006/relationships/hyperlink" Target="MAILTO:info@pdsecuritymalta.com" TargetMode="External" Id="rId2995" /><Relationship Type="http://schemas.openxmlformats.org/officeDocument/2006/relationships/hyperlink" Target="MAILTO:info@soteria.com.mt" TargetMode="External" Id="rId2996" /><Relationship Type="http://schemas.openxmlformats.org/officeDocument/2006/relationships/hyperlink" Target="MAILTO:info@elektroservices.com.mt" TargetMode="External" Id="rId2997" /><Relationship Type="http://schemas.openxmlformats.org/officeDocument/2006/relationships/hyperlink" Target="MAILTO:info@security.com.mt" TargetMode="External" Id="rId2998" /><Relationship Type="http://schemas.openxmlformats.org/officeDocument/2006/relationships/hyperlink" Target="MAILTO:info@jgrima.com" TargetMode="External" Id="rId2999" /><Relationship Type="http://schemas.openxmlformats.org/officeDocument/2006/relationships/hyperlink" Target="MAILTO:info@pdsecuritymalta.com" TargetMode="External" Id="rId3000" /><Relationship Type="http://schemas.openxmlformats.org/officeDocument/2006/relationships/hyperlink" Target="MAILTO:info@antifire.com.mt" TargetMode="External" Id="rId3001" /><Relationship Type="http://schemas.openxmlformats.org/officeDocument/2006/relationships/hyperlink" Target="MAILTO:info@aeco.com.mt" TargetMode="External" Id="rId3002" /><Relationship Type="http://schemas.openxmlformats.org/officeDocument/2006/relationships/hyperlink" Target="MAILTO:info@alarmtechmalta.com" TargetMode="External" Id="rId3003" /><Relationship Type="http://schemas.openxmlformats.org/officeDocument/2006/relationships/hyperlink" Target="MAILTO:info@cbsecuritymalta.com" TargetMode="External" Id="rId3004" /><Relationship Type="http://schemas.openxmlformats.org/officeDocument/2006/relationships/hyperlink" Target="MAILTO:darren@d-tech.mt" TargetMode="External" Id="rId3005" /><Relationship Type="http://schemas.openxmlformats.org/officeDocument/2006/relationships/hyperlink" Target="MAILTO:jmallia@vol.net.mt" TargetMode="External" Id="rId3006" /><Relationship Type="http://schemas.openxmlformats.org/officeDocument/2006/relationships/hyperlink" Target="MAILTO:craudsecurity@gmail.com" TargetMode="External" Id="rId3007" /><Relationship Type="http://schemas.openxmlformats.org/officeDocument/2006/relationships/hyperlink" Target="MAILTO:sales@dmicros.com.mt" TargetMode="External" Id="rId3008" /><Relationship Type="http://schemas.openxmlformats.org/officeDocument/2006/relationships/hyperlink" Target="MAILTO:info@darservicesmalta.com" TargetMode="External" Id="rId3009" /><Relationship Type="http://schemas.openxmlformats.org/officeDocument/2006/relationships/hyperlink" Target="MAILTO:dlc.cachia@gmail.com" TargetMode="External" Id="rId3010" /><Relationship Type="http://schemas.openxmlformats.org/officeDocument/2006/relationships/hyperlink" Target="MAILTO:info@eaglesecurity.com.mt" TargetMode="External" Id="rId3011" /><Relationship Type="http://schemas.openxmlformats.org/officeDocument/2006/relationships/hyperlink" Target="MAILTO:ecom@ecommalta.com" TargetMode="External" Id="rId3012" /><Relationship Type="http://schemas.openxmlformats.org/officeDocument/2006/relationships/hyperlink" Target="MAILTO:alarms@maltanet.net" TargetMode="External" Id="rId3013" /><Relationship Type="http://schemas.openxmlformats.org/officeDocument/2006/relationships/hyperlink" Target="MAILTO:sales@hc.com.mt" TargetMode="External" Id="rId3014" /><Relationship Type="http://schemas.openxmlformats.org/officeDocument/2006/relationships/hyperlink" Target="MAILTO:info@hisecurity.com" TargetMode="External" Id="rId3015" /><Relationship Type="http://schemas.openxmlformats.org/officeDocument/2006/relationships/hyperlink" Target="MAILTO:info@ijsolutions.net" TargetMode="External" Id="rId3016" /><Relationship Type="http://schemas.openxmlformats.org/officeDocument/2006/relationships/hyperlink" Target="MAILTO:info@ielmalta.com" TargetMode="External" Id="rId3017" /><Relationship Type="http://schemas.openxmlformats.org/officeDocument/2006/relationships/hyperlink" Target="MAILTO:info@ispyprojects.com" TargetMode="External" Id="rId3018" /><Relationship Type="http://schemas.openxmlformats.org/officeDocument/2006/relationships/hyperlink" Target="MAILTO:info@misystemsmalta.com" TargetMode="External" Id="rId3019" /><Relationship Type="http://schemas.openxmlformats.org/officeDocument/2006/relationships/hyperlink" Target="MAILTO:info@prosolutions.com.mt" TargetMode="External" Id="rId3020" /><Relationship Type="http://schemas.openxmlformats.org/officeDocument/2006/relationships/hyperlink" Target="MAILTO:secom@onvol.net" TargetMode="External" Id="rId3021" /><Relationship Type="http://schemas.openxmlformats.org/officeDocument/2006/relationships/hyperlink" Target="MAILTO:techadvance.security@gmail.com" TargetMode="External" Id="rId3022" /><Relationship Type="http://schemas.openxmlformats.org/officeDocument/2006/relationships/hyperlink" Target="MAILTO:umsmalta@gmail.com" TargetMode="External" Id="rId3023" /><Relationship Type="http://schemas.openxmlformats.org/officeDocument/2006/relationships/hyperlink" Target="MAILTO:info@elektroservices.com.mt" TargetMode="External" Id="rId3024" /><Relationship Type="http://schemas.openxmlformats.org/officeDocument/2006/relationships/hyperlink" Target="MAILTO:info@sml.com.mt" TargetMode="External" Id="rId3025" /><Relationship Type="http://schemas.openxmlformats.org/officeDocument/2006/relationships/hyperlink" Target="MAILTO:info@alberta.com.mt" TargetMode="External" Id="rId3026" /><Relationship Type="http://schemas.openxmlformats.org/officeDocument/2006/relationships/hyperlink" Target="MAILTO:info@focaltechmalta.com" TargetMode="External" Id="rId3027" /><Relationship Type="http://schemas.openxmlformats.org/officeDocument/2006/relationships/hyperlink" Target="MAILTO:info@masco.com.mt" TargetMode="External" Id="rId3028" /><Relationship Type="http://schemas.openxmlformats.org/officeDocument/2006/relationships/hyperlink" Target="MAILTO:info@securevision.com.mt" TargetMode="External" Id="rId3029" /><Relationship Type="http://schemas.openxmlformats.org/officeDocument/2006/relationships/hyperlink" Target="MAILTO:info@firetech.com.mt" TargetMode="External" Id="rId3030" /><Relationship Type="http://schemas.openxmlformats.org/officeDocument/2006/relationships/hyperlink" Target="MAILTO:info@securichmalta.com" TargetMode="External" Id="rId3031" /><Relationship Type="http://schemas.openxmlformats.org/officeDocument/2006/relationships/hyperlink" Target="MAILTO:kevin@cobrainstallations.com" TargetMode="External" Id="rId3032" /><Relationship Type="http://schemas.openxmlformats.org/officeDocument/2006/relationships/hyperlink" Target="MAILTO:info@czsmarttech.com" TargetMode="External" Id="rId3033" /><Relationship Type="http://schemas.openxmlformats.org/officeDocument/2006/relationships/hyperlink" Target="MAILTO:sales@aqsmed.com" TargetMode="External" Id="rId3034" /><Relationship Type="http://schemas.openxmlformats.org/officeDocument/2006/relationships/hyperlink" Target="MAILTO:info@alternativetechnologies.com.mt" TargetMode="External" Id="rId3035" /><Relationship Type="http://schemas.openxmlformats.org/officeDocument/2006/relationships/hyperlink" Target="MAILTO:info@solarsolutions.com.mt" TargetMode="External" Id="rId3036" /><Relationship Type="http://schemas.openxmlformats.org/officeDocument/2006/relationships/hyperlink" Target="MAILTO:info@callejaformosaenergysaving.com" TargetMode="External" Id="rId3037" /><Relationship Type="http://schemas.openxmlformats.org/officeDocument/2006/relationships/hyperlink" Target="MAILTO:info@powersolutions.com.mt" TargetMode="External" Id="rId3038" /><Relationship Type="http://schemas.openxmlformats.org/officeDocument/2006/relationships/hyperlink" Target="MAILTO:cflgroupmalta@gmail.com" TargetMode="External" Id="rId3039" /><Relationship Type="http://schemas.openxmlformats.org/officeDocument/2006/relationships/hyperlink" Target="MAILTO:josephspiteri.cs@gmail.com" TargetMode="External" Id="rId3040" /><Relationship Type="http://schemas.openxmlformats.org/officeDocument/2006/relationships/hyperlink" Target="MAILTO:sales@electrofixgroup.com" TargetMode="External" Id="rId3041" /><Relationship Type="http://schemas.openxmlformats.org/officeDocument/2006/relationships/hyperlink" Target="MAILTO:gozo.solar@gmail.com" TargetMode="External" Id="rId3042" /><Relationship Type="http://schemas.openxmlformats.org/officeDocument/2006/relationships/hyperlink" Target="MAILTO:jlcenergyhome@gmail.com" TargetMode="External" Id="rId3043" /><Relationship Type="http://schemas.openxmlformats.org/officeDocument/2006/relationships/hyperlink" Target="MAILTO:info@llt.com.mt" TargetMode="External" Id="rId3044" /><Relationship Type="http://schemas.openxmlformats.org/officeDocument/2006/relationships/hyperlink" Target="MAILTO:info@powerplusltd.com" TargetMode="External" Id="rId3045" /><Relationship Type="http://schemas.openxmlformats.org/officeDocument/2006/relationships/hyperlink" Target="MAILTO:info@unitenergysolar.com" TargetMode="External" Id="rId3046" /><Relationship Type="http://schemas.openxmlformats.org/officeDocument/2006/relationships/hyperlink" Target="MAILTO:info@virtuesolaris.com" TargetMode="External" Id="rId3047" /><Relationship Type="http://schemas.openxmlformats.org/officeDocument/2006/relationships/hyperlink" Target="https://www.google.com/maps/search/?api=1&amp;query=130%2C%20Triq%20Salvu%20Psaila%2C%20B%27Kara" TargetMode="External" Id="rId3048" /><Relationship Type="http://schemas.openxmlformats.org/officeDocument/2006/relationships/hyperlink" Target="https://www.google.com/maps/search/?api=1&amp;query=Triq%20il-Belt%20Valetta%2C%20Qormi" TargetMode="External" Id="rId3049" /><Relationship Type="http://schemas.openxmlformats.org/officeDocument/2006/relationships/hyperlink" Target="https://www.google.com/maps/search/?api=1&amp;query=10%20Triq%20Amabile%20Sisner%2C%20Fgura" TargetMode="External" Id="rId3050" /><Relationship Type="http://schemas.openxmlformats.org/officeDocument/2006/relationships/hyperlink" Target="https://www.google.com/maps/search/?api=1&amp;query=25%20Triq%20il-Bennej%2C%20Mosta" TargetMode="External" Id="rId3051" /><Relationship Type="http://schemas.openxmlformats.org/officeDocument/2006/relationships/hyperlink" Target="https://www.google.com/maps/search/?api=1&amp;query=Dawert%20Hal%20Ghaxaq" TargetMode="External" Id="rId3052" /><Relationship Type="http://schemas.openxmlformats.org/officeDocument/2006/relationships/hyperlink" Target="https://www.google.com/maps/search/?api=1&amp;query=347%20Triq%20D%E2%80%99Argens%2C%20Il-G%C5%BCira" TargetMode="External" Id="rId3053" /><Relationship Type="http://schemas.openxmlformats.org/officeDocument/2006/relationships/hyperlink" Target="https://www.google.com/maps/search/?api=1&amp;query=9%20Triq%20in-Narcis%2C%20San%20Gwann" TargetMode="External" Id="rId3054" /><Relationship Type="http://schemas.openxmlformats.org/officeDocument/2006/relationships/hyperlink" Target="https://www.google.com/maps/search/?api=1&amp;query=130%2C%20Triq%20Salvu%20Psaila%2C%20B%27Kara" TargetMode="External" Id="rId3055" /><Relationship Type="http://schemas.openxmlformats.org/officeDocument/2006/relationships/hyperlink" Target="https://www.google.com/maps/search/?api=1&amp;query=25%20Triq%20il-Bennej%2C%20Mosta" TargetMode="External" Id="rId3056" /><Relationship Type="http://schemas.openxmlformats.org/officeDocument/2006/relationships/hyperlink" Target="https://www.google.com/maps/search/?api=1&amp;query=Triq%20il-Belt%20Valetta%2C%20Qormi" TargetMode="External" Id="rId3057" /><Relationship Type="http://schemas.openxmlformats.org/officeDocument/2006/relationships/hyperlink" Target="https://www.google.com/maps/search/?api=1&amp;query=10%20Triq%20Amabile%20Sisner%2C%20Fgura" TargetMode="External" Id="rId3058" /><Relationship Type="http://schemas.openxmlformats.org/officeDocument/2006/relationships/hyperlink" Target="https://www.google.com/maps/search/?api=1&amp;query=Sub%20901%20Triq%20F%20S%20Caruana%20Qasam%20Industrijali%2C%20San%20Gwann" TargetMode="External" Id="rId3059" /><Relationship Type="http://schemas.openxmlformats.org/officeDocument/2006/relationships/hyperlink" Target="https://www.google.com/maps/search/?api=1&amp;query=40%20Triq%20il-Konvoj%20Ta%27%20Santa%20Marija%2C%20Mqabba" TargetMode="External" Id="rId3060" /><Relationship Type="http://schemas.openxmlformats.org/officeDocument/2006/relationships/hyperlink" Target="https://www.google.com/maps/search/?api=1&amp;query=258%20Triq%20is-Sur%2C%20Fgura" TargetMode="External" Id="rId3061" /><Relationship Type="http://schemas.openxmlformats.org/officeDocument/2006/relationships/hyperlink" Target="https://www.google.com/maps/search/?api=1&amp;query=Triq%20Felicia%20Abela%2C%20Zejtun" TargetMode="External" Id="rId3062" /><Relationship Type="http://schemas.openxmlformats.org/officeDocument/2006/relationships/hyperlink" Target="https://www.google.com/maps/search/?api=1&amp;query=168%20Triq%20Bajada%2C%20Zabbar" TargetMode="External" Id="rId3063" /><Relationship Type="http://schemas.openxmlformats.org/officeDocument/2006/relationships/hyperlink" Target="https://www.google.com/maps/search/?api=1&amp;query=BLB%20017%20Qasam%20Industijali%2C%20Bulebel%2C%20Zejtun" TargetMode="External" Id="rId3064" /><Relationship Type="http://schemas.openxmlformats.org/officeDocument/2006/relationships/hyperlink" Target="https://www.google.com/maps/search/?api=1&amp;query=Triq%20il-Belt%20Valletta%2C%20Luqa" TargetMode="External" Id="rId3065" /><Relationship Type="http://schemas.openxmlformats.org/officeDocument/2006/relationships/hyperlink" Target="https://www.google.com/maps/search/?api=1&amp;query=Triq%20in-Nafra%2C%20Naxxar" TargetMode="External" Id="rId3066" /><Relationship Type="http://schemas.openxmlformats.org/officeDocument/2006/relationships/hyperlink" Target="https://www.google.com/maps/search/?api=1&amp;query=38%20Triq%20I-Ixprunara%2C%20Ghajnsielem-Gozo" TargetMode="External" Id="rId3067" /><Relationship Type="http://schemas.openxmlformats.org/officeDocument/2006/relationships/hyperlink" Target="https://www.google.com/maps/search/?api=1&amp;query=Triq%20Adeodato%20Gatt%2C%20Zebbug" TargetMode="External" Id="rId3068" /><Relationship Type="http://schemas.openxmlformats.org/officeDocument/2006/relationships/hyperlink" Target="https://www.google.com/maps/search/?api=1&amp;query=22%20Triq%20il-Fieres%2C%20Tarxien" TargetMode="External" Id="rId3069" /><Relationship Type="http://schemas.openxmlformats.org/officeDocument/2006/relationships/hyperlink" Target="https://www.google.com/maps/search/?api=1&amp;query=34%2C%20flat%201%20Triq%20I-Egrett%20Isfar%2C%20Luqa" TargetMode="External" Id="rId3070" /><Relationship Type="http://schemas.openxmlformats.org/officeDocument/2006/relationships/hyperlink" Target="https://www.google.com/maps/search/?api=1&amp;query=25%20Triq%20il-Kullegg%2C%20Rabat" TargetMode="External" Id="rId3071" /><Relationship Type="http://schemas.openxmlformats.org/officeDocument/2006/relationships/hyperlink" Target="https://www.google.com/maps/search/?api=1&amp;query=Triq%20ir-Raghaj%2C%20Qormi" TargetMode="External" Id="rId3072" /><Relationship Type="http://schemas.openxmlformats.org/officeDocument/2006/relationships/hyperlink" Target="https://www.google.com/maps/search/?api=1&amp;query=28%20Triq%20Gemma%20Portelli%2C%20Msida" TargetMode="External" Id="rId3073" /><Relationship Type="http://schemas.openxmlformats.org/officeDocument/2006/relationships/hyperlink" Target="https://www.google.com/maps/search/?api=1&amp;query=Triq%20Geronimo%20Abos%2C%20Iklin" TargetMode="External" Id="rId3074" /><Relationship Type="http://schemas.openxmlformats.org/officeDocument/2006/relationships/hyperlink" Target="https://www.google.com/maps/search/?api=1&amp;query=24%20Triq%20il-Kissier%2C%20Mosta" TargetMode="External" Id="rId3075" /><Relationship Type="http://schemas.openxmlformats.org/officeDocument/2006/relationships/hyperlink" Target="https://www.google.com/maps/search/?api=1&amp;query=127%20l-etoile%20Triq%20il-Garni%2C%20Mellieha" TargetMode="External" Id="rId3076" /><Relationship Type="http://schemas.openxmlformats.org/officeDocument/2006/relationships/hyperlink" Target="https://www.google.com/maps/search/?api=1&amp;query=84%20Triq%20Stiefnu%20Zefafa%2C%20Marsa" TargetMode="External" Id="rId3077" /><Relationship Type="http://schemas.openxmlformats.org/officeDocument/2006/relationships/hyperlink" Target="https://www.google.com/maps/search/?api=1&amp;query=Triq%20il-Kbira%2C%20Lija" TargetMode="External" Id="rId3078" /><Relationship Type="http://schemas.openxmlformats.org/officeDocument/2006/relationships/hyperlink" Target="https://www.google.com/maps/search/?api=1&amp;query=Garage%204%20Triq%20Edgar%20Ferro%2C%20Pieta%27" TargetMode="External" Id="rId3079" /><Relationship Type="http://schemas.openxmlformats.org/officeDocument/2006/relationships/hyperlink" Target="https://www.google.com/maps/search/?api=1&amp;query=347%20Triq%20D%E2%80%99Argens%2C%20Il-G%C5%BCira" TargetMode="External" Id="rId3080" /><Relationship Type="http://schemas.openxmlformats.org/officeDocument/2006/relationships/hyperlink" Target="https://www.google.com/maps/search/?api=1&amp;query=Blu%20Building%2C%20Qormi%20Road%2C%20Luqa" TargetMode="External" Id="rId3081" /><Relationship Type="http://schemas.openxmlformats.org/officeDocument/2006/relationships/hyperlink" Target="https://www.google.com/maps/search/?api=1&amp;query=Triq%20San%20Gwakkin%2C%20Zone%203%2C%0ACentral%20Business%20District%2C%20Birkirkara%2C%0ACBD%203030%2C%20Malta" TargetMode="External" Id="rId3082" /><Relationship Type="http://schemas.openxmlformats.org/officeDocument/2006/relationships/hyperlink" Target="https://www.google.com/maps/search/?api=1&amp;query=Focal%20Tech%20Malta%0ATriq%20Alfredo%20Cachia%20Zammit.%0AZejtun%2C%20Malta" TargetMode="External" Id="rId3083" /><Relationship Type="http://schemas.openxmlformats.org/officeDocument/2006/relationships/hyperlink" Target="https://www.google.com/maps/search/?api=1&amp;query=Masco%20House%2C%20Valletta%20Road%2C%20Mosta" TargetMode="External" Id="rId3084" /><Relationship Type="http://schemas.openxmlformats.org/officeDocument/2006/relationships/hyperlink" Target="https://www.google.com/maps/search/?api=1&amp;query=Securevision%2C%0AW.S%20Gauci%20Limited%2C%0AWignacourt%20Street%2C%0ABirkirkara%2C%20BKR%204714%2C%0AMalta" TargetMode="External" Id="rId3085" /><Relationship Type="http://schemas.openxmlformats.org/officeDocument/2006/relationships/hyperlink" Target="https://www.google.com/maps/search/?api=1&amp;query=Zone%205%2C%20Central%20Business%20District%2C%0A99%20Triq%20il-Mit%C4%A7na%2C%20Qormi%20CBD%205090" TargetMode="External" Id="rId3086" /><Relationship Type="http://schemas.openxmlformats.org/officeDocument/2006/relationships/hyperlink" Target="https://www.google.com/maps/search/?api=1&amp;query=Securich%20Co%20Ltd%0A121%2C%20Mdina%20Road%2C%20Zebbug" TargetMode="External" Id="rId3087" /><Relationship Type="http://schemas.openxmlformats.org/officeDocument/2006/relationships/hyperlink" Target="https://www.google.com/maps/search/?api=1&amp;query=9%20Triq%20F%20S%20Caruana%2C%20B%27Kara" TargetMode="External" Id="rId3088" /><Relationship Type="http://schemas.openxmlformats.org/officeDocument/2006/relationships/hyperlink" Target="https://www.google.com/maps/search/?api=1&amp;query=1%20triq%20Dun%20Guzepp%20Xerri%2C%20San%20Giljan" TargetMode="External" Id="rId3089" /><Relationship Type="http://schemas.openxmlformats.org/officeDocument/2006/relationships/hyperlink" Target="https://www.google.com/maps/search/?api=1&amp;query=2%2C%203%20Triq%20tal-Balal%20Tax-Xwieki%2C%20Gharghur" TargetMode="External" Id="rId3090" /><Relationship Type="http://schemas.openxmlformats.org/officeDocument/2006/relationships/hyperlink" Target="https://www.google.com/maps/search/?api=1&amp;query=Paradise%20Triq%20Fra%20Baskal%2C%20Zebbug-Gozo" TargetMode="External" Id="rId3091" /><Relationship Type="http://schemas.openxmlformats.org/officeDocument/2006/relationships/hyperlink" Target="https://www.google.com/maps/search/?api=1&amp;query=Ciancio%20House%2C%20Zone%205%20Triq%20ll-Kanun%20Central%20Business%20District%2C%20Qormi" TargetMode="External" Id="rId3092" /><Relationship Type="http://schemas.openxmlformats.org/officeDocument/2006/relationships/hyperlink" Target="https://www.google.com/maps/search/?api=1&amp;query=39%20Triq%20il-Kwartin%2C%20Swieqi" TargetMode="External" Id="rId3093" /><Relationship Type="http://schemas.openxmlformats.org/officeDocument/2006/relationships/hyperlink" Target="https://www.google.com/maps/search/?api=1&amp;query=133%20CSTS%20Ltd%20Triq%20il-Koppla%2C%20Fgura" TargetMode="External" Id="rId3094" /><Relationship Type="http://schemas.openxmlformats.org/officeDocument/2006/relationships/hyperlink" Target="https://www.google.com/maps/search/?api=1&amp;query=Triq%20il-Burdnara%2C%20Qormi" TargetMode="External" Id="rId3095" /><Relationship Type="http://schemas.openxmlformats.org/officeDocument/2006/relationships/hyperlink" Target="https://www.google.com/maps/search/?api=1&amp;query=Summer%20Set%20House%20Triq%20Dun%20Karlu%20Zimech%20Nadur-Gozo" TargetMode="External" Id="rId3096" /><Relationship Type="http://schemas.openxmlformats.org/officeDocument/2006/relationships/hyperlink" Target="https://www.google.com/maps/search/?api=1&amp;query=220%20Triq%20Alfredo%20Cachia%20Zammit%2C%20Zejtun" TargetMode="External" Id="rId3097" /><Relationship Type="http://schemas.openxmlformats.org/officeDocument/2006/relationships/hyperlink" Target="https://www.google.com/maps/search/?api=1&amp;query=Green%20Business%20Comples%20Triq%20il-Hofor%2C%20Qormi" TargetMode="External" Id="rId3098" /><Relationship Type="http://schemas.openxmlformats.org/officeDocument/2006/relationships/hyperlink" Target="https://www.google.com/maps/search/?api=1&amp;query=20%2C%20Triq%20Pietru%20Xuereb%2C%20Pieta%27" TargetMode="External" Id="rId3099" /><Relationship Type="http://schemas.openxmlformats.org/officeDocument/2006/relationships/hyperlink" Target="https://www.google.com/maps/search/?api=1&amp;query=231%20Triq%20il-Kungress%20Ewkaristiku%2C%20Mosta" TargetMode="External" Id="rId3100" /><Relationship Type="http://schemas.openxmlformats.org/officeDocument/2006/relationships/hyperlink" Target="https://www.google.com/maps/search/?api=1&amp;query=Sagra%20Famiglia%20Building%20Triq%20Mro%20Giorgio%20Zarb%2C%20Qormi" TargetMode="External" Id="rId3101" /><Relationship Type="http://schemas.openxmlformats.org/officeDocument/2006/relationships/hyperlink" Target="https://jgrima.com" TargetMode="External" Id="rId3102" /><Relationship Type="http://schemas.openxmlformats.org/officeDocument/2006/relationships/hyperlink" Target="https://antifire.com.mt" TargetMode="External" Id="rId3103" /><Relationship Type="http://schemas.openxmlformats.org/officeDocument/2006/relationships/hyperlink" Target="https://aeco.com.mt" TargetMode="External" Id="rId3104" /><Relationship Type="http://schemas.openxmlformats.org/officeDocument/2006/relationships/hyperlink" Target="https://facebook.com/pdsec.malta?utm_source=Yellow&amp;utm_medium=Yellow-Website&amp;utm_campaign=Landing-Page#" TargetMode="External" Id="rId3105" /><Relationship Type="http://schemas.openxmlformats.org/officeDocument/2006/relationships/hyperlink" Target="https://soteria.com.mt" TargetMode="External" Id="rId3106" /><Relationship Type="http://schemas.openxmlformats.org/officeDocument/2006/relationships/hyperlink" Target="https://elektroservices.com.mt/" TargetMode="External" Id="rId3107" /><Relationship Type="http://schemas.openxmlformats.org/officeDocument/2006/relationships/hyperlink" Target="https://securtek.com/home" TargetMode="External" Id="rId3108" /><Relationship Type="http://schemas.openxmlformats.org/officeDocument/2006/relationships/hyperlink" Target="https://jgrima.com" TargetMode="External" Id="rId3109" /><Relationship Type="http://schemas.openxmlformats.org/officeDocument/2006/relationships/hyperlink" Target="https://facebook.com/pdsec.malta?utm_source=Yellow&amp;utm_medium=Yellow-Website&amp;utm_campaign=Landing-Page#" TargetMode="External" Id="rId3110" /><Relationship Type="http://schemas.openxmlformats.org/officeDocument/2006/relationships/hyperlink" Target="https://antifire.com.mt" TargetMode="External" Id="rId3111" /><Relationship Type="http://schemas.openxmlformats.org/officeDocument/2006/relationships/hyperlink" Target="https://aeco.com.mt" TargetMode="External" Id="rId3112" /><Relationship Type="http://schemas.openxmlformats.org/officeDocument/2006/relationships/hyperlink" Target="https://alarmtechmalta.com" TargetMode="External" Id="rId3113" /><Relationship Type="http://schemas.openxmlformats.org/officeDocument/2006/relationships/hyperlink" Target="https://cbsecuritymalta.com" TargetMode="External" Id="rId3114" /><Relationship Type="http://schemas.openxmlformats.org/officeDocument/2006/relationships/hyperlink" Target="https://facebook.com/p/Craud-Security-100083313423806/" TargetMode="External" Id="rId3115" /><Relationship Type="http://schemas.openxmlformats.org/officeDocument/2006/relationships/hyperlink" Target="https://dedicatedmicros.com" TargetMode="External" Id="rId3116" /><Relationship Type="http://schemas.openxmlformats.org/officeDocument/2006/relationships/hyperlink" Target="https://darservicesmalta.com" TargetMode="External" Id="rId3117" /><Relationship Type="http://schemas.openxmlformats.org/officeDocument/2006/relationships/hyperlink" Target="https://eaglesecurity.com.mt" TargetMode="External" Id="rId3118" /><Relationship Type="http://schemas.openxmlformats.org/officeDocument/2006/relationships/hyperlink" Target="https://ecommalta.com" TargetMode="External" Id="rId3119" /><Relationship Type="http://schemas.openxmlformats.org/officeDocument/2006/relationships/hyperlink" Target="https://facebook.com/hcinstallationsltd/" TargetMode="External" Id="rId3120" /><Relationship Type="http://schemas.openxmlformats.org/officeDocument/2006/relationships/hyperlink" Target="https://facebook.com/hisecmalta/" TargetMode="External" Id="rId3121" /><Relationship Type="http://schemas.openxmlformats.org/officeDocument/2006/relationships/hyperlink" Target="https://ijsolutions.net" TargetMode="External" Id="rId3122" /><Relationship Type="http://schemas.openxmlformats.org/officeDocument/2006/relationships/hyperlink" Target="https://ielsecuritymalta.com" TargetMode="External" Id="rId3123" /><Relationship Type="http://schemas.openxmlformats.org/officeDocument/2006/relationships/hyperlink" Target="https://ispyprojects.com" TargetMode="External" Id="rId3124" /><Relationship Type="http://schemas.openxmlformats.org/officeDocument/2006/relationships/hyperlink" Target="https://facebook.com/misystemsmalta/" TargetMode="External" Id="rId3125" /><Relationship Type="http://schemas.openxmlformats.org/officeDocument/2006/relationships/hyperlink" Target="https://prosolutions.com.mt" TargetMode="External" Id="rId3126" /><Relationship Type="http://schemas.openxmlformats.org/officeDocument/2006/relationships/hyperlink" Target="https://facebook.com/p/Tech-Advance-100063610688391/" TargetMode="External" Id="rId3127" /><Relationship Type="http://schemas.openxmlformats.org/officeDocument/2006/relationships/hyperlink" Target="https://universalmicrosecurity.com" TargetMode="External" Id="rId3128" /><Relationship Type="http://schemas.openxmlformats.org/officeDocument/2006/relationships/hyperlink" Target="https://elektroservices.com.mt/" TargetMode="External" Id="rId3129" /><Relationship Type="http://schemas.openxmlformats.org/officeDocument/2006/relationships/hyperlink" Target="https://intercoms.com.mt/" TargetMode="External" Id="rId3130" /><Relationship Type="http://schemas.openxmlformats.org/officeDocument/2006/relationships/hyperlink" Target="https://alberta.com.mt/products-and-services/cctv-systems-for-your-home/" TargetMode="External" Id="rId3131" /><Relationship Type="http://schemas.openxmlformats.org/officeDocument/2006/relationships/hyperlink" Target="https://focaltechmalta.com/solutions/safire-smart-cctv/" TargetMode="External" Id="rId3132" /><Relationship Type="http://schemas.openxmlformats.org/officeDocument/2006/relationships/hyperlink" Target="https://masco.com.mt/contact-us/" TargetMode="External" Id="rId3133" /><Relationship Type="http://schemas.openxmlformats.org/officeDocument/2006/relationships/hyperlink" Target="https://securevision.com.mt/sv/product-category/security/cctv/" TargetMode="External" Id="rId3134" /><Relationship Type="http://schemas.openxmlformats.org/officeDocument/2006/relationships/hyperlink" Target="https://firetech.com.mt/about-us" TargetMode="External" Id="rId3135" /><Relationship Type="http://schemas.openxmlformats.org/officeDocument/2006/relationships/hyperlink" Target="https://securichmalta.com/en/services/services/5/cctv-cameras.htm" TargetMode="External" Id="rId3136" /><Relationship Type="http://schemas.openxmlformats.org/officeDocument/2006/relationships/hyperlink" Target="https://cobrainstallations.com/" TargetMode="External" Id="rId3137" /><Relationship Type="http://schemas.openxmlformats.org/officeDocument/2006/relationships/hyperlink" Target="https://czsmarttech.com/" TargetMode="External" Id="rId3138" /><Relationship Type="http://schemas.openxmlformats.org/officeDocument/2006/relationships/hyperlink" Target="https://aqsmed.com" TargetMode="External" Id="rId3139" /><Relationship Type="http://schemas.openxmlformats.org/officeDocument/2006/relationships/hyperlink" Target="https://alternativetechnologies.com.mt" TargetMode="External" Id="rId3140" /><Relationship Type="http://schemas.openxmlformats.org/officeDocument/2006/relationships/hyperlink" Target="https://solarsolutions.com.mt" TargetMode="External" Id="rId3141" /><Relationship Type="http://schemas.openxmlformats.org/officeDocument/2006/relationships/hyperlink" Target="https://callejaformosaenergysaving.com" TargetMode="External" Id="rId3142" /><Relationship Type="http://schemas.openxmlformats.org/officeDocument/2006/relationships/hyperlink" Target="https://powersolutions.com.mt" TargetMode="External" Id="rId3143" /><Relationship Type="http://schemas.openxmlformats.org/officeDocument/2006/relationships/hyperlink" Target="https://cflgroupmalta.com" TargetMode="External" Id="rId3144" /><Relationship Type="http://schemas.openxmlformats.org/officeDocument/2006/relationships/hyperlink" Target="https://csts-malta.com" TargetMode="External" Id="rId3145" /><Relationship Type="http://schemas.openxmlformats.org/officeDocument/2006/relationships/hyperlink" Target="https://electrofixgroup.com" TargetMode="External" Id="rId3146" /><Relationship Type="http://schemas.openxmlformats.org/officeDocument/2006/relationships/hyperlink" Target="https://facebook.com/p/Gozo-Solar-Energy-Solar-Panels-and-Solar-Water-Heaters-100057213680113/" TargetMode="External" Id="rId3147" /><Relationship Type="http://schemas.openxmlformats.org/officeDocument/2006/relationships/hyperlink" Target="https://facebook.com/people/JLC-energy-home/100063454366944/?fref=ts%3Futm_source%3DYellow&amp;utm_medium=Yellow-Website&amp;utm_campaign=Landing-Page#" TargetMode="External" Id="rId3148" /><Relationship Type="http://schemas.openxmlformats.org/officeDocument/2006/relationships/hyperlink" Target="https://llt.com.mt" TargetMode="External" Id="rId3149" /><Relationship Type="http://schemas.openxmlformats.org/officeDocument/2006/relationships/hyperlink" Target="https://powerplus.com" TargetMode="External" Id="rId3150" /><Relationship Type="http://schemas.openxmlformats.org/officeDocument/2006/relationships/hyperlink" Target="https://unitenergysolar.com" TargetMode="External" Id="rId3151" /><Relationship Type="http://schemas.openxmlformats.org/officeDocument/2006/relationships/hyperlink" Target="https://virtuesolaris.com" TargetMode="External" Id="rId3152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hyperlink" Target="MAILTO:info@idroplastmalta.com" TargetMode="External" Id="rId3153" /><Relationship Type="http://schemas.openxmlformats.org/officeDocument/2006/relationships/hyperlink" Target="MAILTO:info@khsmalta.com" TargetMode="External" Id="rId3154" /><Relationship Type="http://schemas.openxmlformats.org/officeDocument/2006/relationships/hyperlink" Target="MAILTO:info@micalleffibreglassworks.com" TargetMode="External" Id="rId3155" /><Relationship Type="http://schemas.openxmlformats.org/officeDocument/2006/relationships/hyperlink" Target="MAILTO:james@framegrip.com" TargetMode="External" Id="rId3156" /><Relationship Type="http://schemas.openxmlformats.org/officeDocument/2006/relationships/hyperlink" Target="MAILTO:info@jwtcaruana.com" TargetMode="External" Id="rId3157" /><Relationship Type="http://schemas.openxmlformats.org/officeDocument/2006/relationships/hyperlink" Target="MAILTO:thehardwarestoremalta@gmail.com" TargetMode="External" Id="rId3158" /><Relationship Type="http://schemas.openxmlformats.org/officeDocument/2006/relationships/hyperlink" Target="MAILTO:rironmongomery@onvol.net" TargetMode="External" Id="rId3159" /><Relationship Type="http://schemas.openxmlformats.org/officeDocument/2006/relationships/hyperlink" Target="MAILTO:deguara24@gmail.com" TargetMode="External" Id="rId3160" /><Relationship Type="http://schemas.openxmlformats.org/officeDocument/2006/relationships/hyperlink" Target="MAILTO:wcardonatrading@gmail.com" TargetMode="External" Id="rId3161" /><Relationship Type="http://schemas.openxmlformats.org/officeDocument/2006/relationships/hyperlink" Target="MAILTO:jcironmongomery@mail.com" TargetMode="External" Id="rId3162" /><Relationship Type="http://schemas.openxmlformats.org/officeDocument/2006/relationships/hyperlink" Target="MAILTO:alldecor@maltanet.net" TargetMode="External" Id="rId3163" /><Relationship Type="http://schemas.openxmlformats.org/officeDocument/2006/relationships/hyperlink" Target="MAILTO:kevinbartololtd@gmail.com" TargetMode="External" Id="rId3164" /><Relationship Type="http://schemas.openxmlformats.org/officeDocument/2006/relationships/hyperlink" Target="MAILTO:info@afs.com.mt" TargetMode="External" Id="rId3165" /><Relationship Type="http://schemas.openxmlformats.org/officeDocument/2006/relationships/hyperlink" Target="MAILTO:info@fbpmalta.com" TargetMode="External" Id="rId3166" /><Relationship Type="http://schemas.openxmlformats.org/officeDocument/2006/relationships/hyperlink" Target="MAILTO:sales@midea.mt" TargetMode="External" Id="rId3167" /><Relationship Type="http://schemas.openxmlformats.org/officeDocument/2006/relationships/hyperlink" Target="MAILTO:customercare@homemate.com.mt" TargetMode="External" Id="rId3168" /><Relationship Type="http://schemas.openxmlformats.org/officeDocument/2006/relationships/hyperlink" Target="MAILTO:office@tesy.com" TargetMode="External" Id="rId3169" /><Relationship Type="http://schemas.openxmlformats.org/officeDocument/2006/relationships/hyperlink" Target="MAILTO:info@topchoice.com.mt" TargetMode="External" Id="rId3170" /><Relationship Type="http://schemas.openxmlformats.org/officeDocument/2006/relationships/hyperlink" Target="MAILTO:info@atlanticwaterheaters.com.mt" TargetMode="External" Id="rId3171" /><Relationship Type="http://schemas.openxmlformats.org/officeDocument/2006/relationships/hyperlink" Target="MAILTO:info@digitalzone.com.mt" TargetMode="External" Id="rId3172" /><Relationship Type="http://schemas.openxmlformats.org/officeDocument/2006/relationships/hyperlink" Target="MAILTO:info@bigmatmalta.com" TargetMode="External" Id="rId3173" /><Relationship Type="http://schemas.openxmlformats.org/officeDocument/2006/relationships/hyperlink" Target="MAILTO:info@thermex.com.mt" TargetMode="External" Id="rId3174" /><Relationship Type="http://schemas.openxmlformats.org/officeDocument/2006/relationships/hyperlink" Target="MAILTO:sales@flamingo.mt" TargetMode="External" Id="rId3175" /><Relationship Type="http://schemas.openxmlformats.org/officeDocument/2006/relationships/hyperlink" Target="MAILTO:info@btmalta.com" TargetMode="External" Id="rId3176" /><Relationship Type="http://schemas.openxmlformats.org/officeDocument/2006/relationships/hyperlink" Target="MAILTO:sales@carinibathrooms.com" TargetMode="External" Id="rId3177" /><Relationship Type="http://schemas.openxmlformats.org/officeDocument/2006/relationships/hyperlink" Target="MAILTO:info@prochimps.com" TargetMode="External" Id="rId3178" /><Relationship Type="http://schemas.openxmlformats.org/officeDocument/2006/relationships/hyperlink" Target="MAILTO:info@tarcisiocaruana.com" TargetMode="External" Id="rId3179" /><Relationship Type="http://schemas.openxmlformats.org/officeDocument/2006/relationships/hyperlink" Target="MAILTO:team-b2b@atoz.com.mt" TargetMode="External" Id="rId3180" /><Relationship Type="http://schemas.openxmlformats.org/officeDocument/2006/relationships/hyperlink" Target="MAILTO:info@attardsmalta.com" TargetMode="External" Id="rId3181" /><Relationship Type="http://schemas.openxmlformats.org/officeDocument/2006/relationships/hyperlink" Target="MAILTO:info@divine.com.mt" TargetMode="External" Id="rId3182" /><Relationship Type="http://schemas.openxmlformats.org/officeDocument/2006/relationships/hyperlink" Target="https://www.google.com/maps/search/?api=1&amp;query=Factory%20MRA014%2C%20Qasam%20Industrijali%2C%20Marsa%2C%20Malta" TargetMode="External" Id="rId3183" /><Relationship Type="http://schemas.openxmlformats.org/officeDocument/2006/relationships/hyperlink" Target="https://www.google.com/maps/search/?api=1&amp;query=54%2C%20Castaldi%20Street%2C%20%C5%BBabbar%20ZBR1453%2C%20Malta" TargetMode="External" Id="rId3184" /><Relationship Type="http://schemas.openxmlformats.org/officeDocument/2006/relationships/hyperlink" Target="https://www.google.com/maps/search/?api=1&amp;query=7%2C%20Sun%20Down%20Yard%2C%20Triq%20il-Burmarrad%2C%20Naxxar%2C%20Malta%20NXR%206345" TargetMode="External" Id="rId3185" /><Relationship Type="http://schemas.openxmlformats.org/officeDocument/2006/relationships/hyperlink" Target="https://www.google.com/maps/search/?api=1&amp;query=Triq%20Il-Mosta%2C%20Hal%20Lija%2C%20Malta%20LJA%209010" TargetMode="External" Id="rId3186" /><Relationship Type="http://schemas.openxmlformats.org/officeDocument/2006/relationships/hyperlink" Target="https://www.google.com/maps/search/?api=1&amp;query=Caruana%20Farm%2C%20Triq%20it-Tnax%20Ta%27%20Mejju%2C%20%C5%BBebbu%C4%A1%2C%20ZBG%201281%2C%20Malta" TargetMode="External" Id="rId3187" /><Relationship Type="http://schemas.openxmlformats.org/officeDocument/2006/relationships/hyperlink" Target="https://www.google.com/maps/search/?api=1&amp;query=31%20Triq%20il-Witja%20%2C%0ATarxien%2C%20Malta%20TXN%202296" TargetMode="External" Id="rId3188" /><Relationship Type="http://schemas.openxmlformats.org/officeDocument/2006/relationships/hyperlink" Target="https://www.google.com/maps/search/?api=1&amp;query=222%2C%20224%20Vjal%20il-Wiehed%20U%20Ghoxrin%20Ta%E2%80%99%20Settembru%20%2C%0ANaxxar%2C%20Malta%20NXR%201012" TargetMode="External" Id="rId3189" /><Relationship Type="http://schemas.openxmlformats.org/officeDocument/2006/relationships/hyperlink" Target="https://www.google.com/maps/search/?api=1&amp;query=Triq%20il-Klin%20%2C%0AIklin%2C%20Malta%20IKL%201032" TargetMode="External" Id="rId3190" /><Relationship Type="http://schemas.openxmlformats.org/officeDocument/2006/relationships/hyperlink" Target="https://www.google.com/maps/search/?api=1&amp;query=242%20Triq%20l-Imdina%20%2C%0AQormi%2C%20Malta%20QRM%209014" TargetMode="External" Id="rId3191" /><Relationship Type="http://schemas.openxmlformats.org/officeDocument/2006/relationships/hyperlink" Target="https://www.google.com/maps/search/?api=1&amp;query=9%20Triq%20Dun%20Nerik%20Cordina%20Perez%20%2C%0AHamrun%2C%20Malta%20HMR%202101" TargetMode="External" Id="rId3192" /><Relationship Type="http://schemas.openxmlformats.org/officeDocument/2006/relationships/hyperlink" Target="https://www.google.com/maps/search/?api=1&amp;query=166%20Triq%20il-Kullegg%20L-Antik%20%2C%0ASliema%2C%20Malta%20SLM%201373" TargetMode="External" Id="rId3193" /><Relationship Type="http://schemas.openxmlformats.org/officeDocument/2006/relationships/hyperlink" Target="https://www.google.com/maps/search/?api=1&amp;query=16%20Triq%20Sant%E2%80%99%20Antnin%20%2C%0AM%E2%80%99Skala%2C%20Malta%20MSK%209058" TargetMode="External" Id="rId3194" /><Relationship Type="http://schemas.openxmlformats.org/officeDocument/2006/relationships/hyperlink" Target="https://www.google.com/maps/search/?api=1&amp;query=Triq%20L-Imdina%2C%20%C4%A6%27Attard%2C%20Malta" TargetMode="External" Id="rId3195" /><Relationship Type="http://schemas.openxmlformats.org/officeDocument/2006/relationships/hyperlink" Target="https://www.google.com/maps/search/?api=1&amp;query=139%2C%20Bajada%20Street%2C%20Zabbar%2C%20Malta" TargetMode="External" Id="rId3196" /><Relationship Type="http://schemas.openxmlformats.org/officeDocument/2006/relationships/hyperlink" Target="https://idroplastmalta.com" TargetMode="External" Id="rId3197" /><Relationship Type="http://schemas.openxmlformats.org/officeDocument/2006/relationships/hyperlink" Target="https://khsmalta.com" TargetMode="External" Id="rId3198" /><Relationship Type="http://schemas.openxmlformats.org/officeDocument/2006/relationships/hyperlink" Target="https://micalleffibreglassworks.com" TargetMode="External" Id="rId3199" /><Relationship Type="http://schemas.openxmlformats.org/officeDocument/2006/relationships/hyperlink" Target="https://framegrip.com" TargetMode="External" Id="rId3200" /><Relationship Type="http://schemas.openxmlformats.org/officeDocument/2006/relationships/hyperlink" Target="https://jwtcaruana.com" TargetMode="External" Id="rId3201" /><Relationship Type="http://schemas.openxmlformats.org/officeDocument/2006/relationships/hyperlink" Target="https://thehardwarestoremalta.com/" TargetMode="External" Id="rId3202" /><Relationship Type="http://schemas.openxmlformats.org/officeDocument/2006/relationships/hyperlink" Target="https://richiesironmongerymalta.com" TargetMode="External" Id="rId3203" /><Relationship Type="http://schemas.openxmlformats.org/officeDocument/2006/relationships/hyperlink" Target="https://facebook.com/1675915686031114" TargetMode="External" Id="rId3204" /><Relationship Type="http://schemas.openxmlformats.org/officeDocument/2006/relationships/hyperlink" Target="https://wcardonatrading.com/" TargetMode="External" Id="rId3205" /><Relationship Type="http://schemas.openxmlformats.org/officeDocument/2006/relationships/hyperlink" Target="https://jcironmongery.com" TargetMode="External" Id="rId3206" /><Relationship Type="http://schemas.openxmlformats.org/officeDocument/2006/relationships/hyperlink" Target="https://facebook.com/afsmalta/" TargetMode="External" Id="rId3207" /><Relationship Type="http://schemas.openxmlformats.org/officeDocument/2006/relationships/hyperlink" Target="https://fbpmalta.com/" TargetMode="External" Id="rId3208" /><Relationship Type="http://schemas.openxmlformats.org/officeDocument/2006/relationships/hyperlink" Target="https://midea.mt/contact/" TargetMode="External" Id="rId3209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hyperlink" Target="MAILTO:info@maksengmalta.com" TargetMode="External" Id="rId3210" /><Relationship Type="http://schemas.openxmlformats.org/officeDocument/2006/relationships/hyperlink" Target="MAILTO:marlon1790@hotmail.com" TargetMode="External" Id="rId3211" /><Relationship Type="http://schemas.openxmlformats.org/officeDocument/2006/relationships/hyperlink" Target="MAILTO:info@retrofit.com.mt" TargetMode="External" Id="rId3212" /><Relationship Type="http://schemas.openxmlformats.org/officeDocument/2006/relationships/hyperlink" Target="MAILTO:info@architworks.com" TargetMode="External" Id="rId3213" /><Relationship Type="http://schemas.openxmlformats.org/officeDocument/2006/relationships/hyperlink" Target="MAILTO:rdcmalta@gmail.com" TargetMode="External" Id="rId3214" /><Relationship Type="http://schemas.openxmlformats.org/officeDocument/2006/relationships/hyperlink" Target="MAILTO:sitetechnicalofficermalta@gmail.com" TargetMode="External" Id="rId3215" /><Relationship Type="http://schemas.openxmlformats.org/officeDocument/2006/relationships/hyperlink" Target="MAILTO:daniel@dpa.com.mt" TargetMode="External" Id="rId3216" /><Relationship Type="http://schemas.openxmlformats.org/officeDocument/2006/relationships/hyperlink" Target="MAILTO:info@stoservicesltd.com" TargetMode="External" Id="rId3217" /><Relationship Type="http://schemas.openxmlformats.org/officeDocument/2006/relationships/hyperlink" Target="MAILTO:iagius@aiesltd.com" TargetMode="External" Id="rId3218" /><Relationship Type="http://schemas.openxmlformats.org/officeDocument/2006/relationships/hyperlink" Target="MAILTO:akarchistudio@gmail.com" TargetMode="External" Id="rId3219" /><Relationship Type="http://schemas.openxmlformats.org/officeDocument/2006/relationships/hyperlink" Target="MAILTO:adrian180690@gmail.com" TargetMode="External" Id="rId3220" /><Relationship Type="http://schemas.openxmlformats.org/officeDocument/2006/relationships/hyperlink" Target="MAILTO:ap@paceadam.com" TargetMode="External" Id="rId3221" /><Relationship Type="http://schemas.openxmlformats.org/officeDocument/2006/relationships/hyperlink" Target="MAILTO:alexander.sammut.16@gmail.com" TargetMode="External" Id="rId3222" /><Relationship Type="http://schemas.openxmlformats.org/officeDocument/2006/relationships/hyperlink" Target="MAILTO:antoinebrincat.mlt@gmail.com" TargetMode="External" Id="rId3223" /><Relationship Type="http://schemas.openxmlformats.org/officeDocument/2006/relationships/hyperlink" Target="MAILTO:antdormic@gmail.com" TargetMode="External" Id="rId3224" /><Relationship Type="http://schemas.openxmlformats.org/officeDocument/2006/relationships/hyperlink" Target="MAILTO:cg@techman.com.mt" TargetMode="External" Id="rId3225" /><Relationship Type="http://schemas.openxmlformats.org/officeDocument/2006/relationships/hyperlink" Target="MAILTO:christian.attard@gmail.com" TargetMode="External" Id="rId3226" /><Relationship Type="http://schemas.openxmlformats.org/officeDocument/2006/relationships/hyperlink" Target="MAILTO:cfperit@gmail.com" TargetMode="External" Id="rId3227" /><Relationship Type="http://schemas.openxmlformats.org/officeDocument/2006/relationships/hyperlink" Target="MAILTO:claireghigo@gmail.com" TargetMode="External" Id="rId3228" /><Relationship Type="http://schemas.openxmlformats.org/officeDocument/2006/relationships/hyperlink" Target="MAILTO:clayton.zammit@yahoo.com" TargetMode="External" Id="rId3229" /><Relationship Type="http://schemas.openxmlformats.org/officeDocument/2006/relationships/hyperlink" Target="MAILTO:ingdarioespo@gmail.com" TargetMode="External" Id="rId3230" /><Relationship Type="http://schemas.openxmlformats.org/officeDocument/2006/relationships/hyperlink" Target="MAILTO:enwar27699@gmail.com" TargetMode="External" Id="rId3231" /><Relationship Type="http://schemas.openxmlformats.org/officeDocument/2006/relationships/hyperlink" Target="MAILTO:gorgcauchi@gmail.com" TargetMode="External" Id="rId3232" /><Relationship Type="http://schemas.openxmlformats.org/officeDocument/2006/relationships/hyperlink" Target="MAILTO:xuereb.george@gmail.com" TargetMode="External" Id="rId323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hyperlink" Target="MAILTO:aplusmep.ce@gmail.com" TargetMode="External" Id="rId3234" /><Relationship Type="http://schemas.openxmlformats.org/officeDocument/2006/relationships/hyperlink" Target="https://facebook.com/profile.php?id=61571161208722" TargetMode="External" Id="rId3235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hyperlink" Target="MAILTO:info@dslifts.com" TargetMode="External" Id="rId3236" /><Relationship Type="http://schemas.openxmlformats.org/officeDocument/2006/relationships/hyperlink" Target="MAILTO:groffelifts@gmail.com" TargetMode="External" Id="rId3237" /><Relationship Type="http://schemas.openxmlformats.org/officeDocument/2006/relationships/hyperlink" Target="MAILTO:info@apexlifts.com.mt" TargetMode="External" Id="rId3238" /><Relationship Type="http://schemas.openxmlformats.org/officeDocument/2006/relationships/hyperlink" Target="MAILTO:info@etralia.com" TargetMode="External" Id="rId3239" /><Relationship Type="http://schemas.openxmlformats.org/officeDocument/2006/relationships/hyperlink" Target="MAILTO:info@titan.mizzi.com.mt" TargetMode="External" Id="rId3240" /><Relationship Type="http://schemas.openxmlformats.org/officeDocument/2006/relationships/hyperlink" Target="MAILTO:eniliftmalta@gmail.com" TargetMode="External" Id="rId3241" /><Relationship Type="http://schemas.openxmlformats.org/officeDocument/2006/relationships/hyperlink" Target="MAILTO:air&#8209;tro_service@outlook.com" TargetMode="External" Id="rId3242" /><Relationship Type="http://schemas.openxmlformats.org/officeDocument/2006/relationships/hyperlink" Target="MAILTO:bertulifting@gmail.com" TargetMode="External" Id="rId3243" /><Relationship Type="http://schemas.openxmlformats.org/officeDocument/2006/relationships/hyperlink" Target="MAILTO:info@highriselifts.com" TargetMode="External" Id="rId3244" /><Relationship Type="http://schemas.openxmlformats.org/officeDocument/2006/relationships/hyperlink" Target="MAILTO:enquiries@pantalesco.com" TargetMode="External" Id="rId3245" /><Relationship Type="http://schemas.openxmlformats.org/officeDocument/2006/relationships/hyperlink" Target="MAILTO:info_malta@schindler.com" TargetMode="External" Id="rId3246" /><Relationship Type="http://schemas.openxmlformats.org/officeDocument/2006/relationships/hyperlink" Target="MAILTO:sales@elevaliftsmalta.com" TargetMode="External" Id="rId3247" /><Relationship Type="http://schemas.openxmlformats.org/officeDocument/2006/relationships/hyperlink" Target="MAILTO:info@sslifts.com" TargetMode="External" Id="rId3248" /><Relationship Type="http://schemas.openxmlformats.org/officeDocument/2006/relationships/hyperlink" Target="MAILTO:info.mt@otis.com" TargetMode="External" Id="rId3249" /><Relationship Type="http://schemas.openxmlformats.org/officeDocument/2006/relationships/hyperlink" Target="MAILTO:info@igmlifts.com" TargetMode="External" Id="rId3250" /><Relationship Type="http://schemas.openxmlformats.org/officeDocument/2006/relationships/hyperlink" Target="MAILTO:info@liftservices.com.mt" TargetMode="External" Id="rId3251" /><Relationship Type="http://schemas.openxmlformats.org/officeDocument/2006/relationships/hyperlink" Target="MAILTO:info@elevation.mt" TargetMode="External" Id="rId3252" /><Relationship Type="http://schemas.openxmlformats.org/officeDocument/2006/relationships/hyperlink" Target="MAILTO:info@qualitymalta.com" TargetMode="External" Id="rId3253" /><Relationship Type="http://schemas.openxmlformats.org/officeDocument/2006/relationships/hyperlink" Target="https://www.google.com/maps/search/?api=1&amp;query=Vjal%20il%E2%80%91Wie%C4%A7ed%20u%20G%C4%A7oxrin%20ta%27%20Settembru%2C%20Naxxar" TargetMode="External" Id="rId3254" /><Relationship Type="http://schemas.openxmlformats.org/officeDocument/2006/relationships/hyperlink" Target="https://www.google.com/maps/search/?api=1&amp;query=5%2F3%2C%20Triq%20l%E2%80%91Imsida%2C%20G%C5%BCira%20GZR%201401" TargetMode="External" Id="rId3255" /><Relationship Type="http://schemas.openxmlformats.org/officeDocument/2006/relationships/hyperlink" Target="https://www.google.com/maps/search/?api=1&amp;query=14%2C%20Triq%20San%20Mikiel%2C%20Rabat%20RBT%202440" TargetMode="External" Id="rId3256" /><Relationship Type="http://schemas.openxmlformats.org/officeDocument/2006/relationships/hyperlink" Target="https://www.google.com/maps/search/?api=1&amp;query=39%2C%20Triq%20San%20%C4%A0akmu%2C%20Luqa%20LQA%201892" TargetMode="External" Id="rId3257" /><Relationship Type="http://schemas.openxmlformats.org/officeDocument/2006/relationships/hyperlink" Target="https://www.google.com/maps/search/?api=1&amp;query=The%20Lyric%2C%20Triq%20Antonio%20Bosio%2C%20L%E2%80%91Imsida" TargetMode="External" Id="rId3258" /><Relationship Type="http://schemas.openxmlformats.org/officeDocument/2006/relationships/hyperlink" Target="https://www.google.com/maps/search/?api=1&amp;query=Triq%20San%20Filippu%2C%20M%C4%A1arr%2FM%E2%80%99najdra%3F" TargetMode="External" Id="rId3259" /><Relationship Type="http://schemas.openxmlformats.org/officeDocument/2006/relationships/hyperlink" Target="https://www.google.com/maps/search/?api=1&amp;query=Triq%20il%E2%80%91Gudja%2C%20%C4%A6al%20G%C4%A7axaq" TargetMode="External" Id="rId3260" /><Relationship Type="http://schemas.openxmlformats.org/officeDocument/2006/relationships/hyperlink" Target="https://www.google.com/maps/search/?api=1&amp;query=Triq%20Piscopo%20Macedonia%2C%20San%20Pawl%20il%E2%80%91Ba%C4%A7ar" TargetMode="External" Id="rId3261" /><Relationship Type="http://schemas.openxmlformats.org/officeDocument/2006/relationships/hyperlink" Target="https://www.google.com/maps/search/?api=1&amp;query=Factory%20LQA%205%2F6%2F7%2C%20Luqa%20Industrial%20Estate" TargetMode="External" Id="rId3262" /><Relationship Type="http://schemas.openxmlformats.org/officeDocument/2006/relationships/hyperlink" Target="https://www.google.com/maps/search/?api=1&amp;query=Panta%20House%2C%20Triq%20il%E2%80%91Wied%20ta%27%20l%E2%80%91Imsida" TargetMode="External" Id="rId3263" /><Relationship Type="http://schemas.openxmlformats.org/officeDocument/2006/relationships/hyperlink" Target="https://www.google.com/maps/search/?api=1&amp;query=2%2C%20Triq%20Roger%20Debattista%2C%20Hamrun%20HMR%201271" TargetMode="External" Id="rId3264" /><Relationship Type="http://schemas.openxmlformats.org/officeDocument/2006/relationships/hyperlink" Target="https://www.google.com/maps/search/?api=1&amp;query=Mdina%20Bastions%20Block%20A%2C%20Triq%20Michael%20Bonnici%2C%20%C5%BBebbu%C4%A1" TargetMode="External" Id="rId3265" /><Relationship Type="http://schemas.openxmlformats.org/officeDocument/2006/relationships/hyperlink" Target="https://www.google.com/maps/search/?api=1&amp;query=S.S.%20Lifts%20Orona%2C%0A13%2C%20Triq%20it-Turisti%0AQawra%2C%20SPB1028%0AMalta" TargetMode="External" Id="rId3266" /><Relationship Type="http://schemas.openxmlformats.org/officeDocument/2006/relationships/hyperlink" Target="https://www.google.com/maps/search/?api=1&amp;query=MRA048D%2C%20Industrial%20Estate%2C%0AMarsa%2C%20MRS3000%2C%20Malta" TargetMode="External" Id="rId3267" /><Relationship Type="http://schemas.openxmlformats.org/officeDocument/2006/relationships/hyperlink" Target="https://www.google.com/maps/search/?api=1&amp;query=I%20G%20M%20Lift%20Supplies%20%26%20Services%0ATriq%20Moroni%20%2C%0ASliema%20Malta%20SLM%201210" TargetMode="External" Id="rId3268" /><Relationship Type="http://schemas.openxmlformats.org/officeDocument/2006/relationships/hyperlink" Target="https://www.google.com/maps/search/?api=1&amp;query=Factory%20A25F%2C%0AMarsa%20Industrial%20Estate%2C%20Malta" TargetMode="External" Id="rId3269" /><Relationship Type="http://schemas.openxmlformats.org/officeDocument/2006/relationships/hyperlink" Target="https://www.google.com/maps/search/?api=1&amp;query=Elevation%20Ltd%0AUpper%20A12%20Midland%20Industrial%20Estate%0ATriq%20Burmarrad%20Naxxar%2C%20NXR%206345%0AMalta" TargetMode="External" Id="rId3270" /><Relationship Type="http://schemas.openxmlformats.org/officeDocument/2006/relationships/hyperlink" Target="https://www.google.com/maps/search/?api=1&amp;query=Joedi%20Graziella%20Apartments%2C%20Triq%20l%E2%80%91Iskola%2C%20Im%C5%9Bida" TargetMode="External" Id="rId3271" /><Relationship Type="http://schemas.openxmlformats.org/officeDocument/2006/relationships/hyperlink" Target="https://dslifts.com" TargetMode="External" Id="rId3272" /><Relationship Type="http://schemas.openxmlformats.org/officeDocument/2006/relationships/hyperlink" Target="https://apexlifts.com.mt" TargetMode="External" Id="rId3273" /><Relationship Type="http://schemas.openxmlformats.org/officeDocument/2006/relationships/hyperlink" Target="https://etralia.com" TargetMode="External" Id="rId3274" /><Relationship Type="http://schemas.openxmlformats.org/officeDocument/2006/relationships/hyperlink" Target="https://titan.com.mt" TargetMode="External" Id="rId3275" /><Relationship Type="http://schemas.openxmlformats.org/officeDocument/2006/relationships/hyperlink" Target="https://eni-lift.com" TargetMode="External" Id="rId3276" /><Relationship Type="http://schemas.openxmlformats.org/officeDocument/2006/relationships/hyperlink" Target="https://bertulifting.com.mt" TargetMode="External" Id="rId3277" /><Relationship Type="http://schemas.openxmlformats.org/officeDocument/2006/relationships/hyperlink" Target="https://highriselifts.com" TargetMode="External" Id="rId3278" /><Relationship Type="http://schemas.openxmlformats.org/officeDocument/2006/relationships/hyperlink" Target="https://pantalesco.com" TargetMode="External" Id="rId3279" /><Relationship Type="http://schemas.openxmlformats.org/officeDocument/2006/relationships/hyperlink" Target="https://sslifts.com/" TargetMode="External" Id="rId3280" /><Relationship Type="http://schemas.openxmlformats.org/officeDocument/2006/relationships/hyperlink" Target="https://vertibus.com/" TargetMode="External" Id="rId3281" /><Relationship Type="http://schemas.openxmlformats.org/officeDocument/2006/relationships/hyperlink" Target="https://igmlifts.com/" TargetMode="External" Id="rId3282" /><Relationship Type="http://schemas.openxmlformats.org/officeDocument/2006/relationships/hyperlink" Target="https://liftservices.com.mt/" TargetMode="External" Id="rId3283" /><Relationship Type="http://schemas.openxmlformats.org/officeDocument/2006/relationships/hyperlink" Target="https://elevation.mt/" TargetMode="External" Id="rId3284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hyperlink" Target="MAILTO:info@vivendo.mt" TargetMode="External" Id="rId3285" /><Relationship Type="http://schemas.openxmlformats.org/officeDocument/2006/relationships/hyperlink" Target="MAILTO:info@madumahomeinteriors.com" TargetMode="External" Id="rId3286" /><Relationship Type="http://schemas.openxmlformats.org/officeDocument/2006/relationships/hyperlink" Target="MAILTO:info@brands.com.mt" TargetMode="External" Id="rId3287" /><Relationship Type="http://schemas.openxmlformats.org/officeDocument/2006/relationships/hyperlink" Target="MAILTO:tuttoparquetmalta@gmail.com" TargetMode="External" Id="rId3288" /><Relationship Type="http://schemas.openxmlformats.org/officeDocument/2006/relationships/hyperlink" Target="https://www.google.com/maps/search/?api=1&amp;query=Mdina%20Road%2C%20Qormi%2C%20QRM%209011%2C%20Malta" TargetMode="External" Id="rId3289" /><Relationship Type="http://schemas.openxmlformats.org/officeDocument/2006/relationships/hyperlink" Target="https://www.google.com/maps/search/?api=1&amp;query=12%2C%20Triq%20il-Parro%C4%8B%C4%8Ba%20%0ASVR%201262%0ASanta%20Venera" TargetMode="External" Id="rId3290" /><Relationship Type="http://schemas.openxmlformats.org/officeDocument/2006/relationships/hyperlink" Target="https://www.google.com/maps/search/?api=1&amp;query=Triq%20tal-Balal%2C%20San%20Gwann%2C%20Malta" TargetMode="External" Id="rId3291" /><Relationship Type="http://schemas.openxmlformats.org/officeDocument/2006/relationships/hyperlink" Target="https://www.google.com/maps/search/?api=1&amp;query=10%2C%20Triq%20Dun%20Karm%0ABirkirkara%2C%20Malta" TargetMode="External" Id="rId3292" /><Relationship Type="http://schemas.openxmlformats.org/officeDocument/2006/relationships/hyperlink" Target="https://vivendo.mt/" TargetMode="External" Id="rId3293" /><Relationship Type="http://schemas.openxmlformats.org/officeDocument/2006/relationships/hyperlink" Target="https://madumahomeinteriors.com/" TargetMode="External" Id="rId3294" /><Relationship Type="http://schemas.openxmlformats.org/officeDocument/2006/relationships/hyperlink" Target="https://brands.com.mt/" TargetMode="External" Id="rId3295" /><Relationship Type="http://schemas.openxmlformats.org/officeDocument/2006/relationships/hyperlink" Target="https://tuttoparquetmalta.com/index.html" TargetMode="External" Id="rId3296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hyperlink" Target="MAILTO:info@absolute.com.mt" TargetMode="External" Id="rId3297" /><Relationship Type="http://schemas.openxmlformats.org/officeDocument/2006/relationships/hyperlink" Target="MAILTO:bgalea11@gmail.com" TargetMode="External" Id="rId3298" /><Relationship Type="http://schemas.openxmlformats.org/officeDocument/2006/relationships/hyperlink" Target="MAILTO:cmkazammit@gmail.com" TargetMode="External" Id="rId3299" /><Relationship Type="http://schemas.openxmlformats.org/officeDocument/2006/relationships/hyperlink" Target="MAILTO:info@skirting.com.mt" TargetMode="External" Id="rId3300" /><Relationship Type="http://schemas.openxmlformats.org/officeDocument/2006/relationships/hyperlink" Target="MAILTO:gabjean@gmail.com" TargetMode="External" Id="rId3301" /><Relationship Type="http://schemas.openxmlformats.org/officeDocument/2006/relationships/hyperlink" Target="MAILTO:jamal82aljanid82@gmail.com" TargetMode="External" Id="rId3302" /><Relationship Type="http://schemas.openxmlformats.org/officeDocument/2006/relationships/hyperlink" Target="MAILTO:tonytilelayer@hotmail.com" TargetMode="External" Id="rId3303" /><Relationship Type="http://schemas.openxmlformats.org/officeDocument/2006/relationships/hyperlink" Target="MAILTO:ivan.busu@hotmail.com" TargetMode="External" Id="rId3304" /><Relationship Type="http://schemas.openxmlformats.org/officeDocument/2006/relationships/hyperlink" Target="MAILTO:charliegrech65@gmail.com" TargetMode="External" Id="rId3305" /><Relationship Type="http://schemas.openxmlformats.org/officeDocument/2006/relationships/hyperlink" Target="MAILTO:damirsujak77@gmail.com" TargetMode="External" Id="rId3306" /><Relationship Type="http://schemas.openxmlformats.org/officeDocument/2006/relationships/hyperlink" Target="MAILTO:leldor@onvol.net" TargetMode="External" Id="rId3307" /><Relationship Type="http://schemas.openxmlformats.org/officeDocument/2006/relationships/hyperlink" Target="MAILTO:fjtiles@gmail.com" TargetMode="External" Id="rId3308" /><Relationship Type="http://schemas.openxmlformats.org/officeDocument/2006/relationships/hyperlink" Target="MAILTO:info@floorsofstone.com.mt" TargetMode="External" Id="rId3309" /><Relationship Type="http://schemas.openxmlformats.org/officeDocument/2006/relationships/hyperlink" Target="MAILTO:gorggalea@gmail.com" TargetMode="External" Id="rId3310" /><Relationship Type="http://schemas.openxmlformats.org/officeDocument/2006/relationships/hyperlink" Target="MAILTO:salibatilelayer@gmail.com" TargetMode="External" Id="rId3311" /><Relationship Type="http://schemas.openxmlformats.org/officeDocument/2006/relationships/hyperlink" Target="MAILTO:frankiec029@gmail.com" TargetMode="External" Id="rId3312" /><Relationship Type="http://schemas.openxmlformats.org/officeDocument/2006/relationships/hyperlink" Target="MAILTO:malta.tiling@gmail.com" TargetMode="External" Id="rId3313" /><Relationship Type="http://schemas.openxmlformats.org/officeDocument/2006/relationships/hyperlink" Target="MAILTO:contact@kibitec.com" TargetMode="External" Id="rId3314" /><Relationship Type="http://schemas.openxmlformats.org/officeDocument/2006/relationships/hyperlink" Target="MAILTO:siamnd1985@gmail.com" TargetMode="External" Id="rId3315" /><Relationship Type="http://schemas.openxmlformats.org/officeDocument/2006/relationships/hyperlink" Target="MAILTO:stephentilelayer@gmail.com" TargetMode="External" Id="rId3316" /><Relationship Type="http://schemas.openxmlformats.org/officeDocument/2006/relationships/hyperlink" Target="MAILTO:zltcontractor@gmail.com" TargetMode="External" Id="rId3317" /><Relationship Type="http://schemas.openxmlformats.org/officeDocument/2006/relationships/hyperlink" Target="MAILTO:edfinishings1@gmail.com" TargetMode="External" Id="rId3318" /><Relationship Type="http://schemas.openxmlformats.org/officeDocument/2006/relationships/hyperlink" Target="MAILTO:clifton_tilelaying@hotmail.com" TargetMode="External" Id="rId3319" /><Relationship Type="http://schemas.openxmlformats.org/officeDocument/2006/relationships/hyperlink" Target="MAILTO:jevgatt@maltanet.net" TargetMode="External" Id="rId3320" /><Relationship Type="http://schemas.openxmlformats.org/officeDocument/2006/relationships/hyperlink" Target="MAILTO:tilingforfuture@gmail.com" TargetMode="External" Id="rId3321" /><Relationship Type="http://schemas.openxmlformats.org/officeDocument/2006/relationships/hyperlink" Target="MAILTO:chantellemizzi@hotmail.com" TargetMode="External" Id="rId3322" /><Relationship Type="http://schemas.openxmlformats.org/officeDocument/2006/relationships/hyperlink" Target="MAILTO:alex@gad.com.mt" TargetMode="External" Id="rId3323" /><Relationship Type="http://schemas.openxmlformats.org/officeDocument/2006/relationships/hyperlink" Target="MAILTO:info@promaninteriors.com" TargetMode="External" Id="rId3324" /><Relationship Type="http://schemas.openxmlformats.org/officeDocument/2006/relationships/hyperlink" Target="MAILTO:tresortradingltd@gmail.com" TargetMode="External" Id="rId3325" /><Relationship Type="http://schemas.openxmlformats.org/officeDocument/2006/relationships/hyperlink" Target="MAILTO:showtiles@gmail.com" TargetMode="External" Id="rId3326" /><Relationship Type="http://schemas.openxmlformats.org/officeDocument/2006/relationships/hyperlink" Target="MAILTO:info@rgroupmt.com" TargetMode="External" Id="rId3327" /><Relationship Type="http://schemas.openxmlformats.org/officeDocument/2006/relationships/hyperlink" Target="MAILTO:info@mrcd.com.mt" TargetMode="External" Id="rId3328" /><Relationship Type="http://schemas.openxmlformats.org/officeDocument/2006/relationships/hyperlink" Target="https://www.google.com/maps/search/?api=1&amp;query=Triq%20Pantar%2C%20Hal%20Lija" TargetMode="External" Id="rId3329" /><Relationship Type="http://schemas.openxmlformats.org/officeDocument/2006/relationships/hyperlink" Target="https://www.google.com/maps/search/?api=1&amp;query=Triq%20John%20Michael%20Testa%20Tal-Handaq%20%2C%0AQormi%2C%20Malta%20QRM%204000" TargetMode="External" Id="rId3330" /><Relationship Type="http://schemas.openxmlformats.org/officeDocument/2006/relationships/hyperlink" Target="https://www.google.com/maps/search/?api=1&amp;query=19%20Garage%20Katarina%20Triq%20Santa%20Klementina%20%2C%0AZurrieq%2C%20Malta%20ZRQ%202510" TargetMode="External" Id="rId3331" /><Relationship Type="http://schemas.openxmlformats.org/officeDocument/2006/relationships/hyperlink" Target="https://www.google.com/maps/search/?api=1&amp;query=Private%20Road%2C%20Garage%204%2C%205%20%26%206%20Triq%20l-Irham%20%2C%0AQormi%2C%20Malta" TargetMode="External" Id="rId3332" /><Relationship Type="http://schemas.openxmlformats.org/officeDocument/2006/relationships/hyperlink" Target="https://www.google.com/maps/search/?api=1&amp;query=6%20Montana%20Triq%20il-Qamh%20%2C%0AMellieha%2C%20Malta%20MLH%201761" TargetMode="External" Id="rId3333" /><Relationship Type="http://schemas.openxmlformats.org/officeDocument/2006/relationships/hyperlink" Target="https://www.google.com/maps/search/?api=1&amp;query=13%20Helen%20Flat%203%20Triq%20Joe%20Sciberras%20%2C%0AHamrun%2C%20Malta%20HMR%201550" TargetMode="External" Id="rId3334" /><Relationship Type="http://schemas.openxmlformats.org/officeDocument/2006/relationships/hyperlink" Target="https://www.google.com/maps/search/?api=1&amp;query=12%20Windrush%20T%2FG%20fi%20triq%20it-Turretta%20%2C%0ADingli%2C%20Malta%20DGL%201731" TargetMode="External" Id="rId3335" /><Relationship Type="http://schemas.openxmlformats.org/officeDocument/2006/relationships/hyperlink" Target="https://www.google.com/maps/search/?api=1&amp;query=Trejqet%20il-Beatu%20Dun%20Gorg%20Preca%20%2C%0APembroke%2C%20Malta%20PBK%201460" TargetMode="External" Id="rId3336" /><Relationship Type="http://schemas.openxmlformats.org/officeDocument/2006/relationships/hyperlink" Target="https://www.google.com/maps/search/?api=1&amp;query=22%20April%20May%20Triq%20Gorg%20Borg%20%2C%0AQormi%2C%20Malta%20QRM%201943" TargetMode="External" Id="rId3337" /><Relationship Type="http://schemas.openxmlformats.org/officeDocument/2006/relationships/hyperlink" Target="https://www.google.com/maps/search/?api=1&amp;query=35%20Trilogy%2C%20Flt%201%20Triq%20Ganni%20Bonnici%20%2C%0AZebbug%2C%20Malta%20ZBG%202507" TargetMode="External" Id="rId3338" /><Relationship Type="http://schemas.openxmlformats.org/officeDocument/2006/relationships/hyperlink" Target="https://www.google.com/maps/search/?api=1&amp;query=Divine%20Mercy%20Triq%20Pawlu%20Balzan%20%2C%0AZebbug%2C%20Malta%20ZBG%201490" TargetMode="External" Id="rId3339" /><Relationship Type="http://schemas.openxmlformats.org/officeDocument/2006/relationships/hyperlink" Target="https://www.google.com/maps/search/?api=1&amp;query=Triq%20il-Bronja%20%2C%0AZurrieq%2C%20Malta" TargetMode="External" Id="rId3340" /><Relationship Type="http://schemas.openxmlformats.org/officeDocument/2006/relationships/hyperlink" Target="https://www.google.com/maps/search/?api=1&amp;query=115%20Triq%20il-Wied%20Ta%E2%80%99%20L-Imsida%20%2C%0AB%E2%80%99Kara%2C%20Malta%20BKR%209021" TargetMode="External" Id="rId3341" /><Relationship Type="http://schemas.openxmlformats.org/officeDocument/2006/relationships/hyperlink" Target="https://www.google.com/maps/search/?api=1&amp;query=58%20Triq%20Dun%20Gwann%20Pullicino%20%2C%0AMosta%2C%20Malta%20MST%202703" TargetMode="External" Id="rId3342" /><Relationship Type="http://schemas.openxmlformats.org/officeDocument/2006/relationships/hyperlink" Target="https://www.google.com/maps/search/?api=1&amp;query=%C5%BBejtun%2C%20Malta" TargetMode="External" Id="rId3343" /><Relationship Type="http://schemas.openxmlformats.org/officeDocument/2006/relationships/hyperlink" Target="https://www.google.com/maps/search/?api=1&amp;query=Ker%C4%8Bem%2C%20Gozo" TargetMode="External" Id="rId3344" /><Relationship Type="http://schemas.openxmlformats.org/officeDocument/2006/relationships/hyperlink" Target="https://www.google.com/maps/search/?api=1&amp;query=Triq%20Domenico%20Cachia%2054%2C%20Birkirkara%2C%20Malta" TargetMode="External" Id="rId3345" /><Relationship Type="http://schemas.openxmlformats.org/officeDocument/2006/relationships/hyperlink" Target="https://www.google.com/maps/search/?api=1&amp;query=Marsascala%2C%20Malta" TargetMode="External" Id="rId3346" /><Relationship Type="http://schemas.openxmlformats.org/officeDocument/2006/relationships/hyperlink" Target="https://www.google.com/maps/search/?api=1&amp;query=Triq%20Giovanni%20Maria%20Borg%2C%20Zurrieq%2C%20Malta" TargetMode="External" Id="rId3347" /><Relationship Type="http://schemas.openxmlformats.org/officeDocument/2006/relationships/hyperlink" Target="https://www.google.com/maps/search/?api=1&amp;query=115%2C%20Triq%20Il-Bwieraq%2C%20Birkirkara%2C%20Malta" TargetMode="External" Id="rId3348" /><Relationship Type="http://schemas.openxmlformats.org/officeDocument/2006/relationships/hyperlink" Target="https://www.google.com/maps/search/?api=1&amp;query=%C2%BAClimarkei%2C%20Triq%20Il-Gizi%2C%20Il-Fgura%2C%20Malta%20FGR%201040" TargetMode="External" Id="rId3349" /><Relationship Type="http://schemas.openxmlformats.org/officeDocument/2006/relationships/hyperlink" Target="https://www.google.com/maps/search/?api=1&amp;query=Galine%2C%20Josmar%20Complex%2C%20Triq%20Id-Difiza%20Civili%2C%20Il-Mosta%2C%20Malta" TargetMode="External" Id="rId3350" /><Relationship Type="http://schemas.openxmlformats.org/officeDocument/2006/relationships/hyperlink" Target="https://www.google.com/maps/search/?api=1&amp;query=Fisheye%2C%20Triq%20Mons.%20A.%20Buhagiar%2C%20Ir-Rabat%2C%20Malta" TargetMode="External" Id="rId3351" /><Relationship Type="http://schemas.openxmlformats.org/officeDocument/2006/relationships/hyperlink" Target="https://www.google.com/maps/search/?api=1&amp;query=21%2C%20Triq%20Gellewza%20Sewda%2C%0AMidland%20Park%2C%20D7%0ABurmarrad%20Road%2C%20Burmarrad%20LO%20Naxxar%0AMalta" TargetMode="External" Id="rId3352" /><Relationship Type="http://schemas.openxmlformats.org/officeDocument/2006/relationships/hyperlink" Target="https://www.google.com/maps/search/?api=1&amp;query=Proman%20Interiors%2C%0A115%2C%20Valley%20Road%2C%0AB%27Kara.%20BKR%209022.%0AMalta." TargetMode="External" Id="rId3353" /><Relationship Type="http://schemas.openxmlformats.org/officeDocument/2006/relationships/hyperlink" Target="https://www.google.com/maps/search/?api=1&amp;query=J.Micallef%20BOATYARD%20and%20WAREHOUSE%20Ta%20ghadajma%20l%2Fo%20Mqabba%20%28Near%20STMicro%20Eletronics%29%20Malta%2C%20Mqabba%2C%20Malta" TargetMode="External" Id="rId3354" /><Relationship Type="http://schemas.openxmlformats.org/officeDocument/2006/relationships/hyperlink" Target="https://www.google.com/maps/search/?api=1&amp;query=78%2C%20Triq%20San%20Pawl%20NXR%204016%20Naxxar%2C%20Malta" TargetMode="External" Id="rId3355" /><Relationship Type="http://schemas.openxmlformats.org/officeDocument/2006/relationships/hyperlink" Target="https://www.google.com/maps/search/?api=1&amp;query=MRCD%20Building%2C%0AKarmenu%20Camilleri%20Street%2C%0AQormi%2C%20QRM4631" TargetMode="External" Id="rId3356" /><Relationship Type="http://schemas.openxmlformats.org/officeDocument/2006/relationships/hyperlink" Target="https://absolute.com.mt/" TargetMode="External" Id="rId3357" /><Relationship Type="http://schemas.openxmlformats.org/officeDocument/2006/relationships/hyperlink" Target="https://facebook.com/865035916866720&#xA;Suggest update" TargetMode="External" Id="rId3358" /><Relationship Type="http://schemas.openxmlformats.org/officeDocument/2006/relationships/hyperlink" Target="https://gad.com.mt/" TargetMode="External" Id="rId3359" /><Relationship Type="http://schemas.openxmlformats.org/officeDocument/2006/relationships/hyperlink" Target="https://promaninteriors.com/" TargetMode="External" Id="rId3360" /><Relationship Type="http://schemas.openxmlformats.org/officeDocument/2006/relationships/hyperlink" Target="https://facebook.com/Dwarehouse23/" TargetMode="External" Id="rId3361" /><Relationship Type="http://schemas.openxmlformats.org/officeDocument/2006/relationships/hyperlink" Target="https://facebook.com/showtilesnaxxar/" TargetMode="External" Id="rId3362" /><Relationship Type="http://schemas.openxmlformats.org/officeDocument/2006/relationships/hyperlink" Target="https://facebook.com/RGroupMalta" TargetMode="External" Id="rId3363" /><Relationship Type="http://schemas.openxmlformats.org/officeDocument/2006/relationships/hyperlink" Target="https://mrcd.com.mt/en/home.htm" TargetMode="External" Id="rId3364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hyperlink" Target="MAILTO:info@maltatiles.com" TargetMode="External" Id="rId3365" /><Relationship Type="http://schemas.openxmlformats.org/officeDocument/2006/relationships/hyperlink" Target="MAILTO:tilesandmarbleinfo@gmail.com" TargetMode="External" Id="rId3366" /><Relationship Type="http://schemas.openxmlformats.org/officeDocument/2006/relationships/hyperlink" Target="MAILTO:tilesatwholesaleprices@gmail.com" TargetMode="External" Id="rId3367" /><Relationship Type="http://schemas.openxmlformats.org/officeDocument/2006/relationships/hyperlink" Target="MAILTO:sales@fos.mt" TargetMode="External" Id="rId3368" /><Relationship Type="http://schemas.openxmlformats.org/officeDocument/2006/relationships/hyperlink" Target="MAILTO:info@satariano.com" TargetMode="External" Id="rId3369" /><Relationship Type="http://schemas.openxmlformats.org/officeDocument/2006/relationships/hyperlink" Target="MAILTO:showroom@vellafalzon.com" TargetMode="External" Id="rId3370" /><Relationship Type="http://schemas.openxmlformats.org/officeDocument/2006/relationships/hyperlink" Target="MAILTO:info@aandatiles.com" TargetMode="External" Id="rId3371" /><Relationship Type="http://schemas.openxmlformats.org/officeDocument/2006/relationships/hyperlink" Target="MAILTO:info@the-tile.com" TargetMode="External" Id="rId3372" /><Relationship Type="http://schemas.openxmlformats.org/officeDocument/2006/relationships/hyperlink" Target="MAILTO:info@tilewarehousemalta.com" TargetMode="External" Id="rId3373" /><Relationship Type="http://schemas.openxmlformats.org/officeDocument/2006/relationships/hyperlink" Target="MAILTO:malta@iperceramica.it" TargetMode="External" Id="rId3374" /><Relationship Type="http://schemas.openxmlformats.org/officeDocument/2006/relationships/hyperlink" Target="MAILTO:tresortradingltd@gmail.com" TargetMode="External" Id="rId3375" /><Relationship Type="http://schemas.openxmlformats.org/officeDocument/2006/relationships/hyperlink" Target="MAILTO:j.centrobagno@gmail.com" TargetMode="External" Id="rId3376" /><Relationship Type="http://schemas.openxmlformats.org/officeDocument/2006/relationships/hyperlink" Target="MAILTO:patrick@uniq.mt" TargetMode="External" Id="rId3377" /><Relationship Type="http://schemas.openxmlformats.org/officeDocument/2006/relationships/hyperlink" Target="MAILTO:info@vellmann.com" TargetMode="External" Id="rId3378" /><Relationship Type="http://schemas.openxmlformats.org/officeDocument/2006/relationships/hyperlink" Target="MAILTO:sales@carinibathrooms.com" TargetMode="External" Id="rId3379" /><Relationship Type="http://schemas.openxmlformats.org/officeDocument/2006/relationships/hyperlink" Target="MAILTO:info@mrcd.com.mt" TargetMode="External" Id="rId3380" /><Relationship Type="http://schemas.openxmlformats.org/officeDocument/2006/relationships/hyperlink" Target="MAILTO:faenzadiybathroom@gmail.com" TargetMode="External" Id="rId3381" /><Relationship Type="http://schemas.openxmlformats.org/officeDocument/2006/relationships/hyperlink" Target="MAILTO:jovanpisani@keramitbathrooms.com" TargetMode="External" Id="rId3382" /><Relationship Type="http://schemas.openxmlformats.org/officeDocument/2006/relationships/hyperlink" Target="MAILTO:info@absolute.com.mt" TargetMode="External" Id="rId3383" /><Relationship Type="http://schemas.openxmlformats.org/officeDocument/2006/relationships/hyperlink" Target="MAILTO:info@idealbathrooms.com.mt" TargetMode="External" Id="rId3384" /><Relationship Type="http://schemas.openxmlformats.org/officeDocument/2006/relationships/hyperlink" Target="MAILTO:info@valour.mt" TargetMode="External" Id="rId3385" /><Relationship Type="http://schemas.openxmlformats.org/officeDocument/2006/relationships/hyperlink" Target="MAILTO:info@ssbathrooms.com" TargetMode="External" Id="rId3386" /><Relationship Type="http://schemas.openxmlformats.org/officeDocument/2006/relationships/hyperlink" Target="MAILTO:info@vivo.com.mt" TargetMode="External" Id="rId3387" /><Relationship Type="http://schemas.openxmlformats.org/officeDocument/2006/relationships/hyperlink" Target="MAILTO:info@bathroomdesign.com.mt" TargetMode="External" Id="rId3388" /><Relationship Type="http://schemas.openxmlformats.org/officeDocument/2006/relationships/hyperlink" Target="MAILTO:info@banjuboutique.com" TargetMode="External" Id="rId3389" /><Relationship Type="http://schemas.openxmlformats.org/officeDocument/2006/relationships/hyperlink" Target="MAILTO:anthony@lqmco.com" TargetMode="External" Id="rId3390" /><Relationship Type="http://schemas.openxmlformats.org/officeDocument/2006/relationships/hyperlink" Target="MAILTO:meli@avantebathrooms.com" TargetMode="External" Id="rId3391" /><Relationship Type="http://schemas.openxmlformats.org/officeDocument/2006/relationships/hyperlink" Target="MAILTO:info@bathlinemalta.com" TargetMode="External" Id="rId3392" /><Relationship Type="http://schemas.openxmlformats.org/officeDocument/2006/relationships/hyperlink" Target="MAILTO:mireille@jpitre.com" TargetMode="External" Id="rId3393" /><Relationship Type="http://schemas.openxmlformats.org/officeDocument/2006/relationships/hyperlink" Target="MAILTO:info@bmsupplies.com" TargetMode="External" Id="rId3394" /><Relationship Type="http://schemas.openxmlformats.org/officeDocument/2006/relationships/hyperlink" Target="MAILTO:bc.bathrooms@gmail.com" TargetMode="External" Id="rId3395" /><Relationship Type="http://schemas.openxmlformats.org/officeDocument/2006/relationships/hyperlink" Target="MAILTO:info@calcatta-ceramica.com" TargetMode="External" Id="rId3396" /><Relationship Type="http://schemas.openxmlformats.org/officeDocument/2006/relationships/hyperlink" Target="MAILTO:Giorgiprojectpointltd@gmail.com" TargetMode="External" Id="rId3397" /><Relationship Type="http://schemas.openxmlformats.org/officeDocument/2006/relationships/hyperlink" Target="MAILTO:modabagnor@gmail.com" TargetMode="External" Id="rId3398" /><Relationship Type="http://schemas.openxmlformats.org/officeDocument/2006/relationships/hyperlink" Target="MAILTO:calbrosltd@gmail.com" TargetMode="External" Id="rId3399" /><Relationship Type="http://schemas.openxmlformats.org/officeDocument/2006/relationships/hyperlink" Target="MAILTO:info@designhubmalta.com.mt" TargetMode="External" Id="rId3400" /><Relationship Type="http://schemas.openxmlformats.org/officeDocument/2006/relationships/hyperlink" Target="MAILTO:info@distincthomes.com.mt" TargetMode="External" Id="rId3401" /><Relationship Type="http://schemas.openxmlformats.org/officeDocument/2006/relationships/hyperlink" Target="MAILTO:cristalbath@onvol.net" TargetMode="External" Id="rId3402" /><Relationship Type="http://schemas.openxmlformats.org/officeDocument/2006/relationships/hyperlink" Target="MAILTO:info@andrewvassallo.com" TargetMode="External" Id="rId3403" /><Relationship Type="http://schemas.openxmlformats.org/officeDocument/2006/relationships/hyperlink" Target="MAILTO:info@farellbathrooms.com" TargetMode="External" Id="rId3404" /><Relationship Type="http://schemas.openxmlformats.org/officeDocument/2006/relationships/hyperlink" Target="MAILTO:classic-bathrooms@outlook.com" TargetMode="External" Id="rId3405" /><Relationship Type="http://schemas.openxmlformats.org/officeDocument/2006/relationships/hyperlink" Target="MAILTO:neil.galea698@gmail.com" TargetMode="External" Id="rId3406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hyperlink" Target="MAILTO:info@advancedsafety.com.mt" TargetMode="External" Id="rId3407" /><Relationship Type="http://schemas.openxmlformats.org/officeDocument/2006/relationships/hyperlink" Target="MAILTO:info@itpmalta.com" TargetMode="External" Id="rId3408" /><Relationship Type="http://schemas.openxmlformats.org/officeDocument/2006/relationships/hyperlink" Target="MAILTO:sales@seamless.com.mt" TargetMode="External" Id="rId3409" /><Relationship Type="http://schemas.openxmlformats.org/officeDocument/2006/relationships/hyperlink" Target="MAILTO:tcj@mbm.com.mt" TargetMode="External" Id="rId3410" /><Relationship Type="http://schemas.openxmlformats.org/officeDocument/2006/relationships/hyperlink" Target="MAILTO:sales@malta-design.com" TargetMode="External" Id="rId3411" /><Relationship Type="http://schemas.openxmlformats.org/officeDocument/2006/relationships/hyperlink" Target="MAILTO:contact@kibitec.com" TargetMode="External" Id="rId3412" /><Relationship Type="http://schemas.openxmlformats.org/officeDocument/2006/relationships/hyperlink" Target="MAILTO:info@grfmalta.com" TargetMode="External" Id="rId3413" /><Relationship Type="http://schemas.openxmlformats.org/officeDocument/2006/relationships/hyperlink" Target="MAILTO:borgconstructionworks@gmail.com" TargetMode="External" Id="rId3414" /><Relationship Type="http://schemas.openxmlformats.org/officeDocument/2006/relationships/hyperlink" Target="MAILTO:sales@jmvibro.com" TargetMode="External" Id="rId3415" /><Relationship Type="http://schemas.openxmlformats.org/officeDocument/2006/relationships/hyperlink" Target="MAILTO:Pronesti@mail.com" TargetMode="External" Id="rId3416" /><Relationship Type="http://schemas.openxmlformats.org/officeDocument/2006/relationships/hyperlink" Target="MAILTO:tresortradingltd@gmail.com" TargetMode="External" Id="rId3417" /><Relationship Type="http://schemas.openxmlformats.org/officeDocument/2006/relationships/hyperlink" Target="MAILTO:giorgiprojectpointltd@gmail.com" TargetMode="External" Id="rId3418" /><Relationship Type="http://schemas.openxmlformats.org/officeDocument/2006/relationships/hyperlink" Target="MAILTO:info@vellmann.com" TargetMode="External" Id="rId3419" /><Relationship Type="http://schemas.openxmlformats.org/officeDocument/2006/relationships/hyperlink" Target="MAILTO:info@the-tile.com" TargetMode="External" Id="rId3420" /><Relationship Type="http://schemas.openxmlformats.org/officeDocument/2006/relationships/hyperlink" Target="MAILTO:info@jpitre.com" TargetMode="External" Id="rId3421" /><Relationship Type="http://schemas.openxmlformats.org/officeDocument/2006/relationships/hyperlink" Target="https://www.google.com/maps/search/?api=1&amp;query=San%20Pawl%20il%E2%80%91Ba%C4%A7ar%20%2F%20Bugibba%2C%20Malta" TargetMode="External" Id="rId3422" /><Relationship Type="http://schemas.openxmlformats.org/officeDocument/2006/relationships/hyperlink" Target="https://www.google.com/maps/search/?api=1&amp;query=12%2C%20Triq%20il-Parro%C4%8B%C4%8Ba%20%0ASVR%201262%0ASanta%20Venera" TargetMode="External" Id="rId3423" /><Relationship Type="http://schemas.openxmlformats.org/officeDocument/2006/relationships/hyperlink" Target="https://www.google.com/maps/search/?api=1&amp;query=M4%20Shopping%20Complex%2C%20Triq%20il-Linja%2C%20Attard" TargetMode="External" Id="rId3424" /><Relationship Type="http://schemas.openxmlformats.org/officeDocument/2006/relationships/hyperlink" Target="https://www.google.com/maps/search/?api=1&amp;query=San%20Giljan%2C%20Malta" TargetMode="External" Id="rId3425" /><Relationship Type="http://schemas.openxmlformats.org/officeDocument/2006/relationships/hyperlink" Target="https://www.google.com/maps/search/?api=1&amp;query=Triq%20Domenico%20Cachia%2054%0ABirkirkara%2C%20BKR1017%2C%20Malta" TargetMode="External" Id="rId3426" /><Relationship Type="http://schemas.openxmlformats.org/officeDocument/2006/relationships/hyperlink" Target="https://www.google.com/maps/search/?api=1&amp;query=117%20Triq%20L-Assemblea%20Nazzjonali%2C%0ASan%20Gwann%20SGN%203034%2C%20Malta" TargetMode="External" Id="rId3427" /><Relationship Type="http://schemas.openxmlformats.org/officeDocument/2006/relationships/hyperlink" Target="https://madumahomeinteriors.com/" TargetMode="External" Id="rId3428" /><Relationship Type="http://schemas.openxmlformats.org/officeDocument/2006/relationships/hyperlink" Target="https://seamless.com.mt/" TargetMode="External" Id="rId3429" /><Relationship Type="http://schemas.openxmlformats.org/officeDocument/2006/relationships/hyperlink" Target="https://mbm.com.mt/" TargetMode="External" Id="rId3430" /><Relationship Type="http://schemas.openxmlformats.org/officeDocument/2006/relationships/hyperlink" Target="https://malta-design.com/en/?brid=OdwV4IO9rLodP231ucwrAg" TargetMode="External" Id="rId3431" /><Relationship Type="http://schemas.openxmlformats.org/officeDocument/2006/relationships/hyperlink" Target="https://kibitec.com/" TargetMode="External" Id="rId3432" /><Relationship Type="http://schemas.openxmlformats.org/officeDocument/2006/relationships/hyperlink" Target="https://grfmalta.com/contact/" TargetMode="External" Id="rId3433" /><Relationship Type="http://schemas.openxmlformats.org/officeDocument/2006/relationships/hyperlink" Target="https://facebook.com/Dwarehouse23" TargetMode="External" Id="rId3434" /><Relationship Type="http://schemas.openxmlformats.org/officeDocument/2006/relationships/hyperlink" Target="https://facebook.com/profile.php?id=61574532256025" TargetMode="External" Id="rId3435" /><Relationship Type="http://schemas.openxmlformats.org/officeDocument/2006/relationships/hyperlink" Target="https://the-tile.com/concrete-effect-tiles.html" TargetMode="External" Id="rId3436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hyperlink" Target="MAILTO:sakhr.turnkeyjob@gmail.com" TargetMode="External" Id="rId3437" /><Relationship Type="http://schemas.openxmlformats.org/officeDocument/2006/relationships/hyperlink" Target="MAILTO:resindecordesign@gmail.com" TargetMode="External" Id="rId3438" /><Relationship Type="http://schemas.openxmlformats.org/officeDocument/2006/relationships/hyperlink" Target="MAILTO:info@theresincentre.com" TargetMode="External" Id="rId3439" /><Relationship Type="http://schemas.openxmlformats.org/officeDocument/2006/relationships/hyperlink" Target="MAILTO:info@coleiro.com" TargetMode="External" Id="rId3440" /><Relationship Type="http://schemas.openxmlformats.org/officeDocument/2006/relationships/hyperlink" Target="MAILTO:info@radosystems.eu" TargetMode="External" Id="rId3441" /><Relationship Type="http://schemas.openxmlformats.org/officeDocument/2006/relationships/hyperlink" Target="MAILTO:info@flockimage.com" TargetMode="External" Id="rId3442" /><Relationship Type="http://schemas.openxmlformats.org/officeDocument/2006/relationships/hyperlink" Target="MAILTO:sales@jmvibro.com" TargetMode="External" Id="rId3443" /><Relationship Type="http://schemas.openxmlformats.org/officeDocument/2006/relationships/hyperlink" Target="MAILTO:zerafa.john@gmail.com" TargetMode="External" Id="rId3444" /><Relationship Type="http://schemas.openxmlformats.org/officeDocument/2006/relationships/hyperlink" Target="MAILTO:jvturnkey.gozo@gmail.com" TargetMode="External" Id="rId3445" /><Relationship Type="http://schemas.openxmlformats.org/officeDocument/2006/relationships/hyperlink" Target="MAILTO:info@Fodha.mt" TargetMode="External" Id="rId3446" /><Relationship Type="http://schemas.openxmlformats.org/officeDocument/2006/relationships/hyperlink" Target="MAILTO:airsolutions@ezee.mt" TargetMode="External" Id="rId3447" /><Relationship Type="http://schemas.openxmlformats.org/officeDocument/2006/relationships/hyperlink" Target="https://www.google.com/maps/search/?api=1&amp;query=Bugibba%2C%20Malta" TargetMode="External" Id="rId3448" /><Relationship Type="http://schemas.openxmlformats.org/officeDocument/2006/relationships/hyperlink" Target="https://www.google.com/maps/search/?api=1&amp;query=Birkirkara%2C%20Malta" TargetMode="External" Id="rId3449" /><Relationship Type="http://schemas.openxmlformats.org/officeDocument/2006/relationships/hyperlink" Target="https://www.google.com/maps/search/?api=1&amp;query=The%20Resin%20%26%20Membrane%20Centre%0A264%2C%20Old%20Railway%20Track%20Santa%20Venera" TargetMode="External" Id="rId3450" /><Relationship Type="http://schemas.openxmlformats.org/officeDocument/2006/relationships/hyperlink" Target="https://www.google.com/maps/search/?api=1&amp;query=Msida%20Valley%2C%0AB%E2%80%99Kara" TargetMode="External" Id="rId3451" /><Relationship Type="http://schemas.openxmlformats.org/officeDocument/2006/relationships/hyperlink" Target="https://www.google.com/maps/search/?api=1&amp;query=278%2C%20Triq%20il-Baltiku%2C%2C%20Saint%20Julian%27s%2C%20Malta" TargetMode="External" Id="rId3452" /><Relationship Type="http://schemas.openxmlformats.org/officeDocument/2006/relationships/hyperlink" Target="https://www.google.com/maps/search/?api=1&amp;query=Flock%20Image%2C%205%2C%20Sir%20Luigi%20Preziosi%20Str%2C%20Mosta%2C%20MST%201521%2C%20MALTA" TargetMode="External" Id="rId3453" /><Relationship Type="http://schemas.openxmlformats.org/officeDocument/2006/relationships/hyperlink" Target="https://www.google.com/maps/search/?api=1&amp;query=OneOneO%2C%20Triq%20il-Pitkali%2C%20Attard%20ATD%202214%2C%20Malta" TargetMode="External" Id="rId3454" /><Relationship Type="http://schemas.openxmlformats.org/officeDocument/2006/relationships/hyperlink" Target="https://www.google.com/maps/search/?api=1&amp;query=58%2C%20Donato%20del%20Piano%20Street%2C%20Zurrieq%2C%20ZRQ%202240%2C%20Malta" TargetMode="External" Id="rId3455" /><Relationship Type="http://schemas.openxmlformats.org/officeDocument/2006/relationships/hyperlink" Target="https://facebook.com/p/Epoxy-Malta-100067612150590/" TargetMode="External" Id="rId3456" /><Relationship Type="http://schemas.openxmlformats.org/officeDocument/2006/relationships/hyperlink" Target="https://resindecordesign.com/" TargetMode="External" Id="rId3457" /><Relationship Type="http://schemas.openxmlformats.org/officeDocument/2006/relationships/hyperlink" Target="https://theresincentre.com/" TargetMode="External" Id="rId3458" /><Relationship Type="http://schemas.openxmlformats.org/officeDocument/2006/relationships/hyperlink" Target="https://coleiro.com/floor-coatings/" TargetMode="External" Id="rId3459" /><Relationship Type="http://schemas.openxmlformats.org/officeDocument/2006/relationships/hyperlink" Target="https://facebook.com/radoflooring/" TargetMode="External" Id="rId3460" /><Relationship Type="http://schemas.openxmlformats.org/officeDocument/2006/relationships/hyperlink" Target="https://flockimage.com/" TargetMode="External" Id="rId3461" /><Relationship Type="http://schemas.openxmlformats.org/officeDocument/2006/relationships/hyperlink" Target="https://jmvibro.com/" TargetMode="External" Id="rId3462" /><Relationship Type="http://schemas.openxmlformats.org/officeDocument/2006/relationships/hyperlink" Target="https://checkyourtraders.com/listing/j-zerafa-ltd?fromCat=resin-flooring" TargetMode="External" Id="rId3463" /><Relationship Type="http://schemas.openxmlformats.org/officeDocument/2006/relationships/hyperlink" Target="https://checkyourtraders.com/listing/jv-turnkey-gozo?fromCat=resin-flooring" TargetMode="External" Id="rId3464" /><Relationship Type="http://schemas.openxmlformats.org/officeDocument/2006/relationships/hyperlink" Target="https://fodha.mt/" TargetMode="External" Id="rId3465" /><Relationship Type="http://schemas.openxmlformats.org/officeDocument/2006/relationships/hyperlink" Target="https://airsolutionslimited.com/" TargetMode="External" Id="rId3466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hyperlink" Target="MAILTO:sakhr.turnkeyjob@gmail.com" TargetMode="External" Id="rId3467" /><Relationship Type="http://schemas.openxmlformats.org/officeDocument/2006/relationships/hyperlink" Target="MAILTO:info@flockimage.com" TargetMode="External" Id="rId3468" /><Relationship Type="http://schemas.openxmlformats.org/officeDocument/2006/relationships/hyperlink" Target="https://www.google.com/maps/search/?api=1&amp;query=Bugibba%2C%20Malta" TargetMode="External" Id="rId3469" /><Relationship Type="http://schemas.openxmlformats.org/officeDocument/2006/relationships/hyperlink" Target="https://www.google.com/maps/search/?api=1&amp;query=Mosta" TargetMode="External" Id="rId3470" /><Relationship Type="http://schemas.openxmlformats.org/officeDocument/2006/relationships/hyperlink" Target="https://facebook.com/p/Epoxy-Malta-100067612150590/" TargetMode="External" Id="rId3471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hyperlink" Target="MAILTO:info@vicalinteriors.com" TargetMode="External" Id="rId3472" /><Relationship Type="http://schemas.openxmlformats.org/officeDocument/2006/relationships/hyperlink" Target="MAILTO:info@betacentre.com.mt" TargetMode="External" Id="rId3473" /><Relationship Type="http://schemas.openxmlformats.org/officeDocument/2006/relationships/hyperlink" Target="MAILTO:customer@devalier.com.mt" TargetMode="External" Id="rId3474" /><Relationship Type="http://schemas.openxmlformats.org/officeDocument/2006/relationships/hyperlink" Target="MAILTO:shop@megastore.com.mt" TargetMode="External" Id="rId3475" /><Relationship Type="http://schemas.openxmlformats.org/officeDocument/2006/relationships/hyperlink" Target="https://www.google.com/maps/search/?api=1&amp;query=84%2C%20Qormi%20Road%2C%20Hamrun" TargetMode="External" Id="rId3476" /><Relationship Type="http://schemas.openxmlformats.org/officeDocument/2006/relationships/hyperlink" Target="https://www.google.com/maps/search/?api=1&amp;query=Zabbar%20Road%2C%20Fgura" TargetMode="External" Id="rId3477" /><Relationship Type="http://schemas.openxmlformats.org/officeDocument/2006/relationships/hyperlink" Target="https://www.google.com/maps/search/?api=1&amp;query=Fairline%20Centre%2C%20Santa%20Marta%20Str%2C%20Victoria%20Gozo%2C%20VCT%202552%2C%20Malta" TargetMode="External" Id="rId3478" /><Relationship Type="http://schemas.openxmlformats.org/officeDocument/2006/relationships/hyperlink" Target="https://www.google.com/maps/search/?api=1&amp;query=Warehouse%20No.%2025%2C%20Hard%20Rocks%20Industrial%20Park%2C%20Burmarrad%20Road%2C%20Naxxar%2C%20Malta" TargetMode="External" Id="rId3479" /><Relationship Type="http://schemas.openxmlformats.org/officeDocument/2006/relationships/hyperlink" Target="https://vicalinteriors.com/" TargetMode="External" Id="rId3480" /><Relationship Type="http://schemas.openxmlformats.org/officeDocument/2006/relationships/hyperlink" Target="https://beta.com.mt/" TargetMode="External" Id="rId3481" /><Relationship Type="http://schemas.openxmlformats.org/officeDocument/2006/relationships/hyperlink" Target="https://dv.mt/" TargetMode="External" Id="rId3482" /><Relationship Type="http://schemas.openxmlformats.org/officeDocument/2006/relationships/hyperlink" Target="https://megastore.com.mt/en_MT/c/Vinyl/160976/2/default/5" TargetMode="External" Id="rId3483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hyperlink" Target="MAILTO:ecomaxxltd@gmail.com" TargetMode="External" Id="rId3484" /><Relationship Type="http://schemas.openxmlformats.org/officeDocument/2006/relationships/hyperlink" Target="MAILTO:info@cutrico.com" TargetMode="External" Id="rId3485" /><Relationship Type="http://schemas.openxmlformats.org/officeDocument/2006/relationships/hyperlink" Target="MAILTO:enquiries@panta.mt" TargetMode="External" Id="rId3486" /><Relationship Type="http://schemas.openxmlformats.org/officeDocument/2006/relationships/hyperlink" Target="MAILTO:info@solarsolutions.com.mt" TargetMode="External" Id="rId3487" /><Relationship Type="http://schemas.openxmlformats.org/officeDocument/2006/relationships/hyperlink" Target="MAILTO:Info@klimaflo.com" TargetMode="External" Id="rId3488" /><Relationship Type="http://schemas.openxmlformats.org/officeDocument/2006/relationships/hyperlink" Target="MAILTO:contact@kibitec.com" TargetMode="External" Id="rId3489" /><Relationship Type="http://schemas.openxmlformats.org/officeDocument/2006/relationships/hyperlink" Target="MAILTO:info@alternativetechnologies.com.mt" TargetMode="External" Id="rId3490" /><Relationship Type="http://schemas.openxmlformats.org/officeDocument/2006/relationships/hyperlink" Target="MAILTO:info@smarteffects.com.mt" TargetMode="External" Id="rId3491" /><Relationship Type="http://schemas.openxmlformats.org/officeDocument/2006/relationships/hyperlink" Target="MAILTO:info@recowatt.com" TargetMode="External" Id="rId3492" /><Relationship Type="http://schemas.openxmlformats.org/officeDocument/2006/relationships/hyperlink" Target="https://www.google.com/maps/search/?api=1&amp;query=44%2C%20Triq%20Dun%20Karm%2C%0ABKR9030%2C%0ABirkirkara%2C%20%0AMalta" TargetMode="External" Id="rId3493" /><Relationship Type="http://schemas.openxmlformats.org/officeDocument/2006/relationships/hyperlink" Target="https://www.google.com/maps/search/?api=1&amp;query=Cutrico%20Ltd%2C%0AMriehel%20By-pass%2C%20Mriehel%2C%0AMalta" TargetMode="External" Id="rId3494" /><Relationship Type="http://schemas.openxmlformats.org/officeDocument/2006/relationships/hyperlink" Target="https://www.google.com/maps/search/?api=1&amp;query=Valley%20Road%2C%20L-Imsida%20MSD%209024%2C%20Malta" TargetMode="External" Id="rId3495" /><Relationship Type="http://schemas.openxmlformats.org/officeDocument/2006/relationships/hyperlink" Target="https://www.google.com/maps/search/?api=1&amp;query=Triq%20tal-Balal%2C%20In-Naxxar" TargetMode="External" Id="rId3496" /><Relationship Type="http://schemas.openxmlformats.org/officeDocument/2006/relationships/hyperlink" Target="https://www.google.com/maps/search/?api=1&amp;query=Tower%20Rd%2C%20Birkirkara%20BKR%204016%2C%20Malta" TargetMode="External" Id="rId3497" /><Relationship Type="http://schemas.openxmlformats.org/officeDocument/2006/relationships/hyperlink" Target="https://www.google.com/maps/search/?api=1&amp;query=Triq%20Domenico%20Cachia%2054%0ABirkirkara%2C%20BKR1017%2C%20Malta" TargetMode="External" Id="rId3498" /><Relationship Type="http://schemas.openxmlformats.org/officeDocument/2006/relationships/hyperlink" Target="https://www.google.com/maps/search/?api=1&amp;query=Triq%20Dun%20Guzepp%20Scerri%2C%20San%20%C4%A0iljan%2C%20Malta" TargetMode="External" Id="rId3499" /><Relationship Type="http://schemas.openxmlformats.org/officeDocument/2006/relationships/hyperlink" Target="https://www.google.com/maps/search/?api=1&amp;query=SMART%20EFFECTS%20LTD%2C%20MTP%20Business%20Centre%2C%20Level%203%2C%20Triq%20Dun%20Karm%2C%20Birkirkara%2C%20Malta" TargetMode="External" Id="rId3500" /><Relationship Type="http://schemas.openxmlformats.org/officeDocument/2006/relationships/hyperlink" Target="https://www.google.com/maps/search/?api=1&amp;query=Mdina%20Road%2C%20Ha%C5%BC-%C5%BBebbu%C4%A1%2C%20ZBG%209019%20Malta" TargetMode="External" Id="rId3501" /><Relationship Type="http://schemas.openxmlformats.org/officeDocument/2006/relationships/hyperlink" Target="https://ecomaxxmalta.com" TargetMode="External" Id="rId3502" /><Relationship Type="http://schemas.openxmlformats.org/officeDocument/2006/relationships/hyperlink" Target="https://cutrico.com/en/home.htm" TargetMode="External" Id="rId3503" /><Relationship Type="http://schemas.openxmlformats.org/officeDocument/2006/relationships/hyperlink" Target="https://panta.mt/" TargetMode="External" Id="rId3504" /><Relationship Type="http://schemas.openxmlformats.org/officeDocument/2006/relationships/hyperlink" Target="https://solarsolutions.com.mt/underfloor-heating/" TargetMode="External" Id="rId3505" /><Relationship Type="http://schemas.openxmlformats.org/officeDocument/2006/relationships/hyperlink" Target="https://klimaflo.com/" TargetMode="External" Id="rId3506" /><Relationship Type="http://schemas.openxmlformats.org/officeDocument/2006/relationships/hyperlink" Target="https://kibitec.com/" TargetMode="External" Id="rId3507" /><Relationship Type="http://schemas.openxmlformats.org/officeDocument/2006/relationships/hyperlink" Target="https://alternativetechnologies.com.mt/underfloor-heating" TargetMode="External" Id="rId3508" /><Relationship Type="http://schemas.openxmlformats.org/officeDocument/2006/relationships/hyperlink" Target="https://smarteffects.com.mt/hvac-needs-contact/" TargetMode="External" Id="rId3509" /><Relationship Type="http://schemas.openxmlformats.org/officeDocument/2006/relationships/hyperlink" Target="https://recowatt.com/services/underfloor-heating/" TargetMode="External" Id="rId3510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hyperlink" Target="MAILTO:sebastianpolitano@gmail.com" TargetMode="External" Id="rId3511" /><Relationship Type="http://schemas.openxmlformats.org/officeDocument/2006/relationships/hyperlink" Target="MAILTO:xil@xuerebinstall.com" TargetMode="External" Id="rId3512" /><Relationship Type="http://schemas.openxmlformats.org/officeDocument/2006/relationships/hyperlink" Target="MAILTO:sales@bitmac.mt" TargetMode="External" Id="rId3513" /><Relationship Type="http://schemas.openxmlformats.org/officeDocument/2006/relationships/hyperlink" Target="MAILTO:sales@jmvibro.com" TargetMode="External" Id="rId3514" /><Relationship Type="http://schemas.openxmlformats.org/officeDocument/2006/relationships/hyperlink" Target="MAILTO:borgconstructionworks@gmail.com" TargetMode="External" Id="rId3515" /><Relationship Type="http://schemas.openxmlformats.org/officeDocument/2006/relationships/hyperlink" Target="MAILTO:antoine.scicluna@attardbros.com" TargetMode="External" Id="rId3516" /><Relationship Type="http://schemas.openxmlformats.org/officeDocument/2006/relationships/hyperlink" Target="MAILTO:shawcontractors@gmail.com" TargetMode="External" Id="rId3517" /><Relationship Type="http://schemas.openxmlformats.org/officeDocument/2006/relationships/hyperlink" Target="MAILTO:mscworks24@gmail.com" TargetMode="External" Id="rId3518" /><Relationship Type="http://schemas.openxmlformats.org/officeDocument/2006/relationships/hyperlink" Target="MAILTO:info@kibitec.com" TargetMode="External" Id="rId3519" /><Relationship Type="http://schemas.openxmlformats.org/officeDocument/2006/relationships/hyperlink" Target="MAILTO:sales@theprofessionalsmalta.com" TargetMode="External" Id="rId3520" /><Relationship Type="http://schemas.openxmlformats.org/officeDocument/2006/relationships/hyperlink" Target="MAILTO:info@liquidscreed.mt" TargetMode="External" Id="rId3521" /><Relationship Type="http://schemas.openxmlformats.org/officeDocument/2006/relationships/hyperlink" Target="MAILTO:info@mbfmalta.com" TargetMode="External" Id="rId3522" /><Relationship Type="http://schemas.openxmlformats.org/officeDocument/2006/relationships/hyperlink" Target="MAILTO:zammitjonathan.87@gmail.com" TargetMode="External" Id="rId3523" /><Relationship Type="http://schemas.openxmlformats.org/officeDocument/2006/relationships/hyperlink" Target="MAILTO:screedcasts@gmail.com" TargetMode="External" Id="rId3524" /><Relationship Type="http://schemas.openxmlformats.org/officeDocument/2006/relationships/hyperlink" Target="MAILTO:info@mbigroupmalta.com" TargetMode="External" Id="rId3525" /><Relationship Type="http://schemas.openxmlformats.org/officeDocument/2006/relationships/hyperlink" Target="MAILTO:flowscreedmalta@outlook.com" TargetMode="External" Id="rId3526" /><Relationship Type="http://schemas.openxmlformats.org/officeDocument/2006/relationships/hyperlink" Target="MAILTO:info@rasonsltd.com" TargetMode="External" Id="rId3527" /><Relationship Type="http://schemas.openxmlformats.org/officeDocument/2006/relationships/hyperlink" Target="MAILTO:quotes@ptk.mt" TargetMode="External" Id="rId3528" /><Relationship Type="http://schemas.openxmlformats.org/officeDocument/2006/relationships/hyperlink" Target="MAILTO:sales@rsgroup.com.mt" TargetMode="External" Id="rId3529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hyperlink" Target="MAILTO:sales@fgp.com.mt" TargetMode="External" Id="rId3530" /><Relationship Type="http://schemas.openxmlformats.org/officeDocument/2006/relationships/hyperlink" Target="MAILTO:sales@brandimports.com.mt" TargetMode="External" Id="rId3531" /><Relationship Type="http://schemas.openxmlformats.org/officeDocument/2006/relationships/hyperlink" Target="MAILTO:benmaltalimited@gmail.com" TargetMode="External" Id="rId3532" /><Relationship Type="http://schemas.openxmlformats.org/officeDocument/2006/relationships/hyperlink" Target="MAILTO:info@treedfurniture.com" TargetMode="External" Id="rId3533" /><Relationship Type="http://schemas.openxmlformats.org/officeDocument/2006/relationships/hyperlink" Target="MAILTO:info@automationmalta.com" TargetMode="External" Id="rId3534" /><Relationship Type="http://schemas.openxmlformats.org/officeDocument/2006/relationships/hyperlink" Target="https://www.google.com/maps/search/?api=1&amp;query=81%2C%20Triq%20tal-Mensija%2C%20San%20%C4%A0wann%20SGN%201604" TargetMode="External" Id="rId3535" /><Relationship Type="http://schemas.openxmlformats.org/officeDocument/2006/relationships/hyperlink" Target="https://www.google.com/maps/search/?api=1&amp;query=Midland%20Micro%20Enterprise%20Park%2C%20Block%20D%2C%20Triq%20Burmarrad%2C%20Naxxar%20NXR%206345" TargetMode="External" Id="rId3536" /><Relationship Type="http://schemas.openxmlformats.org/officeDocument/2006/relationships/hyperlink" Target="https://www.google.com/maps/search/?api=1&amp;query=109%2C%20Triq%20Valletta%2C%20%C4%A6al%20Luqa%20LQA%201762" TargetMode="External" Id="rId3537" /><Relationship Type="http://schemas.openxmlformats.org/officeDocument/2006/relationships/hyperlink" Target="https://www.google.com/maps/search/?api=1&amp;query=Showroom%2026%2C%20Triq%20Haz-Zabbar%2C%20Paola" TargetMode="External" Id="rId3538" /><Relationship Type="http://schemas.openxmlformats.org/officeDocument/2006/relationships/hyperlink" Target="https://www.google.com/maps/search/?api=1&amp;query=Ben%20Malta%20Limited%0ATriq%20Dun%20Mikiel%20Xerri%0AAttard%20ATD%202020%0AMalta" TargetMode="External" Id="rId3539" /><Relationship Type="http://schemas.openxmlformats.org/officeDocument/2006/relationships/hyperlink" Target="https://www.google.com/maps/search/?api=1&amp;query=KKW%20019G%20Qasam%20Industrijali%2C%20Kordin%2C%20Paola" TargetMode="External" Id="rId3540" /><Relationship Type="http://schemas.openxmlformats.org/officeDocument/2006/relationships/hyperlink" Target="https://www.google.com/maps/search/?api=1&amp;query=Paola" TargetMode="External" Id="rId3541" /><Relationship Type="http://schemas.openxmlformats.org/officeDocument/2006/relationships/hyperlink" Target="https://brandimports.com.mt/en/" TargetMode="External" Id="rId3542" /><Relationship Type="http://schemas.openxmlformats.org/officeDocument/2006/relationships/hyperlink" Target="https://benmaltalimited.com.mt/garage-doors" TargetMode="External" Id="rId3543" /><Relationship Type="http://schemas.openxmlformats.org/officeDocument/2006/relationships/hyperlink" Target="https://automationmalta.com/" TargetMode="External" Id="rId3544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hyperlink" Target="MAILTO:chrisbltd1@gmail.com" TargetMode="External" Id="rId3545" /><Relationship Type="http://schemas.openxmlformats.org/officeDocument/2006/relationships/hyperlink" Target="MAILTO:info@ortis.biz" TargetMode="External" Id="rId3546" /><Relationship Type="http://schemas.openxmlformats.org/officeDocument/2006/relationships/hyperlink" Target="MAILTO:info@soundsmart.com.mt" TargetMode="External" Id="rId3547" /><Relationship Type="http://schemas.openxmlformats.org/officeDocument/2006/relationships/hyperlink" Target="MAILTO:info@zamco.com.mt" TargetMode="External" Id="rId3548" /><Relationship Type="http://schemas.openxmlformats.org/officeDocument/2006/relationships/hyperlink" Target="MAILTO:info@stonecreations.com.mt" TargetMode="External" Id="rId3549" /><Relationship Type="http://schemas.openxmlformats.org/officeDocument/2006/relationships/hyperlink" Target="MAILTO:info@bbqstoremalta.com" TargetMode="External" Id="rId3550" /><Relationship Type="http://schemas.openxmlformats.org/officeDocument/2006/relationships/hyperlink" Target="MAILTO:info@sbl.com.mt" TargetMode="External" Id="rId3551" /><Relationship Type="http://schemas.openxmlformats.org/officeDocument/2006/relationships/hyperlink" Target="MAILTO:info@crosscraft.com.mt" TargetMode="External" Id="rId3552" /><Relationship Type="http://schemas.openxmlformats.org/officeDocument/2006/relationships/hyperlink" Target="MAILTO:info@bigmatmalta.com" TargetMode="External" Id="rId3553" /><Relationship Type="http://schemas.openxmlformats.org/officeDocument/2006/relationships/hyperlink" Target="MAILTO:info@know-howsystems.net" TargetMode="External" Id="rId3554" /><Relationship Type="http://schemas.openxmlformats.org/officeDocument/2006/relationships/hyperlink" Target="MAILTO:info@livelifeoutdoor.com.mt" TargetMode="External" Id="rId3555" /><Relationship Type="http://schemas.openxmlformats.org/officeDocument/2006/relationships/hyperlink" Target="MAILTO:info@fbpmalta.com" TargetMode="External" Id="rId3556" /><Relationship Type="http://schemas.openxmlformats.org/officeDocument/2006/relationships/hyperlink" Target="MAILTO:sales@malta-design.com" TargetMode="External" Id="rId3557" /><Relationship Type="http://schemas.openxmlformats.org/officeDocument/2006/relationships/hyperlink" Target="MAILTO:customercare@homemate.com.mt" TargetMode="External" Id="rId3558" /><Relationship Type="http://schemas.openxmlformats.org/officeDocument/2006/relationships/hyperlink" Target="MAILTO:home@jpitre.com" TargetMode="External" Id="rId3559" /><Relationship Type="http://schemas.openxmlformats.org/officeDocument/2006/relationships/hyperlink" Target="https://www.google.com/maps/search/?api=1&amp;query=Triq%20Oscar%20Zammit%2C%20Hamrun" TargetMode="External" Id="rId3560" /><Relationship Type="http://schemas.openxmlformats.org/officeDocument/2006/relationships/hyperlink" Target="https://www.google.com/maps/search/?api=1&amp;query=5%20triq%20L-Industrija%20Central%20business%20district%2Cqormi%20Malta%20CBD%205030" TargetMode="External" Id="rId3561" /><Relationship Type="http://schemas.openxmlformats.org/officeDocument/2006/relationships/hyperlink" Target="https://www.google.com/maps/search/?api=1&amp;query=TRIQ%20IL-Kostituzzjoni%2CMosta%2C%20Malta%20%20MST%209050" TargetMode="External" Id="rId3562" /><Relationship Type="http://schemas.openxmlformats.org/officeDocument/2006/relationships/hyperlink" Target="https://www.google.com/maps/search/?api=1&amp;query=zamco%20building%20%20Triq%20il-Mithna%2C%20Qormi%2C%20Malta" TargetMode="External" Id="rId3563" /><Relationship Type="http://schemas.openxmlformats.org/officeDocument/2006/relationships/hyperlink" Target="https://www.google.com/maps/search/?api=1&amp;query=triq%20il-kanun%20%2CQormi%2CMalta" TargetMode="External" Id="rId3564" /><Relationship Type="http://schemas.openxmlformats.org/officeDocument/2006/relationships/hyperlink" Target="https://www.google.com/maps/search/?api=1&amp;query=triq%20id%20-difiza%20Civili%2C%20Mosta%20%2CMalta" TargetMode="External" Id="rId3565" /><Relationship Type="http://schemas.openxmlformats.org/officeDocument/2006/relationships/hyperlink" Target="https://www.google.com/maps/search/?api=1&amp;query=10%20triq%20Oscar%20Zammit%20%2C%20HMR%201281%20%2C%20MALTA" TargetMode="External" Id="rId3566" /><Relationship Type="http://schemas.openxmlformats.org/officeDocument/2006/relationships/hyperlink" Target="https://www.google.com/maps/search/?api=1&amp;query=Bypass%20Mriehel%2C%20Qormi%2C%20QRM%209052" TargetMode="External" Id="rId3567" /><Relationship Type="http://schemas.openxmlformats.org/officeDocument/2006/relationships/hyperlink" Target="https://www.google.com/maps/search/?api=1&amp;query=Zona%20Industrial%2C%20ATD%204000%20Ta%27%20Qali%2C%20Malta." TargetMode="External" Id="rId3568" /><Relationship Type="http://schemas.openxmlformats.org/officeDocument/2006/relationships/hyperlink" Target="https://www.google.com/maps/search/?api=1&amp;query=Susan%20Flats%20B%2C%20Flat%2005%2C%20Triq%20Il-Prinjolata%2C%20Ta%27%20Xbiex%2C%20XBX1130%2C%20Malta." TargetMode="External" Id="rId3569" /><Relationship Type="http://schemas.openxmlformats.org/officeDocument/2006/relationships/hyperlink" Target="https://www.google.com/maps/search/?api=1&amp;query=St.%20Paul%20Street%2C%20Naxxar%2C%20Malta%2C%20NXR%204010" TargetMode="External" Id="rId3570" /><Relationship Type="http://schemas.openxmlformats.org/officeDocument/2006/relationships/hyperlink" Target="https://www.google.com/maps/search/?api=1&amp;query=139%2C%20Bajada%20Street%2C%20Zabbar%2C%20Malta" TargetMode="External" Id="rId3571" /><Relationship Type="http://schemas.openxmlformats.org/officeDocument/2006/relationships/hyperlink" Target="https://www.google.com/maps/search/?api=1&amp;query=Malta%20Design%0A33%20Triq%20l-Oleandru%20%2C%0ASan%20Giljan%2C%20Malta" TargetMode="External" Id="rId3572" /><Relationship Type="http://schemas.openxmlformats.org/officeDocument/2006/relationships/hyperlink" Target="https://www.google.com/maps/search/?api=1&amp;query=Triq%20L-Imprendituri%2C%20Birkirkara%20BKR%203000" TargetMode="External" Id="rId3573" /><Relationship Type="http://schemas.openxmlformats.org/officeDocument/2006/relationships/hyperlink" Target="https://www.google.com/maps/search/?api=1&amp;query=Pitre%20Home%20Ltd%2C%20Mdina%20Road%2C%20Qormi" TargetMode="External" Id="rId3574" /><Relationship Type="http://schemas.openxmlformats.org/officeDocument/2006/relationships/hyperlink" Target="https://bbqworldmalta.mt/?utm_source=Yellow&amp;utm_medium=Yellow-Website&amp;utm_campaign=Landing-Page" TargetMode="External" Id="rId3575" /><Relationship Type="http://schemas.openxmlformats.org/officeDocument/2006/relationships/hyperlink" Target="https://ortismalta.com" TargetMode="External" Id="rId3576" /><Relationship Type="http://schemas.openxmlformats.org/officeDocument/2006/relationships/hyperlink" Target="https://bigmatmalta.com" TargetMode="External" Id="rId3577" /><Relationship Type="http://schemas.openxmlformats.org/officeDocument/2006/relationships/hyperlink" Target="https://bullbbq.eu/en/home.htm" TargetMode="External" Id="rId3578" /><Relationship Type="http://schemas.openxmlformats.org/officeDocument/2006/relationships/hyperlink" Target="https://stonecreations.com.mt" TargetMode="External" Id="rId3579" /><Relationship Type="http://schemas.openxmlformats.org/officeDocument/2006/relationships/hyperlink" Target="https://bbqstoremalta.com" TargetMode="External" Id="rId3580" /><Relationship Type="http://schemas.openxmlformats.org/officeDocument/2006/relationships/hyperlink" Target="https://bbqworldmalta.mt" TargetMode="External" Id="rId3581" /><Relationship Type="http://schemas.openxmlformats.org/officeDocument/2006/relationships/hyperlink" Target="https://crosscraft.com.mt" TargetMode="External" Id="rId3582" /><Relationship Type="http://schemas.openxmlformats.org/officeDocument/2006/relationships/hyperlink" Target="https://bigmatmalta.com" TargetMode="External" Id="rId3583" /><Relationship Type="http://schemas.openxmlformats.org/officeDocument/2006/relationships/hyperlink" Target="https://khsmalta.com" TargetMode="External" Id="rId3584" /><Relationship Type="http://schemas.openxmlformats.org/officeDocument/2006/relationships/hyperlink" Target="https://livelifemalta.com.mt/" TargetMode="External" Id="rId3585" /><Relationship Type="http://schemas.openxmlformats.org/officeDocument/2006/relationships/hyperlink" Target="https://fbpmalta.com/index.php/products/household/bbqs" TargetMode="External" Id="rId3586" /><Relationship Type="http://schemas.openxmlformats.org/officeDocument/2006/relationships/hyperlink" Target="https://homemate.com.mt/" TargetMode="External" Id="rId3587" /><Relationship Type="http://schemas.openxmlformats.org/officeDocument/2006/relationships/hyperlink" Target="https://pitreonline.com/" TargetMode="External" Id="rId3588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hyperlink" Target="MAILTO:stakterinacons@outlook.com" TargetMode="External" Id="rId3589" /><Relationship Type="http://schemas.openxmlformats.org/officeDocument/2006/relationships/hyperlink" Target="MAILTO:info@stanthonyww.com" TargetMode="External" Id="rId3590" /><Relationship Type="http://schemas.openxmlformats.org/officeDocument/2006/relationships/hyperlink" Target="MAILTO:info@framegrip.com" TargetMode="External" Id="rId3591" /><Relationship Type="http://schemas.openxmlformats.org/officeDocument/2006/relationships/hyperlink" Target="MAILTO:sales@jlautier.com" TargetMode="External" Id="rId3592" /><Relationship Type="http://schemas.openxmlformats.org/officeDocument/2006/relationships/hyperlink" Target="MAILTO:sales@newstylesmalta.com" TargetMode="External" Id="rId3593" /><Relationship Type="http://schemas.openxmlformats.org/officeDocument/2006/relationships/hyperlink" Target="MAILTO:info@grimafurniture.com" TargetMode="External" Id="rId3594" /><Relationship Type="http://schemas.openxmlformats.org/officeDocument/2006/relationships/hyperlink" Target="MAILTO:info@amabilegalea.com" TargetMode="External" Id="rId3595" /><Relationship Type="http://schemas.openxmlformats.org/officeDocument/2006/relationships/hyperlink" Target="MAILTO:info@gozoaluminium.com" TargetMode="External" Id="rId3596" /><Relationship Type="http://schemas.openxmlformats.org/officeDocument/2006/relationships/hyperlink" Target="MAILTO:info@a1finishesltd.com" TargetMode="External" Id="rId3597" /><Relationship Type="http://schemas.openxmlformats.org/officeDocument/2006/relationships/hyperlink" Target="MAILTO:parus984@gmail.com" TargetMode="External" Id="rId3598" /><Relationship Type="http://schemas.openxmlformats.org/officeDocument/2006/relationships/hyperlink" Target="MAILTO:info@afdaaluminium.com" TargetMode="External" Id="rId3599" /><Relationship Type="http://schemas.openxmlformats.org/officeDocument/2006/relationships/hyperlink" Target="MAILTO:info@brandimports.com.mt" TargetMode="External" Id="rId3600" /><Relationship Type="http://schemas.openxmlformats.org/officeDocument/2006/relationships/hyperlink" Target="MAILTO:j3aluminium@gmail.com" TargetMode="External" Id="rId3601" /><Relationship Type="http://schemas.openxmlformats.org/officeDocument/2006/relationships/hyperlink" Target="MAILTO:nu-aluminium@outlook.com" TargetMode="External" Id="rId3602" /><Relationship Type="http://schemas.openxmlformats.org/officeDocument/2006/relationships/hyperlink" Target="MAILTO:info@ihomes.com.mt" TargetMode="External" Id="rId3603" /><Relationship Type="http://schemas.openxmlformats.org/officeDocument/2006/relationships/hyperlink" Target="MAILTO:info@nicholas.mt" TargetMode="External" Id="rId3604" /><Relationship Type="http://schemas.openxmlformats.org/officeDocument/2006/relationships/hyperlink" Target="MAILTO:chayron186@gmail.com" TargetMode="External" Id="rId3605" /><Relationship Type="http://schemas.openxmlformats.org/officeDocument/2006/relationships/hyperlink" Target="MAILTO:josefvella72@gmail.com" TargetMode="External" Id="rId3606" /><Relationship Type="http://schemas.openxmlformats.org/officeDocument/2006/relationships/hyperlink" Target="MAILTO:abelawoodworks@gmail.com" TargetMode="External" Id="rId3607" /><Relationship Type="http://schemas.openxmlformats.org/officeDocument/2006/relationships/hyperlink" Target="MAILTO:northalu@gmail.com" TargetMode="External" Id="rId3608" /><Relationship Type="http://schemas.openxmlformats.org/officeDocument/2006/relationships/hyperlink" Target="MAILTO:agood.installations@yahoo.com" TargetMode="External" Id="rId3609" /><Relationship Type="http://schemas.openxmlformats.org/officeDocument/2006/relationships/hyperlink" Target="MAILTO:gsf-1200@hotmail.com" TargetMode="External" Id="rId3610" /><Relationship Type="http://schemas.openxmlformats.org/officeDocument/2006/relationships/hyperlink" Target="MAILTO:jsbaluminiumworks@gmail.com" TargetMode="External" Id="rId3611" /><Relationship Type="http://schemas.openxmlformats.org/officeDocument/2006/relationships/hyperlink" Target="MAILTO:mario.camilleri9@gmail.com" TargetMode="External" Id="rId3612" /><Relationship Type="http://schemas.openxmlformats.org/officeDocument/2006/relationships/hyperlink" Target="MAILTO:info@acaluminium.com" TargetMode="External" Id="rId3613" /><Relationship Type="http://schemas.openxmlformats.org/officeDocument/2006/relationships/hyperlink" Target="MAILTO:lexport@go.com.mt" TargetMode="External" Id="rId3614" /><Relationship Type="http://schemas.openxmlformats.org/officeDocument/2006/relationships/hyperlink" Target="MAILTO:sales@adoremore.eu" TargetMode="External" Id="rId3615" /><Relationship Type="http://schemas.openxmlformats.org/officeDocument/2006/relationships/hyperlink" Target="MAILTO:alfalu@melita.com" TargetMode="External" Id="rId3616" /><Relationship Type="http://schemas.openxmlformats.org/officeDocument/2006/relationships/hyperlink" Target="MAILTO:xandrumallia@gmail.com" TargetMode="External" Id="rId3617" /><Relationship Type="http://schemas.openxmlformats.org/officeDocument/2006/relationships/hyperlink" Target="MAILTO:info@alukey.com.mt" TargetMode="External" Id="rId3618" /><Relationship Type="http://schemas.openxmlformats.org/officeDocument/2006/relationships/hyperlink" Target="MAILTO:info@aluminiumltd.com" TargetMode="External" Id="rId3619" /><Relationship Type="http://schemas.openxmlformats.org/officeDocument/2006/relationships/hyperlink" Target="MAILTO:info@aluwoodmalta.com" TargetMode="External" Id="rId3620" /><Relationship Type="http://schemas.openxmlformats.org/officeDocument/2006/relationships/hyperlink" Target="MAILTO:andrewvella66@gmail.com" TargetMode="External" Id="rId3621" /><Relationship Type="http://schemas.openxmlformats.org/officeDocument/2006/relationships/hyperlink" Target="MAILTO:azzopardialuminiumworks@gmail.com" TargetMode="External" Id="rId3622" /><Relationship Type="http://schemas.openxmlformats.org/officeDocument/2006/relationships/hyperlink" Target="MAILTO:info@basonaluminium.com" TargetMode="External" Id="rId3623" /><Relationship Type="http://schemas.openxmlformats.org/officeDocument/2006/relationships/hyperlink" Target="MAILTO:borgaluminiummalta@gmail.com" TargetMode="External" Id="rId3624" /><Relationship Type="http://schemas.openxmlformats.org/officeDocument/2006/relationships/hyperlink" Target="MAILTO:henry@bpapertures.com" TargetMode="External" Id="rId3625" /><Relationship Type="http://schemas.openxmlformats.org/officeDocument/2006/relationships/hyperlink" Target="MAILTO:cdsaluminium@gmail.com" TargetMode="External" Id="rId3626" /><Relationship Type="http://schemas.openxmlformats.org/officeDocument/2006/relationships/hyperlink" Target="MAILTO:info@cagroup.com.mt" TargetMode="External" Id="rId3627" /><Relationship Type="http://schemas.openxmlformats.org/officeDocument/2006/relationships/hyperlink" Target="MAILTO:mrgmv@onvol.net" TargetMode="External" Id="rId3628" /><Relationship Type="http://schemas.openxmlformats.org/officeDocument/2006/relationships/hyperlink" Target="MAILTO:chocoaluminium@gmail.com" TargetMode="External" Id="rId3629" /><Relationship Type="http://schemas.openxmlformats.org/officeDocument/2006/relationships/hyperlink" Target="MAILTO:info@comforabita.com" TargetMode="External" Id="rId3630" /><Relationship Type="http://schemas.openxmlformats.org/officeDocument/2006/relationships/hyperlink" Target="MAILTO:cba@cba.com.mt" TargetMode="External" Id="rId3631" /><Relationship Type="http://schemas.openxmlformats.org/officeDocument/2006/relationships/hyperlink" Target="MAILTO:daniobarbara1977@gmail.com" TargetMode="External" Id="rId3632" /><Relationship Type="http://schemas.openxmlformats.org/officeDocument/2006/relationships/hyperlink" Target="MAILTO:savdim65@gmail.com" TargetMode="External" Id="rId3633" /><Relationship Type="http://schemas.openxmlformats.org/officeDocument/2006/relationships/hyperlink" Target="MAILTO:info@dinglialuminium.com" TargetMode="External" Id="rId3634" /><Relationship Type="http://schemas.openxmlformats.org/officeDocument/2006/relationships/hyperlink" Target="MAILTO:sales@pvcmalta.com" TargetMode="External" Id="rId3635" /><Relationship Type="http://schemas.openxmlformats.org/officeDocument/2006/relationships/hyperlink" Target="MAILTO:dxaluworks@gmail.com" TargetMode="External" Id="rId3636" /><Relationship Type="http://schemas.openxmlformats.org/officeDocument/2006/relationships/hyperlink" Target="MAILTO:info@expressaluminium.com" TargetMode="External" Id="rId3637" /><Relationship Type="http://schemas.openxmlformats.org/officeDocument/2006/relationships/hyperlink" Target="MAILTO:simdebwebb@hotmail.com" TargetMode="External" Id="rId3638" /><Relationship Type="http://schemas.openxmlformats.org/officeDocument/2006/relationships/hyperlink" Target="MAILTO:sales@finestralmalta.com" TargetMode="External" Id="rId3639" /><Relationship Type="http://schemas.openxmlformats.org/officeDocument/2006/relationships/hyperlink" Target="MAILTO:faworks123@gmail.com" TargetMode="External" Id="rId3640" /><Relationship Type="http://schemas.openxmlformats.org/officeDocument/2006/relationships/hyperlink" Target="MAILTO:azzopardimark8@gmail.com" TargetMode="External" Id="rId3641" /><Relationship Type="http://schemas.openxmlformats.org/officeDocument/2006/relationships/hyperlink" Target="MAILTO:info@alugiorgio.com" TargetMode="External" Id="rId3642" /><Relationship Type="http://schemas.openxmlformats.org/officeDocument/2006/relationships/hyperlink" Target="MAILTO:info@grahamaluminium.com" TargetMode="External" Id="rId3643" /><Relationship Type="http://schemas.openxmlformats.org/officeDocument/2006/relationships/hyperlink" Target="MAILTO:guysmalta@gmail.com" TargetMode="External" Id="rId3644" /><Relationship Type="http://schemas.openxmlformats.org/officeDocument/2006/relationships/hyperlink" Target="MAILTO:horvinltd@gmail.com" TargetMode="External" Id="rId3645" /><Relationship Type="http://schemas.openxmlformats.org/officeDocument/2006/relationships/hyperlink" Target="MAILTO:johnjandb@gmail.com" TargetMode="External" Id="rId3646" /><Relationship Type="http://schemas.openxmlformats.org/officeDocument/2006/relationships/hyperlink" Target="MAILTO:info@jcdaluminium.com" TargetMode="External" Id="rId3647" /><Relationship Type="http://schemas.openxmlformats.org/officeDocument/2006/relationships/hyperlink" Target="MAILTO:jk.aluminium@yahoo.com" TargetMode="External" Id="rId3648" /><Relationship Type="http://schemas.openxmlformats.org/officeDocument/2006/relationships/hyperlink" Target="MAILTO:admin@jamarmalta.com" TargetMode="External" Id="rId3649" /><Relationship Type="http://schemas.openxmlformats.org/officeDocument/2006/relationships/hyperlink" Target="MAILTO:info@jasonaluminium.com" TargetMode="External" Id="rId3650" /><Relationship Type="http://schemas.openxmlformats.org/officeDocument/2006/relationships/hyperlink" Target="MAILTO:kkalworks@gmail.com" TargetMode="External" Id="rId3651" /><Relationship Type="http://schemas.openxmlformats.org/officeDocument/2006/relationships/hyperlink" Target="MAILTO:bjorn.vassallo@gmail.com" TargetMode="External" Id="rId3652" /><Relationship Type="http://schemas.openxmlformats.org/officeDocument/2006/relationships/hyperlink" Target="MAILTO:gmuscat@live.com" TargetMode="External" Id="rId3653" /><Relationship Type="http://schemas.openxmlformats.org/officeDocument/2006/relationships/hyperlink" Target="MAILTO:nicdimech@gmail.com" TargetMode="External" Id="rId3654" /><Relationship Type="http://schemas.openxmlformats.org/officeDocument/2006/relationships/hyperlink" Target="MAILTO:Info@perfectum.mt" TargetMode="External" Id="rId3655" /><Relationship Type="http://schemas.openxmlformats.org/officeDocument/2006/relationships/hyperlink" Target="MAILTO:matteo.pisani40@gmail.com" TargetMode="External" Id="rId3656" /><Relationship Type="http://schemas.openxmlformats.org/officeDocument/2006/relationships/hyperlink" Target="MAILTO:qormialum@gmail.com" TargetMode="External" Id="rId3657" /><Relationship Type="http://schemas.openxmlformats.org/officeDocument/2006/relationships/hyperlink" Target="MAILTO:rcalworks@gmail.com" TargetMode="External" Id="rId3658" /><Relationship Type="http://schemas.openxmlformats.org/officeDocument/2006/relationships/hyperlink" Target="MAILTO:rapa.aluminium@gmail.com" TargetMode="External" Id="rId3659" /><Relationship Type="http://schemas.openxmlformats.org/officeDocument/2006/relationships/hyperlink" Target="MAILTO:raymondfarrugia74@gmail.com" TargetMode="External" Id="rId3660" /><Relationship Type="http://schemas.openxmlformats.org/officeDocument/2006/relationships/hyperlink" Target="MAILTO:refinedaluworks@gmail.com" TargetMode="External" Id="rId3661" /><Relationship Type="http://schemas.openxmlformats.org/officeDocument/2006/relationships/hyperlink" Target="MAILTO:info@servgroupmalta.com" TargetMode="External" Id="rId3662" /><Relationship Type="http://schemas.openxmlformats.org/officeDocument/2006/relationships/hyperlink" Target="MAILTO:info@sptechniques.com" TargetMode="External" Id="rId3663" /><Relationship Type="http://schemas.openxmlformats.org/officeDocument/2006/relationships/hyperlink" Target="MAILTO:sunaluminium@hotmail.com" TargetMode="External" Id="rId3664" /><Relationship Type="http://schemas.openxmlformats.org/officeDocument/2006/relationships/hyperlink" Target="MAILTO:t.camillerialuminium@hotmail.com" TargetMode="External" Id="rId3665" /><Relationship Type="http://schemas.openxmlformats.org/officeDocument/2006/relationships/hyperlink" Target="MAILTO:info@towergroupmalta.com" TargetMode="External" Id="rId3666" /><Relationship Type="http://schemas.openxmlformats.org/officeDocument/2006/relationships/hyperlink" Target="MAILTO:info@trendsltdmalta.com" TargetMode="External" Id="rId3667" /><Relationship Type="http://schemas.openxmlformats.org/officeDocument/2006/relationships/hyperlink" Target="MAILTO:mario@windmillmalta.com" TargetMode="External" Id="rId3668" /><Relationship Type="http://schemas.openxmlformats.org/officeDocument/2006/relationships/hyperlink" Target="MAILTO:luke@woodware.com.mt" TargetMode="External" Id="rId3669" /><Relationship Type="http://schemas.openxmlformats.org/officeDocument/2006/relationships/hyperlink" Target="MAILTO:zammitalu@gmail.com" TargetMode="External" Id="rId3670" /><Relationship Type="http://schemas.openxmlformats.org/officeDocument/2006/relationships/hyperlink" Target="MAILTO:info@framegrip.com" TargetMode="External" Id="rId3671" /><Relationship Type="http://schemas.openxmlformats.org/officeDocument/2006/relationships/hyperlink" Target="MAILTO:sales@jlautier.com" TargetMode="External" Id="rId3672" /><Relationship Type="http://schemas.openxmlformats.org/officeDocument/2006/relationships/hyperlink" Target="MAILTO:info@a1finishesltd.com" TargetMode="External" Id="rId3673" /><Relationship Type="http://schemas.openxmlformats.org/officeDocument/2006/relationships/hyperlink" Target="MAILTO:sales@newstylesmalta.com" TargetMode="External" Id="rId3674" /><Relationship Type="http://schemas.openxmlformats.org/officeDocument/2006/relationships/hyperlink" Target="MAILTO:info@amabilegalea.com" TargetMode="External" Id="rId3675" /><Relationship Type="http://schemas.openxmlformats.org/officeDocument/2006/relationships/hyperlink" Target="MAILTO:info@gozoaluminium.com" TargetMode="External" Id="rId3676" /><Relationship Type="http://schemas.openxmlformats.org/officeDocument/2006/relationships/hyperlink" Target="MAILTO:nu-aluminium@outlook.com" TargetMode="External" Id="rId3677" /><Relationship Type="http://schemas.openxmlformats.org/officeDocument/2006/relationships/hyperlink" Target="MAILTO:info@sfdoorstyles.com.mt" TargetMode="External" Id="rId3678" /><Relationship Type="http://schemas.openxmlformats.org/officeDocument/2006/relationships/hyperlink" Target="MAILTO:parus984@gmail.com" TargetMode="External" Id="rId3679" /><Relationship Type="http://schemas.openxmlformats.org/officeDocument/2006/relationships/hyperlink" Target="MAILTO:info@afdaaluminium.com" TargetMode="External" Id="rId3680" /><Relationship Type="http://schemas.openxmlformats.org/officeDocument/2006/relationships/hyperlink" Target="MAILTO:info@brandimports.com.mt" TargetMode="External" Id="rId3681" /><Relationship Type="http://schemas.openxmlformats.org/officeDocument/2006/relationships/hyperlink" Target="MAILTO:j3aluminium@gmail.com" TargetMode="External" Id="rId3682" /><Relationship Type="http://schemas.openxmlformats.org/officeDocument/2006/relationships/hyperlink" Target="MAILTO:info@nicholas.mt" TargetMode="External" Id="rId3683" /><Relationship Type="http://schemas.openxmlformats.org/officeDocument/2006/relationships/hyperlink" Target="MAILTO:info@ihomes.com.mt" TargetMode="External" Id="rId3684" /><Relationship Type="http://schemas.openxmlformats.org/officeDocument/2006/relationships/hyperlink" Target="MAILTO:chayron186@gmail.com" TargetMode="External" Id="rId3685" /><Relationship Type="http://schemas.openxmlformats.org/officeDocument/2006/relationships/hyperlink" Target="MAILTO:josefvella72@gmail.com" TargetMode="External" Id="rId3686" /><Relationship Type="http://schemas.openxmlformats.org/officeDocument/2006/relationships/hyperlink" Target="MAILTO:northalu@gmail.com" TargetMode="External" Id="rId3687" /><Relationship Type="http://schemas.openxmlformats.org/officeDocument/2006/relationships/hyperlink" Target="MAILTO:agood.installations@yahoo.com" TargetMode="External" Id="rId3688" /><Relationship Type="http://schemas.openxmlformats.org/officeDocument/2006/relationships/hyperlink" Target="MAILTO:gsf-1200@hotmail.com" TargetMode="External" Id="rId3689" /><Relationship Type="http://schemas.openxmlformats.org/officeDocument/2006/relationships/hyperlink" Target="MAILTO:jsbaluminiumworks@gmail.com" TargetMode="External" Id="rId3690" /><Relationship Type="http://schemas.openxmlformats.org/officeDocument/2006/relationships/hyperlink" Target="MAILTO:sales@doorsandmore.in" TargetMode="External" Id="rId3691" /><Relationship Type="http://schemas.openxmlformats.org/officeDocument/2006/relationships/hyperlink" Target="MAILTO:mario.camilleri9@gmail.com" TargetMode="External" Id="rId3692" /><Relationship Type="http://schemas.openxmlformats.org/officeDocument/2006/relationships/hyperlink" Target="MAILTO:info@acaluminium.com" TargetMode="External" Id="rId3693" /><Relationship Type="http://schemas.openxmlformats.org/officeDocument/2006/relationships/hyperlink" Target="MAILTO:lexport@go.com.mt" TargetMode="External" Id="rId3694" /><Relationship Type="http://schemas.openxmlformats.org/officeDocument/2006/relationships/hyperlink" Target="MAILTO:sales@adoremore.eu" TargetMode="External" Id="rId3695" /><Relationship Type="http://schemas.openxmlformats.org/officeDocument/2006/relationships/hyperlink" Target="MAILTO:info@acmamalta.com" TargetMode="External" Id="rId3696" /><Relationship Type="http://schemas.openxmlformats.org/officeDocument/2006/relationships/hyperlink" Target="MAILTO:alfalu@melita.com" TargetMode="External" Id="rId3697" /><Relationship Type="http://schemas.openxmlformats.org/officeDocument/2006/relationships/hyperlink" Target="MAILTO:xandrumallia@gmail.com" TargetMode="External" Id="rId3698" /><Relationship Type="http://schemas.openxmlformats.org/officeDocument/2006/relationships/hyperlink" Target="MAILTO:info@alukey.com.mt" TargetMode="External" Id="rId3699" /><Relationship Type="http://schemas.openxmlformats.org/officeDocument/2006/relationships/hyperlink" Target="MAILTO:info@aluminiumltd.com" TargetMode="External" Id="rId3700" /><Relationship Type="http://schemas.openxmlformats.org/officeDocument/2006/relationships/hyperlink" Target="MAILTO:info@aluwoodmalta.com" TargetMode="External" Id="rId3701" /><Relationship Type="http://schemas.openxmlformats.org/officeDocument/2006/relationships/hyperlink" Target="MAILTO:andrewvella66@gmail.com" TargetMode="External" Id="rId3702" /><Relationship Type="http://schemas.openxmlformats.org/officeDocument/2006/relationships/hyperlink" Target="MAILTO:azzopardialumworks@gmail.com" TargetMode="External" Id="rId3703" /><Relationship Type="http://schemas.openxmlformats.org/officeDocument/2006/relationships/hyperlink" Target="MAILTO:info@basonaluminium.com" TargetMode="External" Id="rId3704" /><Relationship Type="http://schemas.openxmlformats.org/officeDocument/2006/relationships/hyperlink" Target="MAILTO:borgaluminiummalta@gmail.com" TargetMode="External" Id="rId3705" /><Relationship Type="http://schemas.openxmlformats.org/officeDocument/2006/relationships/hyperlink" Target="MAILTO:henry@bpapertures.com" TargetMode="External" Id="rId3706" /><Relationship Type="http://schemas.openxmlformats.org/officeDocument/2006/relationships/hyperlink" Target="MAILTO:cdsaluminium@gmail.com" TargetMode="External" Id="rId3707" /><Relationship Type="http://schemas.openxmlformats.org/officeDocument/2006/relationships/hyperlink" Target="MAILTO:info@cagroup.com.mt" TargetMode="External" Id="rId3708" /><Relationship Type="http://schemas.openxmlformats.org/officeDocument/2006/relationships/hyperlink" Target="MAILTO:tc@aluminium.mt" TargetMode="External" Id="rId3709" /><Relationship Type="http://schemas.openxmlformats.org/officeDocument/2006/relationships/hyperlink" Target="MAILTO:mrgmv@onvol.net" TargetMode="External" Id="rId3710" /><Relationship Type="http://schemas.openxmlformats.org/officeDocument/2006/relationships/hyperlink" Target="MAILTO:chocoaluminium@gmail.com" TargetMode="External" Id="rId3711" /><Relationship Type="http://schemas.openxmlformats.org/officeDocument/2006/relationships/hyperlink" Target="MAILTO:daniobarbara1977@gmail.com" TargetMode="External" Id="rId3712" /><Relationship Type="http://schemas.openxmlformats.org/officeDocument/2006/relationships/hyperlink" Target="MAILTO:info@deckor.com.mt" TargetMode="External" Id="rId3713" /><Relationship Type="http://schemas.openxmlformats.org/officeDocument/2006/relationships/hyperlink" Target="MAILTO:savdim65@gmail.com" TargetMode="External" Id="rId3714" /><Relationship Type="http://schemas.openxmlformats.org/officeDocument/2006/relationships/hyperlink" Target="MAILTO:info@dinglialuminium.com" TargetMode="External" Id="rId3715" /><Relationship Type="http://schemas.openxmlformats.org/officeDocument/2006/relationships/hyperlink" Target="MAILTO:sales@pvcmalta.com" TargetMode="External" Id="rId3716" /><Relationship Type="http://schemas.openxmlformats.org/officeDocument/2006/relationships/hyperlink" Target="MAILTO:dxaluworks@gmail.com" TargetMode="External" Id="rId3717" /><Relationship Type="http://schemas.openxmlformats.org/officeDocument/2006/relationships/hyperlink" Target="MAILTO:info@expressaluminium.com" TargetMode="External" Id="rId3718" /><Relationship Type="http://schemas.openxmlformats.org/officeDocument/2006/relationships/hyperlink" Target="MAILTO:simdebwebb@hotmail.com" TargetMode="External" Id="rId3719" /><Relationship Type="http://schemas.openxmlformats.org/officeDocument/2006/relationships/hyperlink" Target="MAILTO:faworks123@gmail.com" TargetMode="External" Id="rId3720" /><Relationship Type="http://schemas.openxmlformats.org/officeDocument/2006/relationships/hyperlink" Target="MAILTO:azzopardimark8@gmail.com" TargetMode="External" Id="rId3721" /><Relationship Type="http://schemas.openxmlformats.org/officeDocument/2006/relationships/hyperlink" Target="MAILTO:info@alugiorgio.com" TargetMode="External" Id="rId3722" /><Relationship Type="http://schemas.openxmlformats.org/officeDocument/2006/relationships/hyperlink" Target="MAILTO:info@grahamaluminium.com" TargetMode="External" Id="rId3723" /><Relationship Type="http://schemas.openxmlformats.org/officeDocument/2006/relationships/hyperlink" Target="MAILTO:guysmalta@gmail.com" TargetMode="External" Id="rId3724" /><Relationship Type="http://schemas.openxmlformats.org/officeDocument/2006/relationships/hyperlink" Target="MAILTO:horvinltd@gmail.com" TargetMode="External" Id="rId3725" /><Relationship Type="http://schemas.openxmlformats.org/officeDocument/2006/relationships/hyperlink" Target="MAILTO:johnjandb@gmail.com" TargetMode="External" Id="rId3726" /><Relationship Type="http://schemas.openxmlformats.org/officeDocument/2006/relationships/hyperlink" Target="MAILTO:info@jcdaluminium.com" TargetMode="External" Id="rId3727" /><Relationship Type="http://schemas.openxmlformats.org/officeDocument/2006/relationships/hyperlink" Target="MAILTO:jk.aluminium@yahoo.com" TargetMode="External" Id="rId3728" /><Relationship Type="http://schemas.openxmlformats.org/officeDocument/2006/relationships/hyperlink" Target="MAILTO:info@jamarmalta.com" TargetMode="External" Id="rId3729" /><Relationship Type="http://schemas.openxmlformats.org/officeDocument/2006/relationships/hyperlink" Target="MAILTO:kkalworks@gmail.com" TargetMode="External" Id="rId3730" /><Relationship Type="http://schemas.openxmlformats.org/officeDocument/2006/relationships/hyperlink" Target="MAILTO:bjorn.vassallo@gmail.com" TargetMode="External" Id="rId3731" /><Relationship Type="http://schemas.openxmlformats.org/officeDocument/2006/relationships/hyperlink" Target="MAILTO:gmuscat@live.com" TargetMode="External" Id="rId3732" /><Relationship Type="http://schemas.openxmlformats.org/officeDocument/2006/relationships/hyperlink" Target="MAILTO:nicdimech@gmail.com" TargetMode="External" Id="rId3733" /><Relationship Type="http://schemas.openxmlformats.org/officeDocument/2006/relationships/hyperlink" Target="MAILTO:info@nigeldimech.com" TargetMode="External" Id="rId3734" /><Relationship Type="http://schemas.openxmlformats.org/officeDocument/2006/relationships/hyperlink" Target="MAILTO:matteo.pisani40@gmail.com" TargetMode="External" Id="rId3735" /><Relationship Type="http://schemas.openxmlformats.org/officeDocument/2006/relationships/hyperlink" Target="MAILTO:gormialum@gmail.com" TargetMode="External" Id="rId3736" /><Relationship Type="http://schemas.openxmlformats.org/officeDocument/2006/relationships/hyperlink" Target="MAILTO:rcalworks@gmail.com" TargetMode="External" Id="rId3737" /><Relationship Type="http://schemas.openxmlformats.org/officeDocument/2006/relationships/hyperlink" Target="MAILTO:rapa.aluminium@gmail.com" TargetMode="External" Id="rId3738" /><Relationship Type="http://schemas.openxmlformats.org/officeDocument/2006/relationships/hyperlink" Target="MAILTO:raymondfarrugia74@gmail.com" TargetMode="External" Id="rId3739" /><Relationship Type="http://schemas.openxmlformats.org/officeDocument/2006/relationships/hyperlink" Target="MAILTO:refinedaluworks@gmail.com" TargetMode="External" Id="rId3740" /><Relationship Type="http://schemas.openxmlformats.org/officeDocument/2006/relationships/hyperlink" Target="MAILTO:info@servgroupmalta.com" TargetMode="External" Id="rId3741" /><Relationship Type="http://schemas.openxmlformats.org/officeDocument/2006/relationships/hyperlink" Target="MAILTO:sunaluminium@hotmail.com" TargetMode="External" Id="rId3742" /><Relationship Type="http://schemas.openxmlformats.org/officeDocument/2006/relationships/hyperlink" Target="MAILTO:t.camillerialuminium@hotmail.com" TargetMode="External" Id="rId3743" /><Relationship Type="http://schemas.openxmlformats.org/officeDocument/2006/relationships/hyperlink" Target="MAILTO:tonnalum@yahoo.com" TargetMode="External" Id="rId3744" /><Relationship Type="http://schemas.openxmlformats.org/officeDocument/2006/relationships/hyperlink" Target="MAILTO:info@towergroupmalta.com" TargetMode="External" Id="rId3745" /><Relationship Type="http://schemas.openxmlformats.org/officeDocument/2006/relationships/hyperlink" Target="MAILTO:info@trendsltdmalta.com" TargetMode="External" Id="rId3746" /><Relationship Type="http://schemas.openxmlformats.org/officeDocument/2006/relationships/hyperlink" Target="MAILTO:valormalta@gmail.com" TargetMode="External" Id="rId3747" /><Relationship Type="http://schemas.openxmlformats.org/officeDocument/2006/relationships/hyperlink" Target="MAILTO:mario@windmillmalta.com" TargetMode="External" Id="rId3748" /><Relationship Type="http://schemas.openxmlformats.org/officeDocument/2006/relationships/hyperlink" Target="MAILTO:luke@woodware.mt" TargetMode="External" Id="rId3749" /><Relationship Type="http://schemas.openxmlformats.org/officeDocument/2006/relationships/hyperlink" Target="MAILTO:zammitalu@gmail.com" TargetMode="External" Id="rId3750" /><Relationship Type="http://schemas.openxmlformats.org/officeDocument/2006/relationships/hyperlink" Target="https://www.google.com/maps/search/?api=1&amp;query=8%20Triq%20il-Garra%20Victoria%20Gardens%20L-Ibrag%2C%20Swieqi" TargetMode="External" Id="rId3751" /><Relationship Type="http://schemas.openxmlformats.org/officeDocument/2006/relationships/hyperlink" Target="https://www.google.com/maps/search/?api=1&amp;query=Triq%20il-Kappella%20ta%27%20Santa%20Marija%2C%20Naxxar" TargetMode="External" Id="rId3752" /><Relationship Type="http://schemas.openxmlformats.org/officeDocument/2006/relationships/hyperlink" Target="https://www.google.com/maps/search/?api=1&amp;query=Triq%20il-Fortizza%2C%20Mosta" TargetMode="External" Id="rId3753" /><Relationship Type="http://schemas.openxmlformats.org/officeDocument/2006/relationships/hyperlink" Target="https://www.google.com/maps/search/?api=1&amp;query=Triq%20il-Mosta%2C%20Lija" TargetMode="External" Id="rId3754" /><Relationship Type="http://schemas.openxmlformats.org/officeDocument/2006/relationships/hyperlink" Target="https://www.google.com/maps/search/?api=1&amp;query=Triq%20it-Torri%2C%20Msida" TargetMode="External" Id="rId3755" /><Relationship Type="http://schemas.openxmlformats.org/officeDocument/2006/relationships/hyperlink" Target="https://www.google.com/maps/search/?api=1&amp;query=SUB%20030A%20Qasam%20Industrijali%2C%20San%20Gwann" TargetMode="External" Id="rId3756" /><Relationship Type="http://schemas.openxmlformats.org/officeDocument/2006/relationships/hyperlink" Target="https://www.google.com/maps/search/?api=1&amp;query=Zone%202%20Triq%20L-Ghadam%20Central%20Business%20District%2C%20B%27Kara" TargetMode="External" Id="rId3757" /><Relationship Type="http://schemas.openxmlformats.org/officeDocument/2006/relationships/hyperlink" Target="https://www.google.com/maps/search/?api=1&amp;query=34%20Triq%20it-Torri%20San%20Gwann%2C%20Birgu" TargetMode="External" Id="rId3758" /><Relationship Type="http://schemas.openxmlformats.org/officeDocument/2006/relationships/hyperlink" Target="https://www.google.com/maps/search/?api=1&amp;query=Factory%20GZB%202%20Qasam%20Industrijali%2C%20Xewkija-Gozo" TargetMode="External" Id="rId3759" /><Relationship Type="http://schemas.openxmlformats.org/officeDocument/2006/relationships/hyperlink" Target="https://www.google.com/maps/search/?api=1&amp;query=2%20Triq%20Lorenzo%20Gafa%2C%20Zebbug" TargetMode="External" Id="rId3760" /><Relationship Type="http://schemas.openxmlformats.org/officeDocument/2006/relationships/hyperlink" Target="https://www.google.com/maps/search/?api=1&amp;query=31%20Triq%20il-Furnar%2C%20Qormi" TargetMode="External" Id="rId3761" /><Relationship Type="http://schemas.openxmlformats.org/officeDocument/2006/relationships/hyperlink" Target="https://www.google.com/maps/search/?api=1&amp;query=Garage%2010%2C%20Level%20-2%20Sqaq%20il-Mithna%20Triq%20I-Imqabba%2C%20Qrendi" TargetMode="External" Id="rId3762" /><Relationship Type="http://schemas.openxmlformats.org/officeDocument/2006/relationships/hyperlink" Target="https://www.google.com/maps/search/?api=1&amp;query=26%20Triq%20Haz-Zabbar%2C%20Paola" TargetMode="External" Id="rId3763" /><Relationship Type="http://schemas.openxmlformats.org/officeDocument/2006/relationships/hyperlink" Target="https://www.google.com/maps/search/?api=1&amp;query=Triq%20Mro%20Giorgio%20Zarb%20Tal-Handaq%2C%20Qormi" TargetMode="External" Id="rId3764" /><Relationship Type="http://schemas.openxmlformats.org/officeDocument/2006/relationships/hyperlink" Target="https://www.google.com/maps/search/?api=1&amp;query=GGX%200021%20Qasam%20Industrijali%2C%20Xewkija-Gozo" TargetMode="External" Id="rId3765" /><Relationship Type="http://schemas.openxmlformats.org/officeDocument/2006/relationships/hyperlink" Target="https://www.google.com/maps/search/?api=1&amp;query=No5%20Triq%20Mons%20Alfred%20Mifsud%2C%20B%27Kara" TargetMode="External" Id="rId3766" /><Relationship Type="http://schemas.openxmlformats.org/officeDocument/2006/relationships/hyperlink" Target="https://www.google.com/maps/search/?api=1&amp;query=33%20Triq%20Angelo%20Melilli%2C%20Zebbug" TargetMode="External" Id="rId3767" /><Relationship Type="http://schemas.openxmlformats.org/officeDocument/2006/relationships/hyperlink" Target="https://www.google.com/maps/search/?api=1&amp;query=Emmarie%20Triq%20id-Dahla%20Ta%27%20San%20Tumas%2C%20M%27Skala" TargetMode="External" Id="rId3768" /><Relationship Type="http://schemas.openxmlformats.org/officeDocument/2006/relationships/hyperlink" Target="https://www.google.com/maps/search/?api=1&amp;query=Garage%2025%20Tal-Barrani%20Industrial%20Estate%20Triq%20il-Belt%20Valletta%2C%20Ghaxaq" TargetMode="External" Id="rId3769" /><Relationship Type="http://schemas.openxmlformats.org/officeDocument/2006/relationships/hyperlink" Target="https://www.google.com/maps/search/?api=1&amp;query=34%20Triq%20Indri%20Psaila%2C%20Qormi" TargetMode="External" Id="rId3770" /><Relationship Type="http://schemas.openxmlformats.org/officeDocument/2006/relationships/hyperlink" Target="https://www.google.com/maps/search/?api=1&amp;query=Scorpio%20Triq%20Garcia%20De%20Toledo%20Qawra%2C%20San%20Pawl%20ll-Bahar" TargetMode="External" Id="rId3771" /><Relationship Type="http://schemas.openxmlformats.org/officeDocument/2006/relationships/hyperlink" Target="https://www.google.com/maps/search/?api=1&amp;query=Triq%20San%20Pawl%20ll-Bahar" TargetMode="External" Id="rId3772" /><Relationship Type="http://schemas.openxmlformats.org/officeDocument/2006/relationships/hyperlink" Target="https://www.google.com/maps/search/?api=1&amp;query=197%20Telgha%20tal-Gizwiti%2C%20Marsa" TargetMode="External" Id="rId3773" /><Relationship Type="http://schemas.openxmlformats.org/officeDocument/2006/relationships/hyperlink" Target="https://www.google.com/maps/search/?api=1&amp;query=Triq%20Pawlu%20Mifsud%2C%20Zebbug" TargetMode="External" Id="rId3774" /><Relationship Type="http://schemas.openxmlformats.org/officeDocument/2006/relationships/hyperlink" Target="https://www.google.com/maps/search/?api=1&amp;query=10%20Triq%20Bingemma%2C%20Nadur-Gozo" TargetMode="External" Id="rId3775" /><Relationship Type="http://schemas.openxmlformats.org/officeDocument/2006/relationships/hyperlink" Target="https://www.google.com/maps/search/?api=1&amp;query=18%20Triq%20Salvinu%20Spiteri%2C%20Sta%20Venera" TargetMode="External" Id="rId3776" /><Relationship Type="http://schemas.openxmlformats.org/officeDocument/2006/relationships/hyperlink" Target="https://www.google.com/maps/search/?api=1&amp;query=124%20Triq%20San%20Gejtanu%2C%20Hamrun" TargetMode="External" Id="rId3777" /><Relationship Type="http://schemas.openxmlformats.org/officeDocument/2006/relationships/hyperlink" Target="https://www.google.com/maps/search/?api=1&amp;query=Triq%20id-Difiza%20Civili%2C%20Mosta" TargetMode="External" Id="rId3778" /><Relationship Type="http://schemas.openxmlformats.org/officeDocument/2006/relationships/hyperlink" Target="https://www.google.com/maps/search/?api=1&amp;query=45%20Stella%20Maris%20Triq%20James%20Smith%20Qawra%2C%20San%20Pawl%20ll-Bahar" TargetMode="External" Id="rId3779" /><Relationship Type="http://schemas.openxmlformats.org/officeDocument/2006/relationships/hyperlink" Target="https://www.google.com/maps/search/?api=1&amp;query=4%20Triq%20il-Lvant%2C%20Zejtun" TargetMode="External" Id="rId3780" /><Relationship Type="http://schemas.openxmlformats.org/officeDocument/2006/relationships/hyperlink" Target="https://www.google.com/maps/search/?api=1&amp;query=57%20Triq%20il-Qasam%20Sperimentali%20Hal%20Farrug%2C%20Luqa" TargetMode="External" Id="rId3781" /><Relationship Type="http://schemas.openxmlformats.org/officeDocument/2006/relationships/hyperlink" Target="https://www.google.com/maps/search/?api=1&amp;query=4%2C%2011%20Triq%20Valletta%20Qasam%20Industrijali%2C%20Marsa" TargetMode="External" Id="rId3782" /><Relationship Type="http://schemas.openxmlformats.org/officeDocument/2006/relationships/hyperlink" Target="https://www.google.com/maps/search/?api=1&amp;query=Plot%20121%2C%20Aluwood%20Bldg%20Triq%20Ha%3B%20Qormi%20Qasam%20Industrijali%2C%20Luqa" TargetMode="External" Id="rId3783" /><Relationship Type="http://schemas.openxmlformats.org/officeDocument/2006/relationships/hyperlink" Target="https://www.google.com/maps/search/?api=1&amp;query=Triq%20in-Naggar%2C%20Mosta" TargetMode="External" Id="rId3784" /><Relationship Type="http://schemas.openxmlformats.org/officeDocument/2006/relationships/hyperlink" Target="https://www.google.com/maps/search/?api=1&amp;query=Garage%207%2C%20Drive%20In%20Triq%20Lydda%2C%20Qormi" TargetMode="External" Id="rId3785" /><Relationship Type="http://schemas.openxmlformats.org/officeDocument/2006/relationships/hyperlink" Target="https://www.google.com/maps/search/?api=1&amp;query=Zone%203%20Triq%20San%20Gwakkin%20Central%20Business%20District%2C%20B%27Kara" TargetMode="External" Id="rId3786" /><Relationship Type="http://schemas.openxmlformats.org/officeDocument/2006/relationships/hyperlink" Target="https://www.google.com/maps/search/?api=1&amp;query=13%2C%20Triq%20Luretu%20Cutajar%2C%20Zebbug%2C%20Haz-Zebbug" TargetMode="External" Id="rId3787" /><Relationship Type="http://schemas.openxmlformats.org/officeDocument/2006/relationships/hyperlink" Target="https://www.google.com/maps/search/?api=1&amp;query=Mdina%20Road%2C%20Zebbug" TargetMode="External" Id="rId3788" /><Relationship Type="http://schemas.openxmlformats.org/officeDocument/2006/relationships/hyperlink" Target="https://www.google.com/maps/search/?api=1&amp;query=Garage%20No%202%20Triq%20tas-Sejba%2C%20Mqabba" TargetMode="External" Id="rId3789" /><Relationship Type="http://schemas.openxmlformats.org/officeDocument/2006/relationships/hyperlink" Target="https://www.google.com/maps/search/?api=1&amp;query=52%2C%20Triq%20Pinto%2C%20Qormi" TargetMode="External" Id="rId3790" /><Relationship Type="http://schemas.openxmlformats.org/officeDocument/2006/relationships/hyperlink" Target="https://www.google.com/maps/search/?api=1&amp;query=16-17%20Waterside%20Place%2C%20Flt%209%20Ix-Xatt%20ta%27%20Qui%20Si-Sana%2C%20Sliema" TargetMode="External" Id="rId3791" /><Relationship Type="http://schemas.openxmlformats.org/officeDocument/2006/relationships/hyperlink" Target="https://www.google.com/maps/search/?api=1&amp;query=10c%20Midland%20Park%20Triq%20Burmarrad%2C%20Naxxar" TargetMode="External" Id="rId3792" /><Relationship Type="http://schemas.openxmlformats.org/officeDocument/2006/relationships/hyperlink" Target="https://www.google.com/maps/search/?api=1&amp;query=Triq%20it-Territorji%2C%20B%27Kara" TargetMode="External" Id="rId3793" /><Relationship Type="http://schemas.openxmlformats.org/officeDocument/2006/relationships/hyperlink" Target="https://www.google.com/maps/search/?api=1&amp;query=Sub%20029A%20Qasam%20Industrijali%2C%20San%20Gwann" TargetMode="External" Id="rId3794" /><Relationship Type="http://schemas.openxmlformats.org/officeDocument/2006/relationships/hyperlink" Target="https://www.google.com/maps/search/?api=1&amp;query=Landscape%20Triq%20Gnien%20Fieres%2C%20Rabat" TargetMode="External" Id="rId3795" /><Relationship Type="http://schemas.openxmlformats.org/officeDocument/2006/relationships/hyperlink" Target="https://www.google.com/maps/search/?api=1&amp;query=3%20Triq%20iz-Znuber%2C%20Mosta" TargetMode="External" Id="rId3796" /><Relationship Type="http://schemas.openxmlformats.org/officeDocument/2006/relationships/hyperlink" Target="https://www.google.com/maps/search/?api=1&amp;query=Qasam%20Industrijali%2C%20Tal-Handaq%2C%20Qormi" TargetMode="External" Id="rId3797" /><Relationship Type="http://schemas.openxmlformats.org/officeDocument/2006/relationships/hyperlink" Target="https://www.google.com/maps/search/?api=1&amp;query=52%20Triq%20il-Muzika%2C%20Iklin" TargetMode="External" Id="rId3798" /><Relationship Type="http://schemas.openxmlformats.org/officeDocument/2006/relationships/hyperlink" Target="https://www.google.com/maps/search/?api=1&amp;query=Five%20Star%20Business%20Park%20Triq%20il-Belt%20Valetta%2C%20Ghaxaq" TargetMode="External" Id="rId3799" /><Relationship Type="http://schemas.openxmlformats.org/officeDocument/2006/relationships/hyperlink" Target="https://www.google.com/maps/search/?api=1&amp;query=Express%20Bldg%20Triq%20Gharram%2C%20Zebbug" TargetMode="External" Id="rId3800" /><Relationship Type="http://schemas.openxmlformats.org/officeDocument/2006/relationships/hyperlink" Target="https://www.google.com/maps/search/?api=1&amp;query=Oliand%20Triq%20Anthony%20John%20Coleiro%20Tal-Handaq%2C%20Qormi" TargetMode="External" Id="rId3801" /><Relationship Type="http://schemas.openxmlformats.org/officeDocument/2006/relationships/hyperlink" Target="https://www.google.com/maps/search/?api=1&amp;query=SUB%20029B%20Qasam%20Industrijali%2C%20San%20Gwann" TargetMode="External" Id="rId3802" /><Relationship Type="http://schemas.openxmlformats.org/officeDocument/2006/relationships/hyperlink" Target="https://www.google.com/maps/search/?api=1&amp;query=Garage%20144%20Triq%20San%20Xmun%2C%20Fgura" TargetMode="External" Id="rId3803" /><Relationship Type="http://schemas.openxmlformats.org/officeDocument/2006/relationships/hyperlink" Target="https://www.google.com/maps/search/?api=1&amp;query=263%20Triq%20il-Merhba%2C%20Fgura" TargetMode="External" Id="rId3804" /><Relationship Type="http://schemas.openxmlformats.org/officeDocument/2006/relationships/hyperlink" Target="https://www.google.com/maps/search/?api=1&amp;query=Triq%20Mro%20Giuseppe%20Camilleri%20Tal-Hanhaq%2C%20Qormi" TargetMode="External" Id="rId3805" /><Relationship Type="http://schemas.openxmlformats.org/officeDocument/2006/relationships/hyperlink" Target="https://www.google.com/maps/search/?api=1&amp;query=23%20Graham%20Aluminium%20Triq%20John%20Michael%20Testa%20Tal-Handaq%2C%20Qormi" TargetMode="External" Id="rId3806" /><Relationship Type="http://schemas.openxmlformats.org/officeDocument/2006/relationships/hyperlink" Target="https://www.google.com/maps/search/?api=1&amp;query=Drive%20in%20fi%20triq%20il-Belt%20Valletta%2C%20Qormi" TargetMode="External" Id="rId3807" /><Relationship Type="http://schemas.openxmlformats.org/officeDocument/2006/relationships/hyperlink" Target="https://www.google.com/maps/search/?api=1&amp;query=A%2042%20Qasam%20Industrijali%2C%20Marsa" TargetMode="External" Id="rId3808" /><Relationship Type="http://schemas.openxmlformats.org/officeDocument/2006/relationships/hyperlink" Target="https://www.google.com/maps/search/?api=1&amp;query=Qart%20D%27Orange%20Garage%20Trejqet%20il-Wied%2C%20Qormi" TargetMode="External" Id="rId3809" /><Relationship Type="http://schemas.openxmlformats.org/officeDocument/2006/relationships/hyperlink" Target="https://www.google.com/maps/search/?api=1&amp;query=Triq%20I-Imdina%2C%20Zebbug" TargetMode="External" Id="rId3810" /><Relationship Type="http://schemas.openxmlformats.org/officeDocument/2006/relationships/hyperlink" Target="https://www.google.com/maps/search/?api=1&amp;query=13%20Triq%20Mro%20Giorgio%20Zarb%20Tal-Handaq%2C%20Qormi" TargetMode="External" Id="rId3811" /><Relationship Type="http://schemas.openxmlformats.org/officeDocument/2006/relationships/hyperlink" Target="https://www.google.com/maps/search/?api=1&amp;query=John%20Garage%20Triq%20Haz-Zebbug%2C%20Attard" TargetMode="External" Id="rId3812" /><Relationship Type="http://schemas.openxmlformats.org/officeDocument/2006/relationships/hyperlink" Target="https://www.google.com/maps/search/?api=1&amp;query=110%2C%20Triq%20Dun%20Bartilmew%20Attard%2C%20Zebbug" TargetMode="External" Id="rId3813" /><Relationship Type="http://schemas.openxmlformats.org/officeDocument/2006/relationships/hyperlink" Target="https://www.google.com/maps/search/?api=1&amp;query=KW%2019J%20Qasam%20Industrijali%2C%20Kordin%2C%20Paola" TargetMode="External" Id="rId3814" /><Relationship Type="http://schemas.openxmlformats.org/officeDocument/2006/relationships/hyperlink" Target="https://www.google.com/maps/search/?api=1&amp;query=Oceanis%20Triq%20tas-Sliema%2C%20Gzira" TargetMode="External" Id="rId3815" /><Relationship Type="http://schemas.openxmlformats.org/officeDocument/2006/relationships/hyperlink" Target="https://www.google.com/maps/search/?api=1&amp;query=82%20Triq%20il-Hareb%2C%20Ghaxaq" TargetMode="External" Id="rId3816" /><Relationship Type="http://schemas.openxmlformats.org/officeDocument/2006/relationships/hyperlink" Target="https://www.google.com/maps/search/?api=1&amp;query=12%20Triq%20Wenzu%20Despott%2C%20Tarxien" TargetMode="External" Id="rId3817" /><Relationship Type="http://schemas.openxmlformats.org/officeDocument/2006/relationships/hyperlink" Target="https://www.google.com/maps/search/?api=1&amp;query=Garage%2023%20Triq%20il-Bizzilla%2C%20Ghaxaq" TargetMode="External" Id="rId3818" /><Relationship Type="http://schemas.openxmlformats.org/officeDocument/2006/relationships/hyperlink" Target="https://www.google.com/maps/search/?api=1&amp;query=Malta%2C%20Valletta" TargetMode="External" Id="rId3819" /><Relationship Type="http://schemas.openxmlformats.org/officeDocument/2006/relationships/hyperlink" Target="https://www.google.com/maps/search/?api=1&amp;query=Casa%20Pisani%20Triq%20Pisoniano%2C%20Sannat-Gozo" TargetMode="External" Id="rId3820" /><Relationship Type="http://schemas.openxmlformats.org/officeDocument/2006/relationships/hyperlink" Target="https://www.google.com/maps/search/?api=1&amp;query=Triq%20il-Palazz%20L-Ahmar%2C%20Sta%20Venera" TargetMode="External" Id="rId3821" /><Relationship Type="http://schemas.openxmlformats.org/officeDocument/2006/relationships/hyperlink" Target="https://www.google.com/maps/search/?api=1&amp;query=43%20Triq%20Dun%20Bartilmew%20Attard%2C%20Zebbug" TargetMode="External" Id="rId3822" /><Relationship Type="http://schemas.openxmlformats.org/officeDocument/2006/relationships/hyperlink" Target="https://www.google.com/maps/search/?api=1&amp;query=New%20Building%20Triq%20id-Dawwara%2C%20Victoria-Gozo" TargetMode="External" Id="rId3823" /><Relationship Type="http://schemas.openxmlformats.org/officeDocument/2006/relationships/hyperlink" Target="https://www.google.com/maps/search/?api=1&amp;query=Triq%20Pietru%20D%27%20Armenia%2C%20Pembroke" TargetMode="External" Id="rId3824" /><Relationship Type="http://schemas.openxmlformats.org/officeDocument/2006/relationships/hyperlink" Target="https://www.google.com/maps/search/?api=1&amp;query=Triq%20I-Imdina%2C%20Zebbug" TargetMode="External" Id="rId3825" /><Relationship Type="http://schemas.openxmlformats.org/officeDocument/2006/relationships/hyperlink" Target="https://www.google.com/maps/search/?api=1&amp;query=KW36%20Qasam%20Indrustrijali%20Kordin%20Paola" TargetMode="External" Id="rId3826" /><Relationship Type="http://schemas.openxmlformats.org/officeDocument/2006/relationships/hyperlink" Target="https://www.google.com/maps/search/?api=1&amp;query=Zone%202%20Triq%20ll-Ghain%20Central%20Business%20District%2C%20B%27Kara" TargetMode="External" Id="rId3827" /><Relationship Type="http://schemas.openxmlformats.org/officeDocument/2006/relationships/hyperlink" Target="https://www.google.com/maps/search/?api=1&amp;query=F18%2C%20Lower%20Level%20Midland%20Industrial%20Oark%20Triq%20Burmarrad%2C%20Naxxar" TargetMode="External" Id="rId3828" /><Relationship Type="http://schemas.openxmlformats.org/officeDocument/2006/relationships/hyperlink" Target="https://www.google.com/maps/search/?api=1&amp;query=23%20Triq%20Angelo%20Melilli%2C%20Zebbug" TargetMode="External" Id="rId3829" /><Relationship Type="http://schemas.openxmlformats.org/officeDocument/2006/relationships/hyperlink" Target="https://www.google.com/maps/search/?api=1&amp;query=8%20Triq%20ll-Madonna%20Ta%27%20Pompej%2C%20B%27Kara" TargetMode="External" Id="rId3830" /><Relationship Type="http://schemas.openxmlformats.org/officeDocument/2006/relationships/hyperlink" Target="https://www.google.com/maps/search/?api=1&amp;query=Towe%20Buildings%20Triq%20Graham%2C%20Zebbug" TargetMode="External" Id="rId3831" /><Relationship Type="http://schemas.openxmlformats.org/officeDocument/2006/relationships/hyperlink" Target="https://www.google.com/maps/search/?api=1&amp;query=KK%20011%20Qasam%20Industrijali%2C%20Kordin%2C%20Paola" TargetMode="External" Id="rId3832" /><Relationship Type="http://schemas.openxmlformats.org/officeDocument/2006/relationships/hyperlink" Target="https://www.google.com/maps/search/?api=1&amp;query=MRA%20053%20Qasam%20Industrijali%2C%20Marsa" TargetMode="External" Id="rId3833" /><Relationship Type="http://schemas.openxmlformats.org/officeDocument/2006/relationships/hyperlink" Target="https://www.google.com/maps/search/?api=1&amp;query=77%20Triq%20il-Ballut%20Qasam%20Industrijali%2C%20Mosta" TargetMode="External" Id="rId3834" /><Relationship Type="http://schemas.openxmlformats.org/officeDocument/2006/relationships/hyperlink" Target="https://www.google.com/maps/search/?api=1&amp;query=A8%20Qasam%20Industrijali%2C%20Marsa" TargetMode="External" Id="rId3835" /><Relationship Type="http://schemas.openxmlformats.org/officeDocument/2006/relationships/hyperlink" Target="https://www.google.com/maps/search/?api=1&amp;query=Sqaq%20Privat%20Triq%20tal-Ghajn%2C%20Fontana-Gozo" TargetMode="External" Id="rId3836" /><Relationship Type="http://schemas.openxmlformats.org/officeDocument/2006/relationships/hyperlink" Target="https://www.google.com/maps/search/?api=1&amp;query=8%20Triq%20il-Garra%20Victoria%20Gardens%20L-Ibrag%2C%20Swieqi" TargetMode="External" Id="rId3837" /><Relationship Type="http://schemas.openxmlformats.org/officeDocument/2006/relationships/hyperlink" Target="https://www.google.com/maps/search/?api=1&amp;query=Triq%20il-Mosta%2C%20Lija" TargetMode="External" Id="rId3838" /><Relationship Type="http://schemas.openxmlformats.org/officeDocument/2006/relationships/hyperlink" Target="https://www.google.com/maps/search/?api=1&amp;query=Triq%20it-Torri%2C%20Msida" TargetMode="External" Id="rId3839" /><Relationship Type="http://schemas.openxmlformats.org/officeDocument/2006/relationships/hyperlink" Target="https://www.google.com/maps/search/?api=1&amp;query=2%20Triq%20Lorenzo%20Gafa%2C%20Zebbug" TargetMode="External" Id="rId3840" /><Relationship Type="http://schemas.openxmlformats.org/officeDocument/2006/relationships/hyperlink" Target="https://www.google.com/maps/search/?api=1&amp;query=SUB%20030A%20Qasam%20Industrijali%2C%20San%20Gwann" TargetMode="External" Id="rId3841" /><Relationship Type="http://schemas.openxmlformats.org/officeDocument/2006/relationships/hyperlink" Target="https://www.google.com/maps/search/?api=1&amp;query=34%20Triq%20it-Torri%20San%20Gwann%2C%20Birgu" TargetMode="External" Id="rId3842" /><Relationship Type="http://schemas.openxmlformats.org/officeDocument/2006/relationships/hyperlink" Target="https://www.google.com/maps/search/?api=1&amp;query=Factory%20GZB%202%20Qasam%20Industrijali%2C%20Xewkija-Gozo" TargetMode="External" Id="rId3843" /><Relationship Type="http://schemas.openxmlformats.org/officeDocument/2006/relationships/hyperlink" Target="https://www.google.com/maps/search/?api=1&amp;query=GGX%200021%20Qasam%20Industrijali%2C%20Xewkija-Gozo" TargetMode="External" Id="rId3844" /><Relationship Type="http://schemas.openxmlformats.org/officeDocument/2006/relationships/hyperlink" Target="https://www.google.com/maps/search/?api=1&amp;query=Unit%201%20%26%202%20Qasam%20Industrijali%2C%20Luqa" TargetMode="External" Id="rId3845" /><Relationship Type="http://schemas.openxmlformats.org/officeDocument/2006/relationships/hyperlink" Target="https://www.google.com/maps/search/?api=1&amp;query=31%20Triq%20il-Furnar%2C%20Qormi" TargetMode="External" Id="rId3846" /><Relationship Type="http://schemas.openxmlformats.org/officeDocument/2006/relationships/hyperlink" Target="https://www.google.com/maps/search/?api=1&amp;query=Garage%2010%2C%20Level%20-2%20Sqaq%20il-Mithna%20Triq%20I-Imqabba%2C%20Qrendi" TargetMode="External" Id="rId3847" /><Relationship Type="http://schemas.openxmlformats.org/officeDocument/2006/relationships/hyperlink" Target="https://www.google.com/maps/search/?api=1&amp;query=26%20Triq%20Haz-Zabbar%2C%20Paola" TargetMode="External" Id="rId3848" /><Relationship Type="http://schemas.openxmlformats.org/officeDocument/2006/relationships/hyperlink" Target="https://www.google.com/maps/search/?api=1&amp;query=Triq%20Mro%20Giorgio%20Zarb%20Tal-Handaq%2C%20Qormi" TargetMode="External" Id="rId3849" /><Relationship Type="http://schemas.openxmlformats.org/officeDocument/2006/relationships/hyperlink" Target="https://www.google.com/maps/search/?api=1&amp;query=33%20Triq%20Angelo%20Melilli%2C%20Zebbug" TargetMode="External" Id="rId3850" /><Relationship Type="http://schemas.openxmlformats.org/officeDocument/2006/relationships/hyperlink" Target="https://www.google.com/maps/search/?api=1&amp;query=No5%20Triq%20Mons%20Alfred%20Mifsud%2C%20B%27Kara" TargetMode="External" Id="rId3851" /><Relationship Type="http://schemas.openxmlformats.org/officeDocument/2006/relationships/hyperlink" Target="https://www.google.com/maps/search/?api=1&amp;query=Emmarie%20Triq%20id-Dahla%20Ta%27%20San%20Tumas%2C%20M%27Skala" TargetMode="External" Id="rId3852" /><Relationship Type="http://schemas.openxmlformats.org/officeDocument/2006/relationships/hyperlink" Target="https://www.google.com/maps/search/?api=1&amp;query=Garage%2025%20Tal-Barrani%20Industrial%20Estate%20Triq%20il-Belt%20Valletta%2C%20Ghaxaq" TargetMode="External" Id="rId3853" /><Relationship Type="http://schemas.openxmlformats.org/officeDocument/2006/relationships/hyperlink" Target="https://www.google.com/maps/search/?api=1&amp;query=Scorpio%20Triq%20Garcia%20De%20Toledo%20Qawra%2C%20San%20Pawl%20ll-Bahar" TargetMode="External" Id="rId3854" /><Relationship Type="http://schemas.openxmlformats.org/officeDocument/2006/relationships/hyperlink" Target="https://www.google.com/maps/search/?api=1&amp;query=Triq%20San%20Pawl%20ll-Bahar" TargetMode="External" Id="rId3855" /><Relationship Type="http://schemas.openxmlformats.org/officeDocument/2006/relationships/hyperlink" Target="https://www.google.com/maps/search/?api=1&amp;query=197%20Telgha%20tal-Gizwiti%2C%20Marsa" TargetMode="External" Id="rId3856" /><Relationship Type="http://schemas.openxmlformats.org/officeDocument/2006/relationships/hyperlink" Target="https://www.google.com/maps/search/?api=1&amp;query=Triq%20Pawlu%20Mifsud%2C%20Zebbug" TargetMode="External" Id="rId3857" /><Relationship Type="http://schemas.openxmlformats.org/officeDocument/2006/relationships/hyperlink" Target="https://www.google.com/maps/search/?api=1&amp;query=217%20Triq%20Salvu%20Psaila%2C%20B%27Kara" TargetMode="External" Id="rId3858" /><Relationship Type="http://schemas.openxmlformats.org/officeDocument/2006/relationships/hyperlink" Target="https://www.google.com/maps/search/?api=1&amp;query=10%20Triq%20Bingemma%2C%20Nadur-Gozo" TargetMode="External" Id="rId3859" /><Relationship Type="http://schemas.openxmlformats.org/officeDocument/2006/relationships/hyperlink" Target="https://www.google.com/maps/search/?api=1&amp;query=18%20Triq%20Salvinu%20Spiteri%2C%20Sta%20Venera" TargetMode="External" Id="rId3860" /><Relationship Type="http://schemas.openxmlformats.org/officeDocument/2006/relationships/hyperlink" Target="https://www.google.com/maps/search/?api=1&amp;query=124%20Triq%20San%20Gejtanu%2C%20Hamrun" TargetMode="External" Id="rId3861" /><Relationship Type="http://schemas.openxmlformats.org/officeDocument/2006/relationships/hyperlink" Target="https://www.google.com/maps/search/?api=1&amp;query=Triq%20id-Difiza%20Civili%2C%20Mosta" TargetMode="External" Id="rId3862" /><Relationship Type="http://schemas.openxmlformats.org/officeDocument/2006/relationships/hyperlink" Target="https://www.google.com/maps/search/?api=1&amp;query=BLB%20010C%20Qasam%20Industrijali%2C%20Bulebel%2C%20Zejtun" TargetMode="External" Id="rId3863" /><Relationship Type="http://schemas.openxmlformats.org/officeDocument/2006/relationships/hyperlink" Target="https://www.google.com/maps/search/?api=1&amp;query=45%20Stella%20Maris%20Triq%20James%20Smith%20Qawra%2C%20San%20Pawl%20ll-Bahar" TargetMode="External" Id="rId3864" /><Relationship Type="http://schemas.openxmlformats.org/officeDocument/2006/relationships/hyperlink" Target="https://www.google.com/maps/search/?api=1&amp;query=4%20Triq%20il-Lvant%2C%20Zejtun" TargetMode="External" Id="rId3865" /><Relationship Type="http://schemas.openxmlformats.org/officeDocument/2006/relationships/hyperlink" Target="https://www.google.com/maps/search/?api=1&amp;query=57%20Triq%20il-Qasam%20Sperimentali%20Hal%20Farrug%2C%20Luqa" TargetMode="External" Id="rId3866" /><Relationship Type="http://schemas.openxmlformats.org/officeDocument/2006/relationships/hyperlink" Target="https://www.google.com/maps/search/?api=1&amp;query=4%2C%2011%20Triq%20Valletta%20Qasam%20Industrijali%2C%20Marsa" TargetMode="External" Id="rId3867" /><Relationship Type="http://schemas.openxmlformats.org/officeDocument/2006/relationships/hyperlink" Target="https://www.google.com/maps/search/?api=1&amp;query=Plot%20121%2C%20Aluwood%20Bldg%20Triq%20Ha%3B%20Qormi%20Qasam%20Industrijali%2C%20Luqa" TargetMode="External" Id="rId3868" /><Relationship Type="http://schemas.openxmlformats.org/officeDocument/2006/relationships/hyperlink" Target="https://www.google.com/maps/search/?api=1&amp;query=Triq%20in-Naggar%2C%20Mosta" TargetMode="External" Id="rId3869" /><Relationship Type="http://schemas.openxmlformats.org/officeDocument/2006/relationships/hyperlink" Target="https://www.google.com/maps/search/?api=1&amp;query=Garage%207%2C%20Drive%20In%20Triq%20Lydda%2C%20Qormi" TargetMode="External" Id="rId3870" /><Relationship Type="http://schemas.openxmlformats.org/officeDocument/2006/relationships/hyperlink" Target="https://www.google.com/maps/search/?api=1&amp;query=Zone%203%20Triq%20San%20Gwakkin%20Central%20Business%20District%2C%20B%27Kara" TargetMode="External" Id="rId3871" /><Relationship Type="http://schemas.openxmlformats.org/officeDocument/2006/relationships/hyperlink" Target="https://www.google.com/maps/search/?api=1&amp;query=13%2C%20Triq%20Luretu%20Cutajar%2C%20Zebbug%2C%20Haz-Zebbug" TargetMode="External" Id="rId3872" /><Relationship Type="http://schemas.openxmlformats.org/officeDocument/2006/relationships/hyperlink" Target="https://www.google.com/maps/search/?api=1&amp;query=Mdina%20Road%2C%20Zebbug" TargetMode="External" Id="rId3873" /><Relationship Type="http://schemas.openxmlformats.org/officeDocument/2006/relationships/hyperlink" Target="https://www.google.com/maps/search/?api=1&amp;query=Garage%20No%202%20Triq%20tas-Sejba%2C%20Mqabba" TargetMode="External" Id="rId3874" /><Relationship Type="http://schemas.openxmlformats.org/officeDocument/2006/relationships/hyperlink" Target="https://www.google.com/maps/search/?api=1&amp;query=52%2C%20Triq%20Pinto%2C%20Qormi" TargetMode="External" Id="rId3875" /><Relationship Type="http://schemas.openxmlformats.org/officeDocument/2006/relationships/hyperlink" Target="https://www.google.com/maps/search/?api=1&amp;query=3%20Triq%20Manwel%20Borg%20Gauci%2C%20Qormi" TargetMode="External" Id="rId3876" /><Relationship Type="http://schemas.openxmlformats.org/officeDocument/2006/relationships/hyperlink" Target="https://www.google.com/maps/search/?api=1&amp;query=16-17%20Waterside%20Place%2C%20Flt%209%20Ix-Xatt%20ta%27%20Qui%20Si-Sana%2C%20Sliema" TargetMode="External" Id="rId3877" /><Relationship Type="http://schemas.openxmlformats.org/officeDocument/2006/relationships/hyperlink" Target="https://www.google.com/maps/search/?api=1&amp;query=10c%20Midland%20Park%20Triq%20Burmarrad%2C%20Naxxar" TargetMode="External" Id="rId3878" /><Relationship Type="http://schemas.openxmlformats.org/officeDocument/2006/relationships/hyperlink" Target="https://www.google.com/maps/search/?api=1&amp;query=Landscape%20Triq%20Gnien%20Fieres%2C%20Rabat" TargetMode="External" Id="rId3879" /><Relationship Type="http://schemas.openxmlformats.org/officeDocument/2006/relationships/hyperlink" Target="https://www.google.com/maps/search/?api=1&amp;query=114%20Triq%20il-Wied%2C%20B%27Kara" TargetMode="External" Id="rId3880" /><Relationship Type="http://schemas.openxmlformats.org/officeDocument/2006/relationships/hyperlink" Target="https://www.google.com/maps/search/?api=1&amp;query=3%20Triq%20iz-Znuber%2C%20Mosta" TargetMode="External" Id="rId3881" /><Relationship Type="http://schemas.openxmlformats.org/officeDocument/2006/relationships/hyperlink" Target="https://www.google.com/maps/search/?api=1&amp;query=Qasam%20Industrijali%2C%20Tal-Handaq%2C%20Qormi" TargetMode="External" Id="rId3882" /><Relationship Type="http://schemas.openxmlformats.org/officeDocument/2006/relationships/hyperlink" Target="https://www.google.com/maps/search/?api=1&amp;query=52%20Triq%20il-Muzika%2C%20Iklin" TargetMode="External" Id="rId3883" /><Relationship Type="http://schemas.openxmlformats.org/officeDocument/2006/relationships/hyperlink" Target="https://www.google.com/maps/search/?api=1&amp;query=Five%20Star%20Business%20Park%20Triq%20il-Belt%20Valetta%2C%20Ghaxaq" TargetMode="External" Id="rId3884" /><Relationship Type="http://schemas.openxmlformats.org/officeDocument/2006/relationships/hyperlink" Target="https://www.google.com/maps/search/?api=1&amp;query=Express%20Bldg%20Triq%20Gharram%2C%20Zebbug" TargetMode="External" Id="rId3885" /><Relationship Type="http://schemas.openxmlformats.org/officeDocument/2006/relationships/hyperlink" Target="https://www.google.com/maps/search/?api=1&amp;query=Oliand%20Triq%20Anthony%20John%20Coleiro%20Tal-Handaq%2C%20Qormi" TargetMode="External" Id="rId3886" /><Relationship Type="http://schemas.openxmlformats.org/officeDocument/2006/relationships/hyperlink" Target="https://www.google.com/maps/search/?api=1&amp;query=Garage%20144%20Triq%20San%20Xmun%2C%20Fgura" TargetMode="External" Id="rId3887" /><Relationship Type="http://schemas.openxmlformats.org/officeDocument/2006/relationships/hyperlink" Target="https://www.google.com/maps/search/?api=1&amp;query=263%20Triq%20il-Merhba%2C%20Fgura" TargetMode="External" Id="rId3888" /><Relationship Type="http://schemas.openxmlformats.org/officeDocument/2006/relationships/hyperlink" Target="https://www.google.com/maps/search/?api=1&amp;query=Triq%20Mro%20Giuseppe%20Camilleri%20Tal-Hanhaq%2C%20Qormi" TargetMode="External" Id="rId3889" /><Relationship Type="http://schemas.openxmlformats.org/officeDocument/2006/relationships/hyperlink" Target="https://www.google.com/maps/search/?api=1&amp;query=23%20Graham%20Aluminium%20Triq%20John%20Michael%20Testa%20Tal-Handaq%2C%20Qormi" TargetMode="External" Id="rId3890" /><Relationship Type="http://schemas.openxmlformats.org/officeDocument/2006/relationships/hyperlink" Target="https://www.google.com/maps/search/?api=1&amp;query=Drive%20in%20fi%20triq%20il-Belt%20Valletta%2C%20Qormi" TargetMode="External" Id="rId3891" /><Relationship Type="http://schemas.openxmlformats.org/officeDocument/2006/relationships/hyperlink" Target="https://www.google.com/maps/search/?api=1&amp;query=A%2042%20Qasam%20Industrijali%2C%20Marsa" TargetMode="External" Id="rId3892" /><Relationship Type="http://schemas.openxmlformats.org/officeDocument/2006/relationships/hyperlink" Target="https://www.google.com/maps/search/?api=1&amp;query=Qart%20D%27Orange%20Garage%20Trejqet%20il-Wied%2C%20Qormi" TargetMode="External" Id="rId3893" /><Relationship Type="http://schemas.openxmlformats.org/officeDocument/2006/relationships/hyperlink" Target="https://www.google.com/maps/search/?api=1&amp;query=Triq%20I-Imdina%2C%20Zebbug" TargetMode="External" Id="rId3894" /><Relationship Type="http://schemas.openxmlformats.org/officeDocument/2006/relationships/hyperlink" Target="https://www.google.com/maps/search/?api=1&amp;query=13%20Triq%20Mro%20Giorgio%20Zarb%20Tal-Handaq%2C%20Qormi" TargetMode="External" Id="rId3895" /><Relationship Type="http://schemas.openxmlformats.org/officeDocument/2006/relationships/hyperlink" Target="https://www.google.com/maps/search/?api=1&amp;query=John%20Garage%20Triq%20Haz-Zebbug%2C%20Attard" TargetMode="External" Id="rId3896" /><Relationship Type="http://schemas.openxmlformats.org/officeDocument/2006/relationships/hyperlink" Target="https://www.google.com/maps/search/?api=1&amp;query=110%2C%20Triq%20Dun%20Bartilmew%20Attard%2C%20Zebbug" TargetMode="External" Id="rId3897" /><Relationship Type="http://schemas.openxmlformats.org/officeDocument/2006/relationships/hyperlink" Target="https://www.google.com/maps/search/?api=1&amp;query=Oceanis%20Triq%20tas-Sliema%2C%20Gzira" TargetMode="External" Id="rId3898" /><Relationship Type="http://schemas.openxmlformats.org/officeDocument/2006/relationships/hyperlink" Target="https://www.google.com/maps/search/?api=1&amp;query=82%20Triq%20il-Hareb%2C%20Ghaxaq" TargetMode="External" Id="rId3899" /><Relationship Type="http://schemas.openxmlformats.org/officeDocument/2006/relationships/hyperlink" Target="https://www.google.com/maps/search/?api=1&amp;query=12%20Triq%20Wenzu%20Despott%2C%20Tarxien" TargetMode="External" Id="rId3900" /><Relationship Type="http://schemas.openxmlformats.org/officeDocument/2006/relationships/hyperlink" Target="https://www.google.com/maps/search/?api=1&amp;query=Garage%2023%20Triq%20il-Bizzilla%2C%20Ghaxaq" TargetMode="External" Id="rId3901" /><Relationship Type="http://schemas.openxmlformats.org/officeDocument/2006/relationships/hyperlink" Target="https://www.google.com/maps/search/?api=1&amp;query=KKW%20721%2C%20Corradino%20%0AIndustrial%20Estate%0APaola%2C%20PLA%203000%2C%20Malta" TargetMode="External" Id="rId3902" /><Relationship Type="http://schemas.openxmlformats.org/officeDocument/2006/relationships/hyperlink" Target="https://www.google.com/maps/search/?api=1&amp;query=Casa%20Pisani%20Triq%20Pisoniano%2C%20Sannat-Gozo" TargetMode="External" Id="rId3903" /><Relationship Type="http://schemas.openxmlformats.org/officeDocument/2006/relationships/hyperlink" Target="https://www.google.com/maps/search/?api=1&amp;query=Triq%20il-Palazz%20L-Ahmar%2C%20Sta%20Venera" TargetMode="External" Id="rId3904" /><Relationship Type="http://schemas.openxmlformats.org/officeDocument/2006/relationships/hyperlink" Target="https://www.google.com/maps/search/?api=1&amp;query=43%20Triq%20Dun%20Bartilmew%20Attard%2C%20Zebbug" TargetMode="External" Id="rId3905" /><Relationship Type="http://schemas.openxmlformats.org/officeDocument/2006/relationships/hyperlink" Target="https://www.google.com/maps/search/?api=1&amp;query=New%20Building%20Triq%20id-Dawwara%2C%20Victoria-Gozo" TargetMode="External" Id="rId3906" /><Relationship Type="http://schemas.openxmlformats.org/officeDocument/2006/relationships/hyperlink" Target="https://www.google.com/maps/search/?api=1&amp;query=Triq%20Pietru%20D%27%20Armenia%2C%20Pembroke" TargetMode="External" Id="rId3907" /><Relationship Type="http://schemas.openxmlformats.org/officeDocument/2006/relationships/hyperlink" Target="https://www.google.com/maps/search/?api=1&amp;query=Triq%20I-Imdina%2C%20Zebbug" TargetMode="External" Id="rId3908" /><Relationship Type="http://schemas.openxmlformats.org/officeDocument/2006/relationships/hyperlink" Target="https://www.google.com/maps/search/?api=1&amp;query=KW36%20Qasam%20Indrustrijali%20Kordin%20Paola" TargetMode="External" Id="rId3909" /><Relationship Type="http://schemas.openxmlformats.org/officeDocument/2006/relationships/hyperlink" Target="https://www.google.com/maps/search/?api=1&amp;query=Zone%202%20Triq%20ll-Ghain%20Central%20Business%20District%2C%20B%27Kara" TargetMode="External" Id="rId3910" /><Relationship Type="http://schemas.openxmlformats.org/officeDocument/2006/relationships/hyperlink" Target="https://www.google.com/maps/search/?api=1&amp;query=23%20Triq%20Angelo%20Melilli%2C%20Zebbug" TargetMode="External" Id="rId3911" /><Relationship Type="http://schemas.openxmlformats.org/officeDocument/2006/relationships/hyperlink" Target="https://www.google.com/maps/search/?api=1&amp;query=8%20Triq%20ll-Madonna%20Ta%27%20Pompej%2C%20B%27Kara" TargetMode="External" Id="rId3912" /><Relationship Type="http://schemas.openxmlformats.org/officeDocument/2006/relationships/hyperlink" Target="https://www.google.com/maps/search/?api=1&amp;query=29%20Triq%20E%20Attard%20Bezzina%2C%20Zejtun" TargetMode="External" Id="rId3913" /><Relationship Type="http://schemas.openxmlformats.org/officeDocument/2006/relationships/hyperlink" Target="https://www.google.com/maps/search/?api=1&amp;query=Towe%20Buildings%20Triq%20Graham%2C%20Zebbug" TargetMode="External" Id="rId3914" /><Relationship Type="http://schemas.openxmlformats.org/officeDocument/2006/relationships/hyperlink" Target="https://www.google.com/maps/search/?api=1&amp;query=KK%20011%20Qasam%20Industrijali%2C%20Kordin%2C%20Paola" TargetMode="External" Id="rId3915" /><Relationship Type="http://schemas.openxmlformats.org/officeDocument/2006/relationships/hyperlink" Target="https://www.google.com/maps/search/?api=1&amp;query=Triq%20l-isturnell%20Roza%2C%20Hal%20Luqa%2C%20Malta" TargetMode="External" Id="rId3916" /><Relationship Type="http://schemas.openxmlformats.org/officeDocument/2006/relationships/hyperlink" Target="https://www.google.com/maps/search/?api=1&amp;query=MRA%20053%20Qasam%20Industrijali%2C%20Marsa" TargetMode="External" Id="rId3917" /><Relationship Type="http://schemas.openxmlformats.org/officeDocument/2006/relationships/hyperlink" Target="https://www.google.com/maps/search/?api=1&amp;query=A8%20Qasam%20Industrijali%2C%20Marsa" TargetMode="External" Id="rId3918" /><Relationship Type="http://schemas.openxmlformats.org/officeDocument/2006/relationships/hyperlink" Target="https://www.google.com/maps/search/?api=1&amp;query=Sqaq%20Privat%20Triq%20tal-Ghajn%2C%20Fontana-Gozo" TargetMode="External" Id="rId3919" /><Relationship Type="http://schemas.openxmlformats.org/officeDocument/2006/relationships/hyperlink" Target="https://pvc.com.mt" TargetMode="External" Id="rId3920" /><Relationship Type="http://schemas.openxmlformats.org/officeDocument/2006/relationships/hyperlink" Target="https://kbstructuresltd.com" TargetMode="External" Id="rId3921" /><Relationship Type="http://schemas.openxmlformats.org/officeDocument/2006/relationships/hyperlink" Target="https://stanthonyww.com" TargetMode="External" Id="rId3922" /><Relationship Type="http://schemas.openxmlformats.org/officeDocument/2006/relationships/hyperlink" Target="https://framegrip.com" TargetMode="External" Id="rId3923" /><Relationship Type="http://schemas.openxmlformats.org/officeDocument/2006/relationships/hyperlink" Target="https://jlautier.com" TargetMode="External" Id="rId3924" /><Relationship Type="http://schemas.openxmlformats.org/officeDocument/2006/relationships/hyperlink" Target="https://newstylesmalta.com" TargetMode="External" Id="rId3925" /><Relationship Type="http://schemas.openxmlformats.org/officeDocument/2006/relationships/hyperlink" Target="https://grimafurniture.com" TargetMode="External" Id="rId3926" /><Relationship Type="http://schemas.openxmlformats.org/officeDocument/2006/relationships/hyperlink" Target="https://amabilegalea.com" TargetMode="External" Id="rId3927" /><Relationship Type="http://schemas.openxmlformats.org/officeDocument/2006/relationships/hyperlink" Target="https://facebook.com/GozoAluminium/" TargetMode="External" Id="rId3928" /><Relationship Type="http://schemas.openxmlformats.org/officeDocument/2006/relationships/hyperlink" Target="https://afdaaluminium.com" TargetMode="External" Id="rId3929" /><Relationship Type="http://schemas.openxmlformats.org/officeDocument/2006/relationships/hyperlink" Target="https://brandimports.com.mt" TargetMode="External" Id="rId3930" /><Relationship Type="http://schemas.openxmlformats.org/officeDocument/2006/relationships/hyperlink" Target="https://j3alumiuniumworks.com" TargetMode="External" Id="rId3931" /><Relationship Type="http://schemas.openxmlformats.org/officeDocument/2006/relationships/hyperlink" Target="https://facebook.com/p/Nu-Aluminium-100064044373074/" TargetMode="External" Id="rId3932" /><Relationship Type="http://schemas.openxmlformats.org/officeDocument/2006/relationships/hyperlink" Target="https://facebook.com/ihomes" TargetMode="External" Id="rId3933" /><Relationship Type="http://schemas.openxmlformats.org/officeDocument/2006/relationships/hyperlink" Target="https://nicholas.mt" TargetMode="External" Id="rId3934" /><Relationship Type="http://schemas.openxmlformats.org/officeDocument/2006/relationships/hyperlink" Target="https://facebook.com/p/Melvin-Aluminium-works-100057483907699/" TargetMode="External" Id="rId3935" /><Relationship Type="http://schemas.openxmlformats.org/officeDocument/2006/relationships/hyperlink" Target="https://facebook.com/p/Josef-Aluminium-Metal-Works-100054319188613/" TargetMode="External" Id="rId3936" /><Relationship Type="http://schemas.openxmlformats.org/officeDocument/2006/relationships/hyperlink" Target="https://abelawoodworks.wixsite.com/abelawoodworks" TargetMode="External" Id="rId3937" /><Relationship Type="http://schemas.openxmlformats.org/officeDocument/2006/relationships/hyperlink" Target="https://facebook.com/people/Northalu/100055070154471/?utm_source=Yellow&amp;utm_medium=Yellow-Website&amp;utm_campaign=Landing-Page#" TargetMode="External" Id="rId3938" /><Relationship Type="http://schemas.openxmlformats.org/officeDocument/2006/relationships/hyperlink" Target="https://agoodchildinstallations.com" TargetMode="External" Id="rId3939" /><Relationship Type="http://schemas.openxmlformats.org/officeDocument/2006/relationships/hyperlink" Target="https://facebook.com/jsbaluminium.works" TargetMode="External" Id="rId3940" /><Relationship Type="http://schemas.openxmlformats.org/officeDocument/2006/relationships/hyperlink" Target="https://adoremore.com.mt" TargetMode="External" Id="rId3941" /><Relationship Type="http://schemas.openxmlformats.org/officeDocument/2006/relationships/hyperlink" Target="https://facebook.com/alukeyaluminium" TargetMode="External" Id="rId3942" /><Relationship Type="http://schemas.openxmlformats.org/officeDocument/2006/relationships/hyperlink" Target="https://aluminium-ltd.business.site" TargetMode="External" Id="rId3943" /><Relationship Type="http://schemas.openxmlformats.org/officeDocument/2006/relationships/hyperlink" Target="https://facebook.com/AluwoodCoLtd" TargetMode="External" Id="rId3944" /><Relationship Type="http://schemas.openxmlformats.org/officeDocument/2006/relationships/hyperlink" Target="https://facebook.com/people/Andrew-vella-aluminium/100064883072627/" TargetMode="External" Id="rId3945" /><Relationship Type="http://schemas.openxmlformats.org/officeDocument/2006/relationships/hyperlink" Target="https://facebook.com/azzopardialum" TargetMode="External" Id="rId3946" /><Relationship Type="http://schemas.openxmlformats.org/officeDocument/2006/relationships/hyperlink" Target="https://basonaluminium.com" TargetMode="External" Id="rId3947" /><Relationship Type="http://schemas.openxmlformats.org/officeDocument/2006/relationships/hyperlink" Target="https://facebook.com/borgalum/" TargetMode="External" Id="rId3948" /><Relationship Type="http://schemas.openxmlformats.org/officeDocument/2006/relationships/hyperlink" Target="https://bpapertures.com/" TargetMode="External" Id="rId3949" /><Relationship Type="http://schemas.openxmlformats.org/officeDocument/2006/relationships/hyperlink" Target="https://facebook.com/people/CDS-Aluminium-work/100064086582054/" TargetMode="External" Id="rId3950" /><Relationship Type="http://schemas.openxmlformats.org/officeDocument/2006/relationships/hyperlink" Target="https://cagroup.com.mt" TargetMode="External" Id="rId3951" /><Relationship Type="http://schemas.openxmlformats.org/officeDocument/2006/relationships/hyperlink" Target="https://salamander-windows.com/?utm_source=Yellow&amp;utm_medium=Yellow-Website&amp;utm_campaign=Landing-Page" TargetMode="External" Id="rId3952" /><Relationship Type="http://schemas.openxmlformats.org/officeDocument/2006/relationships/hyperlink" Target="https://facebook.com/p/Choco-aluminium-works-100064574387617/" TargetMode="External" Id="rId3953" /><Relationship Type="http://schemas.openxmlformats.org/officeDocument/2006/relationships/hyperlink" Target="https://comfortabita.com" TargetMode="External" Id="rId3954" /><Relationship Type="http://schemas.openxmlformats.org/officeDocument/2006/relationships/hyperlink" Target="https://cuschierigroup.com" TargetMode="External" Id="rId3955" /><Relationship Type="http://schemas.openxmlformats.org/officeDocument/2006/relationships/hyperlink" Target="https://dimechapertures.com/" TargetMode="External" Id="rId3956" /><Relationship Type="http://schemas.openxmlformats.org/officeDocument/2006/relationships/hyperlink" Target="https://pvcmalta.com" TargetMode="External" Id="rId3957" /><Relationship Type="http://schemas.openxmlformats.org/officeDocument/2006/relationships/hyperlink" Target="https://facebook.com/p/DX-Aluminium-Works-100064182690832/" TargetMode="External" Id="rId3958" /><Relationship Type="http://schemas.openxmlformats.org/officeDocument/2006/relationships/hyperlink" Target="https://expressaluminium.com" TargetMode="External" Id="rId3959" /><Relationship Type="http://schemas.openxmlformats.org/officeDocument/2006/relationships/hyperlink" Target="https://finestralmalta.com" TargetMode="External" Id="rId3960" /><Relationship Type="http://schemas.openxmlformats.org/officeDocument/2006/relationships/hyperlink" Target="https://aluminiumworks.in" TargetMode="External" Id="rId3961" /><Relationship Type="http://schemas.openxmlformats.org/officeDocument/2006/relationships/hyperlink" Target="https://facebook.com/p/Giorgio-Aluminium-Co-Ltd-100065044507710/" TargetMode="External" Id="rId3962" /><Relationship Type="http://schemas.openxmlformats.org/officeDocument/2006/relationships/hyperlink" Target="https://grahamaluminium.com" TargetMode="External" Id="rId3963" /><Relationship Type="http://schemas.openxmlformats.org/officeDocument/2006/relationships/hyperlink" Target="https://facebook.com/Guys21485785/" TargetMode="External" Id="rId3964" /><Relationship Type="http://schemas.openxmlformats.org/officeDocument/2006/relationships/hyperlink" Target="https://horvinltd.com" TargetMode="External" Id="rId3965" /><Relationship Type="http://schemas.openxmlformats.org/officeDocument/2006/relationships/hyperlink" Target="https://icsaluminium.yolasite.com" TargetMode="External" Id="rId3966" /><Relationship Type="http://schemas.openxmlformats.org/officeDocument/2006/relationships/hyperlink" Target="https://jcdaluminium.com" TargetMode="External" Id="rId3967" /><Relationship Type="http://schemas.openxmlformats.org/officeDocument/2006/relationships/hyperlink" Target="https://jk-aluminium.com" TargetMode="External" Id="rId3968" /><Relationship Type="http://schemas.openxmlformats.org/officeDocument/2006/relationships/hyperlink" Target="https://jamarmalta.com" TargetMode="External" Id="rId3969" /><Relationship Type="http://schemas.openxmlformats.org/officeDocument/2006/relationships/hyperlink" Target="https://jasonaluminium.com" TargetMode="External" Id="rId3970" /><Relationship Type="http://schemas.openxmlformats.org/officeDocument/2006/relationships/hyperlink" Target="https://facebook.com/KKAluWorks/" TargetMode="External" Id="rId3971" /><Relationship Type="http://schemas.openxmlformats.org/officeDocument/2006/relationships/hyperlink" Target="https://facebook.com/p/Munita-Aluminium-100063476861515/" TargetMode="External" Id="rId3972" /><Relationship Type="http://schemas.openxmlformats.org/officeDocument/2006/relationships/hyperlink" Target="https://facebook.com/perfectummt/" TargetMode="External" Id="rId3973" /><Relationship Type="http://schemas.openxmlformats.org/officeDocument/2006/relationships/hyperlink" Target="https://facebook.com/QormiAluminium" TargetMode="External" Id="rId3974" /><Relationship Type="http://schemas.openxmlformats.org/officeDocument/2006/relationships/hyperlink" Target="https://facebook.com/people/Rapa-Aluminium-Victoria-Gozo/100063473081953/?utm_source=Yellow&amp;utm_medium=Yellow-Website&amp;utm_campaign=Landing-Page#" TargetMode="External" Id="rId3975" /><Relationship Type="http://schemas.openxmlformats.org/officeDocument/2006/relationships/hyperlink" Target="https://facebook.com/RayAluWorks/" TargetMode="External" Id="rId3976" /><Relationship Type="http://schemas.openxmlformats.org/officeDocument/2006/relationships/hyperlink" Target="https://facebook.com/people/Refined-Aluminium-Metal-Works/100063567219937/?utm_source=Yellow&amp;utm_medium=Yellow-Website&amp;utm_campaign=Landing-Page#" TargetMode="External" Id="rId3977" /><Relationship Type="http://schemas.openxmlformats.org/officeDocument/2006/relationships/hyperlink" Target="https://servgroupmalta.com" TargetMode="External" Id="rId3978" /><Relationship Type="http://schemas.openxmlformats.org/officeDocument/2006/relationships/hyperlink" Target="https://sptechniques.com" TargetMode="External" Id="rId3979" /><Relationship Type="http://schemas.openxmlformats.org/officeDocument/2006/relationships/hyperlink" Target="https://aluminium.mt/" TargetMode="External" Id="rId3980" /><Relationship Type="http://schemas.openxmlformats.org/officeDocument/2006/relationships/hyperlink" Target="https://towergroupmalta.com" TargetMode="External" Id="rId3981" /><Relationship Type="http://schemas.openxmlformats.org/officeDocument/2006/relationships/hyperlink" Target="https://trendsltdmalta.com" TargetMode="External" Id="rId3982" /><Relationship Type="http://schemas.openxmlformats.org/officeDocument/2006/relationships/hyperlink" Target="https://facebook.com/windmillltd/" TargetMode="External" Id="rId3983" /><Relationship Type="http://schemas.openxmlformats.org/officeDocument/2006/relationships/hyperlink" Target="https://facebook.com/bespokelocalfurniture" TargetMode="External" Id="rId3984" /><Relationship Type="http://schemas.openxmlformats.org/officeDocument/2006/relationships/hyperlink" Target="https://facebook.com/zammitaluminum/" TargetMode="External" Id="rId3985" /><Relationship Type="http://schemas.openxmlformats.org/officeDocument/2006/relationships/hyperlink" Target="https://pvc.com.mt" TargetMode="External" Id="rId3986" /><Relationship Type="http://schemas.openxmlformats.org/officeDocument/2006/relationships/hyperlink" Target="https://framegrip.com" TargetMode="External" Id="rId3987" /><Relationship Type="http://schemas.openxmlformats.org/officeDocument/2006/relationships/hyperlink" Target="https://jlautier.com" TargetMode="External" Id="rId3988" /><Relationship Type="http://schemas.openxmlformats.org/officeDocument/2006/relationships/hyperlink" Target="https://a1finishesltd.com/" TargetMode="External" Id="rId3989" /><Relationship Type="http://schemas.openxmlformats.org/officeDocument/2006/relationships/hyperlink" Target="https://newstylesmalta.com" TargetMode="External" Id="rId3990" /><Relationship Type="http://schemas.openxmlformats.org/officeDocument/2006/relationships/hyperlink" Target="https://amabilegalea.com" TargetMode="External" Id="rId3991" /><Relationship Type="http://schemas.openxmlformats.org/officeDocument/2006/relationships/hyperlink" Target="https://facebook.com/GozoAluminium/" TargetMode="External" Id="rId3992" /><Relationship Type="http://schemas.openxmlformats.org/officeDocument/2006/relationships/hyperlink" Target="https://yellow.com.mt/nu-aluminium/aluminium-apertures-fixtures/" TargetMode="External" Id="rId3993" /><Relationship Type="http://schemas.openxmlformats.org/officeDocument/2006/relationships/hyperlink" Target="https://sfdoorstyles.com.mt/" TargetMode="External" Id="rId3994" /><Relationship Type="http://schemas.openxmlformats.org/officeDocument/2006/relationships/hyperlink" Target="https://afdaaluminium.com" TargetMode="External" Id="rId3995" /><Relationship Type="http://schemas.openxmlformats.org/officeDocument/2006/relationships/hyperlink" Target="https://brandimports.com.mt" TargetMode="External" Id="rId3996" /><Relationship Type="http://schemas.openxmlformats.org/officeDocument/2006/relationships/hyperlink" Target="https://j3aluminiumworks.com/" TargetMode="External" Id="rId3997" /><Relationship Type="http://schemas.openxmlformats.org/officeDocument/2006/relationships/hyperlink" Target="https://nicholas.mt" TargetMode="External" Id="rId3998" /><Relationship Type="http://schemas.openxmlformats.org/officeDocument/2006/relationships/hyperlink" Target="https://facebook.com/ihomes" TargetMode="External" Id="rId3999" /><Relationship Type="http://schemas.openxmlformats.org/officeDocument/2006/relationships/hyperlink" Target="https://facebook.com/p/Melvin-Aluminium-works-100057483907699/" TargetMode="External" Id="rId4000" /><Relationship Type="http://schemas.openxmlformats.org/officeDocument/2006/relationships/hyperlink" Target="https://facebook.com/p/Josef-Aluminium-Metal-Works-100054319188613/" TargetMode="External" Id="rId4001" /><Relationship Type="http://schemas.openxmlformats.org/officeDocument/2006/relationships/hyperlink" Target="https://facebook.com/people/Northalu/100055070154471/?utm_source=Yellow&amp;utm_medium=Yellow-Website&amp;utm_campaign=Landing-Page#" TargetMode="External" Id="rId4002" /><Relationship Type="http://schemas.openxmlformats.org/officeDocument/2006/relationships/hyperlink" Target="https://agoodchildinstallations.com" TargetMode="External" Id="rId4003" /><Relationship Type="http://schemas.openxmlformats.org/officeDocument/2006/relationships/hyperlink" Target="https://facebook.com/jsbaluminium.works" TargetMode="External" Id="rId4004" /><Relationship Type="http://schemas.openxmlformats.org/officeDocument/2006/relationships/hyperlink" Target="https://facebook.com/doorsand.more.3" TargetMode="External" Id="rId4005" /><Relationship Type="http://schemas.openxmlformats.org/officeDocument/2006/relationships/hyperlink" Target="https://adoremore.com.mt" TargetMode="External" Id="rId4006" /><Relationship Type="http://schemas.openxmlformats.org/officeDocument/2006/relationships/hyperlink" Target="https://acmamalta.com" TargetMode="External" Id="rId4007" /><Relationship Type="http://schemas.openxmlformats.org/officeDocument/2006/relationships/hyperlink" Target="https://facebook.com/alukeyaluminium" TargetMode="External" Id="rId4008" /><Relationship Type="http://schemas.openxmlformats.org/officeDocument/2006/relationships/hyperlink" Target="https://aluminium-ltd.business.site" TargetMode="External" Id="rId4009" /><Relationship Type="http://schemas.openxmlformats.org/officeDocument/2006/relationships/hyperlink" Target="https://facebook.com/AluwoodCoLtd" TargetMode="External" Id="rId4010" /><Relationship Type="http://schemas.openxmlformats.org/officeDocument/2006/relationships/hyperlink" Target="https://facebook.com/people/Andrew-vella-aluminium/100064883072627/" TargetMode="External" Id="rId4011" /><Relationship Type="http://schemas.openxmlformats.org/officeDocument/2006/relationships/hyperlink" Target="https://facebook.com/azzopardialum" TargetMode="External" Id="rId4012" /><Relationship Type="http://schemas.openxmlformats.org/officeDocument/2006/relationships/hyperlink" Target="https://basonaluminium.com" TargetMode="External" Id="rId4013" /><Relationship Type="http://schemas.openxmlformats.org/officeDocument/2006/relationships/hyperlink" Target="https://facebook.com/borgalum/" TargetMode="External" Id="rId4014" /><Relationship Type="http://schemas.openxmlformats.org/officeDocument/2006/relationships/hyperlink" Target="https://bpapertures.com/" TargetMode="External" Id="rId4015" /><Relationship Type="http://schemas.openxmlformats.org/officeDocument/2006/relationships/hyperlink" Target="https://facebook.com/people/CDS-Aluminium-work/100064086582054/" TargetMode="External" Id="rId4016" /><Relationship Type="http://schemas.openxmlformats.org/officeDocument/2006/relationships/hyperlink" Target="https://cagroup.com.mt" TargetMode="External" Id="rId4017" /><Relationship Type="http://schemas.openxmlformats.org/officeDocument/2006/relationships/hyperlink" Target="https://facebook.com/p/TC-Aluminium-Works-100064147390058/" TargetMode="External" Id="rId4018" /><Relationship Type="http://schemas.openxmlformats.org/officeDocument/2006/relationships/hyperlink" Target="https://salamander-windows.com/?utm_source=Yellow&amp;utm_medium=Yellow-Website&amp;utm_campaign=Landing-Page" TargetMode="External" Id="rId4019" /><Relationship Type="http://schemas.openxmlformats.org/officeDocument/2006/relationships/hyperlink" Target="https://facebook.com/p/Choco-aluminium-works-100064574387617/" TargetMode="External" Id="rId4020" /><Relationship Type="http://schemas.openxmlformats.org/officeDocument/2006/relationships/hyperlink" Target="https://deckor.com.mt/?brid=bHHAtQj_YIbnOwlfb4l7Qw" TargetMode="External" Id="rId4021" /><Relationship Type="http://schemas.openxmlformats.org/officeDocument/2006/relationships/hyperlink" Target="https://dimechapertures.com/" TargetMode="External" Id="rId4022" /><Relationship Type="http://schemas.openxmlformats.org/officeDocument/2006/relationships/hyperlink" Target="https://pvcmalta.com" TargetMode="External" Id="rId4023" /><Relationship Type="http://schemas.openxmlformats.org/officeDocument/2006/relationships/hyperlink" Target="https://facebook.com/p/DX-Aluminium-Works-100064182690832/" TargetMode="External" Id="rId4024" /><Relationship Type="http://schemas.openxmlformats.org/officeDocument/2006/relationships/hyperlink" Target="https://expressaluminium.com" TargetMode="External" Id="rId4025" /><Relationship Type="http://schemas.openxmlformats.org/officeDocument/2006/relationships/hyperlink" Target="https://aluminiumworks.in" TargetMode="External" Id="rId4026" /><Relationship Type="http://schemas.openxmlformats.org/officeDocument/2006/relationships/hyperlink" Target="https://facebook.com/p/Giorgio-Aluminium-Co-Ltd-100065044507710/" TargetMode="External" Id="rId4027" /><Relationship Type="http://schemas.openxmlformats.org/officeDocument/2006/relationships/hyperlink" Target="https://grahamaluminium.com" TargetMode="External" Id="rId4028" /><Relationship Type="http://schemas.openxmlformats.org/officeDocument/2006/relationships/hyperlink" Target="https://facebook.com/Guys21485785/" TargetMode="External" Id="rId4029" /><Relationship Type="http://schemas.openxmlformats.org/officeDocument/2006/relationships/hyperlink" Target="https://horvinltd.com" TargetMode="External" Id="rId4030" /><Relationship Type="http://schemas.openxmlformats.org/officeDocument/2006/relationships/hyperlink" Target="https://icsaluminium.yolasite.com" TargetMode="External" Id="rId4031" /><Relationship Type="http://schemas.openxmlformats.org/officeDocument/2006/relationships/hyperlink" Target="https://jcdaluminium.com" TargetMode="External" Id="rId4032" /><Relationship Type="http://schemas.openxmlformats.org/officeDocument/2006/relationships/hyperlink" Target="https://jk-aluminium.com" TargetMode="External" Id="rId4033" /><Relationship Type="http://schemas.openxmlformats.org/officeDocument/2006/relationships/hyperlink" Target="https://jamarmalta.com" TargetMode="External" Id="rId4034" /><Relationship Type="http://schemas.openxmlformats.org/officeDocument/2006/relationships/hyperlink" Target="https://facebook.com/KKAluWorks/" TargetMode="External" Id="rId4035" /><Relationship Type="http://schemas.openxmlformats.org/officeDocument/2006/relationships/hyperlink" Target="https://facebook.com/p/Munita-Aluminium-100063476861515/" TargetMode="External" Id="rId4036" /><Relationship Type="http://schemas.openxmlformats.org/officeDocument/2006/relationships/hyperlink" Target="https://nigeldimech.com/" TargetMode="External" Id="rId4037" /><Relationship Type="http://schemas.openxmlformats.org/officeDocument/2006/relationships/hyperlink" Target="https://facebook.com/QormiAluminium" TargetMode="External" Id="rId4038" /><Relationship Type="http://schemas.openxmlformats.org/officeDocument/2006/relationships/hyperlink" Target="https://facebook.com/people/Rapa-Aluminium-Victoria-Gozo/100063473081953/?utm_source=Yellow&amp;utm_medium=Yellow-Website&amp;utm_campaign=Landing-Page#" TargetMode="External" Id="rId4039" /><Relationship Type="http://schemas.openxmlformats.org/officeDocument/2006/relationships/hyperlink" Target="https://facebook.com/RayAluWorks/" TargetMode="External" Id="rId4040" /><Relationship Type="http://schemas.openxmlformats.org/officeDocument/2006/relationships/hyperlink" Target="https://facebook.com/people/Refined-Aluminium-Metal-Works/100063567219937/?utm_source=Yellow&amp;utm_medium=Yellow-Website&amp;utm_campaign=Landing-Page#" TargetMode="External" Id="rId4041" /><Relationship Type="http://schemas.openxmlformats.org/officeDocument/2006/relationships/hyperlink" Target="https://servgroupmalta.com" TargetMode="External" Id="rId4042" /><Relationship Type="http://schemas.openxmlformats.org/officeDocument/2006/relationships/hyperlink" Target="https://aluminium.mt/" TargetMode="External" Id="rId4043" /><Relationship Type="http://schemas.openxmlformats.org/officeDocument/2006/relationships/hyperlink" Target="https://towergroupmalta.com" TargetMode="External" Id="rId4044" /><Relationship Type="http://schemas.openxmlformats.org/officeDocument/2006/relationships/hyperlink" Target="https://trendsltdmalta.com" TargetMode="External" Id="rId4045" /><Relationship Type="http://schemas.openxmlformats.org/officeDocument/2006/relationships/hyperlink" Target="https://valormalta.wixsite.com/valor" TargetMode="External" Id="rId4046" /><Relationship Type="http://schemas.openxmlformats.org/officeDocument/2006/relationships/hyperlink" Target="https://facebook.com/windmillltd/" TargetMode="External" Id="rId4047" /><Relationship Type="http://schemas.openxmlformats.org/officeDocument/2006/relationships/hyperlink" Target="https://facebook.com/bespokelocalfurniture" TargetMode="External" Id="rId4048" /><Relationship Type="http://schemas.openxmlformats.org/officeDocument/2006/relationships/hyperlink" Target="https://facebook.com/zammitaluminum/" TargetMode="External" Id="rId4049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hyperlink" Target="MAILTO:charliecalleja@hotmail.com" TargetMode="External" Id="rId4050" /><Relationship Type="http://schemas.openxmlformats.org/officeDocument/2006/relationships/hyperlink" Target="MAILTO:pmll.said@gmail.com" TargetMode="External" Id="rId4051" /><Relationship Type="http://schemas.openxmlformats.org/officeDocument/2006/relationships/hyperlink" Target="MAILTO:info@aluminiumltd.com" TargetMode="External" Id="rId4052" /><Relationship Type="http://schemas.openxmlformats.org/officeDocument/2006/relationships/hyperlink" Target="MAILTO:azzopardialumworks@gmail.com" TargetMode="External" Id="rId4053" /><Relationship Type="http://schemas.openxmlformats.org/officeDocument/2006/relationships/hyperlink" Target="MAILTO:info@grahamaluminium.com" TargetMode="External" Id="rId4054" /><Relationship Type="http://schemas.openxmlformats.org/officeDocument/2006/relationships/hyperlink" Target="MAILTO:sales@ampmalta.com" TargetMode="External" Id="rId4055" /><Relationship Type="http://schemas.openxmlformats.org/officeDocument/2006/relationships/hyperlink" Target="MAILTO:structures@portofino.mt" TargetMode="External" Id="rId4056" /><Relationship Type="http://schemas.openxmlformats.org/officeDocument/2006/relationships/hyperlink" Target="MAILTO:info@framegrip.com" TargetMode="External" Id="rId4057" /><Relationship Type="http://schemas.openxmlformats.org/officeDocument/2006/relationships/hyperlink" Target="MAILTO:sales@jlautier.com" TargetMode="External" Id="rId4058" /><Relationship Type="http://schemas.openxmlformats.org/officeDocument/2006/relationships/hyperlink" Target="MAILTO:sales@newstylesmalta.com" TargetMode="External" Id="rId4059" /><Relationship Type="http://schemas.openxmlformats.org/officeDocument/2006/relationships/hyperlink" Target="MAILTO:info@amabilegalea.com" TargetMode="External" Id="rId4060" /><Relationship Type="http://schemas.openxmlformats.org/officeDocument/2006/relationships/hyperlink" Target="MAILTO:info@gozoaluminium.com" TargetMode="External" Id="rId4061" /><Relationship Type="http://schemas.openxmlformats.org/officeDocument/2006/relationships/hyperlink" Target="MAILTO:info@a1finishesltd.com" TargetMode="External" Id="rId4062" /><Relationship Type="http://schemas.openxmlformats.org/officeDocument/2006/relationships/hyperlink" Target="MAILTO:parus984@gmail.com" TargetMode="External" Id="rId4063" /><Relationship Type="http://schemas.openxmlformats.org/officeDocument/2006/relationships/hyperlink" Target="MAILTO:info@afdaaluminium.com" TargetMode="External" Id="rId4064" /><Relationship Type="http://schemas.openxmlformats.org/officeDocument/2006/relationships/hyperlink" Target="MAILTO:j3aluminium@gmail.com" TargetMode="External" Id="rId4065" /><Relationship Type="http://schemas.openxmlformats.org/officeDocument/2006/relationships/hyperlink" Target="MAILTO:nu-aluminium@outlook.com" TargetMode="External" Id="rId4066" /><Relationship Type="http://schemas.openxmlformats.org/officeDocument/2006/relationships/hyperlink" Target="MAILTO:info@nicholas.mt" TargetMode="External" Id="rId4067" /><Relationship Type="http://schemas.openxmlformats.org/officeDocument/2006/relationships/hyperlink" Target="MAILTO:chayron186@gmail.com" TargetMode="External" Id="rId4068" /><Relationship Type="http://schemas.openxmlformats.org/officeDocument/2006/relationships/hyperlink" Target="MAILTO:josefvella72@gmail.com" TargetMode="External" Id="rId4069" /><Relationship Type="http://schemas.openxmlformats.org/officeDocument/2006/relationships/hyperlink" Target="MAILTO:northalu@gmail.com" TargetMode="External" Id="rId4070" /><Relationship Type="http://schemas.openxmlformats.org/officeDocument/2006/relationships/hyperlink" Target="MAILTO:agood.installations@yahoo.com" TargetMode="External" Id="rId4071" /><Relationship Type="http://schemas.openxmlformats.org/officeDocument/2006/relationships/hyperlink" Target="MAILTO:gsf-1200@hotmail.com" TargetMode="External" Id="rId4072" /><Relationship Type="http://schemas.openxmlformats.org/officeDocument/2006/relationships/hyperlink" Target="MAILTO:jsbaluminiumworks@gmail.com" TargetMode="External" Id="rId4073" /><Relationship Type="http://schemas.openxmlformats.org/officeDocument/2006/relationships/hyperlink" Target="MAILTO:mario.camilleri9@gmail.com" TargetMode="External" Id="rId4074" /><Relationship Type="http://schemas.openxmlformats.org/officeDocument/2006/relationships/hyperlink" Target="MAILTO:info@acaluminium.com" TargetMode="External" Id="rId4075" /><Relationship Type="http://schemas.openxmlformats.org/officeDocument/2006/relationships/hyperlink" Target="MAILTO:lexport@go.com.mt" TargetMode="External" Id="rId4076" /><Relationship Type="http://schemas.openxmlformats.org/officeDocument/2006/relationships/hyperlink" Target="MAILTO:alfalu@melita.com" TargetMode="External" Id="rId4077" /><Relationship Type="http://schemas.openxmlformats.org/officeDocument/2006/relationships/hyperlink" Target="MAILTO:xandrumallia@gmail.com" TargetMode="External" Id="rId4078" /><Relationship Type="http://schemas.openxmlformats.org/officeDocument/2006/relationships/hyperlink" Target="MAILTO:info@alukey.com.mt" TargetMode="External" Id="rId4079" /><Relationship Type="http://schemas.openxmlformats.org/officeDocument/2006/relationships/hyperlink" Target="MAILTO:info@aluminiumltd.com" TargetMode="External" Id="rId4080" /><Relationship Type="http://schemas.openxmlformats.org/officeDocument/2006/relationships/hyperlink" Target="MAILTO:andrewvella66@gmail.com" TargetMode="External" Id="rId4081" /><Relationship Type="http://schemas.openxmlformats.org/officeDocument/2006/relationships/hyperlink" Target="MAILTO:info@aluminiumltd.com" TargetMode="External" Id="rId4082" /><Relationship Type="http://schemas.openxmlformats.org/officeDocument/2006/relationships/hyperlink" Target="MAILTO:info@basonaluminium.com" TargetMode="External" Id="rId4083" /><Relationship Type="http://schemas.openxmlformats.org/officeDocument/2006/relationships/hyperlink" Target="MAILTO:borgaluminiummalta@gmail.com" TargetMode="External" Id="rId4084" /><Relationship Type="http://schemas.openxmlformats.org/officeDocument/2006/relationships/hyperlink" Target="MAILTO:henry@bpapertures.com" TargetMode="External" Id="rId4085" /><Relationship Type="http://schemas.openxmlformats.org/officeDocument/2006/relationships/hyperlink" Target="MAILTO:carmelspiteri2010@gmail.com" TargetMode="External" Id="rId4086" /><Relationship Type="http://schemas.openxmlformats.org/officeDocument/2006/relationships/hyperlink" Target="MAILTO:info@cagroup.com.mt" TargetMode="External" Id="rId4087" /><Relationship Type="http://schemas.openxmlformats.org/officeDocument/2006/relationships/hyperlink" Target="MAILTO:mrgmv@onvol.net" TargetMode="External" Id="rId4088" /><Relationship Type="http://schemas.openxmlformats.org/officeDocument/2006/relationships/hyperlink" Target="MAILTO:chocoaluminium@gmail.com" TargetMode="External" Id="rId4089" /><Relationship Type="http://schemas.openxmlformats.org/officeDocument/2006/relationships/hyperlink" Target="MAILTO:info@comforabita.com" TargetMode="External" Id="rId4090" /><Relationship Type="http://schemas.openxmlformats.org/officeDocument/2006/relationships/hyperlink" Target="MAILTO:cba@cba.com.mt" TargetMode="External" Id="rId4091" /><Relationship Type="http://schemas.openxmlformats.org/officeDocument/2006/relationships/hyperlink" Target="MAILTO:daniobarbara1977@gmail.com" TargetMode="External" Id="rId4092" /><Relationship Type="http://schemas.openxmlformats.org/officeDocument/2006/relationships/hyperlink" Target="MAILTO:savdim65@gmail.com" TargetMode="External" Id="rId4093" /><Relationship Type="http://schemas.openxmlformats.org/officeDocument/2006/relationships/hyperlink" Target="MAILTO:info@dinglialuminium.com" TargetMode="External" Id="rId4094" /><Relationship Type="http://schemas.openxmlformats.org/officeDocument/2006/relationships/hyperlink" Target="MAILTO:sales@pvcmalta.com" TargetMode="External" Id="rId4095" /><Relationship Type="http://schemas.openxmlformats.org/officeDocument/2006/relationships/hyperlink" Target="MAILTO:dxaluworks@gmail.com" TargetMode="External" Id="rId4096" /><Relationship Type="http://schemas.openxmlformats.org/officeDocument/2006/relationships/hyperlink" Target="MAILTO:info@expressaluminium.com" TargetMode="External" Id="rId4097" /><Relationship Type="http://schemas.openxmlformats.org/officeDocument/2006/relationships/hyperlink" Target="MAILTO:simdebwebb@hotmail.com" TargetMode="External" Id="rId4098" /><Relationship Type="http://schemas.openxmlformats.org/officeDocument/2006/relationships/hyperlink" Target="MAILTO:faworks123@gmail.com" TargetMode="External" Id="rId4099" /><Relationship Type="http://schemas.openxmlformats.org/officeDocument/2006/relationships/hyperlink" Target="MAILTO:azzopardimark8@gmail.com" TargetMode="External" Id="rId4100" /><Relationship Type="http://schemas.openxmlformats.org/officeDocument/2006/relationships/hyperlink" Target="MAILTO:info@alugiorgio.com" TargetMode="External" Id="rId4101" /><Relationship Type="http://schemas.openxmlformats.org/officeDocument/2006/relationships/hyperlink" Target="MAILTO:info@grahamaluminium.com" TargetMode="External" Id="rId4102" /><Relationship Type="http://schemas.openxmlformats.org/officeDocument/2006/relationships/hyperlink" Target="MAILTO:guysmalta@gmail.com" TargetMode="External" Id="rId4103" /><Relationship Type="http://schemas.openxmlformats.org/officeDocument/2006/relationships/hyperlink" Target="MAILTO:horvinltd@gmail.com" TargetMode="External" Id="rId4104" /><Relationship Type="http://schemas.openxmlformats.org/officeDocument/2006/relationships/hyperlink" Target="MAILTO:johnjandb@gmail.com" TargetMode="External" Id="rId4105" /><Relationship Type="http://schemas.openxmlformats.org/officeDocument/2006/relationships/hyperlink" Target="MAILTO:info@jcdaluminium.com" TargetMode="External" Id="rId4106" /><Relationship Type="http://schemas.openxmlformats.org/officeDocument/2006/relationships/hyperlink" Target="MAILTO:jk.aluminium@yahoo.com" TargetMode="External" Id="rId4107" /><Relationship Type="http://schemas.openxmlformats.org/officeDocument/2006/relationships/hyperlink" Target="MAILTO:admin@jamarmalta.com" TargetMode="External" Id="rId4108" /><Relationship Type="http://schemas.openxmlformats.org/officeDocument/2006/relationships/hyperlink" Target="MAILTO:info@jasonaluminium.com" TargetMode="External" Id="rId4109" /><Relationship Type="http://schemas.openxmlformats.org/officeDocument/2006/relationships/hyperlink" Target="MAILTO:kkalworks@gmail.com" TargetMode="External" Id="rId4110" /><Relationship Type="http://schemas.openxmlformats.org/officeDocument/2006/relationships/hyperlink" Target="MAILTO:bjorn.vassallo@gmail.com" TargetMode="External" Id="rId4111" /><Relationship Type="http://schemas.openxmlformats.org/officeDocument/2006/relationships/hyperlink" Target="MAILTO:gmuscat@live.com" TargetMode="External" Id="rId4112" /><Relationship Type="http://schemas.openxmlformats.org/officeDocument/2006/relationships/hyperlink" Target="MAILTO:nicdimech@gmail.com" TargetMode="External" Id="rId4113" /><Relationship Type="http://schemas.openxmlformats.org/officeDocument/2006/relationships/hyperlink" Target="MAILTO:Info@perfectum.mt" TargetMode="External" Id="rId4114" /><Relationship Type="http://schemas.openxmlformats.org/officeDocument/2006/relationships/hyperlink" Target="MAILTO:matteo.pisani40@gmail.com" TargetMode="External" Id="rId4115" /><Relationship Type="http://schemas.openxmlformats.org/officeDocument/2006/relationships/hyperlink" Target="MAILTO:qormialum@gmail.com" TargetMode="External" Id="rId4116" /><Relationship Type="http://schemas.openxmlformats.org/officeDocument/2006/relationships/hyperlink" Target="MAILTO:rcalworks@gmail.com" TargetMode="External" Id="rId4117" /><Relationship Type="http://schemas.openxmlformats.org/officeDocument/2006/relationships/hyperlink" Target="MAILTO:rapa.aluminium@gmail.com" TargetMode="External" Id="rId4118" /><Relationship Type="http://schemas.openxmlformats.org/officeDocument/2006/relationships/hyperlink" Target="MAILTO:raymondfarrugia74@gmail.com" TargetMode="External" Id="rId4119" /><Relationship Type="http://schemas.openxmlformats.org/officeDocument/2006/relationships/hyperlink" Target="MAILTO:refinedaluworks@gmail.com" TargetMode="External" Id="rId4120" /><Relationship Type="http://schemas.openxmlformats.org/officeDocument/2006/relationships/hyperlink" Target="MAILTO:info@servgroupmalta.com" TargetMode="External" Id="rId4121" /><Relationship Type="http://schemas.openxmlformats.org/officeDocument/2006/relationships/hyperlink" Target="MAILTO:info@sptechniques.com" TargetMode="External" Id="rId4122" /><Relationship Type="http://schemas.openxmlformats.org/officeDocument/2006/relationships/hyperlink" Target="MAILTO:sunaluminium@hotmail.com" TargetMode="External" Id="rId4123" /><Relationship Type="http://schemas.openxmlformats.org/officeDocument/2006/relationships/hyperlink" Target="MAILTO:t.camillerialuminium@hotmail.com" TargetMode="External" Id="rId4124" /><Relationship Type="http://schemas.openxmlformats.org/officeDocument/2006/relationships/hyperlink" Target="MAILTO:info@towergroupmalta.com" TargetMode="External" Id="rId4125" /><Relationship Type="http://schemas.openxmlformats.org/officeDocument/2006/relationships/hyperlink" Target="MAILTO:zammitalu@gmail.com" TargetMode="External" Id="rId4126" /><Relationship Type="http://schemas.openxmlformats.org/officeDocument/2006/relationships/hyperlink" Target="MAILTO:tonnalum@yahoo.com" TargetMode="External" Id="rId4127" /><Relationship Type="http://schemas.openxmlformats.org/officeDocument/2006/relationships/hyperlink" Target="MAILTO:aluminiumbypaul@gmail.com" TargetMode="External" Id="rId4128" /><Relationship Type="http://schemas.openxmlformats.org/officeDocument/2006/relationships/hyperlink" Target="MAILTO:dt.aluminium@outlook.com" TargetMode="External" Id="rId4129" /><Relationship Type="http://schemas.openxmlformats.org/officeDocument/2006/relationships/hyperlink" Target="MAILTO:amatohomeimprovements@gmail.com" TargetMode="External" Id="rId4130" /><Relationship Type="http://schemas.openxmlformats.org/officeDocument/2006/relationships/hyperlink" Target="https://yellow.com.mt/i-c-s-aluminium_aluminium-apertures-fixtures%2Bqormi/?utm_source=chatgpt.com" TargetMode="External" Id="rId4131" /><Relationship Type="http://schemas.openxmlformats.org/officeDocument/2006/relationships/hyperlink" Target="https://triedandtested.mt/listing/philip-said-aluminium-works" TargetMode="External" Id="rId4132" /><Relationship Type="http://schemas.openxmlformats.org/officeDocument/2006/relationships/hyperlink" Target="https://facebook.com/alultd/" TargetMode="External" Id="rId4133" /><Relationship Type="http://schemas.openxmlformats.org/officeDocument/2006/relationships/hyperlink" Target="https://checkyourtraders.com/listing/azzopardi-aluminium-metalworks?utm_source=chatgpt.com" TargetMode="External" Id="rId4134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hyperlink" Target="MAILTO:Info@perfectum.mt" TargetMode="External" Id="rId4135" /><Relationship Type="http://schemas.openxmlformats.org/officeDocument/2006/relationships/hyperlink" Target="MAILTO:valormalta@gmail.com" TargetMode="External" Id="rId4136" /><Relationship Type="http://schemas.openxmlformats.org/officeDocument/2006/relationships/hyperlink" Target="MAILTO:info@nigeldimech.com" TargetMode="External" Id="rId4137" /><Relationship Type="http://schemas.openxmlformats.org/officeDocument/2006/relationships/hyperlink" Target="https://www.google.com/maps/search/?api=1&amp;query=Valletta%2C%20Malta" TargetMode="External" Id="rId4138" /><Relationship Type="http://schemas.openxmlformats.org/officeDocument/2006/relationships/hyperlink" Target="https://www.google.com/maps/search/?api=1&amp;query=Triq%20l-isturnell%20Roza%2C%20Hal%20Luqa%2C%20Malta" TargetMode="External" Id="rId4139" /><Relationship Type="http://schemas.openxmlformats.org/officeDocument/2006/relationships/hyperlink" Target="https://www.google.com/maps/search/?api=1&amp;query=KKW%20721%2C%20Corradino%20%0AIndustrial%20Estate%0APaola%2C%20PLA%203000%2C%20Malta" TargetMode="External" Id="rId4140" /><Relationship Type="http://schemas.openxmlformats.org/officeDocument/2006/relationships/hyperlink" Target="https://facebook.com/perfectummt/" TargetMode="External" Id="rId4141" /><Relationship Type="http://schemas.openxmlformats.org/officeDocument/2006/relationships/hyperlink" Target="https://valormalta.wixsite.com/valor" TargetMode="External" Id="rId4142" /><Relationship Type="http://schemas.openxmlformats.org/officeDocument/2006/relationships/hyperlink" Target="https://nigeldimech.com/" TargetMode="External" Id="rId4143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hyperlink" Target="MAILTO:info@conforthouse.mt" TargetMode="External" Id="rId4144" /><Relationship Type="http://schemas.openxmlformats.org/officeDocument/2006/relationships/hyperlink" Target="MAILTO:info@cassarwoodworks.com" TargetMode="External" Id="rId4145" /><Relationship Type="http://schemas.openxmlformats.org/officeDocument/2006/relationships/hyperlink" Target="MAILTO:info@ddoorcompany.com" TargetMode="External" Id="rId4146" /><Relationship Type="http://schemas.openxmlformats.org/officeDocument/2006/relationships/hyperlink" Target="MAILTO:mastercarpentermalta@outlook.com" TargetMode="External" Id="rId4147" /><Relationship Type="http://schemas.openxmlformats.org/officeDocument/2006/relationships/hyperlink" Target="MAILTO:info@grimafurniture.com" TargetMode="External" Id="rId4148" /><Relationship Type="http://schemas.openxmlformats.org/officeDocument/2006/relationships/hyperlink" Target="MAILTO:sales@ampmalta.com" TargetMode="External" Id="rId4149" /><Relationship Type="http://schemas.openxmlformats.org/officeDocument/2006/relationships/hyperlink" Target="MAILTO:sales@adoremore.eu" TargetMode="External" Id="rId4150" /><Relationship Type="http://schemas.openxmlformats.org/officeDocument/2006/relationships/hyperlink" Target="MAILTO:sales@pvcmalta.com" TargetMode="External" Id="rId4151" /><Relationship Type="http://schemas.openxmlformats.org/officeDocument/2006/relationships/hyperlink" Target="MAILTO:info@stanthonyww.com" TargetMode="External" Id="rId4152" /><Relationship Type="http://schemas.openxmlformats.org/officeDocument/2006/relationships/hyperlink" Target="MAILTO:candmww@gmail.com" TargetMode="External" Id="rId4153" /><Relationship Type="http://schemas.openxmlformats.org/officeDocument/2006/relationships/hyperlink" Target="MAILTO:info@pisaniwoodworks.com" TargetMode="External" Id="rId4154" /><Relationship Type="http://schemas.openxmlformats.org/officeDocument/2006/relationships/hyperlink" Target="MAILTO:masterwoodmalta@gmail.com" TargetMode="External" Id="rId4155" /><Relationship Type="http://schemas.openxmlformats.org/officeDocument/2006/relationships/hyperlink" Target="MAILTO:gilbertmicallef1@gmail.com" TargetMode="External" Id="rId4156" /><Relationship Type="http://schemas.openxmlformats.org/officeDocument/2006/relationships/hyperlink" Target="MAILTO:info@classicdesign.mt" TargetMode="External" Id="rId4157" /><Relationship Type="http://schemas.openxmlformats.org/officeDocument/2006/relationships/hyperlink" Target="MAILTO:joseph.briffa.woodworks@hotmail.com" TargetMode="External" Id="rId4158" /><Relationship Type="http://schemas.openxmlformats.org/officeDocument/2006/relationships/hyperlink" Target="MAILTO:pdgl1969@gmail.com" TargetMode="External" Id="rId4159" /><Relationship Type="http://schemas.openxmlformats.org/officeDocument/2006/relationships/hyperlink" Target="MAILTO:info@deliaww.net" TargetMode="External" Id="rId4160" /><Relationship Type="http://schemas.openxmlformats.org/officeDocument/2006/relationships/hyperlink" Target="MAILTO:info@baldacchinogroup.com" TargetMode="External" Id="rId4161" /><Relationship Type="http://schemas.openxmlformats.org/officeDocument/2006/relationships/hyperlink" Target="MAILTO:luke@woodware.com.mt" TargetMode="External" Id="rId4162" /><Relationship Type="http://schemas.openxmlformats.org/officeDocument/2006/relationships/hyperlink" Target="MAILTO:info@trendsltdmalta.com" TargetMode="External" Id="rId4163" /><Relationship Type="http://schemas.openxmlformats.org/officeDocument/2006/relationships/hyperlink" Target="MAILTO:Projectdarmalta@gmail.com" TargetMode="External" Id="rId4164" /><Relationship Type="http://schemas.openxmlformats.org/officeDocument/2006/relationships/hyperlink" Target="MAILTO:info@classicdesign.mt" TargetMode="External" Id="rId4165" /><Relationship Type="http://schemas.openxmlformats.org/officeDocument/2006/relationships/hyperlink" Target="MAILTO:cieffejoinery@fsh.com.mt" TargetMode="External" Id="rId4166" /><Relationship Type="http://schemas.openxmlformats.org/officeDocument/2006/relationships/hyperlink" Target="MAILTO:info@josephmifsud.com" TargetMode="External" Id="rId4167" /><Relationship Type="http://schemas.openxmlformats.org/officeDocument/2006/relationships/hyperlink" Target="MAILTO:info@kubekgroup.com" TargetMode="External" Id="rId4168" /><Relationship Type="http://schemas.openxmlformats.org/officeDocument/2006/relationships/hyperlink" Target="MAILTO:joelgattcarpentry@gmail.com" TargetMode="External" Id="rId4169" /><Relationship Type="http://schemas.openxmlformats.org/officeDocument/2006/relationships/hyperlink" Target="https://www.google.com/maps/search/?api=1&amp;query=71%2C%20Triq%20L-Imdina%20Qormi%20%E2%80%93%20Malta" TargetMode="External" Id="rId4170" /><Relationship Type="http://schemas.openxmlformats.org/officeDocument/2006/relationships/hyperlink" Target="https://www.google.com/maps/search/?api=1&amp;query=George%20Cassar%20Woodworks%0APlot%20TQL027%2C%20Crafts%20Village%2C%0ATa%E2%80%99%20Qali%2C" TargetMode="External" Id="rId4171" /><Relationship Type="http://schemas.openxmlformats.org/officeDocument/2006/relationships/hyperlink" Target="https://www.google.com/maps/search/?api=1&amp;query=128%20Old%20Railway%20Track%2C%20Santa%20Venera" TargetMode="External" Id="rId4172" /><Relationship Type="http://schemas.openxmlformats.org/officeDocument/2006/relationships/hyperlink" Target="https://www.google.com/maps/search/?api=1&amp;query=%C4%A6al%20G%C4%A7axaq%2C%20Malta" TargetMode="External" Id="rId4173" /><Relationship Type="http://schemas.openxmlformats.org/officeDocument/2006/relationships/hyperlink" Target="https://www.google.com/maps/search/?api=1&amp;query=Zone%202%2C%20Triq%20L-Ghadam%2C%20Central%20Business%20District%0AB%E2%80%99Kara%20-%20Malta%0ACBD%202060" TargetMode="External" Id="rId4174" /><Relationship Type="http://schemas.openxmlformats.org/officeDocument/2006/relationships/hyperlink" Target="https://www.google.com/maps/search/?api=1&amp;query=8%20Garra%2C%20Is-Swieqi" TargetMode="External" Id="rId4175" /><Relationship Type="http://schemas.openxmlformats.org/officeDocument/2006/relationships/hyperlink" Target="https://www.google.com/maps/search/?api=1&amp;query=Adore%20More%0ATriq%20Id-Difiza%20Civili.%0AMosta%2C%20MST%201743%0AMalta" TargetMode="External" Id="rId4176" /><Relationship Type="http://schemas.openxmlformats.org/officeDocument/2006/relationships/hyperlink" Target="https://www.google.com/maps/search/?api=1&amp;query=L%2C%2052%20Triq%20Il-%20Muzika%2C%20Iklin%20IKL%201091" TargetMode="External" Id="rId4177" /><Relationship Type="http://schemas.openxmlformats.org/officeDocument/2006/relationships/hyperlink" Target="https://www.google.com/maps/search/?api=1&amp;query=St.%20Anthony%20Woodworks%0ATriq%20il-Fortizza%2C%0AMosta%20MST%204000" TargetMode="External" Id="rId4178" /><Relationship Type="http://schemas.openxmlformats.org/officeDocument/2006/relationships/hyperlink" Target="https://www.google.com/maps/search/?api=1&amp;query=C%20%26%20M%20Woodworks%2C%20Indri%20Psaila%20Street%2C%20Handaq%20Industrial%20Estate%2C%20Qormi" TargetMode="External" Id="rId4179" /><Relationship Type="http://schemas.openxmlformats.org/officeDocument/2006/relationships/hyperlink" Target="https://www.google.com/maps/search/?api=1&amp;query=Pisani%20Woodworks%20Co.%20Ltd.%0AGGX%20002B%2C%0AIndustrial%20Estate%2C%0AXewkija%20XWK3000%2C%0AGozo" TargetMode="External" Id="rId4180" /><Relationship Type="http://schemas.openxmlformats.org/officeDocument/2006/relationships/hyperlink" Target="https://www.google.com/maps/search/?api=1&amp;query=106%2C%20Ind%20Estate%2C%20Luqa%2C%20LQA%203000%2C%20Malta" TargetMode="External" Id="rId4181" /><Relationship Type="http://schemas.openxmlformats.org/officeDocument/2006/relationships/hyperlink" Target="https://www.google.com/maps/search/?api=1&amp;query=Pearl%20Court%2C%20Flat%201%2C%20Vjal%20Il-Helsien%2C%20Haz-Zebbug%2C%20Malta" TargetMode="External" Id="rId4182" /><Relationship Type="http://schemas.openxmlformats.org/officeDocument/2006/relationships/hyperlink" Target="https://www.google.com/maps/search/?api=1&amp;query=Entrance%204%20No%3A1%20Triq%20Valletta%20Il-Marsa%20Marsa%2C%20Malta" TargetMode="External" Id="rId4183" /><Relationship Type="http://schemas.openxmlformats.org/officeDocument/2006/relationships/hyperlink" Target="https://www.google.com/maps/search/?api=1&amp;query=Triq%20Mastru%20Karmenu%20Mallia%2C%20Hal%20Qormi%2C%20Malta" TargetMode="External" Id="rId4184" /><Relationship Type="http://schemas.openxmlformats.org/officeDocument/2006/relationships/hyperlink" Target="https://www.google.com/maps/search/?api=1&amp;query=Triq%20Il-Kappar%2C%20Il-Mosta%2C%20Malta%20MST%2003" TargetMode="External" Id="rId4185" /><Relationship Type="http://schemas.openxmlformats.org/officeDocument/2006/relationships/hyperlink" Target="https://www.google.com/maps/search/?api=1&amp;query=Factory%20A5a%2C%20Qasam%20Industrijali%2C%20Il-Marsa%2C%20Malta" TargetMode="External" Id="rId4186" /><Relationship Type="http://schemas.openxmlformats.org/officeDocument/2006/relationships/hyperlink" Target="https://www.google.com/maps/search/?api=1&amp;query=Baldacchino%20Builldings%2C%20Valletta%20road%2C%20Iz-Zurrieq%2C%20Malta" TargetMode="External" Id="rId4187" /><Relationship Type="http://schemas.openxmlformats.org/officeDocument/2006/relationships/hyperlink" Target="https://www.google.com/maps/search/?api=1&amp;query=A8%2C%20Industrial%20Estate%2C%20Marsa%2C%20Malta%2C%20MRS3000" TargetMode="External" Id="rId4188" /><Relationship Type="http://schemas.openxmlformats.org/officeDocument/2006/relationships/hyperlink" Target="https://www.google.com/maps/search/?api=1&amp;query=KKW011%2C%20Corradino%20Industrial%20Estate%2C%20Paola%2C%20PLA%203000%2C%20Malta" TargetMode="External" Id="rId4189" /><Relationship Type="http://schemas.openxmlformats.org/officeDocument/2006/relationships/hyperlink" Target="https://www.google.com/maps/search/?api=1&amp;query=Naxxar%2C%20Malta" TargetMode="External" Id="rId4190" /><Relationship Type="http://schemas.openxmlformats.org/officeDocument/2006/relationships/hyperlink" Target="https://www.google.com/maps/search/?api=1&amp;query=Triq%20Valletta%20Il-Marsa%2C%20Marsa%2C%20Malta" TargetMode="External" Id="rId4191" /><Relationship Type="http://schemas.openxmlformats.org/officeDocument/2006/relationships/hyperlink" Target="https://www.google.com/maps/search/?api=1&amp;query=Hal%20Far%20Road%2C%20Birzebbugia%2C%20Malta" TargetMode="External" Id="rId4192" /><Relationship Type="http://schemas.openxmlformats.org/officeDocument/2006/relationships/hyperlink" Target="https://www.google.com/maps/search/?api=1&amp;query=Joseph%20Mifsud%20Woodworks%20Ltd%2048%2C%20Triq%20Dun%20Luret%20Callus%20Zebbug%20ZBG%202495%20Malta" TargetMode="External" Id="rId4193" /><Relationship Type="http://schemas.openxmlformats.org/officeDocument/2006/relationships/hyperlink" Target="https://www.google.com/maps/search/?api=1&amp;query=Kubek%20Showroom%2C%0AMdina%20Road%2C%20Qormi" TargetMode="External" Id="rId4194" /><Relationship Type="http://schemas.openxmlformats.org/officeDocument/2006/relationships/hyperlink" Target="https://conforthouse.mt/" TargetMode="External" Id="rId4195" /><Relationship Type="http://schemas.openxmlformats.org/officeDocument/2006/relationships/hyperlink" Target="https://cassarwoodworks.com/" TargetMode="External" Id="rId4196" /><Relationship Type="http://schemas.openxmlformats.org/officeDocument/2006/relationships/hyperlink" Target="https://ddoorcompany.com/" TargetMode="External" Id="rId4197" /><Relationship Type="http://schemas.openxmlformats.org/officeDocument/2006/relationships/hyperlink" Target="https://facebook.com/MasterCarpenter84/" TargetMode="External" Id="rId4198" /><Relationship Type="http://schemas.openxmlformats.org/officeDocument/2006/relationships/hyperlink" Target="https://grimafurniture.com/" TargetMode="External" Id="rId4199" /><Relationship Type="http://schemas.openxmlformats.org/officeDocument/2006/relationships/hyperlink" Target="https://pvc.com.mt/" TargetMode="External" Id="rId4200" /><Relationship Type="http://schemas.openxmlformats.org/officeDocument/2006/relationships/hyperlink" Target="https://adoremore.com.mt/" TargetMode="External" Id="rId4201" /><Relationship Type="http://schemas.openxmlformats.org/officeDocument/2006/relationships/hyperlink" Target="https://pvcmalta.com/en/home.htm" TargetMode="External" Id="rId4202" /><Relationship Type="http://schemas.openxmlformats.org/officeDocument/2006/relationships/hyperlink" Target="https://stanthonyww.com/" TargetMode="External" Id="rId4203" /><Relationship Type="http://schemas.openxmlformats.org/officeDocument/2006/relationships/hyperlink" Target="https://candmwoodworks.com/" TargetMode="External" Id="rId4204" /><Relationship Type="http://schemas.openxmlformats.org/officeDocument/2006/relationships/hyperlink" Target="https://pisaniwoodworks.com/" TargetMode="External" Id="rId4205" /><Relationship Type="http://schemas.openxmlformats.org/officeDocument/2006/relationships/hyperlink" Target="https://masterwoodmalta.net/" TargetMode="External" Id="rId4206" /><Relationship Type="http://schemas.openxmlformats.org/officeDocument/2006/relationships/hyperlink" Target="https://findit.com.mt/en/directory/listings/9529/gilbert-micallef-woodwork-malta.htm?utm_source=chatgpt.com" TargetMode="External" Id="rId4207" /><Relationship Type="http://schemas.openxmlformats.org/officeDocument/2006/relationships/hyperlink" Target="https://classicdesign.mt/" TargetMode="External" Id="rId4208" /><Relationship Type="http://schemas.openxmlformats.org/officeDocument/2006/relationships/hyperlink" Target="https://findit.com.mt/en/directory/listings/10200/joseph-briffa-woodworks.htm" TargetMode="External" Id="rId4209" /><Relationship Type="http://schemas.openxmlformats.org/officeDocument/2006/relationships/hyperlink" Target="https://findit.com.mt/en/directory/listings/3681/gauci-woodworks.htm" TargetMode="External" Id="rId4210" /><Relationship Type="http://schemas.openxmlformats.org/officeDocument/2006/relationships/hyperlink" Target="https://findit.com.mt/en/directory/listings/9171/delia-woodworks-ltd.htm" TargetMode="External" Id="rId4211" /><Relationship Type="http://schemas.openxmlformats.org/officeDocument/2006/relationships/hyperlink" Target="https://baldacchinogroup.com/menu/home.html" TargetMode="External" Id="rId4212" /><Relationship Type="http://schemas.openxmlformats.org/officeDocument/2006/relationships/hyperlink" Target="https://facebook.com/bespokelocalfurniture/?utm_source=Yellow&amp;utm_medium=Yellow-Website&amp;utm_campaign=Landing-Page" TargetMode="External" Id="rId4213" /><Relationship Type="http://schemas.openxmlformats.org/officeDocument/2006/relationships/hyperlink" Target="https://trendsltdmalta.com/" TargetMode="External" Id="rId4214" /><Relationship Type="http://schemas.openxmlformats.org/officeDocument/2006/relationships/hyperlink" Target="https://facebook.com/profile.php?id=61577138676789" TargetMode="External" Id="rId4215" /><Relationship Type="http://schemas.openxmlformats.org/officeDocument/2006/relationships/hyperlink" Target="https://classicdesign.mt/" TargetMode="External" Id="rId4216" /><Relationship Type="http://schemas.openxmlformats.org/officeDocument/2006/relationships/hyperlink" Target="https://facebook.com/profile.php?id=100063608976880" TargetMode="External" Id="rId4217" /><Relationship Type="http://schemas.openxmlformats.org/officeDocument/2006/relationships/hyperlink" Target="https://josephmifsud.com/en/home.htm" TargetMode="External" Id="rId4218" /><Relationship Type="http://schemas.openxmlformats.org/officeDocument/2006/relationships/hyperlink" Target="https://findit.com.mt/en/directory/listings/5261/kubek-furniture-works.htm" TargetMode="External" Id="rId4219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hyperlink" Target="MAILTO:info@casconeporteefinestre.it" TargetMode="External" Id="rId4220" /><Relationship Type="http://schemas.openxmlformats.org/officeDocument/2006/relationships/hyperlink" Target="MAILTO:sales@doorsandmore.in" TargetMode="External" Id="rId4221" /><Relationship Type="http://schemas.openxmlformats.org/officeDocument/2006/relationships/hyperlink" Target="MAILTO:info@sptechniques.com" TargetMode="External" Id="rId4222" /><Relationship Type="http://schemas.openxmlformats.org/officeDocument/2006/relationships/hyperlink" Target="MAILTO:info@jcdaluminium.com" TargetMode="External" Id="rId4223" /><Relationship Type="http://schemas.openxmlformats.org/officeDocument/2006/relationships/hyperlink" Target="MAILTO:sales@adoremore.eu" TargetMode="External" Id="rId4224" /><Relationship Type="http://schemas.openxmlformats.org/officeDocument/2006/relationships/hyperlink" Target="MAILTO:info@finestralmalta.com" TargetMode="External" Id="rId4225" /><Relationship Type="http://schemas.openxmlformats.org/officeDocument/2006/relationships/hyperlink" Target="MAILTO:sales@ampmalta.com" TargetMode="External" Id="rId4226" /><Relationship Type="http://schemas.openxmlformats.org/officeDocument/2006/relationships/hyperlink" Target="MAILTO:info@windowworldinternational.net" TargetMode="External" Id="rId4227" /><Relationship Type="http://schemas.openxmlformats.org/officeDocument/2006/relationships/hyperlink" Target="MAILTO:sales@prodoormalta.com" TargetMode="External" Id="rId4228" /><Relationship Type="http://schemas.openxmlformats.org/officeDocument/2006/relationships/hyperlink" Target="MAILTO:Info@perfectum.mt" TargetMode="External" Id="rId4229" /><Relationship Type="http://schemas.openxmlformats.org/officeDocument/2006/relationships/hyperlink" Target="MAILTO:info@nigeldimech.com" TargetMode="External" Id="rId4230" /><Relationship Type="http://schemas.openxmlformats.org/officeDocument/2006/relationships/hyperlink" Target="MAILTO:quotes@ihomes.com.mt" TargetMode="External" Id="rId4231" /><Relationship Type="http://schemas.openxmlformats.org/officeDocument/2006/relationships/hyperlink" Target="MAILTO:info@trendsltdmalta.com" TargetMode="External" Id="rId4232" /><Relationship Type="http://schemas.openxmlformats.org/officeDocument/2006/relationships/hyperlink" Target="MAILTO:info@conforthouse.mt" TargetMode="External" Id="rId4233" /><Relationship Type="http://schemas.openxmlformats.org/officeDocument/2006/relationships/hyperlink" Target="MAILTO:sales@pvcmalta.com" TargetMode="External" Id="rId4234" /><Relationship Type="http://schemas.openxmlformats.org/officeDocument/2006/relationships/hyperlink" Target="MAILTO:info@classicdesign.mt" TargetMode="External" Id="rId4235" /><Relationship Type="http://schemas.openxmlformats.org/officeDocument/2006/relationships/hyperlink" Target="MAILTO:info@cagroup.com.mt" TargetMode="External" Id="rId4236" /><Relationship Type="http://schemas.openxmlformats.org/officeDocument/2006/relationships/hyperlink" Target="MAILTO:sales@ampmalta.com" TargetMode="External" Id="rId4237" /><Relationship Type="http://schemas.openxmlformats.org/officeDocument/2006/relationships/hyperlink" Target="MAILTO:sales@newstylesmalta.com" TargetMode="External" Id="rId4238" /><Relationship Type="http://schemas.openxmlformats.org/officeDocument/2006/relationships/hyperlink" Target="MAILTO:info@fourwalls.com.mt" TargetMode="External" Id="rId4239" /><Relationship Type="http://schemas.openxmlformats.org/officeDocument/2006/relationships/hyperlink" Target="MAILTO:info@grahamaluminium.com" TargetMode="External" Id="rId4240" /><Relationship Type="http://schemas.openxmlformats.org/officeDocument/2006/relationships/hyperlink" Target="MAILTO:office@ecoplast.com.mt" TargetMode="External" Id="rId4241" /><Relationship Type="http://schemas.openxmlformats.org/officeDocument/2006/relationships/hyperlink" Target="MAILTO:info@a1finishesltd.com" TargetMode="External" Id="rId4242" /><Relationship Type="http://schemas.openxmlformats.org/officeDocument/2006/relationships/hyperlink" Target="MAILTO:info@framegrip.com" TargetMode="External" Id="rId4243" /><Relationship Type="http://schemas.openxmlformats.org/officeDocument/2006/relationships/hyperlink" Target="https://www.google.com/maps/search/?api=1&amp;query=Msida%20Valley%20Road%2C%20BKR9022%20Birkirkara%20-%20Malta" TargetMode="External" Id="rId4244" /><Relationship Type="http://schemas.openxmlformats.org/officeDocument/2006/relationships/hyperlink" Target="https://www.google.com/maps/search/?api=1&amp;query=217%2C%20Doors%20and%20More%0ATriq%20Salvo%20Psaila%0AB%27Kara%20BKR%209078%0AMalta" TargetMode="External" Id="rId4245" /><Relationship Type="http://schemas.openxmlformats.org/officeDocument/2006/relationships/hyperlink" Target="https://www.google.com/maps/search/?api=1&amp;query=Block%20%20F%2018%2C%20%0AMidland%20Industrial%20Park%2C%20%0ABurmarrd%20Street%2C%0ANaxxar%2C%20NXR%206345" TargetMode="External" Id="rId4246" /><Relationship Type="http://schemas.openxmlformats.org/officeDocument/2006/relationships/hyperlink" Target="https://www.google.com/maps/search/?api=1&amp;query=Triq%20MRU%20Giorgio%20Zarb%2C%20%C4%A6al%20Qormi" TargetMode="External" Id="rId4247" /><Relationship Type="http://schemas.openxmlformats.org/officeDocument/2006/relationships/hyperlink" Target="https://www.google.com/maps/search/?api=1&amp;query=Adore%20More%0ATriq%20Id-Difiza%20Civili.%0AMosta%2C%20MST%201743%0AMalta" TargetMode="External" Id="rId4248" /><Relationship Type="http://schemas.openxmlformats.org/officeDocument/2006/relationships/hyperlink" Target="https://www.google.com/maps/search/?api=1&amp;query=San%20Gwann%20Industrial%20Estate%2C%20SGN3000%2C%20Malta" TargetMode="External" Id="rId4249" /><Relationship Type="http://schemas.openxmlformats.org/officeDocument/2006/relationships/hyperlink" Target="https://www.google.com/maps/search/?api=1&amp;query=8%20Garra%2C%20Is-Swieqi" TargetMode="External" Id="rId4250" /><Relationship Type="http://schemas.openxmlformats.org/officeDocument/2006/relationships/hyperlink" Target="https://www.google.com/maps/search/?api=1&amp;query=Zircon%20Suites%20Triq%20ta%27%20Zejfa%2C%0AMosta%2C%20Malta" TargetMode="External" Id="rId4251" /><Relationship Type="http://schemas.openxmlformats.org/officeDocument/2006/relationships/hyperlink" Target="https://www.google.com/maps/search/?api=1&amp;query=Plot%2035%20Triq%20Mastru%20George%20Cachia%0AHal%20Qormi%2C%20Malta" TargetMode="External" Id="rId4252" /><Relationship Type="http://schemas.openxmlformats.org/officeDocument/2006/relationships/hyperlink" Target="https://www.google.com/maps/search/?api=1&amp;query=Valletta%2C%20Malta" TargetMode="External" Id="rId4253" /><Relationship Type="http://schemas.openxmlformats.org/officeDocument/2006/relationships/hyperlink" Target="https://www.google.com/maps/search/?api=1&amp;query=KKW%20721%2C%20Corradino%20%0AIndustrial%20Estate%0APaola%2C%20PLA%203000%2C%20Malta" TargetMode="External" Id="rId4254" /><Relationship Type="http://schemas.openxmlformats.org/officeDocument/2006/relationships/hyperlink" Target="https://casconehome.com/en/index.php" TargetMode="External" Id="rId4255" /><Relationship Type="http://schemas.openxmlformats.org/officeDocument/2006/relationships/hyperlink" Target="https://facebook.com/doorsand.more.3/" TargetMode="External" Id="rId4256" /><Relationship Type="http://schemas.openxmlformats.org/officeDocument/2006/relationships/hyperlink" Target="https://sptechniques.com/" TargetMode="External" Id="rId4257" /><Relationship Type="http://schemas.openxmlformats.org/officeDocument/2006/relationships/hyperlink" Target="https://jcdaluminium.com/upvc-aluminium-doors-and-windows" TargetMode="External" Id="rId4258" /><Relationship Type="http://schemas.openxmlformats.org/officeDocument/2006/relationships/hyperlink" Target="https://adoremore.com.mt/" TargetMode="External" Id="rId4259" /><Relationship Type="http://schemas.openxmlformats.org/officeDocument/2006/relationships/hyperlink" Target="https://finestralmalta.com/" TargetMode="External" Id="rId4260" /><Relationship Type="http://schemas.openxmlformats.org/officeDocument/2006/relationships/hyperlink" Target="https://pvc.com.mt/" TargetMode="External" Id="rId4261" /><Relationship Type="http://schemas.openxmlformats.org/officeDocument/2006/relationships/hyperlink" Target="https://windowworld.eu/" TargetMode="External" Id="rId4262" /><Relationship Type="http://schemas.openxmlformats.org/officeDocument/2006/relationships/hyperlink" Target="https://prodoormalta.com/" TargetMode="External" Id="rId4263" /><Relationship Type="http://schemas.openxmlformats.org/officeDocument/2006/relationships/hyperlink" Target="https://facebook.com/perfectummt/" TargetMode="External" Id="rId4264" /><Relationship Type="http://schemas.openxmlformats.org/officeDocument/2006/relationships/hyperlink" Target="https://nigeldimech.com/" TargetMode="External" Id="rId4265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hyperlink" Target="MAILTO:info@perfectum.mt" TargetMode="External" Id="rId4266" /><Relationship Type="http://schemas.openxmlformats.org/officeDocument/2006/relationships/hyperlink" Target="MAILTO:valormalta@gmail.com" TargetMode="External" Id="rId4267" /><Relationship Type="http://schemas.openxmlformats.org/officeDocument/2006/relationships/hyperlink" Target="MAILTO:sales@brandimports.com.mt" TargetMode="External" Id="rId4268" /><Relationship Type="http://schemas.openxmlformats.org/officeDocument/2006/relationships/hyperlink" Target="MAILTO:henry@bpapertures.com" TargetMode="External" Id="rId4269" /><Relationship Type="http://schemas.openxmlformats.org/officeDocument/2006/relationships/hyperlink" Target="MAILTO:info@rgroupmt.com" TargetMode="External" Id="rId4270" /><Relationship Type="http://schemas.openxmlformats.org/officeDocument/2006/relationships/hyperlink" Target="https://www.google.com/maps/search/?api=1&amp;query=Valletta%2C%20Malta" TargetMode="External" Id="rId4271" /><Relationship Type="http://schemas.openxmlformats.org/officeDocument/2006/relationships/hyperlink" Target="https://www.google.com/maps/search/?api=1&amp;query=Triq%20l-isturnell%20Roza%2C%20Hal%20Luqa%2C%20Malta" TargetMode="External" Id="rId4272" /><Relationship Type="http://schemas.openxmlformats.org/officeDocument/2006/relationships/hyperlink" Target="https://www.google.com/maps/search/?api=1&amp;query=Showroom%2026%2C%20Triq%20Haz-Zabbar%2C%20Paola" TargetMode="External" Id="rId4273" /><Relationship Type="http://schemas.openxmlformats.org/officeDocument/2006/relationships/hyperlink" Target="https://www.google.com/maps/search/?api=1&amp;query=Mdina%20Road%2C%20Zebbug" TargetMode="External" Id="rId4274" /><Relationship Type="http://schemas.openxmlformats.org/officeDocument/2006/relationships/hyperlink" Target="https://facebook.com/perfectummt/" TargetMode="External" Id="rId4275" /><Relationship Type="http://schemas.openxmlformats.org/officeDocument/2006/relationships/hyperlink" Target="https://valormalta.wixsite.com/valor" TargetMode="External" Id="rId4276" /><Relationship Type="http://schemas.openxmlformats.org/officeDocument/2006/relationships/hyperlink" Target="https://brandimports.com.mt/en/" TargetMode="External" Id="rId4277" /><Relationship Type="http://schemas.openxmlformats.org/officeDocument/2006/relationships/hyperlink" Target="https://bpapertures.com/" TargetMode="External" Id="rId4278" /><Relationship Type="http://schemas.openxmlformats.org/officeDocument/2006/relationships/hyperlink" Target="https://facebook.com/RGroupMalta" TargetMode="External" Id="rId4279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hyperlink" Target="MAILTO:sales@maltadiy.com" TargetMode="External" Id="rId4280" /><Relationship Type="http://schemas.openxmlformats.org/officeDocument/2006/relationships/hyperlink" Target="MAILTO:msida@iperceramica.mt" TargetMode="External" Id="rId4281" /><Relationship Type="http://schemas.openxmlformats.org/officeDocument/2006/relationships/hyperlink" Target="MAILTO:shop@megastore.com.mt" TargetMode="External" Id="rId4282" /><Relationship Type="http://schemas.openxmlformats.org/officeDocument/2006/relationships/hyperlink" Target="MAILTO:sales@doorsandmore.in" TargetMode="External" Id="rId4283" /><Relationship Type="http://schemas.openxmlformats.org/officeDocument/2006/relationships/hyperlink" Target="MAILTO:info@ddoorcompany.com" TargetMode="External" Id="rId4284" /><Relationship Type="http://schemas.openxmlformats.org/officeDocument/2006/relationships/hyperlink" Target="MAILTO:info@deckor.com.mt" TargetMode="External" Id="rId4285" /><Relationship Type="http://schemas.openxmlformats.org/officeDocument/2006/relationships/hyperlink" Target="MAILTO:viorel.limited@gmail.com" TargetMode="External" Id="rId4286" /><Relationship Type="http://schemas.openxmlformats.org/officeDocument/2006/relationships/hyperlink" Target="MAILTO:sales@bitmac.mt" TargetMode="External" Id="rId4287" /><Relationship Type="http://schemas.openxmlformats.org/officeDocument/2006/relationships/hyperlink" Target="MAILTO:info@rgroupmt.com" TargetMode="External" Id="rId4288" /><Relationship Type="http://schemas.openxmlformats.org/officeDocument/2006/relationships/hyperlink" Target="MAILTO:sales@dimech-ent.com" TargetMode="External" Id="rId4289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hyperlink" Target="MAILTO:info@casacompleta.net" TargetMode="External" Id="rId4290" /><Relationship Type="http://schemas.openxmlformats.org/officeDocument/2006/relationships/hyperlink" Target="MAILTO:fourvcltd@gmail.com" TargetMode="External" Id="rId4291" /><Relationship Type="http://schemas.openxmlformats.org/officeDocument/2006/relationships/hyperlink" Target="MAILTO:abela.restoration@gmail.com" TargetMode="External" Id="rId4292" /><Relationship Type="http://schemas.openxmlformats.org/officeDocument/2006/relationships/hyperlink" Target="MAILTO:psbcontractors@gmail.com" TargetMode="External" Id="rId4293" /><Relationship Type="http://schemas.openxmlformats.org/officeDocument/2006/relationships/hyperlink" Target="MAILTO:info@recoop.com.mt" TargetMode="External" Id="rId4294" /><Relationship Type="http://schemas.openxmlformats.org/officeDocument/2006/relationships/hyperlink" Target="MAILTO:lizabologna@restoration-now.com" TargetMode="External" Id="rId4295" /><Relationship Type="http://schemas.openxmlformats.org/officeDocument/2006/relationships/hyperlink" Target="MAILTO:schembriw45@gmail.com" TargetMode="External" Id="rId4296" /><Relationship Type="http://schemas.openxmlformats.org/officeDocument/2006/relationships/hyperlink" Target="MAILTO:silvio.tonna@gmail.com" TargetMode="External" Id="rId4297" /><Relationship Type="http://schemas.openxmlformats.org/officeDocument/2006/relationships/hyperlink" Target="MAILTO:info@asbusiness.art" TargetMode="External" Id="rId4298" /><Relationship Type="http://schemas.openxmlformats.org/officeDocument/2006/relationships/hyperlink" Target="MAILTO:bmdsolutions2018@gmail.com" TargetMode="External" Id="rId4299" /><Relationship Type="http://schemas.openxmlformats.org/officeDocument/2006/relationships/hyperlink" Target="MAILTO:info@rgimalta.com" TargetMode="External" Id="rId4300" /><Relationship Type="http://schemas.openxmlformats.org/officeDocument/2006/relationships/hyperlink" Target="MAILTO:a_ablast@live.com" TargetMode="External" Id="rId4301" /><Relationship Type="http://schemas.openxmlformats.org/officeDocument/2006/relationships/hyperlink" Target="MAILTO:info@hicareservices.mt" TargetMode="External" Id="rId4302" /><Relationship Type="http://schemas.openxmlformats.org/officeDocument/2006/relationships/hyperlink" Target="MAILTO:info@pisanirestoration.com" TargetMode="External" Id="rId4303" /><Relationship Type="http://schemas.openxmlformats.org/officeDocument/2006/relationships/hyperlink" Target="MAILTO:info@farstoneconstruction.com" TargetMode="External" Id="rId4304" /><Relationship Type="http://schemas.openxmlformats.org/officeDocument/2006/relationships/hyperlink" Target="MAILTO:info@opaq.mt" TargetMode="External" Id="rId4305" /><Relationship Type="http://schemas.openxmlformats.org/officeDocument/2006/relationships/hyperlink" Target="MAILTO:marbrian01@gmail.com" TargetMode="External" Id="rId4306" /><Relationship Type="http://schemas.openxmlformats.org/officeDocument/2006/relationships/hyperlink" Target="MAILTO:neilborg9@gmail.com" TargetMode="External" Id="rId4307" /><Relationship Type="http://schemas.openxmlformats.org/officeDocument/2006/relationships/hyperlink" Target="MAILTO:norobturnkey@gmail.com" TargetMode="External" Id="rId4308" /><Relationship Type="http://schemas.openxmlformats.org/officeDocument/2006/relationships/hyperlink" Target="MAILTO:kitonkeith@gmail.com" TargetMode="External" Id="rId4309" /><Relationship Type="http://schemas.openxmlformats.org/officeDocument/2006/relationships/hyperlink" Target="MAILTO:info@axconstruction.mt" TargetMode="External" Id="rId4310" /><Relationship Type="http://schemas.openxmlformats.org/officeDocument/2006/relationships/hyperlink" Target="MAILTO:info@targe.mt" TargetMode="External" Id="rId4311" /><Relationship Type="http://schemas.openxmlformats.org/officeDocument/2006/relationships/hyperlink" Target="MAILTO:dgrestorations21@gmail.com" TargetMode="External" Id="rId4312" /><Relationship Type="http://schemas.openxmlformats.org/officeDocument/2006/relationships/hyperlink" Target="MAILTO:clivelee1986@gmail.com" TargetMode="External" Id="rId4313" /><Relationship Type="http://schemas.openxmlformats.org/officeDocument/2006/relationships/hyperlink" Target="MAILTO:rmrestoration80@gmail.com" TargetMode="External" Id="rId4314" /><Relationship Type="http://schemas.openxmlformats.org/officeDocument/2006/relationships/hyperlink" Target="MAILTO:cody-camilleri@outlook.com" TargetMode="External" Id="rId4315" /><Relationship Type="http://schemas.openxmlformats.org/officeDocument/2006/relationships/hyperlink" Target="MAILTO:Hubert.mifsud@icloud.com" TargetMode="External" Id="rId4316" /><Relationship Type="http://schemas.openxmlformats.org/officeDocument/2006/relationships/hyperlink" Target="MAILTO:rachellegaldes@gmail.com" TargetMode="External" Id="rId4317" /><Relationship Type="http://schemas.openxmlformats.org/officeDocument/2006/relationships/hyperlink" Target="MAILTO:allroundservices9@gmail.com" TargetMode="External" Id="rId4318" /><Relationship Type="http://schemas.openxmlformats.org/officeDocument/2006/relationships/hyperlink" Target="MAILTO:Tridentrockscapesolutions@gmail.com" TargetMode="External" Id="rId4319" /><Relationship Type="http://schemas.openxmlformats.org/officeDocument/2006/relationships/hyperlink" Target="MAILTO:kevinmallia85@gmail.com" TargetMode="External" Id="rId4320" /><Relationship Type="http://schemas.openxmlformats.org/officeDocument/2006/relationships/hyperlink" Target="MAILTO:am.stonerestoration@gmail.com" TargetMode="External" Id="rId4321" /><Relationship Type="http://schemas.openxmlformats.org/officeDocument/2006/relationships/hyperlink" Target="MAILTO:ton.micallef@hotmail.com" TargetMode="External" Id="rId4322" /><Relationship Type="http://schemas.openxmlformats.org/officeDocument/2006/relationships/hyperlink" Target="MAILTO:marcellomultiservice@gmail.com" TargetMode="External" Id="rId4323" /><Relationship Type="http://schemas.openxmlformats.org/officeDocument/2006/relationships/hyperlink" Target="https://www.google.com/maps/search/?api=1&amp;query=Triq%20l-Imdina%20Attard" TargetMode="External" Id="rId4324" /><Relationship Type="http://schemas.openxmlformats.org/officeDocument/2006/relationships/hyperlink" Target="https://www.google.com/maps/search/?api=1&amp;query=8%20Triq%20Salvu%20Cacciattolo%20%2C%20Zejtun" TargetMode="External" Id="rId4325" /><Relationship Type="http://schemas.openxmlformats.org/officeDocument/2006/relationships/hyperlink" Target="https://www.google.com/maps/search/?api=1&amp;query=Abela%20Restoration%0A55%20Tal-Grazzja%20Triq%20Bugharbiel%20%2C%0AZejtun%2C%20Malta%20ZTN%203435" TargetMode="External" Id="rId4326" /><Relationship Type="http://schemas.openxmlformats.org/officeDocument/2006/relationships/hyperlink" Target="https://www.google.com/maps/search/?api=1&amp;query=PS%20Buhagiar%20Building%20Contractors%0A55%2C%20Anfield%2C%0ATriq%20Raddet%20ir-Roti%2C%0AMosta%2C%20Malta." TargetMode="External" Id="rId4327" /><Relationship Type="http://schemas.openxmlformats.org/officeDocument/2006/relationships/hyperlink" Target="https://www.google.com/maps/search/?api=1&amp;query=ReCoop%0AZone%202%20Triq%20L-Esportaturi%20Central%20Business%20District%20%2C%0AB%E2%80%99Kara%2C%20Malta%20CBD%202040" TargetMode="External" Id="rId4328" /><Relationship Type="http://schemas.openxmlformats.org/officeDocument/2006/relationships/hyperlink" Target="https://www.google.com/maps/search/?api=1&amp;query=Restoration%20Now%0ATriq%20il-Baltiku%20%2C%0ASan%20Giljan%2C%20Malta" TargetMode="External" Id="rId4329" /><Relationship Type="http://schemas.openxmlformats.org/officeDocument/2006/relationships/hyperlink" Target="https://www.google.com/maps/search/?api=1&amp;query=Triq%20San%20Edwardu%2C%20Qormi%2C%20Malta" TargetMode="External" Id="rId4330" /><Relationship Type="http://schemas.openxmlformats.org/officeDocument/2006/relationships/hyperlink" Target="https://www.google.com/maps/search/?api=1&amp;query=triq%20San%20Guzepp%2028%2C%20Mosta%2C%20Malta" TargetMode="External" Id="rId4331" /><Relationship Type="http://schemas.openxmlformats.org/officeDocument/2006/relationships/hyperlink" Target="https://www.google.com/maps/search/?api=1&amp;query=30%20Triq%20L-Imradd%2C%20Ta%27%20Xbiex" TargetMode="External" Id="rId4332" /><Relationship Type="http://schemas.openxmlformats.org/officeDocument/2006/relationships/hyperlink" Target="https://www.google.com/maps/search/?api=1&amp;query=KW%2009B%20Qasam%20Industrijali%2C%20Kordin%0APaola%0APLA%203000" TargetMode="External" Id="rId4333" /><Relationship Type="http://schemas.openxmlformats.org/officeDocument/2006/relationships/hyperlink" Target="https://www.google.com/maps/search/?api=1&amp;query=90%2C%20Valley%20Road%20Birkirkara%2C%20BKR%209014" TargetMode="External" Id="rId4334" /><Relationship Type="http://schemas.openxmlformats.org/officeDocument/2006/relationships/hyperlink" Target="https://www.google.com/maps/search/?api=1&amp;query=2%2C%20Triq%20il-Qamh%2C%20Zebbug%2C%20%C4%A6az-Zebbug%2C%20Malta" TargetMode="External" Id="rId4335" /><Relationship Type="http://schemas.openxmlformats.org/officeDocument/2006/relationships/hyperlink" Target="https://www.google.com/maps/search/?api=1&amp;query=The%20Peak%20Exclusive%20Residences%2014%2C%20Triq%20D%27Amato%2C%20Attard" TargetMode="External" Id="rId4336" /><Relationship Type="http://schemas.openxmlformats.org/officeDocument/2006/relationships/hyperlink" Target="https://www.google.com/maps/search/?api=1&amp;query=19%2C%20springvale%2C%20Triq%20it-Tabib%20Nikola%20Zammit" TargetMode="External" Id="rId4337" /><Relationship Type="http://schemas.openxmlformats.org/officeDocument/2006/relationships/hyperlink" Target="https://www.google.com/maps/search/?api=1&amp;query=23%20Nightingale%20Triq%20Dun%20Salvatore%20Zarb%20%2C%0AGharghur%2C%20Malta%20GHR%201620" TargetMode="External" Id="rId4338" /><Relationship Type="http://schemas.openxmlformats.org/officeDocument/2006/relationships/hyperlink" Target="https://www.google.com/maps/search/?api=1&amp;query=Triq%20John%20Borg%20Zejtun%20ZTN%202077" TargetMode="External" Id="rId4339" /><Relationship Type="http://schemas.openxmlformats.org/officeDocument/2006/relationships/hyperlink" Target="https://www.google.com/maps/search/?api=1&amp;query=Santa%20Marija%20Flats%2C%20Flt%203%20Triq%20tal-Wej%20%2C%20Mosta%20Malta%20MST%202462" TargetMode="External" Id="rId4340" /><Relationship Type="http://schemas.openxmlformats.org/officeDocument/2006/relationships/hyperlink" Target="https://www.google.com/maps/search/?api=1&amp;query=Hardrocks%20Industrial%20Park%2C%0AL%2FO%20Burmarrad%2C%20Malta" TargetMode="External" Id="rId4341" /><Relationship Type="http://schemas.openxmlformats.org/officeDocument/2006/relationships/hyperlink" Target="https://www.google.com/maps/search/?api=1&amp;query=Targe%20Restoration%20Ltd.%2C%2012%20Alley%2C%204%20Castro%20Street%20Naxxar%20NXR2440%2C%20Malta" TargetMode="External" Id="rId4342" /><Relationship Type="http://schemas.openxmlformats.org/officeDocument/2006/relationships/hyperlink" Target="https://casacompletamalta.com/" TargetMode="External" Id="rId4343" /><Relationship Type="http://schemas.openxmlformats.org/officeDocument/2006/relationships/hyperlink" Target="https://fourvcmalta.com/" TargetMode="External" Id="rId4344" /><Relationship Type="http://schemas.openxmlformats.org/officeDocument/2006/relationships/hyperlink" Target="https://yellow.com.mt/abela-restoration_building-restoration-conservation+zejtun/" TargetMode="External" Id="rId4345" /><Relationship Type="http://schemas.openxmlformats.org/officeDocument/2006/relationships/hyperlink" Target="https://psbuhagiarconstructionltd.com/en/home.htm?utm_source=chatgpt.com" TargetMode="External" Id="rId4346" /><Relationship Type="http://schemas.openxmlformats.org/officeDocument/2006/relationships/hyperlink" Target="https://recoop.mt/" TargetMode="External" Id="rId4347" /><Relationship Type="http://schemas.openxmlformats.org/officeDocument/2006/relationships/hyperlink" Target="https://wsinstallationsmalta.com/" TargetMode="External" Id="rId4348" /><Relationship Type="http://schemas.openxmlformats.org/officeDocument/2006/relationships/hyperlink" Target="https://facebook.com/RGImalta/" TargetMode="External" Id="rId4349" /><Relationship Type="http://schemas.openxmlformats.org/officeDocument/2006/relationships/hyperlink" Target="https://alexblasting.com/" TargetMode="External" Id="rId4350" /><Relationship Type="http://schemas.openxmlformats.org/officeDocument/2006/relationships/hyperlink" Target="https://hicareservices.mt/" TargetMode="External" Id="rId4351" /><Relationship Type="http://schemas.openxmlformats.org/officeDocument/2006/relationships/hyperlink" Target="https://pisanirestoration.com/" TargetMode="External" Id="rId4352" /><Relationship Type="http://schemas.openxmlformats.org/officeDocument/2006/relationships/hyperlink" Target="https://facebook.com/p/Farstone-Construction-Restoration-Ltd-100042529226772/" TargetMode="External" Id="rId4353" /><Relationship Type="http://schemas.openxmlformats.org/officeDocument/2006/relationships/hyperlink" Target="https://opaq.mt/restoration/" TargetMode="External" Id="rId4354" /><Relationship Type="http://schemas.openxmlformats.org/officeDocument/2006/relationships/hyperlink" Target="https://yellow.com.mt/nm-restoration/building-restoration-conservation/" TargetMode="External" Id="rId4355" /><Relationship Type="http://schemas.openxmlformats.org/officeDocument/2006/relationships/hyperlink" Target="https://norobinstallations.com/?utm_source=Yellow&amp;utm_medium=Yellow-Website&amp;utm_campaign=Landing-Page" TargetMode="External" Id="rId4356" /><Relationship Type="http://schemas.openxmlformats.org/officeDocument/2006/relationships/hyperlink" Target="https://kitonkeith.wixsite.com/kitoncontractors" TargetMode="External" Id="rId4357" /><Relationship Type="http://schemas.openxmlformats.org/officeDocument/2006/relationships/hyperlink" Target="https://axconstruction.com.mt/" TargetMode="External" Id="rId4358" /><Relationship Type="http://schemas.openxmlformats.org/officeDocument/2006/relationships/hyperlink" Target="https://targe.mt/" TargetMode="External" Id="rId4359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hyperlink" Target="MAILTO:markanthonymicallef@gmail.com" TargetMode="External" Id="rId4360" /><Relationship Type="http://schemas.openxmlformats.org/officeDocument/2006/relationships/hyperlink" Target="MAILTO:benjamin.cilia@gmail.com" TargetMode="External" Id="rId4361" /><Relationship Type="http://schemas.openxmlformats.org/officeDocument/2006/relationships/hyperlink" Target="MAILTO:ramonbartolo1472@gmail.com" TargetMode="External" Id="rId4362" /><Relationship Type="http://schemas.openxmlformats.org/officeDocument/2006/relationships/hyperlink" Target="MAILTO:jlcamilleri@mail.com" TargetMode="External" Id="rId4363" /><Relationship Type="http://schemas.openxmlformats.org/officeDocument/2006/relationships/hyperlink" Target="MAILTO:info@renergy.com.mt" TargetMode="External" Id="rId4364" /><Relationship Type="http://schemas.openxmlformats.org/officeDocument/2006/relationships/hyperlink" Target="MAILTO:info@marktls.com" TargetMode="External" Id="rId4365" /><Relationship Type="http://schemas.openxmlformats.org/officeDocument/2006/relationships/hyperlink" Target="MAILTO:mannicranehire@hotmail.com" TargetMode="External" Id="rId4366" /><Relationship Type="http://schemas.openxmlformats.org/officeDocument/2006/relationships/hyperlink" Target="MAILTO:abtowerladderservice@hotmail.com" TargetMode="External" Id="rId4367" /><Relationship Type="http://schemas.openxmlformats.org/officeDocument/2006/relationships/hyperlink" Target="MAILTO:svet_mifsud@hotmail.com" TargetMode="External" Id="rId4368" /><Relationship Type="http://schemas.openxmlformats.org/officeDocument/2006/relationships/hyperlink" Target="MAILTO:chris.tl.cranes@gmail.com" TargetMode="External" Id="rId4369" /><Relationship Type="http://schemas.openxmlformats.org/officeDocument/2006/relationships/hyperlink" Target="MAILTO:johnsoncranehire@onvol.net" TargetMode="External" Id="rId4370" /><Relationship Type="http://schemas.openxmlformats.org/officeDocument/2006/relationships/hyperlink" Target="MAILTO:gaucikevin1@gmail.com" TargetMode="External" Id="rId4371" /><Relationship Type="http://schemas.openxmlformats.org/officeDocument/2006/relationships/hyperlink" Target="MAILTO:vanessa_caruana@hotmail.com" TargetMode="External" Id="rId4372" /><Relationship Type="http://schemas.openxmlformats.org/officeDocument/2006/relationships/hyperlink" Target="MAILTO:tanuzzisons@gmail.com" TargetMode="External" Id="rId4373" /><Relationship Type="http://schemas.openxmlformats.org/officeDocument/2006/relationships/hyperlink" Target="MAILTO:bch@onvol.net" TargetMode="External" Id="rId4374" /><Relationship Type="http://schemas.openxmlformats.org/officeDocument/2006/relationships/hyperlink" Target="MAILTO:dwardu1988@melita.com" TargetMode="External" Id="rId4375" /><Relationship Type="http://schemas.openxmlformats.org/officeDocument/2006/relationships/hyperlink" Target="MAILTO:dborg383@gmail.com" TargetMode="External" Id="rId4376" /><Relationship Type="http://schemas.openxmlformats.org/officeDocument/2006/relationships/hyperlink" Target="MAILTO:fabianschembri@hotmail.com" TargetMode="External" Id="rId4377" /><Relationship Type="http://schemas.openxmlformats.org/officeDocument/2006/relationships/hyperlink" Target="MAILTO:rg.ciantar@gmail.com" TargetMode="External" Id="rId4378" /><Relationship Type="http://schemas.openxmlformats.org/officeDocument/2006/relationships/hyperlink" Target="MAILTO:irreggaegatt@gmail.com" TargetMode="External" Id="rId4379" /><Relationship Type="http://schemas.openxmlformats.org/officeDocument/2006/relationships/hyperlink" Target="MAILTO:jona.lia185@gmail.com" TargetMode="External" Id="rId4380" /><Relationship Type="http://schemas.openxmlformats.org/officeDocument/2006/relationships/hyperlink" Target="MAILTO:jlcamilleri@mail.com" TargetMode="External" Id="rId4381" /><Relationship Type="http://schemas.openxmlformats.org/officeDocument/2006/relationships/hyperlink" Target="MAILTO:swaey@swaey.com" TargetMode="External" Id="rId4382" /><Relationship Type="http://schemas.openxmlformats.org/officeDocument/2006/relationships/hyperlink" Target="MAILTO:info@godwinsgarage.com" TargetMode="External" Id="rId4383" /><Relationship Type="http://schemas.openxmlformats.org/officeDocument/2006/relationships/hyperlink" Target="MAILTO:harryc1@go.net.mt" TargetMode="External" Id="rId4384" /><Relationship Type="http://schemas.openxmlformats.org/officeDocument/2006/relationships/hyperlink" Target="MAILTO:info@exterminatormalta.com" TargetMode="External" Id="rId4385" /><Relationship Type="http://schemas.openxmlformats.org/officeDocument/2006/relationships/hyperlink" Target="MAILTO:sales@hc.com.mt" TargetMode="External" Id="rId438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hyperlink" Target="MAILTO:fourvcltd@gmail.com" TargetMode="External" Id="rId4387" /><Relationship Type="http://schemas.openxmlformats.org/officeDocument/2006/relationships/hyperlink" Target="MAILTO:schembriw45@gmail.com" TargetMode="External" Id="rId4388" /><Relationship Type="http://schemas.openxmlformats.org/officeDocument/2006/relationships/hyperlink" Target="MAILTO:norobturnkey@gmail.com" TargetMode="External" Id="rId4389" /><Relationship Type="http://schemas.openxmlformats.org/officeDocument/2006/relationships/hyperlink" Target="MAILTO:kitonkeith@gmail.com" TargetMode="External" Id="rId4390" /><Relationship Type="http://schemas.openxmlformats.org/officeDocument/2006/relationships/hyperlink" Target="MAILTO:info@casacompleta.net" TargetMode="External" Id="rId4391" /><Relationship Type="http://schemas.openxmlformats.org/officeDocument/2006/relationships/hyperlink" Target="MAILTO:info@axconstruction.mt" TargetMode="External" Id="rId4392" /><Relationship Type="http://schemas.openxmlformats.org/officeDocument/2006/relationships/hyperlink" Target="MAILTO:info@togetherturnkey.com" TargetMode="External" Id="rId4393" /><Relationship Type="http://schemas.openxmlformats.org/officeDocument/2006/relationships/hyperlink" Target="MAILTO:admin@aaconstructionworks.com" TargetMode="External" Id="rId4394" /><Relationship Type="http://schemas.openxmlformats.org/officeDocument/2006/relationships/hyperlink" Target="MAILTO:xil@xuerebinstall.com" TargetMode="External" Id="rId4395" /><Relationship Type="http://schemas.openxmlformats.org/officeDocument/2006/relationships/hyperlink" Target="MAILTO:info@trustprojects.com.mt" TargetMode="External" Id="rId4396" /><Relationship Type="http://schemas.openxmlformats.org/officeDocument/2006/relationships/hyperlink" Target="MAILTO:aurelia@auraprojects.eu" TargetMode="External" Id="rId4397" /><Relationship Type="http://schemas.openxmlformats.org/officeDocument/2006/relationships/hyperlink" Target="MAILTO:info@aagturnkey.com" TargetMode="External" Id="rId4398" /><Relationship Type="http://schemas.openxmlformats.org/officeDocument/2006/relationships/hyperlink" Target="MAILTO:info@ts-malta.com" TargetMode="External" Id="rId4399" /><Relationship Type="http://schemas.openxmlformats.org/officeDocument/2006/relationships/hyperlink" Target="MAILTO:marcofalzon@gmail.com" TargetMode="External" Id="rId4400" /><Relationship Type="http://schemas.openxmlformats.org/officeDocument/2006/relationships/hyperlink" Target="MAILTO:info@itpmalta.com" TargetMode="External" Id="rId4401" /><Relationship Type="http://schemas.openxmlformats.org/officeDocument/2006/relationships/hyperlink" Target="MAILTO:info@agfmalta.com" TargetMode="External" Id="rId4402" /><Relationship Type="http://schemas.openxmlformats.org/officeDocument/2006/relationships/hyperlink" Target="MAILTO:info@aptc.com.mt" TargetMode="External" Id="rId4403" /><Relationship Type="http://schemas.openxmlformats.org/officeDocument/2006/relationships/hyperlink" Target="MAILTO:ac@accontractors.eu" TargetMode="External" Id="rId4404" /><Relationship Type="http://schemas.openxmlformats.org/officeDocument/2006/relationships/hyperlink" Target="MAILTO:info@keycontractors.com.mt" TargetMode="External" Id="rId4405" /><Relationship Type="http://schemas.openxmlformats.org/officeDocument/2006/relationships/hyperlink" Target="MAILTO:info@csprojects.com.mt" TargetMode="External" Id="rId4406" /><Relationship Type="http://schemas.openxmlformats.org/officeDocument/2006/relationships/hyperlink" Target="MAILTO:contact@kibitec.com" TargetMode="External" Id="rId4407" /><Relationship Type="http://schemas.openxmlformats.org/officeDocument/2006/relationships/hyperlink" Target="MAILTO:tcj@mbm.com.mt" TargetMode="External" Id="rId4408" /><Relationship Type="http://schemas.openxmlformats.org/officeDocument/2006/relationships/hyperlink" Target="MAILTO:info@rsgroup.com.mt" TargetMode="External" Id="rId4409" /><Relationship Type="http://schemas.openxmlformats.org/officeDocument/2006/relationships/hyperlink" Target="MAILTO:info@gcturnkeyprojects.com" TargetMode="External" Id="rId4410" /><Relationship Type="http://schemas.openxmlformats.org/officeDocument/2006/relationships/hyperlink" Target="MAILTO:kenneth@tanti-interiors.com" TargetMode="External" Id="rId4411" /><Relationship Type="http://schemas.openxmlformats.org/officeDocument/2006/relationships/hyperlink" Target="MAILTO:delta_projects@hotmail.com" TargetMode="External" Id="rId4412" /><Relationship Type="http://schemas.openxmlformats.org/officeDocument/2006/relationships/hyperlink" Target="MAILTO:imturnkeycontractors@gmail.com" TargetMode="External" Id="rId4413" /><Relationship Type="http://schemas.openxmlformats.org/officeDocument/2006/relationships/hyperlink" Target="MAILTO:nickybon84@gmail.com" TargetMode="External" Id="rId4414" /><Relationship Type="http://schemas.openxmlformats.org/officeDocument/2006/relationships/hyperlink" Target="MAILTO:info@togetherturnkey.com" TargetMode="External" Id="rId4415" /><Relationship Type="http://schemas.openxmlformats.org/officeDocument/2006/relationships/hyperlink" Target="MAILTO:charlesturnkey35@gmail.com" TargetMode="External" Id="rId4416" /><Relationship Type="http://schemas.openxmlformats.org/officeDocument/2006/relationships/hyperlink" Target="MAILTO:joshua@joshuaturnkey.com" TargetMode="External" Id="rId4417" /><Relationship Type="http://schemas.openxmlformats.org/officeDocument/2006/relationships/hyperlink" Target="MAILTO:mercieca.installations@gmail.com" TargetMode="External" Id="rId4418" /><Relationship Type="http://schemas.openxmlformats.org/officeDocument/2006/relationships/hyperlink" Target="MAILTO:info.proactiveinterior@gmail.com" TargetMode="External" Id="rId4419" /><Relationship Type="http://schemas.openxmlformats.org/officeDocument/2006/relationships/hyperlink" Target="MAILTO:mccoloursltd@gmail.com" TargetMode="External" Id="rId4420" /><Relationship Type="http://schemas.openxmlformats.org/officeDocument/2006/relationships/hyperlink" Target="MAILTO:kbgprojects@hotmail.com" TargetMode="External" Id="rId4421" /><Relationship Type="http://schemas.openxmlformats.org/officeDocument/2006/relationships/hyperlink" Target="MAILTO:hamody.zedan00@gmail.com" TargetMode="External" Id="rId4422" /><Relationship Type="http://schemas.openxmlformats.org/officeDocument/2006/relationships/hyperlink" Target="https://www.google.com/maps/search/?api=1&amp;query=8%20Triq%20Salvu%20Cacciattolo%20%2C%20Zejtun" TargetMode="External" Id="rId4423" /><Relationship Type="http://schemas.openxmlformats.org/officeDocument/2006/relationships/hyperlink" Target="https://www.google.com/maps/search/?api=1&amp;query=Triq%20San%20Edwardu%2C%20Qormi%2C%20Malta" TargetMode="External" Id="rId4424" /><Relationship Type="http://schemas.openxmlformats.org/officeDocument/2006/relationships/hyperlink" Target="https://www.google.com/maps/search/?api=1&amp;query=Triq%20John%20Borg%20Zejtun%20ZTN%202077" TargetMode="External" Id="rId4425" /><Relationship Type="http://schemas.openxmlformats.org/officeDocument/2006/relationships/hyperlink" Target="https://www.google.com/maps/search/?api=1&amp;query=Santa%20Marija%20Flats%2C%20Flt%203%20Triq%20tal-Wej%20%2C%20Mosta%20Malta%20MST%202462" TargetMode="External" Id="rId4426" /><Relationship Type="http://schemas.openxmlformats.org/officeDocument/2006/relationships/hyperlink" Target="https://www.google.com/maps/search/?api=1&amp;query=Triq%20l-Imdina%20Attard" TargetMode="External" Id="rId4427" /><Relationship Type="http://schemas.openxmlformats.org/officeDocument/2006/relationships/hyperlink" Target="https://www.google.com/maps/search/?api=1&amp;query=Hardrocks%20Industrial%20Park%2C%0AL%2FO%20Burmarrad%2C%20Malta" TargetMode="External" Id="rId4428" /><Relationship Type="http://schemas.openxmlformats.org/officeDocument/2006/relationships/hyperlink" Target="https://www.google.com/maps/search/?api=1&amp;query=46%20The%20Cottage%20Triq%20Hal%20Dwin%20%2C%0AZebbug%2C%20ZBG%203064%2C%20MT" TargetMode="External" Id="rId4429" /><Relationship Type="http://schemas.openxmlformats.org/officeDocument/2006/relationships/hyperlink" Target="https://www.google.com/maps/search/?api=1&amp;query=St.%20Helen%2C%20Triq%20Caravaggio%2C%20%C4%A6al%20G%C4%A7arg%C4%A7ur%2C%20GHR%201606" TargetMode="External" Id="rId4430" /><Relationship Type="http://schemas.openxmlformats.org/officeDocument/2006/relationships/hyperlink" Target="https://www.google.com/maps/search/?api=1&amp;query=Xuereb%20Installations%20Ltd.%20Tal-Hlas%20Road%2C%20Qormi%20QRM%205011.%20Malt" TargetMode="External" Id="rId4431" /><Relationship Type="http://schemas.openxmlformats.org/officeDocument/2006/relationships/hyperlink" Target="https://www.google.com/maps/search/?api=1&amp;query=Trust%20Projects%0ATriq%20it-Torri%20%2C%0AMosta%2C%20Malta" TargetMode="External" Id="rId4432" /><Relationship Type="http://schemas.openxmlformats.org/officeDocument/2006/relationships/hyperlink" Target="https://www.google.com/maps/search/?api=1&amp;query=64A%2C%20Level%206%2C%20Recency%20House%0ABisazza%20Street%2C%20Sliema%2C%20SLM%201640" TargetMode="External" Id="rId4433" /><Relationship Type="http://schemas.openxmlformats.org/officeDocument/2006/relationships/hyperlink" Target="https://www.google.com/maps/search/?api=1&amp;query=Fl%202%2C%20Palm%20Street%203%2C%20Paola%2C%20Malta" TargetMode="External" Id="rId4434" /><Relationship Type="http://schemas.openxmlformats.org/officeDocument/2006/relationships/hyperlink" Target="https://www.google.com/maps/search/?api=1&amp;query=Country%20View%2C%20Triq%20Tas-Sriedek%2C%20Mosta" TargetMode="External" Id="rId4435" /><Relationship Type="http://schemas.openxmlformats.org/officeDocument/2006/relationships/hyperlink" Target="https://www.google.com/maps/search/?api=1&amp;query=21a%20Triq%20il-Principessa%20Margerita%20%2C%0AMsida%2C%20Malta%20MSD%201331" TargetMode="External" Id="rId4436" /><Relationship Type="http://schemas.openxmlformats.org/officeDocument/2006/relationships/hyperlink" Target="https://www.google.com/maps/search/?api=1&amp;query=Galine%E2%80%99%2C%20Josmar%20Complex%20Triq%20id-Difiza%20Civili%2C%0AMosta%2C%20Malta%0AMST%201743" TargetMode="External" Id="rId4437" /><Relationship Type="http://schemas.openxmlformats.org/officeDocument/2006/relationships/hyperlink" Target="https://www.google.com/maps/search/?api=1&amp;query=APTC%20LTD%20No.%203%20app%201%20MRO%20Frank%20Galea%20Street%20%0AZebbug%2C%20Malta" TargetMode="External" Id="rId4438" /><Relationship Type="http://schemas.openxmlformats.org/officeDocument/2006/relationships/hyperlink" Target="https://www.google.com/maps/search/?api=1&amp;query=A.C.%20Contractors%20Ltd%0A37%2C%20Triq%20L-Imghazel%2C%20Swieqi%0ASWQ%203141%2C%20Malta" TargetMode="External" Id="rId4439" /><Relationship Type="http://schemas.openxmlformats.org/officeDocument/2006/relationships/hyperlink" Target="https://www.google.com/maps/search/?api=1&amp;query=Trejqet%20Isouard%0AMarsa%20MRS%202020%0AMalta" TargetMode="External" Id="rId4440" /><Relationship Type="http://schemas.openxmlformats.org/officeDocument/2006/relationships/hyperlink" Target="https://www.google.com/maps/search/?api=1&amp;query=CS%20Group%20Limited%0A25%2C%20Triq%20il-MuzikaIklin%2C%20IKL%201091%0AMalta" TargetMode="External" Id="rId4441" /><Relationship Type="http://schemas.openxmlformats.org/officeDocument/2006/relationships/hyperlink" Target="https://www.google.com/maps/search/?api=1&amp;query=Triq%20Domenico%20Cachia%2054%0ABirkirkara%2C%20BKR1017%2C%20Malta" TargetMode="External" Id="rId4442" /><Relationship Type="http://schemas.openxmlformats.org/officeDocument/2006/relationships/hyperlink" Target="https://www.google.com/maps/search/?api=1&amp;query=MBM%20Smart-Depot%2C%20Upper%20Cross%20Road%20Marsa%2C%20MRS%201042" TargetMode="External" Id="rId4443" /><Relationship Type="http://schemas.openxmlformats.org/officeDocument/2006/relationships/hyperlink" Target="https://www.google.com/maps/search/?api=1&amp;query=Triq%20L-Imdina%2C%0AHaz-Zebbug%2C%20ZBG%209018" TargetMode="External" Id="rId4444" /><Relationship Type="http://schemas.openxmlformats.org/officeDocument/2006/relationships/hyperlink" Target="https://www.google.com/maps/search/?api=1&amp;query=55%2C%20Triq%20Is-Soll%2C%20Santa%20Venera" TargetMode="External" Id="rId4445" /><Relationship Type="http://schemas.openxmlformats.org/officeDocument/2006/relationships/hyperlink" Target="https://www.google.com/maps/search/?api=1&amp;query=Valley%20Road%2C%20Msida%20MSD%209022%2C%20Malta" TargetMode="External" Id="rId4446" /><Relationship Type="http://schemas.openxmlformats.org/officeDocument/2006/relationships/hyperlink" Target="https://www.google.com/maps/search/?api=1&amp;query=Delta%20Projects%0ATriq%20Santa%20Marija%20%2C%0ATarxien%2C%20Malta" TargetMode="External" Id="rId4447" /><Relationship Type="http://schemas.openxmlformats.org/officeDocument/2006/relationships/hyperlink" Target="https://www.google.com/maps/search/?api=1&amp;query=Triq%20Is-Sejba%2C%20L-Imqabba%2C%20Malta" TargetMode="External" Id="rId4448" /><Relationship Type="http://schemas.openxmlformats.org/officeDocument/2006/relationships/hyperlink" Target="https://fourvcmalta.com/" TargetMode="External" Id="rId4449" /><Relationship Type="http://schemas.openxmlformats.org/officeDocument/2006/relationships/hyperlink" Target="https://wsinstallationsmalta.com/" TargetMode="External" Id="rId4450" /><Relationship Type="http://schemas.openxmlformats.org/officeDocument/2006/relationships/hyperlink" Target="https://norobinstallations.com/?utm_source=Yellow&amp;utm_medium=Yellow-Website&amp;utm_campaign=Landing-Page" TargetMode="External" Id="rId4451" /><Relationship Type="http://schemas.openxmlformats.org/officeDocument/2006/relationships/hyperlink" Target="https://kitonkeith.wixsite.com/kitoncontractors" TargetMode="External" Id="rId4452" /><Relationship Type="http://schemas.openxmlformats.org/officeDocument/2006/relationships/hyperlink" Target="https://casacompletamalta.com/" TargetMode="External" Id="rId4453" /><Relationship Type="http://schemas.openxmlformats.org/officeDocument/2006/relationships/hyperlink" Target="https://axconstruction.com.mt/" TargetMode="External" Id="rId4454" /><Relationship Type="http://schemas.openxmlformats.org/officeDocument/2006/relationships/hyperlink" Target="https://togetherturnkey.com/" TargetMode="External" Id="rId4455" /><Relationship Type="http://schemas.openxmlformats.org/officeDocument/2006/relationships/hyperlink" Target="https://aaconstructionworks.com/" TargetMode="External" Id="rId4456" /><Relationship Type="http://schemas.openxmlformats.org/officeDocument/2006/relationships/hyperlink" Target="https://xuerebinstall.com/" TargetMode="External" Id="rId4457" /><Relationship Type="http://schemas.openxmlformats.org/officeDocument/2006/relationships/hyperlink" Target="https://yellow.com.mt/trust-projects/turnkey-contractors/" TargetMode="External" Id="rId4458" /><Relationship Type="http://schemas.openxmlformats.org/officeDocument/2006/relationships/hyperlink" Target="https://auraprojects.eu/" TargetMode="External" Id="rId4459" /><Relationship Type="http://schemas.openxmlformats.org/officeDocument/2006/relationships/hyperlink" Target="https://aagturnkey.com/" TargetMode="External" Id="rId4460" /><Relationship Type="http://schemas.openxmlformats.org/officeDocument/2006/relationships/hyperlink" Target="https://ts-malta.com/" TargetMode="External" Id="rId4461" /><Relationship Type="http://schemas.openxmlformats.org/officeDocument/2006/relationships/hyperlink" Target="https://maltabusinessbook.com/en/directory/listings/4409/concrete-repairs/mark-falzon-construction-malta.htm?utm_source=chatgpt.com" TargetMode="External" Id="rId4462" /><Relationship Type="http://schemas.openxmlformats.org/officeDocument/2006/relationships/hyperlink" Target="https://itpmalta.com/" TargetMode="External" Id="rId4463" /><Relationship Type="http://schemas.openxmlformats.org/officeDocument/2006/relationships/hyperlink" Target="https://jslholdingsltd.com/" TargetMode="External" Id="rId4464" /><Relationship Type="http://schemas.openxmlformats.org/officeDocument/2006/relationships/hyperlink" Target="https://gypsumworksmalta.com/" TargetMode="External" Id="rId4465" /><Relationship Type="http://schemas.openxmlformats.org/officeDocument/2006/relationships/hyperlink" Target="https://accontractors.eu/" TargetMode="External" Id="rId4466" /><Relationship Type="http://schemas.openxmlformats.org/officeDocument/2006/relationships/hyperlink" Target="https://keycontractors.com.mt/" TargetMode="External" Id="rId4467" /><Relationship Type="http://schemas.openxmlformats.org/officeDocument/2006/relationships/hyperlink" Target="https://csgrouplimited.com/" TargetMode="External" Id="rId4468" /><Relationship Type="http://schemas.openxmlformats.org/officeDocument/2006/relationships/hyperlink" Target="https://kibitec.com/" TargetMode="External" Id="rId4469" /><Relationship Type="http://schemas.openxmlformats.org/officeDocument/2006/relationships/hyperlink" Target="https://mbm.com.mt/turnkey-contractor-malta" TargetMode="External" Id="rId4470" /><Relationship Type="http://schemas.openxmlformats.org/officeDocument/2006/relationships/hyperlink" Target="https://evolve.com.mt/" TargetMode="External" Id="rId4471" /><Relationship Type="http://schemas.openxmlformats.org/officeDocument/2006/relationships/hyperlink" Target="https://gcturnkeyprojects.com/" TargetMode="External" Id="rId4472" /><Relationship Type="http://schemas.openxmlformats.org/officeDocument/2006/relationships/hyperlink" Target="https://tanti-interiors.com/" TargetMode="External" Id="rId4473" /><Relationship Type="http://schemas.openxmlformats.org/officeDocument/2006/relationships/hyperlink" Target="https://yellow.com.mt/delta-projects/turnkey-contractors/" TargetMode="External" Id="rId4474" /><Relationship Type="http://schemas.openxmlformats.org/officeDocument/2006/relationships/hyperlink" Target="https://facebook.com/IMTurnkeyContractors/" TargetMode="External" Id="rId4475" /><Relationship Type="http://schemas.openxmlformats.org/officeDocument/2006/relationships/hyperlink" Target="https://facebook.com/p/ARP-Properties-100030921566866/" TargetMode="External" Id="rId4476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hyperlink" Target="MAILTO:info@axconstruction.mt" TargetMode="External" Id="rId4477" /><Relationship Type="http://schemas.openxmlformats.org/officeDocument/2006/relationships/hyperlink" Target="MAILTO:contact@kibitec.com" TargetMode="External" Id="rId4478" /><Relationship Type="http://schemas.openxmlformats.org/officeDocument/2006/relationships/hyperlink" Target="MAILTO:reu_sacco@hotmail.com" TargetMode="External" Id="rId4479" /><Relationship Type="http://schemas.openxmlformats.org/officeDocument/2006/relationships/hyperlink" Target="MAILTO:info@barbrosgroup.com" TargetMode="External" Id="rId4480" /><Relationship Type="http://schemas.openxmlformats.org/officeDocument/2006/relationships/hyperlink" Target="MAILTO:sadevelopmentsltd@gmail.com" TargetMode="External" Id="rId4481" /><Relationship Type="http://schemas.openxmlformats.org/officeDocument/2006/relationships/hyperlink" Target="MAILTO:joseph@zahraltd.com" TargetMode="External" Id="rId4482" /><Relationship Type="http://schemas.openxmlformats.org/officeDocument/2006/relationships/hyperlink" Target="MAILTO:info@optimaprojects.mt" TargetMode="External" Id="rId4483" /><Relationship Type="http://schemas.openxmlformats.org/officeDocument/2006/relationships/hyperlink" Target="MAILTO:info@brandprojectsltd.com" TargetMode="External" Id="rId4484" /><Relationship Type="http://schemas.openxmlformats.org/officeDocument/2006/relationships/hyperlink" Target="MAILTO:info@fsh.com.mt" TargetMode="External" Id="rId4485" /><Relationship Type="http://schemas.openxmlformats.org/officeDocument/2006/relationships/hyperlink" Target="MAILTO:info@bgs.com.mt" TargetMode="External" Id="rId4486" /><Relationship Type="http://schemas.openxmlformats.org/officeDocument/2006/relationships/hyperlink" Target="MAILTO:info@ajfattard.com" TargetMode="External" Id="rId4487" /><Relationship Type="http://schemas.openxmlformats.org/officeDocument/2006/relationships/hyperlink" Target="MAILTO:curmijonathan@gmail.com" TargetMode="External" Id="rId4488" /><Relationship Type="http://schemas.openxmlformats.org/officeDocument/2006/relationships/hyperlink" Target="MAILTO:executiveprojectsltd@gmail.com" TargetMode="External" Id="rId4489" /><Relationship Type="http://schemas.openxmlformats.org/officeDocument/2006/relationships/hyperlink" Target="MAILTO:info@farstoneconstruction.com" TargetMode="External" Id="rId4490" /><Relationship Type="http://schemas.openxmlformats.org/officeDocument/2006/relationships/hyperlink" Target="MAILTO:jmsconstructionlimited@gmail.com" TargetMode="External" Id="rId4491" /><Relationship Type="http://schemas.openxmlformats.org/officeDocument/2006/relationships/hyperlink" Target="MAILTO:info@jpisanioperationsltd.com" TargetMode="External" Id="rId4492" /><Relationship Type="http://schemas.openxmlformats.org/officeDocument/2006/relationships/hyperlink" Target="MAILTO:rubengrima@hotmail.com" TargetMode="External" Id="rId4493" /><Relationship Type="http://schemas.openxmlformats.org/officeDocument/2006/relationships/hyperlink" Target="MAILTO:ndbalzan@gmail.com" TargetMode="External" Id="rId4494" /><Relationship Type="http://schemas.openxmlformats.org/officeDocument/2006/relationships/hyperlink" Target="MAILTO:cvbrgroup@gmail.com" TargetMode="External" Id="rId4495" /><Relationship Type="http://schemas.openxmlformats.org/officeDocument/2006/relationships/hyperlink" Target="MAILTO:c.and.g.sant.cont@gmail.com" TargetMode="External" Id="rId4496" /><Relationship Type="http://schemas.openxmlformats.org/officeDocument/2006/relationships/hyperlink" Target="MAILTO:becky@colbex.my" TargetMode="External" Id="rId4497" /><Relationship Type="http://schemas.openxmlformats.org/officeDocument/2006/relationships/hyperlink" Target="MAILTO:info@talkarmnu.com.mt" TargetMode="External" Id="rId4498" /><Relationship Type="http://schemas.openxmlformats.org/officeDocument/2006/relationships/hyperlink" Target="MAILTO:properties@mna.com.mt" TargetMode="External" Id="rId4499" /><Relationship Type="http://schemas.openxmlformats.org/officeDocument/2006/relationships/hyperlink" Target="MAILTO:info@attardbros.com" TargetMode="External" Id="rId4500" /><Relationship Type="http://schemas.openxmlformats.org/officeDocument/2006/relationships/hyperlink" Target="MAILTO:info@bbconstruction.mt" TargetMode="External" Id="rId4501" /><Relationship Type="http://schemas.openxmlformats.org/officeDocument/2006/relationships/hyperlink" Target="MAILTO:info@vassallogroupmalta.com" TargetMode="External" Id="rId4502" /><Relationship Type="http://schemas.openxmlformats.org/officeDocument/2006/relationships/hyperlink" Target="MAILTO:info@bbg.com.mt" TargetMode="External" Id="rId4503" /><Relationship Type="http://schemas.openxmlformats.org/officeDocument/2006/relationships/hyperlink" Target="MAILTO:info@elbros.com.mt" TargetMode="External" Id="rId4504" /><Relationship Type="http://schemas.openxmlformats.org/officeDocument/2006/relationships/hyperlink" Target="MAILTO:info@tmc.com.mt" TargetMode="External" Id="rId4505" /><Relationship Type="http://schemas.openxmlformats.org/officeDocument/2006/relationships/hyperlink" Target="MAILTO:info@polidano-group.com" TargetMode="External" Id="rId4506" /><Relationship Type="http://schemas.openxmlformats.org/officeDocument/2006/relationships/hyperlink" Target="MAILTO:info@ogcw.mt" TargetMode="External" Id="rId4507" /><Relationship Type="http://schemas.openxmlformats.org/officeDocument/2006/relationships/hyperlink" Target="MAILTO:info@agfmalta.com" TargetMode="External" Id="rId4508" /><Relationship Type="http://schemas.openxmlformats.org/officeDocument/2006/relationships/hyperlink" Target="MAILTO:fourvcltd@gmail.com" TargetMode="External" Id="rId4509" /><Relationship Type="http://schemas.openxmlformats.org/officeDocument/2006/relationships/hyperlink" Target="MAILTO:mifsudbros@hotmail.com" TargetMode="External" Id="rId4510" /><Relationship Type="http://schemas.openxmlformats.org/officeDocument/2006/relationships/hyperlink" Target="MAILTO:admin@aaconstructionworks.com" TargetMode="External" Id="rId4511" /><Relationship Type="http://schemas.openxmlformats.org/officeDocument/2006/relationships/hyperlink" Target="MAILTO:info@talkarmnu.com.mt" TargetMode="External" Id="rId4512" /><Relationship Type="http://schemas.openxmlformats.org/officeDocument/2006/relationships/hyperlink" Target="MAILTO:Clintonspiteri94@gmail.com" TargetMode="External" Id="rId4513" /><Relationship Type="http://schemas.openxmlformats.org/officeDocument/2006/relationships/hyperlink" Target="MAILTO:bobli2@hotmail.com" TargetMode="External" Id="rId4514" /><Relationship Type="http://schemas.openxmlformats.org/officeDocument/2006/relationships/hyperlink" Target="MAILTO:noelmizzi1976@gmail.com" TargetMode="External" Id="rId4515" /><Relationship Type="http://schemas.openxmlformats.org/officeDocument/2006/relationships/hyperlink" Target="MAILTO:eman.ciantar98@gmail.com" TargetMode="External" Id="rId4516" /><Relationship Type="http://schemas.openxmlformats.org/officeDocument/2006/relationships/hyperlink" Target="MAILTO:thomasazzopardiconstruction@gmail.com" TargetMode="External" Id="rId4517" /><Relationship Type="http://schemas.openxmlformats.org/officeDocument/2006/relationships/hyperlink" Target="MAILTO:info@leacontractors.com" TargetMode="External" Id="rId4518" /><Relationship Type="http://schemas.openxmlformats.org/officeDocument/2006/relationships/hyperlink" Target="MAILTO:info@mtfbonannoltd.com" TargetMode="External" Id="rId4519" /><Relationship Type="http://schemas.openxmlformats.org/officeDocument/2006/relationships/hyperlink" Target="MAILTO:apicontractors@gmail.com" TargetMode="External" Id="rId4520" /><Relationship Type="http://schemas.openxmlformats.org/officeDocument/2006/relationships/hyperlink" Target="MAILTO:mariogalea@hotmail.co.uk" TargetMode="External" Id="rId4521" /><Relationship Type="http://schemas.openxmlformats.org/officeDocument/2006/relationships/hyperlink" Target="MAILTO:justconstructionworks@gmail.com" TargetMode="External" Id="rId4522" /><Relationship Type="http://schemas.openxmlformats.org/officeDocument/2006/relationships/hyperlink" Target="MAILTO:info@schranzltd.com" TargetMode="External" Id="rId4523" /><Relationship Type="http://schemas.openxmlformats.org/officeDocument/2006/relationships/hyperlink" Target="MAILTO:loganblakepace@yahoo.com" TargetMode="External" Id="rId4524" /><Relationship Type="http://schemas.openxmlformats.org/officeDocument/2006/relationships/hyperlink" Target="MAILTO:marozzmifsud12@gmail.com" TargetMode="External" Id="rId4525" /><Relationship Type="http://schemas.openxmlformats.org/officeDocument/2006/relationships/hyperlink" Target="MAILTO:mvxuereb@gmail.com" TargetMode="External" Id="rId4526" /><Relationship Type="http://schemas.openxmlformats.org/officeDocument/2006/relationships/hyperlink" Target="MAILTO:info@taboneconstructionworks.com" TargetMode="External" Id="rId4527" /><Relationship Type="http://schemas.openxmlformats.org/officeDocument/2006/relationships/hyperlink" Target="MAILTO:hamody.zedan00@gmail.com" TargetMode="External" Id="rId4528" /><Relationship Type="http://schemas.openxmlformats.org/officeDocument/2006/relationships/hyperlink" Target="MAILTO:kbgprojects@hotmail.com" TargetMode="External" Id="rId4529" /><Relationship Type="http://schemas.openxmlformats.org/officeDocument/2006/relationships/hyperlink" Target="MAILTO:amatohomeimprovements@gmail.com" TargetMode="External" Id="rId4530" /><Relationship Type="http://schemas.openxmlformats.org/officeDocument/2006/relationships/hyperlink" Target="MAILTO:camilleri.services@gmail.com" TargetMode="External" Id="rId4531" /><Relationship Type="http://schemas.openxmlformats.org/officeDocument/2006/relationships/hyperlink" Target="MAILTO:info@pisaniconstruction.com" TargetMode="External" Id="rId4532" /><Relationship Type="http://schemas.openxmlformats.org/officeDocument/2006/relationships/hyperlink" Target="MAILTO:Joshua@joshuaturnkey.com" TargetMode="External" Id="rId4533" /><Relationship Type="http://schemas.openxmlformats.org/officeDocument/2006/relationships/hyperlink" Target="https://www.google.com/maps/search/?api=1&amp;query=Hardrocks%20Industrial%20Park%2C%0AL%2FO%20Burmarrad%2C%20Malta" TargetMode="External" Id="rId4534" /><Relationship Type="http://schemas.openxmlformats.org/officeDocument/2006/relationships/hyperlink" Target="https://www.google.com/maps/search/?api=1&amp;query=Triq%20Domenico%20Cachia%2054%0ABirkirkara%2C%20BKR1017%2C%20Malta" TargetMode="External" Id="rId4535" /><Relationship Type="http://schemas.openxmlformats.org/officeDocument/2006/relationships/hyperlink" Target="https://www.google.com/maps/search/?api=1&amp;query=RS%20Construction%0AClover%2C%20Apt%204%20Triq%20Dun%20Karm%20Psaila%2C%0AZebbug%2C%20Malta" TargetMode="External" Id="rId4536" /><Relationship Type="http://schemas.openxmlformats.org/officeDocument/2006/relationships/hyperlink" Target="https://www.google.com/maps/search/?api=1&amp;query=Barbros%20Group%2C%20Tal-Barrani%20Road%2C%20%C5%BBejtun%2C%20%C5%BBTN%209022%2C%20Malta" TargetMode="External" Id="rId4537" /><Relationship Type="http://schemas.openxmlformats.org/officeDocument/2006/relationships/hyperlink" Target="https://www.google.com/maps/search/?api=1&amp;query=Zahra%20Group%2C%20Siggiewi%20Road%20MQB%201630%20Ta%27%20Kandja%2C%20Malta" TargetMode="External" Id="rId4538" /><Relationship Type="http://schemas.openxmlformats.org/officeDocument/2006/relationships/hyperlink" Target="https://www.google.com/maps/search/?api=1&amp;query=Gzira%2C%20Malta" TargetMode="External" Id="rId4539" /><Relationship Type="http://schemas.openxmlformats.org/officeDocument/2006/relationships/hyperlink" Target="https://www.google.com/maps/search/?api=1&amp;query=Attard%20Bros.%20Group%2C%20Industrial%20Zone%2C%0ATa%E2%80%99%20Qali%2C%20ATD%204000%2C%20Malta" TargetMode="External" Id="rId4540" /><Relationship Type="http://schemas.openxmlformats.org/officeDocument/2006/relationships/hyperlink" Target="https://www.google.com/maps/search/?api=1&amp;query=B%26B%20Construction%20Ltd.%0ATriq%20il-Kappella%20ta%E2%80%99%20Santa%20Marija%2C%20Mag%C4%A7tab%20L%2FO%20Naxxar%2C%0ANXR6510%2C%20Malta" TargetMode="External" Id="rId4541" /><Relationship Type="http://schemas.openxmlformats.org/officeDocument/2006/relationships/hyperlink" Target="https://www.google.com/maps/search/?api=1&amp;query=The%20Three%20Arches%0AValletta%20Road%0AMosta.%20MST%209016" TargetMode="External" Id="rId4542" /><Relationship Type="http://schemas.openxmlformats.org/officeDocument/2006/relationships/hyperlink" Target="https://www.google.com/maps/search/?api=1&amp;query=Bonnici%20House%20Sardine%20Street%2C%20Burmarrad%20SPB%206073%20Malta" TargetMode="External" Id="rId4543" /><Relationship Type="http://schemas.openxmlformats.org/officeDocument/2006/relationships/hyperlink" Target="https://www.google.com/maps/search/?api=1&amp;query=ELBROS%20GROUP%0AELBROS%E2%80%99%2C%20TRIQ%20L-INDUSTRIJA%2C%20KKP%209042%20MALTA" TargetMode="External" Id="rId4544" /><Relationship Type="http://schemas.openxmlformats.org/officeDocument/2006/relationships/hyperlink" Target="https://www.google.com/maps/search/?api=1&amp;query=Tal-Maghtab%20Construction%20Co.%20Ltd.%2C%0ARamla%20Road%2C%0AMaghtab%20l%2Fo%20Naxxar" TargetMode="External" Id="rId4545" /><Relationship Type="http://schemas.openxmlformats.org/officeDocument/2006/relationships/hyperlink" Target="https://www.google.com/maps/search/?api=1&amp;query=Hal-Farrug%20Road%2C%20Luqa%2C%20LQA%203078" TargetMode="External" Id="rId4546" /><Relationship Type="http://schemas.openxmlformats.org/officeDocument/2006/relationships/hyperlink" Target="https://www.google.com/maps/search/?api=1&amp;query=AGF%20Turnkey%20Contractors%2C%0AGaline%E2%80%99%2C%20Josmar%20Complex%20Triq%20id-Difiza%20Civili%2C%0AMosta%2C%20Malta%2C%20%20MST%201743" TargetMode="External" Id="rId4547" /><Relationship Type="http://schemas.openxmlformats.org/officeDocument/2006/relationships/hyperlink" Target="https://www.google.com/maps/search/?api=1&amp;query=8%20Triq%20Salvu%20Cacciattolo%20%2C%20Zejtun" TargetMode="External" Id="rId4548" /><Relationship Type="http://schemas.openxmlformats.org/officeDocument/2006/relationships/hyperlink" Target="https://www.google.com/maps/search/?api=1&amp;query=81-83%2C%20Triq%20Baskal%20Buhagiar%20%2C%0AMosta" TargetMode="External" Id="rId4549" /><Relationship Type="http://schemas.openxmlformats.org/officeDocument/2006/relationships/hyperlink" Target="https://www.google.com/maps/search/?api=1&amp;query=AA%20Construction%20Works%0ASt.%20Helen%2C%20Triq%20Caravaggion%2C%20%C4%A6al%20G%C4%A7arg%C4%A7ur" TargetMode="External" Id="rId4550" /><Relationship Type="http://schemas.openxmlformats.org/officeDocument/2006/relationships/hyperlink" Target="https://www.google.com/maps/search/?api=1&amp;query=578%2C%20The%20Four%20Seasons%2C%20Triq%20Il-Qaliet%2C%20Marsaskala" TargetMode="External" Id="rId4551" /><Relationship Type="http://schemas.openxmlformats.org/officeDocument/2006/relationships/hyperlink" Target="https://www.google.com/maps/search/?api=1&amp;query=C%20%26%20S%20Services%0AThe%20Orchid%20Triq%20il-Faqqus%20%2C%0AZejtun%2C%20Malta%20ZTN%204420" TargetMode="External" Id="rId4552" /><Relationship Type="http://schemas.openxmlformats.org/officeDocument/2006/relationships/hyperlink" Target="https://www.google.com/maps/search/?api=1&amp;query=Philip%20Bongailas%0AFarmhouse%20Triq%20tal-Handaq%20Tal-Handaq%20%2C%0AQormi%2C%20Malta%20QRM%204001" TargetMode="External" Id="rId4553" /><Relationship Type="http://schemas.openxmlformats.org/officeDocument/2006/relationships/hyperlink" Target="https://www.google.com/maps/search/?api=1&amp;query=Noel%20Mizzi%0AConstruction%20%26%20Development%0A117%2C%20St%20Joseph%20Street%2C%0APaola" TargetMode="External" Id="rId4554" /><Relationship Type="http://schemas.openxmlformats.org/officeDocument/2006/relationships/hyperlink" Target="https://www.google.com/maps/search/?api=1&amp;query=E.Ciantar%20Construction%0ATriq%20Guzeppi%20Busuttil%20%2C%0ASiggiewi%2C%20Malta" TargetMode="External" Id="rId4555" /><Relationship Type="http://schemas.openxmlformats.org/officeDocument/2006/relationships/hyperlink" Target="https://www.google.com/maps/search/?api=1&amp;query=Azzopardi%20Thomas%20Construction%20Ltd%0ATa%E2%80%99%20Menz%20Cottage%20Triq%20il-Gnien%20%2C%0AGharghur%2C%20Malta" TargetMode="External" Id="rId4556" /><Relationship Type="http://schemas.openxmlformats.org/officeDocument/2006/relationships/hyperlink" Target="https://www.google.com/maps/search/?api=1&amp;query=St.%20Paul%27s%20Bay%2C%20Malta" TargetMode="External" Id="rId4557" /><Relationship Type="http://schemas.openxmlformats.org/officeDocument/2006/relationships/hyperlink" Target="https://www.google.com/maps/search/?api=1&amp;query=Triq%20Mons.%20Mikielang%20Mifsud" TargetMode="External" Id="rId4558" /><Relationship Type="http://schemas.openxmlformats.org/officeDocument/2006/relationships/hyperlink" Target="https://www.google.com/maps/search/?api=1&amp;query=API%20CONTRACTORS%0A91%20Triq%20Hal%20Qormi%20%2C%0AHamrun%20HMR%202183" TargetMode="External" Id="rId4559" /><Relationship Type="http://schemas.openxmlformats.org/officeDocument/2006/relationships/hyperlink" Target="https://www.google.com/maps/search/?api=1&amp;query=Swietenia%20Triq%20il-Bdiewa%20Bidnija%0AMosta%0AMST%205073" TargetMode="External" Id="rId4560" /><Relationship Type="http://schemas.openxmlformats.org/officeDocument/2006/relationships/hyperlink" Target="https://www.google.com/maps/search/?api=1&amp;query=Send%20for%20Isla" TargetMode="External" Id="rId4561" /><Relationship Type="http://schemas.openxmlformats.org/officeDocument/2006/relationships/hyperlink" Target="https://axconstruction.com.mt/" TargetMode="External" Id="rId4562" /><Relationship Type="http://schemas.openxmlformats.org/officeDocument/2006/relationships/hyperlink" Target="https://kibitec.com/" TargetMode="External" Id="rId4563" /><Relationship Type="http://schemas.openxmlformats.org/officeDocument/2006/relationships/hyperlink" Target="https://yellow.com.mt/rs-construction/building-contractors/" TargetMode="External" Id="rId4564" /><Relationship Type="http://schemas.openxmlformats.org/officeDocument/2006/relationships/hyperlink" Target="https://barbrosgroup.com/" TargetMode="External" Id="rId4565" /><Relationship Type="http://schemas.openxmlformats.org/officeDocument/2006/relationships/hyperlink" Target="https://facebook.com/sadevelopments/" TargetMode="External" Id="rId4566" /><Relationship Type="http://schemas.openxmlformats.org/officeDocument/2006/relationships/hyperlink" Target="https://zahragroup.com.mt/" TargetMode="External" Id="rId4567" /><Relationship Type="http://schemas.openxmlformats.org/officeDocument/2006/relationships/hyperlink" Target="https://facebook.com/optimaprojectsmalta/" TargetMode="External" Id="rId4568" /><Relationship Type="http://schemas.openxmlformats.org/officeDocument/2006/relationships/hyperlink" Target="https://facebook.com/profile.php?id=100083372109614" TargetMode="External" Id="rId4569" /><Relationship Type="http://schemas.openxmlformats.org/officeDocument/2006/relationships/hyperlink" Target="https://attardbros.com/" TargetMode="External" Id="rId4570" /><Relationship Type="http://schemas.openxmlformats.org/officeDocument/2006/relationships/hyperlink" Target="https://bbconstruction.mt/" TargetMode="External" Id="rId4571" /><Relationship Type="http://schemas.openxmlformats.org/officeDocument/2006/relationships/hyperlink" Target="https://vassallogroupmalta.com/construction/" TargetMode="External" Id="rId4572" /><Relationship Type="http://schemas.openxmlformats.org/officeDocument/2006/relationships/hyperlink" Target="https://vassallogroupmalta.com/construction/" TargetMode="External" Id="rId4573" /><Relationship Type="http://schemas.openxmlformats.org/officeDocument/2006/relationships/hyperlink" Target="https://elbros.com.mt/" TargetMode="External" Id="rId4574" /><Relationship Type="http://schemas.openxmlformats.org/officeDocument/2006/relationships/hyperlink" Target="https://tmc.com.mt/" TargetMode="External" Id="rId4575" /><Relationship Type="http://schemas.openxmlformats.org/officeDocument/2006/relationships/hyperlink" Target="https://polidano-group.com/home.html" TargetMode="External" Id="rId4576" /><Relationship Type="http://schemas.openxmlformats.org/officeDocument/2006/relationships/hyperlink" Target="https://ogcivilworks.com/" TargetMode="External" Id="rId4577" /><Relationship Type="http://schemas.openxmlformats.org/officeDocument/2006/relationships/hyperlink" Target="https://jslholdingsltd.com/" TargetMode="External" Id="rId4578" /><Relationship Type="http://schemas.openxmlformats.org/officeDocument/2006/relationships/hyperlink" Target="https://fourvcmalta.com/?utm_source=Yellow&amp;utm_medium=Yellow-Website&amp;utm_campaign=Landing-Page" TargetMode="External" Id="rId4579" /><Relationship Type="http://schemas.openxmlformats.org/officeDocument/2006/relationships/hyperlink" Target="https://yellow.com.mt/mifsud-brothers/building-contractors/" TargetMode="External" Id="rId4580" /><Relationship Type="http://schemas.openxmlformats.org/officeDocument/2006/relationships/hyperlink" Target="https://aaconstructionworks.com/?utm_source=Yellow&amp;utm_medium=Yellow-Website&amp;utm_campaign=Landing-Page" TargetMode="External" Id="rId4581" /><Relationship Type="http://schemas.openxmlformats.org/officeDocument/2006/relationships/hyperlink" Target="https://talkarmnu.com.mt/" TargetMode="External" Id="rId4582" /><Relationship Type="http://schemas.openxmlformats.org/officeDocument/2006/relationships/hyperlink" Target="https://yellow.com.mt/c-s-services/building-contractors/" TargetMode="External" Id="rId4583" /><Relationship Type="http://schemas.openxmlformats.org/officeDocument/2006/relationships/hyperlink" Target="https://yellow.com.mt/philip-bongailas/building-contractors/" TargetMode="External" Id="rId4584" /><Relationship Type="http://schemas.openxmlformats.org/officeDocument/2006/relationships/hyperlink" Target="https://noelmizzi.com/?utm_source=Yellow&amp;utm_medium=Yellow-Website&amp;utm_campaign=Landing-Page" TargetMode="External" Id="rId4585" /><Relationship Type="http://schemas.openxmlformats.org/officeDocument/2006/relationships/hyperlink" Target="https://yellow.com.mt/e-ciantar-construction_building-contractors+siggiewi/" TargetMode="External" Id="rId4586" /><Relationship Type="http://schemas.openxmlformats.org/officeDocument/2006/relationships/hyperlink" Target="https://taclimited.net/?utm_source=Yellow&amp;utm_medium=Yellow-Website&amp;utm_campaign=Landing-Page" TargetMode="External" Id="rId4587" /><Relationship Type="http://schemas.openxmlformats.org/officeDocument/2006/relationships/hyperlink" Target="https://leacontractors.com/?utm_source=chatgpt.com" TargetMode="External" Id="rId4588" /><Relationship Type="http://schemas.openxmlformats.org/officeDocument/2006/relationships/hyperlink" Target="https://mtfbonannoltd.com/" TargetMode="External" Id="rId4589" /><Relationship Type="http://schemas.openxmlformats.org/officeDocument/2006/relationships/hyperlink" Target="https://facebook.com/profile.php?id=100064105449582&amp;utm_source=Yellow&amp;utm_medium=Yellow-Website&amp;utm_campaign=Landing-Page" TargetMode="External" Id="rId4590" /><Relationship Type="http://schemas.openxmlformats.org/officeDocument/2006/relationships/hyperlink" Target="https://talbidnijademolitions.com/" TargetMode="External" Id="rId4591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hyperlink" Target="MAILTO:info@aggroup.com.mt" TargetMode="External" Id="rId4592" /><Relationship Type="http://schemas.openxmlformats.org/officeDocument/2006/relationships/hyperlink" Target="MAILTO:caruanareuben@hotmail.co.uk" TargetMode="External" Id="rId4593" /><Relationship Type="http://schemas.openxmlformats.org/officeDocument/2006/relationships/hyperlink" Target="MAILTO:Info@PrimeSolutionsMalta.com" TargetMode="External" Id="rId4594" /><Relationship Type="http://schemas.openxmlformats.org/officeDocument/2006/relationships/hyperlink" Target="MAILTO:jpc590@hotmail.com" TargetMode="External" Id="rId4595" /><Relationship Type="http://schemas.openxmlformats.org/officeDocument/2006/relationships/hyperlink" Target="MAILTO:info@smeagroup.com" TargetMode="External" Id="rId4596" /><Relationship Type="http://schemas.openxmlformats.org/officeDocument/2006/relationships/hyperlink" Target="MAILTO:simonelectrodes@yahoo.com" TargetMode="External" Id="rId4597" /><Relationship Type="http://schemas.openxmlformats.org/officeDocument/2006/relationships/hyperlink" Target="MAILTO:acelectric79@gmail.com" TargetMode="External" Id="rId4598" /><Relationship Type="http://schemas.openxmlformats.org/officeDocument/2006/relationships/hyperlink" Target="MAILTO:db.installationsltd@outlook.com" TargetMode="External" Id="rId4599" /><Relationship Type="http://schemas.openxmlformats.org/officeDocument/2006/relationships/hyperlink" Target="MAILTO:noel.psaila@gmail.com" TargetMode="External" Id="rId4600" /><Relationship Type="http://schemas.openxmlformats.org/officeDocument/2006/relationships/hyperlink" Target="MAILTO:mkmicallef@gmail.com" TargetMode="External" Id="rId4601" /><Relationship Type="http://schemas.openxmlformats.org/officeDocument/2006/relationships/hyperlink" Target="MAILTO:syphase@gmail.com" TargetMode="External" Id="rId4602" /><Relationship Type="http://schemas.openxmlformats.org/officeDocument/2006/relationships/hyperlink" Target="MAILTO:deguarajonathan@gmail.com" TargetMode="External" Id="rId4603" /><Relationship Type="http://schemas.openxmlformats.org/officeDocument/2006/relationships/hyperlink" Target="MAILTO:info@centralpower.com.mt" TargetMode="External" Id="rId4604" /><Relationship Type="http://schemas.openxmlformats.org/officeDocument/2006/relationships/hyperlink" Target="MAILTO:info@emprojectsmalta.com" TargetMode="External" Id="rId4605" /><Relationship Type="http://schemas.openxmlformats.org/officeDocument/2006/relationships/hyperlink" Target="MAILTO:bdi@contractor.net" TargetMode="External" Id="rId4606" /><Relationship Type="http://schemas.openxmlformats.org/officeDocument/2006/relationships/hyperlink" Target="MAILTO:sayca.malta@gmail.com" TargetMode="External" Id="rId4607" /><Relationship Type="http://schemas.openxmlformats.org/officeDocument/2006/relationships/hyperlink" Target="MAILTO:mltproworks@gmail.com" TargetMode="External" Id="rId4608" /><Relationship Type="http://schemas.openxmlformats.org/officeDocument/2006/relationships/hyperlink" Target="MAILTO:massimo.aquilina28@gmail.com" TargetMode="External" Id="rId4609" /><Relationship Type="http://schemas.openxmlformats.org/officeDocument/2006/relationships/hyperlink" Target="MAILTO:taddeobonnici@gmail.com" TargetMode="External" Id="rId4610" /><Relationship Type="http://schemas.openxmlformats.org/officeDocument/2006/relationships/hyperlink" Target="MAILTO:abinstallationsbyformosa@gmail.com" TargetMode="External" Id="rId4611" /><Relationship Type="http://schemas.openxmlformats.org/officeDocument/2006/relationships/hyperlink" Target="MAILTO:jasontabone@hotmail.com" TargetMode="External" Id="rId4612" /><Relationship Type="http://schemas.openxmlformats.org/officeDocument/2006/relationships/hyperlink" Target="MAILTO:falzon9903@gmail.com" TargetMode="External" Id="rId4613" /><Relationship Type="http://schemas.openxmlformats.org/officeDocument/2006/relationships/hyperlink" Target="MAILTO:massimo_oliverio@hotmail.co.uk" TargetMode="External" Id="rId4614" /><Relationship Type="http://schemas.openxmlformats.org/officeDocument/2006/relationships/hyperlink" Target="MAILTO:kevin@cobrainstallations.com" TargetMode="External" Id="rId4615" /><Relationship Type="http://schemas.openxmlformats.org/officeDocument/2006/relationships/hyperlink" Target="MAILTO:felixservices@gmail.com" TargetMode="External" Id="rId4616" /><Relationship Type="http://schemas.openxmlformats.org/officeDocument/2006/relationships/hyperlink" Target="MAILTO:yellowphase@gmail.com" TargetMode="External" Id="rId4617" /><Relationship Type="http://schemas.openxmlformats.org/officeDocument/2006/relationships/hyperlink" Target="MAILTO:kevinzammit1@hotmail.com" TargetMode="External" Id="rId4618" /><Relationship Type="http://schemas.openxmlformats.org/officeDocument/2006/relationships/hyperlink" Target="MAILTO:azzopaaron@gmail.com" TargetMode="External" Id="rId4619" /><Relationship Type="http://schemas.openxmlformats.org/officeDocument/2006/relationships/hyperlink" Target="MAILTO:micor.installations@gmail.com" TargetMode="External" Id="rId4620" /><Relationship Type="http://schemas.openxmlformats.org/officeDocument/2006/relationships/hyperlink" Target="MAILTO:jamesmanicolo87@gmail.com" TargetMode="External" Id="rId4621" /><Relationship Type="http://schemas.openxmlformats.org/officeDocument/2006/relationships/hyperlink" Target="MAILTO:plum.eng.pz@gmail.com" TargetMode="External" Id="rId4622" /><Relationship Type="http://schemas.openxmlformats.org/officeDocument/2006/relationships/hyperlink" Target="MAILTO:lexlexinstallation@gmail.com" TargetMode="External" Id="rId4623" /><Relationship Type="http://schemas.openxmlformats.org/officeDocument/2006/relationships/hyperlink" Target="MAILTO:clifford.callus@gmail.com" TargetMode="External" Id="rId4624" /><Relationship Type="http://schemas.openxmlformats.org/officeDocument/2006/relationships/hyperlink" Target="MAILTO:neiltaboneinstallations@gmail.com" TargetMode="External" Id="rId4625" /><Relationship Type="http://schemas.openxmlformats.org/officeDocument/2006/relationships/hyperlink" Target="MAILTO:taddeobonnici@gmail.com" TargetMode="External" Id="rId4626" /><Relationship Type="http://schemas.openxmlformats.org/officeDocument/2006/relationships/hyperlink" Target="MAILTO:marco@marcovella.com" TargetMode="External" Id="rId4627" /><Relationship Type="http://schemas.openxmlformats.org/officeDocument/2006/relationships/hyperlink" Target="MAILTO:jasontabone@hotmail.com" TargetMode="External" Id="rId4628" /><Relationship Type="http://schemas.openxmlformats.org/officeDocument/2006/relationships/hyperlink" Target="MAILTO:info@mcimalta.com" TargetMode="External" Id="rId4629" /><Relationship Type="http://schemas.openxmlformats.org/officeDocument/2006/relationships/hyperlink" Target="MAILTO:jevgatt@gmail.com" TargetMode="External" Id="rId4630" /><Relationship Type="http://schemas.openxmlformats.org/officeDocument/2006/relationships/hyperlink" Target="MAILTO:keithvella90@gmail.com" TargetMode="External" Id="rId4631" /><Relationship Type="http://schemas.openxmlformats.org/officeDocument/2006/relationships/hyperlink" Target="MAILTO:matthewfarrugiainstallations@gmail.com" TargetMode="External" Id="rId4632" /><Relationship Type="http://schemas.openxmlformats.org/officeDocument/2006/relationships/hyperlink" Target="MAILTO:kurtbservices@gmail.com" TargetMode="External" Id="rId4633" /><Relationship Type="http://schemas.openxmlformats.org/officeDocument/2006/relationships/hyperlink" Target="MAILTO:ea.solutions@hotmail.com" TargetMode="External" Id="rId4634" /><Relationship Type="http://schemas.openxmlformats.org/officeDocument/2006/relationships/hyperlink" Target="MAILTO:info@emiliohandyman.com" TargetMode="External" Id="rId4635" /><Relationship Type="http://schemas.openxmlformats.org/officeDocument/2006/relationships/hyperlink" Target="MAILTO:gleinstallations@gmail.com" TargetMode="External" Id="rId4636" /><Relationship Type="http://schemas.openxmlformats.org/officeDocument/2006/relationships/hyperlink" Target="MAILTO:kspiteri197@gmail.com" TargetMode="External" Id="rId4637" /><Relationship Type="http://schemas.openxmlformats.org/officeDocument/2006/relationships/hyperlink" Target="MAILTO:harryc1@go.net.mt" TargetMode="External" Id="rId4638" /><Relationship Type="http://schemas.openxmlformats.org/officeDocument/2006/relationships/hyperlink" Target="MAILTO:louvassallo@onvol.net" TargetMode="External" Id="rId4639" /><Relationship Type="http://schemas.openxmlformats.org/officeDocument/2006/relationships/hyperlink" Target="MAILTO:gfaenza@gmail.com/Facebook" TargetMode="External" Id="rId4640" /><Relationship Type="http://schemas.openxmlformats.org/officeDocument/2006/relationships/hyperlink" Target="MAILTO:info@mcimalta.com" TargetMode="External" Id="rId4641" /><Relationship Type="http://schemas.openxmlformats.org/officeDocument/2006/relationships/hyperlink" Target="MAILTO:info@melcromalta.com" TargetMode="External" Id="rId4642" /><Relationship Type="http://schemas.openxmlformats.org/officeDocument/2006/relationships/hyperlink" Target="MAILTO:info@engenuity.com.mt" TargetMode="External" Id="rId4643" /><Relationship Type="http://schemas.openxmlformats.org/officeDocument/2006/relationships/hyperlink" Target="MAILTO:info@bonicci.com" TargetMode="External" Id="rId4644" /><Relationship Type="http://schemas.openxmlformats.org/officeDocument/2006/relationships/hyperlink" Target="MAILTO:jasontabone@hotmail.com/Facebook" TargetMode="External" Id="rId4645" /><Relationship Type="http://schemas.openxmlformats.org/officeDocument/2006/relationships/hyperlink" Target="MAILTO:info@rvcltd.com.mt/" TargetMode="External" Id="rId4646" /><Relationship Type="http://schemas.openxmlformats.org/officeDocument/2006/relationships/hyperlink" Target="MAILTO:colinfarrugia.eps@gmail.com" TargetMode="External" Id="rId4647" /><Relationship Type="http://schemas.openxmlformats.org/officeDocument/2006/relationships/hyperlink" Target="MAILTO:kevin@cobrainstallations.com" TargetMode="External" Id="rId4648" /><Relationship Type="http://schemas.openxmlformats.org/officeDocument/2006/relationships/hyperlink" Target="MAILTO:info@mcemalta.com" TargetMode="External" Id="rId4649" /><Relationship Type="http://schemas.openxmlformats.org/officeDocument/2006/relationships/hyperlink" Target="MAILTO:aaron.sil.zammit@gmail.com" TargetMode="External" Id="rId4650" /><Relationship Type="http://schemas.openxmlformats.org/officeDocument/2006/relationships/hyperlink" Target="MAILTO:danastasi.rt@outlook.com" TargetMode="External" Id="rId4651" /><Relationship Type="http://schemas.openxmlformats.org/officeDocument/2006/relationships/hyperlink" Target="MAILTO:falzonjonathan17@gmail.com" TargetMode="External" Id="rId4652" /><Relationship Type="http://schemas.openxmlformats.org/officeDocument/2006/relationships/hyperlink" Target="MAILTO:clint22@live.com" TargetMode="External" Id="rId4653" /><Relationship Type="http://schemas.openxmlformats.org/officeDocument/2006/relationships/hyperlink" Target="MAILTO:alex@gad.com.mt" TargetMode="External" Id="rId4654" /><Relationship Type="http://schemas.openxmlformats.org/officeDocument/2006/relationships/hyperlink" Target="MAILTO:jtabone@jti.com.mt" TargetMode="External" Id="rId4655" /><Relationship Type="http://schemas.openxmlformats.org/officeDocument/2006/relationships/hyperlink" Target="MAILTO:kitonkeith@gmail.com" TargetMode="External" Id="rId4656" /><Relationship Type="http://schemas.openxmlformats.org/officeDocument/2006/relationships/hyperlink" Target="MAILTO:stefan@a1holdings.eu" TargetMode="External" Id="rId4657" /><Relationship Type="http://schemas.openxmlformats.org/officeDocument/2006/relationships/hyperlink" Target="MAILTO:info@aask.com.mt" TargetMode="External" Id="rId4658" /><Relationship Type="http://schemas.openxmlformats.org/officeDocument/2006/relationships/hyperlink" Target="MAILTO:info@abs.mt" TargetMode="External" Id="rId4659" /><Relationship Type="http://schemas.openxmlformats.org/officeDocument/2006/relationships/hyperlink" Target="MAILTO:frankamore.plumber@gmail.com" TargetMode="External" Id="rId4660" /><Relationship Type="http://schemas.openxmlformats.org/officeDocument/2006/relationships/hyperlink" Target="MAILTO:toolboxsolutionss@gmail.com" TargetMode="External" Id="rId4661" /><Relationship Type="http://schemas.openxmlformats.org/officeDocument/2006/relationships/hyperlink" Target="MAILTO:info@chi.com.mt" TargetMode="External" Id="rId4662" /><Relationship Type="http://schemas.openxmlformats.org/officeDocument/2006/relationships/hyperlink" Target="MAILTO:demicolijo@gmail.com" TargetMode="External" Id="rId4663" /><Relationship Type="http://schemas.openxmlformats.org/officeDocument/2006/relationships/hyperlink" Target="MAILTO:ilenia@actsmart.com.mt" TargetMode="External" Id="rId4664" /><Relationship Type="http://schemas.openxmlformats.org/officeDocument/2006/relationships/hyperlink" Target="MAILTO:danastasi.rt@outlook.com" TargetMode="External" Id="rId4665" /><Relationship Type="http://schemas.openxmlformats.org/officeDocument/2006/relationships/hyperlink" Target="MAILTO:ropeaccess77@gmail.com" TargetMode="External" Id="rId4666" /><Relationship Type="http://schemas.openxmlformats.org/officeDocument/2006/relationships/hyperlink" Target="MAILTO:api101069@gmail.com" TargetMode="External" Id="rId4667" /><Relationship Type="http://schemas.openxmlformats.org/officeDocument/2006/relationships/hyperlink" Target="MAILTO:anda@maltanet.net" TargetMode="External" Id="rId4668" /><Relationship Type="http://schemas.openxmlformats.org/officeDocument/2006/relationships/hyperlink" Target="MAILTO:aboutpipes@hotmail.com" TargetMode="External" Id="rId4669" /><Relationship Type="http://schemas.openxmlformats.org/officeDocument/2006/relationships/hyperlink" Target="MAILTO:plumber.malta@gmail.com" TargetMode="External" Id="rId4670" /><Relationship Type="http://schemas.openxmlformats.org/officeDocument/2006/relationships/hyperlink" Target="MAILTO:claudioventa27@gmail.com" TargetMode="External" Id="rId4671" /><Relationship Type="http://schemas.openxmlformats.org/officeDocument/2006/relationships/hyperlink" Target="MAILTO:cristalbath@onvol.net" TargetMode="External" Id="rId4672" /><Relationship Type="http://schemas.openxmlformats.org/officeDocument/2006/relationships/hyperlink" Target="MAILTO:info@fbpmalta.com" TargetMode="External" Id="rId4673" /><Relationship Type="http://schemas.openxmlformats.org/officeDocument/2006/relationships/hyperlink" Target="https://www.google.com/maps/search/?api=1&amp;query=45%2C%20Mirage%20HSE%2C%20Triq%20Santu%20Rokku%2C%20Il-Mosta" TargetMode="External" Id="rId4674" /><Relationship Type="http://schemas.openxmlformats.org/officeDocument/2006/relationships/hyperlink" Target="https://www.google.com/maps/search/?api=1&amp;query=64%2C%20Triq%20Is-Sajjied%2C%20Qawra" TargetMode="External" Id="rId4675" /><Relationship Type="http://schemas.openxmlformats.org/officeDocument/2006/relationships/hyperlink" Target="https://www.google.com/maps/search/?api=1&amp;query=41%2C%20Triq%20Anglu%20Mallia%2C%20Birkirkara" TargetMode="External" Id="rId4676" /><Relationship Type="http://schemas.openxmlformats.org/officeDocument/2006/relationships/hyperlink" Target="https://www.google.com/maps/search/?api=1&amp;query=Moonshadow%2C%20Triq%20Santa%20Margerita%2C%20Is-Siggiewi" TargetMode="External" Id="rId4677" /><Relationship Type="http://schemas.openxmlformats.org/officeDocument/2006/relationships/hyperlink" Target="https://www.google.com/maps/search/?api=1&amp;query=Triq%20Tal-Hlas%2C%20Hal%20Qormi" TargetMode="External" Id="rId4678" /><Relationship Type="http://schemas.openxmlformats.org/officeDocument/2006/relationships/hyperlink" Target="https://www.google.com/maps/search/?api=1&amp;query=Creta%27%2C%20Dawret%20Hal%20Ghaxaq%2C%20Hal%20Ghaxaq" TargetMode="External" Id="rId4679" /><Relationship Type="http://schemas.openxmlformats.org/officeDocument/2006/relationships/hyperlink" Target="https://www.google.com/maps/search/?api=1&amp;query=118%2C%20Crystal%20Heart%2C%20Triq%20Ignazio%20Saverio%20Mifsud%2C%20Birkirkara" TargetMode="External" Id="rId4680" /><Relationship Type="http://schemas.openxmlformats.org/officeDocument/2006/relationships/hyperlink" Target="https://www.google.com/maps/search/?api=1&amp;query=65%2C%20Villa%20Vellas%2C%20Triq%20Dun%20Gorg%20Preca%2C%20Il-Hamrun" TargetMode="External" Id="rId4681" /><Relationship Type="http://schemas.openxmlformats.org/officeDocument/2006/relationships/hyperlink" Target="https://www.google.com/maps/search/?api=1&amp;query=Pergola%2C%20Triq%20Salvu%20Buhagiar%2C%20Bella%20Vista%2C%20Marsaskala%2C%20Malta" TargetMode="External" Id="rId4682" /><Relationship Type="http://schemas.openxmlformats.org/officeDocument/2006/relationships/hyperlink" Target="https://www.google.com/maps/search/?api=1&amp;query=13%2C%20St%20Helen%20House%2C%20Triq%20Il-Kapuccini%2C%20San%20Gwann%2C%20Malta" TargetMode="External" Id="rId4683" /><Relationship Type="http://schemas.openxmlformats.org/officeDocument/2006/relationships/hyperlink" Target="https://www.google.com/maps/search/?api=1&amp;query=MCE%20House%2C%20Triq%20L-Industrija%2C%20Qormi%2C%20Malta" TargetMode="External" Id="rId4684" /><Relationship Type="http://schemas.openxmlformats.org/officeDocument/2006/relationships/hyperlink" Target="https://www.google.com/maps/search/?api=1&amp;query=Cawsli%20Court%2C%20Flt%204%2C%20Triq%20L-Imdina%2C%20Hal%20Qormi%2C%20Malta" TargetMode="External" Id="rId4685" /><Relationship Type="http://schemas.openxmlformats.org/officeDocument/2006/relationships/hyperlink" Target="https://www.google.com/maps/search/?api=1&amp;query=32%2C%20Triq%20il-Battaljun%2C%20Mosta%2C%20Malta%20MST%202721" TargetMode="External" Id="rId4686" /><Relationship Type="http://schemas.openxmlformats.org/officeDocument/2006/relationships/hyperlink" Target="https://www.google.com/maps/search/?api=1&amp;query=Triq%20Tommaso%20Dingli%20%2C%0AB%E2%80%99Kara%2C%20Malta" TargetMode="External" Id="rId4687" /><Relationship Type="http://schemas.openxmlformats.org/officeDocument/2006/relationships/hyperlink" Target="https://www.google.com/maps/search/?api=1&amp;query=%2F" TargetMode="External" Id="rId4688" /><Relationship Type="http://schemas.openxmlformats.org/officeDocument/2006/relationships/hyperlink" Target="https://www.google.com/maps/search/?api=1&amp;query=GAD%20Finishings%0A21%2C%20Triq%20Gellewza%20Sewda%2C%0AMidland%20Park%2C%20D7%0ABurmarrad%20Road%2C%20Burmarrad%20LO%20Naxxar%0AMalta" TargetMode="External" Id="rId4689" /><Relationship Type="http://schemas.openxmlformats.org/officeDocument/2006/relationships/hyperlink" Target="https://www.google.com/maps/search/?api=1&amp;query=E.%20Grech%20Cristal%20Bath%20Ltd.%0APsaila%20Street%2C%0ABirkirkara%2C%20BKR9076%20Malta" TargetMode="External" Id="rId4690" /><Relationship Type="http://schemas.openxmlformats.org/officeDocument/2006/relationships/hyperlink" Target="https://www.google.com/maps/search/?api=1&amp;query=139%2C%20Bajada%20Street%2C%20Zabbar%2C%20Malta" TargetMode="External" Id="rId4691" /><Relationship Type="http://schemas.openxmlformats.org/officeDocument/2006/relationships/hyperlink" Target="https://melcromalta.com" TargetMode="External" Id="rId4692" /><Relationship Type="http://schemas.openxmlformats.org/officeDocument/2006/relationships/hyperlink" Target="https://gad.com.mt/" TargetMode="External" Id="rId4693" /><Relationship Type="http://schemas.openxmlformats.org/officeDocument/2006/relationships/hyperlink" Target="https://egrechcristalbath.com/en/home.htm" TargetMode="External" Id="rId4694" /><Relationship Type="http://schemas.openxmlformats.org/officeDocument/2006/relationships/hyperlink" Target="https://fbpmalta.com/" TargetMode="External" Id="rId4695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hyperlink" Target="MAILTO:sales@maltadiy.com" TargetMode="External" Id="rId4696" /><Relationship Type="http://schemas.openxmlformats.org/officeDocument/2006/relationships/hyperlink" Target="MAILTO:sales@shaker.com.mt" TargetMode="External" Id="rId4697" /><Relationship Type="http://schemas.openxmlformats.org/officeDocument/2006/relationships/hyperlink" Target="MAILTO:info@spotonmalta.com" TargetMode="External" Id="rId4698" /><Relationship Type="http://schemas.openxmlformats.org/officeDocument/2006/relationships/hyperlink" Target="MAILTO:info@solealighting.com" TargetMode="External" Id="rId4699" /><Relationship Type="http://schemas.openxmlformats.org/officeDocument/2006/relationships/hyperlink" Target="MAILTO:sales@lightshopmalta.com" TargetMode="External" Id="rId4700" /><Relationship Type="http://schemas.openxmlformats.org/officeDocument/2006/relationships/hyperlink" Target="MAILTO:info@luxonas.com" TargetMode="External" Id="rId4701" /><Relationship Type="http://schemas.openxmlformats.org/officeDocument/2006/relationships/hyperlink" Target="MAILTO:sales@lingonberries.eu" TargetMode="External" Id="rId4702" /><Relationship Type="http://schemas.openxmlformats.org/officeDocument/2006/relationships/hyperlink" Target="MAILTO:info@ajelectric.com.mt" TargetMode="External" Id="rId4703" /><Relationship Type="http://schemas.openxmlformats.org/officeDocument/2006/relationships/hyperlink" Target="MAILTO:info@vct.com.mt" TargetMode="External" Id="rId4704" /><Relationship Type="http://schemas.openxmlformats.org/officeDocument/2006/relationships/hyperlink" Target="MAILTO:info@lds.com.mt" TargetMode="External" Id="rId4705" /><Relationship Type="http://schemas.openxmlformats.org/officeDocument/2006/relationships/hyperlink" Target="MAILTO:pjelectricalandhardware@gmail.com" TargetMode="External" Id="rId4706" /><Relationship Type="http://schemas.openxmlformats.org/officeDocument/2006/relationships/hyperlink" Target="MAILTO:info@glsmalta.com" TargetMode="External" Id="rId4707" /><Relationship Type="http://schemas.openxmlformats.org/officeDocument/2006/relationships/hyperlink" Target="MAILTO:projects@glow.com.mt" TargetMode="External" Id="rId4708" /><Relationship Type="http://schemas.openxmlformats.org/officeDocument/2006/relationships/hyperlink" Target="MAILTO:info@transientmalta.com" TargetMode="External" Id="rId4709" /><Relationship Type="http://schemas.openxmlformats.org/officeDocument/2006/relationships/hyperlink" Target="MAILTO:info@rgalternatives.com" TargetMode="External" Id="rId4710" /><Relationship Type="http://schemas.openxmlformats.org/officeDocument/2006/relationships/hyperlink" Target="MAILTO:webshop@calleja.com.mt" TargetMode="External" Id="rId4711" /><Relationship Type="http://schemas.openxmlformats.org/officeDocument/2006/relationships/hyperlink" Target="MAILTO:contactus@ess.com.mt" TargetMode="External" Id="rId4712" /><Relationship Type="http://schemas.openxmlformats.org/officeDocument/2006/relationships/hyperlink" Target="MAILTO:orders@ledlightsmalta.com" TargetMode="External" Id="rId4713" /><Relationship Type="http://schemas.openxmlformats.org/officeDocument/2006/relationships/hyperlink" Target="MAILTO:info@brightersolutions.com.mt" TargetMode="External" Id="rId4714" /><Relationship Type="http://schemas.openxmlformats.org/officeDocument/2006/relationships/hyperlink" Target="MAILTO:info@illumitechmalta.com" TargetMode="External" Id="rId4715" /><Relationship Type="http://schemas.openxmlformats.org/officeDocument/2006/relationships/hyperlink" Target="MAILTO:info@elektra.com.mt" TargetMode="External" Id="rId4716" /><Relationship Type="http://schemas.openxmlformats.org/officeDocument/2006/relationships/hyperlink" Target="MAILTO:info@farrugia.com.mt" TargetMode="External" Id="rId4717" /><Relationship Type="http://schemas.openxmlformats.org/officeDocument/2006/relationships/hyperlink" Target="MAILTO:info@hydrolectric.com.mt" TargetMode="External" Id="rId4718" /><Relationship Type="http://schemas.openxmlformats.org/officeDocument/2006/relationships/hyperlink" Target="MAILTO:chrisbltd1@gmail.com" TargetMode="External" Id="rId4719" /><Relationship Type="http://schemas.openxmlformats.org/officeDocument/2006/relationships/hyperlink" Target="MAILTO:sales@imlelectric.com" TargetMode="External" Id="rId4720" /><Relationship Type="http://schemas.openxmlformats.org/officeDocument/2006/relationships/hyperlink" Target="https://www.google.com/maps/search/?api=1&amp;query=Baldacchino%20Building%20B%2C%20Triq%20Il-Belt%20Valletta%2C%20Zurrieq" TargetMode="External" Id="rId4721" /><Relationship Type="http://schemas.openxmlformats.org/officeDocument/2006/relationships/hyperlink" Target="https://www.google.com/maps/search/?api=1&amp;query=3%2C%20Triq%20il%20Gibjun%2C%20San%20Gwann%2C%20SGN%20052%2C%20Malta" TargetMode="External" Id="rId4722" /><Relationship Type="http://schemas.openxmlformats.org/officeDocument/2006/relationships/hyperlink" Target="https://www.google.com/maps/search/?api=1&amp;query=102%20Palm%20Street%2C%0APLA1414%20Paola%20MALTA." TargetMode="External" Id="rId4723" /><Relationship Type="http://schemas.openxmlformats.org/officeDocument/2006/relationships/hyperlink" Target="https://www.google.com/maps/search/?api=1&amp;query=The%20Lightshop%2C%0A68%2C%20Naxxar%20Road%2C%20Birkirkara%2C%0ABKR%209048%2C%20Malta" TargetMode="External" Id="rId4724" /><Relationship Type="http://schemas.openxmlformats.org/officeDocument/2006/relationships/hyperlink" Target="https://www.google.com/maps/search/?api=1&amp;query=Triq%20L-Mdina%2C%20Haz-Zebbug%2C%20ZBG09018" TargetMode="External" Id="rId4725" /><Relationship Type="http://schemas.openxmlformats.org/officeDocument/2006/relationships/hyperlink" Target="https://www.google.com/maps/search/?api=1&amp;query=27%20Triq%20Wignacourt%2C%20Birkirkara" TargetMode="External" Id="rId4726" /><Relationship Type="http://schemas.openxmlformats.org/officeDocument/2006/relationships/hyperlink" Target="https://www.google.com/maps/search/?api=1&amp;query=Salvu%20Psaila%20Street%2C%20Birkirkara" TargetMode="External" Id="rId4727" /><Relationship Type="http://schemas.openxmlformats.org/officeDocument/2006/relationships/hyperlink" Target="https://www.google.com/maps/search/?api=1&amp;query=Triq%20Dun%20Gorg%20Fiteni%0ANaxxar%2C%20NXR%201122%2C%20Malta" TargetMode="External" Id="rId4728" /><Relationship Type="http://schemas.openxmlformats.org/officeDocument/2006/relationships/hyperlink" Target="https://www.google.com/maps/search/?api=1&amp;query=235%2C%20Burmarrad%20Rd%2C%20Burmarrad%2C%20SPB%209062-Malta" TargetMode="External" Id="rId4729" /><Relationship Type="http://schemas.openxmlformats.org/officeDocument/2006/relationships/hyperlink" Target="https://www.google.com/maps/search/?api=1&amp;query=179%2C%20Marina%20Street%2C%20Piet%C3%A0%2C%20Malta" TargetMode="External" Id="rId4730" /><Relationship Type="http://schemas.openxmlformats.org/officeDocument/2006/relationships/hyperlink" Target="https://www.google.com/maps/search/?api=1&amp;query=LTC%20LED%20Lighting%20%0ASt%20Paul%20Street%2C%0ANaxxar%2C%20NXR%204016%0AMalta" TargetMode="External" Id="rId4731" /><Relationship Type="http://schemas.openxmlformats.org/officeDocument/2006/relationships/hyperlink" Target="https://www.google.com/maps/search/?api=1&amp;query=31%2C%20Bishop%20Labini%20Street%2C%20B%27Kara%20BKR%201270%20Malta" TargetMode="External" Id="rId4732" /><Relationship Type="http://schemas.openxmlformats.org/officeDocument/2006/relationships/hyperlink" Target="https://www.google.com/maps/search/?api=1&amp;query=Zone%204%2C%20Central%20Business%20District%2C%20Triq%20San%20Gwakkin%2C%20Birkirkara%20CBD%204030" TargetMode="External" Id="rId4733" /><Relationship Type="http://schemas.openxmlformats.org/officeDocument/2006/relationships/hyperlink" Target="https://www.google.com/maps/search/?api=1&amp;query=Escoupe%20Court%2C%0ABasement%20Garage%20No.%208%2C%0ATriq%20Anton%20Inglott%2C%0AMsida%0AMSD1180" TargetMode="External" Id="rId4734" /><Relationship Type="http://schemas.openxmlformats.org/officeDocument/2006/relationships/hyperlink" Target="https://maltadiy.com/product-category/lights-and-tech/lights/" TargetMode="External" Id="rId4735" /><Relationship Type="http://schemas.openxmlformats.org/officeDocument/2006/relationships/hyperlink" Target="https://shaker.com.mt/" TargetMode="External" Id="rId4736" /><Relationship Type="http://schemas.openxmlformats.org/officeDocument/2006/relationships/hyperlink" Target="https://spotonmalta.com/" TargetMode="External" Id="rId4737" /><Relationship Type="http://schemas.openxmlformats.org/officeDocument/2006/relationships/hyperlink" Target="https://facebook.com/solealighting" TargetMode="External" Id="rId4738" /><Relationship Type="http://schemas.openxmlformats.org/officeDocument/2006/relationships/hyperlink" Target="https://lightshopmalta.com/en/shop/webshop/bycategory/937/name/asc/9/1/lighting.htm" TargetMode="External" Id="rId4739" /><Relationship Type="http://schemas.openxmlformats.org/officeDocument/2006/relationships/hyperlink" Target="https://luxonas.com/" TargetMode="External" Id="rId4740" /><Relationship Type="http://schemas.openxmlformats.org/officeDocument/2006/relationships/hyperlink" Target="https://lingonberries.mt/" TargetMode="External" Id="rId4741" /><Relationship Type="http://schemas.openxmlformats.org/officeDocument/2006/relationships/hyperlink" Target="https://vct.com.mt/" TargetMode="External" Id="rId4742" /><Relationship Type="http://schemas.openxmlformats.org/officeDocument/2006/relationships/hyperlink" Target="https://lds.com.mt/#services" TargetMode="External" Id="rId4743" /><Relationship Type="http://schemas.openxmlformats.org/officeDocument/2006/relationships/hyperlink" Target="https://pjelectricmalta.com/" TargetMode="External" Id="rId4744" /><Relationship Type="http://schemas.openxmlformats.org/officeDocument/2006/relationships/hyperlink" Target="https://glsmalta.com/?page_id=78" TargetMode="External" Id="rId4745" /><Relationship Type="http://schemas.openxmlformats.org/officeDocument/2006/relationships/hyperlink" Target="https://glow.com.mt/" TargetMode="External" Id="rId4746" /><Relationship Type="http://schemas.openxmlformats.org/officeDocument/2006/relationships/hyperlink" Target="https://transientmalta.com/contact-us/" TargetMode="External" Id="rId4747" /><Relationship Type="http://schemas.openxmlformats.org/officeDocument/2006/relationships/hyperlink" Target="https://rgalternatives.com/en/contact/index.html" TargetMode="External" Id="rId4748" /><Relationship Type="http://schemas.openxmlformats.org/officeDocument/2006/relationships/hyperlink" Target="https://calleja.com.mt/contact/" TargetMode="External" Id="rId4749" /><Relationship Type="http://schemas.openxmlformats.org/officeDocument/2006/relationships/hyperlink" Target="https://ess.com.mt/home/contact" TargetMode="External" Id="rId4750" /><Relationship Type="http://schemas.openxmlformats.org/officeDocument/2006/relationships/hyperlink" Target="https://ledlightsmalta.com/index.php?route=information/contact" TargetMode="External" Id="rId4751" /><Relationship Type="http://schemas.openxmlformats.org/officeDocument/2006/relationships/hyperlink" Target="https://brightersolutions.com.mt/contact/" TargetMode="External" Id="rId4752" /><Relationship Type="http://schemas.openxmlformats.org/officeDocument/2006/relationships/hyperlink" Target="https://illumitechmalta.com/pages/contact" TargetMode="External" Id="rId4753" /><Relationship Type="http://schemas.openxmlformats.org/officeDocument/2006/relationships/hyperlink" Target="https://elektra.com.mt/contact-us/" TargetMode="External" Id="rId4754" /><Relationship Type="http://schemas.openxmlformats.org/officeDocument/2006/relationships/hyperlink" Target="https://findit.com.mt/en/directory/listings/8817/farrugia-lighting-andamp-interiors-malta.htm?utm_source=chatgpt.com" TargetMode="External" Id="rId4755" /><Relationship Type="http://schemas.openxmlformats.org/officeDocument/2006/relationships/hyperlink" Target="https://hydrolectric.com.mt/contact/" TargetMode="External" Id="rId4756" /><Relationship Type="http://schemas.openxmlformats.org/officeDocument/2006/relationships/hyperlink" Target="https://yellow.com.mt/sbl-lighting-solutions/light-shops/" TargetMode="External" Id="rId4757" /><Relationship Type="http://schemas.openxmlformats.org/officeDocument/2006/relationships/hyperlink" Target="https://yellow.com.mt/i-m-l-electrical-supplies-ltd/light-shops/" TargetMode="External" Id="rId4758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hyperlink" Target="MAILTO:info@matrixscaffolding.com" TargetMode="External" Id="rId4759" /><Relationship Type="http://schemas.openxmlformats.org/officeDocument/2006/relationships/hyperlink" Target="MAILTO:info@makaw.com.mt" TargetMode="External" Id="rId4760" /><Relationship Type="http://schemas.openxmlformats.org/officeDocument/2006/relationships/hyperlink" Target="MAILTO:reucal01@gmail.com" TargetMode="External" Id="rId4761" /><Relationship Type="http://schemas.openxmlformats.org/officeDocument/2006/relationships/hyperlink" Target="MAILTO:info@vassallogroupmalta.com" TargetMode="External" Id="rId4762" /><Relationship Type="http://schemas.openxmlformats.org/officeDocument/2006/relationships/hyperlink" Target="MAILTO:info@mbfmalta.com" TargetMode="External" Id="rId4763" /><Relationship Type="http://schemas.openxmlformats.org/officeDocument/2006/relationships/hyperlink" Target="MAILTO:sslscaffolding@gmail.com" TargetMode="External" Id="rId4764" /><Relationship Type="http://schemas.openxmlformats.org/officeDocument/2006/relationships/hyperlink" Target="MAILTO:info@ptrmachinery.com" TargetMode="External" Id="rId4765" /><Relationship Type="http://schemas.openxmlformats.org/officeDocument/2006/relationships/hyperlink" Target="MAILTO:info@multitrademalta.com" TargetMode="External" Id="rId4766" /><Relationship Type="http://schemas.openxmlformats.org/officeDocument/2006/relationships/hyperlink" Target="MAILTO:sales@rigscaffolding.com.mt" TargetMode="External" Id="rId4767" /><Relationship Type="http://schemas.openxmlformats.org/officeDocument/2006/relationships/hyperlink" Target="MAILTO:info@farrugiagroup.com" TargetMode="External" Id="rId4768" /><Relationship Type="http://schemas.openxmlformats.org/officeDocument/2006/relationships/hyperlink" Target="MAILTO:superior.malta@gmail.com" TargetMode="External" Id="rId4769" /><Relationship Type="http://schemas.openxmlformats.org/officeDocument/2006/relationships/hyperlink" Target="MAILTO:josephcutajar8@gmail.com" TargetMode="External" Id="rId4770" /><Relationship Type="http://schemas.openxmlformats.org/officeDocument/2006/relationships/hyperlink" Target="MAILTO:maescaffolding@gmail.com" TargetMode="External" Id="rId4771" /><Relationship Type="http://schemas.openxmlformats.org/officeDocument/2006/relationships/hyperlink" Target="MAILTO:gbt@onvol.net" TargetMode="External" Id="rId4772" /><Relationship Type="http://schemas.openxmlformats.org/officeDocument/2006/relationships/hyperlink" Target="MAILTO:bty@go.net.mt" TargetMode="External" Id="rId4773" /><Relationship Type="http://schemas.openxmlformats.org/officeDocument/2006/relationships/hyperlink" Target="MAILTO:arawconstructions@gmail.com" TargetMode="External" Id="rId4774" /><Relationship Type="http://schemas.openxmlformats.org/officeDocument/2006/relationships/hyperlink" Target="MAILTO:nfo@access.com.mt" TargetMode="External" Id="rId4775" /><Relationship Type="http://schemas.openxmlformats.org/officeDocument/2006/relationships/hyperlink" Target="MAILTO:info@agius.com.mt" TargetMode="External" Id="rId4776" /><Relationship Type="http://schemas.openxmlformats.org/officeDocument/2006/relationships/hyperlink" Target="https://www.google.com/maps/search/?api=1&amp;query=Young%20Vella%20Estates%2C%20Plot%204-5%2C%20Triq%20Tal-Handaq%2C%20Handaq%2C%20Qormi%2C%20QRM4000" TargetMode="External" Id="rId4777" /><Relationship Type="http://schemas.openxmlformats.org/officeDocument/2006/relationships/hyperlink" Target="https://www.google.com/maps/search/?api=1&amp;query=%3A%20The%20Warehouse%2C%20Triq%20Hal-Gharghur%2C%20Birkirkara%2C%20BKR%202903" TargetMode="External" Id="rId4778" /><Relationship Type="http://schemas.openxmlformats.org/officeDocument/2006/relationships/hyperlink" Target="https://www.google.com/maps/search/?api=1&amp;query=Zone%201%2C%20Central%20Business%20District%2C%20Triq%20l-Imdina%2C%20Birkirkara%2C%20CBD%201010" TargetMode="External" Id="rId4779" /><Relationship Type="http://schemas.openxmlformats.org/officeDocument/2006/relationships/hyperlink" Target="https://www.google.com/maps/search/?api=1&amp;query=Mosta%2C%20Malta" TargetMode="External" Id="rId4780" /><Relationship Type="http://schemas.openxmlformats.org/officeDocument/2006/relationships/hyperlink" Target="https://www.google.com/maps/search/?api=1&amp;query=70%2C%20Riviera%20Court%2F2%2C%20Triq%20Forrest%2C%20San%20%C4%A0iljan%2C%20STJ%202032" TargetMode="External" Id="rId4781" /><Relationship Type="http://schemas.openxmlformats.org/officeDocument/2006/relationships/hyperlink" Target="https://www.google.com/maps/search/?api=1&amp;query=159%2C%20Triq%20Annibale%20Preca%2C%20%C4%A6al%20Lija" TargetMode="External" Id="rId4782" /><Relationship Type="http://schemas.openxmlformats.org/officeDocument/2006/relationships/hyperlink" Target="https://www.google.com/maps/search/?api=1&amp;query=riq%20il-Gargir%2C%20Rabat%2C%20RBT%204638" TargetMode="External" Id="rId4783" /><Relationship Type="http://schemas.openxmlformats.org/officeDocument/2006/relationships/hyperlink" Target="https://www.google.com/maps/search/?api=1&amp;query=Siggiewi%20Road%2C%20%C5%BBebbu%C4%A1%2C%20ZBG%202301" TargetMode="External" Id="rId4784" /><Relationship Type="http://schemas.openxmlformats.org/officeDocument/2006/relationships/hyperlink" Target="https://www.google.com/maps/search/?api=1&amp;query=Malta" TargetMode="External" Id="rId4785" /><Relationship Type="http://schemas.openxmlformats.org/officeDocument/2006/relationships/hyperlink" Target="https://www.google.com/maps/search/?api=1&amp;query=61%2C%20Triq%20Santa%20Liberata%2C%20Il-Kalkara%2C%20Malta" TargetMode="External" Id="rId4786" /><Relationship Type="http://schemas.openxmlformats.org/officeDocument/2006/relationships/hyperlink" Target="https://www.google.com/maps/search/?api=1&amp;query=Merhba%20Triq%20I-Istefanotis%2CSta%20Lucija%2CMalta%20SLC%201810" TargetMode="External" Id="rId4787" /><Relationship Type="http://schemas.openxmlformats.org/officeDocument/2006/relationships/hyperlink" Target="https://www.google.com/maps/search/?api=1&amp;query=Triq%20tal-Gallu%20%2CFgura%2CMalta%20FGR%201114" TargetMode="External" Id="rId4788" /><Relationship Type="http://schemas.openxmlformats.org/officeDocument/2006/relationships/hyperlink" Target="https://www.google.com/maps/search/?api=1&amp;query=Our%20Dream%20Triq%20in-Nutar%20Zarb%20%2C%0AAttard%2C%20Malta%20ATD%209041" TargetMode="External" Id="rId4789" /><Relationship Type="http://schemas.openxmlformats.org/officeDocument/2006/relationships/hyperlink" Target="https://www.google.com/maps/search/?api=1&amp;query=c%2Fo%20M%20Space%20Triq%20Oscar%20Zammit%20%2C%0AMsida%2C%20Malta%20MSD%201280" TargetMode="External" Id="rId4790" /><Relationship Type="http://schemas.openxmlformats.org/officeDocument/2006/relationships/hyperlink" Target="https://www.google.com/maps/search/?api=1&amp;query=15a%20Triq%20Tonin%20Mallia%20Vernon%20%2C%0AXewkija-Gozo%2C%20Gozo%20XWK%202502" TargetMode="External" Id="rId4791" /><Relationship Type="http://schemas.openxmlformats.org/officeDocument/2006/relationships/hyperlink" Target="https://www.google.com/maps/search/?api=1&amp;query=M4%20Shopping%20Complex%20Triq%20il-Linja%20%2C%0AAttard%2C%20Malta%20ATD%201234" TargetMode="External" Id="rId4792" /><Relationship Type="http://schemas.openxmlformats.org/officeDocument/2006/relationships/hyperlink" Target="https://www.google.com/maps/search/?api=1&amp;query=Triq%20il-Belt%20Valletta%20%2C%0AMqabba%2C%20Malta%20MQB%209019" TargetMode="External" Id="rId4793" /><Relationship Type="http://schemas.openxmlformats.org/officeDocument/2006/relationships/hyperlink" Target="https://matrixscaffolding.com" TargetMode="External" Id="rId4794" /><Relationship Type="http://schemas.openxmlformats.org/officeDocument/2006/relationships/hyperlink" Target="https://makawscaffolding.com" TargetMode="External" Id="rId4795" /><Relationship Type="http://schemas.openxmlformats.org/officeDocument/2006/relationships/hyperlink" Target="https://vassallogroupmalta.com" TargetMode="External" Id="rId4796" /><Relationship Type="http://schemas.openxmlformats.org/officeDocument/2006/relationships/hyperlink" Target="https://mbfmalta.com" TargetMode="External" Id="rId4797" /><Relationship Type="http://schemas.openxmlformats.org/officeDocument/2006/relationships/hyperlink" Target="https://scaffoldingsystemltd.com" TargetMode="External" Id="rId4798" /><Relationship Type="http://schemas.openxmlformats.org/officeDocument/2006/relationships/hyperlink" Target="https://ptrmachinery.com" TargetMode="External" Id="rId4799" /><Relationship Type="http://schemas.openxmlformats.org/officeDocument/2006/relationships/hyperlink" Target="https://multitrademalta.com" TargetMode="External" Id="rId4800" /><Relationship Type="http://schemas.openxmlformats.org/officeDocument/2006/relationships/hyperlink" Target="https://farrugiagroup.com" TargetMode="External" Id="rId4801" /><Relationship Type="http://schemas.openxmlformats.org/officeDocument/2006/relationships/hyperlink" Target="https://facebook.com/people/MAE-scaffolding/100054415933841/&#xA;Suggest update" TargetMode="External" Id="rId4802" /><Relationship Type="http://schemas.openxmlformats.org/officeDocument/2006/relationships/hyperlink" Target="https://facebook.com/GBTMalta/&#xA;Suggest update" TargetMode="External" Id="rId4803" /><Relationship Type="http://schemas.openxmlformats.org/officeDocument/2006/relationships/hyperlink" Target="https://btytrading.com" TargetMode="External" Id="rId4804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hyperlink" Target="MAILTO:info@devalier.com.mt" TargetMode="External" Id="rId4805" /><Relationship Type="http://schemas.openxmlformats.org/officeDocument/2006/relationships/hyperlink" Target="MAILTO:info@devalier.com.mt" TargetMode="External" Id="rId4806" /><Relationship Type="http://schemas.openxmlformats.org/officeDocument/2006/relationships/hyperlink" Target="MAILTO:sales@malta-design.com" TargetMode="External" Id="rId4807" /><Relationship Type="http://schemas.openxmlformats.org/officeDocument/2006/relationships/hyperlink" Target="MAILTO:info@linkprojects.com.mt" TargetMode="External" Id="rId4808" /><Relationship Type="http://schemas.openxmlformats.org/officeDocument/2006/relationships/hyperlink" Target="MAILTO:sales@dimech-ent.com" TargetMode="External" Id="rId4809" /><Relationship Type="http://schemas.openxmlformats.org/officeDocument/2006/relationships/hyperlink" Target="https://www.google.com/maps/search/?api=1&amp;query=The%20Old%20Factory%2C%20San%20Gwakkin%20str%2C%20Mriehel%2CCentral%20Business%20District%20Birkirkara%20CBD%2C%203030" TargetMode="External" Id="rId4810" /><Relationship Type="http://schemas.openxmlformats.org/officeDocument/2006/relationships/hyperlink" Target="https://www.google.com/maps/search/?api=1&amp;query=The%20Old%20Factory%2C%20San%20Gwakkin%20str%2C%20Mriehel%2CCentral%20Business%20District%20Birkirkara%20CBD%2C%203030" TargetMode="External" Id="rId4811" /><Relationship Type="http://schemas.openxmlformats.org/officeDocument/2006/relationships/hyperlink" Target="https://www.google.com/maps/search/?api=1&amp;query=Malta%20Design%0A33%20Triq%20l-Oleandru%20%2C%0ASan%20Giljan%2C%20Malta" TargetMode="External" Id="rId4812" /><Relationship Type="http://schemas.openxmlformats.org/officeDocument/2006/relationships/hyperlink" Target="https://www.google.com/maps/search/?api=1&amp;query=70%2C%20Ta%27%20Xbiex%20Seafront%20%2C%20Msida%2C%20Malta" TargetMode="External" Id="rId4813" /><Relationship Type="http://schemas.openxmlformats.org/officeDocument/2006/relationships/hyperlink" Target="https://www.google.com/maps/search/?api=1&amp;query=Triq%20Valletta%2C%20Luqa%2C%20Malta" TargetMode="External" Id="rId4814" /><Relationship Type="http://schemas.openxmlformats.org/officeDocument/2006/relationships/hyperlink" Target="https://dv.mt/" TargetMode="External" Id="rId4815" /><Relationship Type="http://schemas.openxmlformats.org/officeDocument/2006/relationships/hyperlink" Target="https://dv.mt/" TargetMode="External" Id="rId4816" /><Relationship Type="http://schemas.openxmlformats.org/officeDocument/2006/relationships/hyperlink" Target="https://malta-design.com/en/57007-pergolas" TargetMode="External" Id="rId4817" /><Relationship Type="http://schemas.openxmlformats.org/officeDocument/2006/relationships/hyperlink" Target="https://linkprojects.com.mt/" TargetMode="External" Id="rId4818" /><Relationship Type="http://schemas.openxmlformats.org/officeDocument/2006/relationships/hyperlink" Target="https://dimech-ent.com/" TargetMode="External" Id="rId4819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hyperlink" Target="MAILTO:stakterinacons@outlook.com" TargetMode="External" Id="rId4820" /><Relationship Type="http://schemas.openxmlformats.org/officeDocument/2006/relationships/hyperlink" Target="MAILTO:info@stanthonyww.com" TargetMode="External" Id="rId4821" /><Relationship Type="http://schemas.openxmlformats.org/officeDocument/2006/relationships/hyperlink" Target="MAILTO:info@framegrip.com" TargetMode="External" Id="rId4822" /><Relationship Type="http://schemas.openxmlformats.org/officeDocument/2006/relationships/hyperlink" Target="MAILTO:sales@jlautier.com" TargetMode="External" Id="rId4823" /><Relationship Type="http://schemas.openxmlformats.org/officeDocument/2006/relationships/hyperlink" Target="MAILTO:info@a1finishesltd.com" TargetMode="External" Id="rId4824" /><Relationship Type="http://schemas.openxmlformats.org/officeDocument/2006/relationships/hyperlink" Target="MAILTO:sales@newstylesmalta.com" TargetMode="External" Id="rId4825" /><Relationship Type="http://schemas.openxmlformats.org/officeDocument/2006/relationships/hyperlink" Target="MAILTO:info@grimafurniture.com" TargetMode="External" Id="rId4826" /><Relationship Type="http://schemas.openxmlformats.org/officeDocument/2006/relationships/hyperlink" Target="MAILTO:info@amabilegalea.com" TargetMode="External" Id="rId4827" /><Relationship Type="http://schemas.openxmlformats.org/officeDocument/2006/relationships/hyperlink" Target="MAILTO:info@gozoaluminium.com" TargetMode="External" Id="rId4828" /><Relationship Type="http://schemas.openxmlformats.org/officeDocument/2006/relationships/hyperlink" Target="MAILTO:nu-aluminium@outlook.com" TargetMode="External" Id="rId4829" /><Relationship Type="http://schemas.openxmlformats.org/officeDocument/2006/relationships/hyperlink" Target="MAILTO:info@sfdoorstyles.com.mt" TargetMode="External" Id="rId4830" /><Relationship Type="http://schemas.openxmlformats.org/officeDocument/2006/relationships/hyperlink" Target="MAILTO:parus984@gmail.com" TargetMode="External" Id="rId4831" /><Relationship Type="http://schemas.openxmlformats.org/officeDocument/2006/relationships/hyperlink" Target="MAILTO:info@afdaaluminium.com" TargetMode="External" Id="rId4832" /><Relationship Type="http://schemas.openxmlformats.org/officeDocument/2006/relationships/hyperlink" Target="MAILTO:info@brandimports.com.mt" TargetMode="External" Id="rId4833" /><Relationship Type="http://schemas.openxmlformats.org/officeDocument/2006/relationships/hyperlink" Target="MAILTO:j3alumiunium@gmail.com" TargetMode="External" Id="rId4834" /><Relationship Type="http://schemas.openxmlformats.org/officeDocument/2006/relationships/hyperlink" Target="MAILTO:sgt1183@gmail.com" TargetMode="External" Id="rId4835" /><Relationship Type="http://schemas.openxmlformats.org/officeDocument/2006/relationships/hyperlink" Target="MAILTO:info@nicholas.mt" TargetMode="External" Id="rId4836" /><Relationship Type="http://schemas.openxmlformats.org/officeDocument/2006/relationships/hyperlink" Target="MAILTO:info@ihomes.com.mt" TargetMode="External" Id="rId4837" /><Relationship Type="http://schemas.openxmlformats.org/officeDocument/2006/relationships/hyperlink" Target="MAILTO:abelawoodworks@gmail.com" TargetMode="External" Id="rId4838" /><Relationship Type="http://schemas.openxmlformats.org/officeDocument/2006/relationships/hyperlink" Target="MAILTO:chayron186@gmail.com" TargetMode="External" Id="rId4839" /><Relationship Type="http://schemas.openxmlformats.org/officeDocument/2006/relationships/hyperlink" Target="MAILTO:josefvella72@gmail.com" TargetMode="External" Id="rId4840" /><Relationship Type="http://schemas.openxmlformats.org/officeDocument/2006/relationships/hyperlink" Target="MAILTO:northalu@gmail.com" TargetMode="External" Id="rId4841" /><Relationship Type="http://schemas.openxmlformats.org/officeDocument/2006/relationships/hyperlink" Target="MAILTO:agood.installations@yahoo.com" TargetMode="External" Id="rId4842" /><Relationship Type="http://schemas.openxmlformats.org/officeDocument/2006/relationships/hyperlink" Target="MAILTO:gsf-1200@hotmail.com" TargetMode="External" Id="rId4843" /><Relationship Type="http://schemas.openxmlformats.org/officeDocument/2006/relationships/hyperlink" Target="MAILTO:jsbaluminiumworks@gmail.com" TargetMode="External" Id="rId4844" /><Relationship Type="http://schemas.openxmlformats.org/officeDocument/2006/relationships/hyperlink" Target="MAILTO:classicdesignwoodworks@gmail.com" TargetMode="External" Id="rId4845" /><Relationship Type="http://schemas.openxmlformats.org/officeDocument/2006/relationships/hyperlink" Target="MAILTO:sales@doorsandmore.in" TargetMode="External" Id="rId4846" /><Relationship Type="http://schemas.openxmlformats.org/officeDocument/2006/relationships/hyperlink" Target="MAILTO:mario.camilleri9@gmail.com" TargetMode="External" Id="rId4847" /><Relationship Type="http://schemas.openxmlformats.org/officeDocument/2006/relationships/hyperlink" Target="MAILTO:info@acaluminium.com" TargetMode="External" Id="rId4848" /><Relationship Type="http://schemas.openxmlformats.org/officeDocument/2006/relationships/hyperlink" Target="MAILTO:lexport@go.com.mt" TargetMode="External" Id="rId4849" /><Relationship Type="http://schemas.openxmlformats.org/officeDocument/2006/relationships/hyperlink" Target="MAILTO:sales@adoremore.eu" TargetMode="External" Id="rId4850" /><Relationship Type="http://schemas.openxmlformats.org/officeDocument/2006/relationships/hyperlink" Target="MAILTO:info@acmamalta.com" TargetMode="External" Id="rId4851" /><Relationship Type="http://schemas.openxmlformats.org/officeDocument/2006/relationships/hyperlink" Target="MAILTO:alfalu@melita.com" TargetMode="External" Id="rId4852" /><Relationship Type="http://schemas.openxmlformats.org/officeDocument/2006/relationships/hyperlink" Target="MAILTO:xandrumallia@gmail.com" TargetMode="External" Id="rId4853" /><Relationship Type="http://schemas.openxmlformats.org/officeDocument/2006/relationships/hyperlink" Target="MAILTO:info@alukey.com.mt" TargetMode="External" Id="rId4854" /><Relationship Type="http://schemas.openxmlformats.org/officeDocument/2006/relationships/hyperlink" Target="MAILTO:alultd@go.net.mt" TargetMode="External" Id="rId4855" /><Relationship Type="http://schemas.openxmlformats.org/officeDocument/2006/relationships/hyperlink" Target="MAILTO:info@aluwoodmalta.com" TargetMode="External" Id="rId4856" /><Relationship Type="http://schemas.openxmlformats.org/officeDocument/2006/relationships/hyperlink" Target="MAILTO:andrewvella66@gmail.com" TargetMode="External" Id="rId4857" /><Relationship Type="http://schemas.openxmlformats.org/officeDocument/2006/relationships/hyperlink" Target="MAILTO:azzopardialuminiumworks@gmail.com" TargetMode="External" Id="rId4858" /><Relationship Type="http://schemas.openxmlformats.org/officeDocument/2006/relationships/hyperlink" Target="MAILTO:info@basonaluminium.com" TargetMode="External" Id="rId4859" /><Relationship Type="http://schemas.openxmlformats.org/officeDocument/2006/relationships/hyperlink" Target="MAILTO:borgaluminiummalta@gmail.com" TargetMode="External" Id="rId4860" /><Relationship Type="http://schemas.openxmlformats.org/officeDocument/2006/relationships/hyperlink" Target="MAILTO:henry@bpapertures.com" TargetMode="External" Id="rId4861" /><Relationship Type="http://schemas.openxmlformats.org/officeDocument/2006/relationships/hyperlink" Target="MAILTO:cdsaluminium@gmail.com" TargetMode="External" Id="rId4862" /><Relationship Type="http://schemas.openxmlformats.org/officeDocument/2006/relationships/hyperlink" Target="MAILTO:info@cagroup.com.mt" TargetMode="External" Id="rId4863" /><Relationship Type="http://schemas.openxmlformats.org/officeDocument/2006/relationships/hyperlink" Target="MAILTO:cachiapatrick68@gmail.com" TargetMode="External" Id="rId4864" /><Relationship Type="http://schemas.openxmlformats.org/officeDocument/2006/relationships/hyperlink" Target="MAILTO:sales@tcalu.com" TargetMode="External" Id="rId4865" /><Relationship Type="http://schemas.openxmlformats.org/officeDocument/2006/relationships/hyperlink" Target="MAILTO:mrgmv@onvol.net" TargetMode="External" Id="rId4866" /><Relationship Type="http://schemas.openxmlformats.org/officeDocument/2006/relationships/hyperlink" Target="MAILTO:chocoaluminium@gmail.com" TargetMode="External" Id="rId4867" /><Relationship Type="http://schemas.openxmlformats.org/officeDocument/2006/relationships/hyperlink" Target="MAILTO:info@comforabita.com" TargetMode="External" Id="rId4868" /><Relationship Type="http://schemas.openxmlformats.org/officeDocument/2006/relationships/hyperlink" Target="MAILTO:info@cda.com.mt" TargetMode="External" Id="rId4869" /><Relationship Type="http://schemas.openxmlformats.org/officeDocument/2006/relationships/hyperlink" Target="MAILTO:daniobarbara1977@gmail.com" TargetMode="External" Id="rId4870" /><Relationship Type="http://schemas.openxmlformats.org/officeDocument/2006/relationships/hyperlink" Target="MAILTO:info@deckor.com.mt" TargetMode="External" Id="rId4871" /><Relationship Type="http://schemas.openxmlformats.org/officeDocument/2006/relationships/hyperlink" Target="MAILTO:savdim65@gmail.com" TargetMode="External" Id="rId4872" /><Relationship Type="http://schemas.openxmlformats.org/officeDocument/2006/relationships/hyperlink" Target="MAILTO:info@dinglialuminium.com" TargetMode="External" Id="rId4873" /><Relationship Type="http://schemas.openxmlformats.org/officeDocument/2006/relationships/hyperlink" Target="MAILTO:sales@pvcmalta.com" TargetMode="External" Id="rId4874" /><Relationship Type="http://schemas.openxmlformats.org/officeDocument/2006/relationships/hyperlink" Target="MAILTO:dxaluworks@gmail.com" TargetMode="External" Id="rId4875" /><Relationship Type="http://schemas.openxmlformats.org/officeDocument/2006/relationships/hyperlink" Target="MAILTO:info@expressaluminium.com" TargetMode="External" Id="rId4876" /><Relationship Type="http://schemas.openxmlformats.org/officeDocument/2006/relationships/hyperlink" Target="MAILTO:simdebwebb@hotmail.com" TargetMode="External" Id="rId4877" /><Relationship Type="http://schemas.openxmlformats.org/officeDocument/2006/relationships/hyperlink" Target="MAILTO:sales@finestralmalta.com" TargetMode="External" Id="rId4878" /><Relationship Type="http://schemas.openxmlformats.org/officeDocument/2006/relationships/hyperlink" Target="MAILTO:faworks123@gmail.com" TargetMode="External" Id="rId4879" /><Relationship Type="http://schemas.openxmlformats.org/officeDocument/2006/relationships/hyperlink" Target="MAILTO:azzopardimark8@gmail.com" TargetMode="External" Id="rId4880" /><Relationship Type="http://schemas.openxmlformats.org/officeDocument/2006/relationships/hyperlink" Target="MAILTO:info@alugiorgio.com" TargetMode="External" Id="rId4881" /><Relationship Type="http://schemas.openxmlformats.org/officeDocument/2006/relationships/hyperlink" Target="MAILTO:info@cassarwoodworks.com" TargetMode="External" Id="rId4882" /><Relationship Type="http://schemas.openxmlformats.org/officeDocument/2006/relationships/hyperlink" Target="MAILTO:info@grahamaluminium.com" TargetMode="External" Id="rId4883" /><Relationship Type="http://schemas.openxmlformats.org/officeDocument/2006/relationships/hyperlink" Target="MAILTO:guysmalta@gmail.com" TargetMode="External" Id="rId4884" /><Relationship Type="http://schemas.openxmlformats.org/officeDocument/2006/relationships/hyperlink" Target="MAILTO:horvinltd@gmail.com" TargetMode="External" Id="rId4885" /><Relationship Type="http://schemas.openxmlformats.org/officeDocument/2006/relationships/hyperlink" Target="MAILTO:johnjandb@gmail.com" TargetMode="External" Id="rId4886" /><Relationship Type="http://schemas.openxmlformats.org/officeDocument/2006/relationships/hyperlink" Target="MAILTO:info@jcdaluminium.com" TargetMode="External" Id="rId4887" /><Relationship Type="http://schemas.openxmlformats.org/officeDocument/2006/relationships/hyperlink" Target="MAILTO:jk.aluminium@yahoo.com" TargetMode="External" Id="rId4888" /><Relationship Type="http://schemas.openxmlformats.org/officeDocument/2006/relationships/hyperlink" Target="MAILTO:jborg0408@gmail.com" TargetMode="External" Id="rId4889" /><Relationship Type="http://schemas.openxmlformats.org/officeDocument/2006/relationships/hyperlink" Target="MAILTO:admin@jamarmalta.com" TargetMode="External" Id="rId4890" /><Relationship Type="http://schemas.openxmlformats.org/officeDocument/2006/relationships/hyperlink" Target="MAILTO:info@jasonaluminium.com" TargetMode="External" Id="rId4891" /><Relationship Type="http://schemas.openxmlformats.org/officeDocument/2006/relationships/hyperlink" Target="MAILTO:kkalworks@gmail.com" TargetMode="External" Id="rId4892" /><Relationship Type="http://schemas.openxmlformats.org/officeDocument/2006/relationships/hyperlink" Target="MAILTO:bjorn.vassallo@gmail.com" TargetMode="External" Id="rId4893" /><Relationship Type="http://schemas.openxmlformats.org/officeDocument/2006/relationships/hyperlink" Target="MAILTO:gmuscat@live.com" TargetMode="External" Id="rId4894" /><Relationship Type="http://schemas.openxmlformats.org/officeDocument/2006/relationships/hyperlink" Target="MAILTO:nicdimech@gmail.com" TargetMode="External" Id="rId4895" /><Relationship Type="http://schemas.openxmlformats.org/officeDocument/2006/relationships/hyperlink" Target="MAILTO:info@nigeldimech.com" TargetMode="External" Id="rId4896" /><Relationship Type="http://schemas.openxmlformats.org/officeDocument/2006/relationships/hyperlink" Target="MAILTO:matteo.pisani40@gmail.com" TargetMode="External" Id="rId4897" /><Relationship Type="http://schemas.openxmlformats.org/officeDocument/2006/relationships/hyperlink" Target="MAILTO:gormialum@gmail.com" TargetMode="External" Id="rId4898" /><Relationship Type="http://schemas.openxmlformats.org/officeDocument/2006/relationships/hyperlink" Target="MAILTO:raluminiumworks@hotmail.com" TargetMode="External" Id="rId4899" /><Relationship Type="http://schemas.openxmlformats.org/officeDocument/2006/relationships/hyperlink" Target="MAILTO:rcalworks@gmail.com" TargetMode="External" Id="rId4900" /><Relationship Type="http://schemas.openxmlformats.org/officeDocument/2006/relationships/hyperlink" Target="MAILTO:rapa.aluminium@gmail.com" TargetMode="External" Id="rId4901" /><Relationship Type="http://schemas.openxmlformats.org/officeDocument/2006/relationships/hyperlink" Target="MAILTO:raymondfarrugia74@gmail.com" TargetMode="External" Id="rId4902" /><Relationship Type="http://schemas.openxmlformats.org/officeDocument/2006/relationships/hyperlink" Target="MAILTO:refinedaluworks@gmail.com" TargetMode="External" Id="rId4903" /><Relationship Type="http://schemas.openxmlformats.org/officeDocument/2006/relationships/hyperlink" Target="MAILTO:info@servgroupmalta.com" TargetMode="External" Id="rId4904" /><Relationship Type="http://schemas.openxmlformats.org/officeDocument/2006/relationships/hyperlink" Target="MAILTO:info@sptechniques.com" TargetMode="External" Id="rId4905" /><Relationship Type="http://schemas.openxmlformats.org/officeDocument/2006/relationships/hyperlink" Target="MAILTO:sunaluminium@hotmail.com" TargetMode="External" Id="rId4906" /><Relationship Type="http://schemas.openxmlformats.org/officeDocument/2006/relationships/hyperlink" Target="MAILTO:t.camillerialuminium@hotmail.com" TargetMode="External" Id="rId4907" /><Relationship Type="http://schemas.openxmlformats.org/officeDocument/2006/relationships/hyperlink" Target="MAILTO:tonnaalum@yahoo.com" TargetMode="External" Id="rId4908" /><Relationship Type="http://schemas.openxmlformats.org/officeDocument/2006/relationships/hyperlink" Target="MAILTO:info@towergroupmalta.com" TargetMode="External" Id="rId4909" /><Relationship Type="http://schemas.openxmlformats.org/officeDocument/2006/relationships/hyperlink" Target="MAILTO:info@trendsltdmalta.com" TargetMode="External" Id="rId4910" /><Relationship Type="http://schemas.openxmlformats.org/officeDocument/2006/relationships/hyperlink" Target="MAILTO:valormalta@gmail.com" TargetMode="External" Id="rId4911" /><Relationship Type="http://schemas.openxmlformats.org/officeDocument/2006/relationships/hyperlink" Target="MAILTO:mario@windmillmalta.com" TargetMode="External" Id="rId4912" /><Relationship Type="http://schemas.openxmlformats.org/officeDocument/2006/relationships/hyperlink" Target="MAILTO:luke@woodware.mt" TargetMode="External" Id="rId4913" /><Relationship Type="http://schemas.openxmlformats.org/officeDocument/2006/relationships/hyperlink" Target="MAILTO:zammitalu@gmail.com" TargetMode="External" Id="rId4914" /><Relationship Type="http://schemas.openxmlformats.org/officeDocument/2006/relationships/hyperlink" Target="MAILTO:info@rgroupmt.com" TargetMode="External" Id="rId4915" /><Relationship Type="http://schemas.openxmlformats.org/officeDocument/2006/relationships/hyperlink" Target="MAILTO:info@ddoorcompany.com" TargetMode="External" Id="rId4916" /><Relationship Type="http://schemas.openxmlformats.org/officeDocument/2006/relationships/hyperlink" Target="MAILTO:sales@dimech-ent.com" TargetMode="External" Id="rId4917" /><Relationship Type="http://schemas.openxmlformats.org/officeDocument/2006/relationships/hyperlink" Target="MAILTO:info@fourwalls.com.mt" TargetMode="External" Id="rId4918" /><Relationship Type="http://schemas.openxmlformats.org/officeDocument/2006/relationships/hyperlink" Target="MAILTO:info@sfdoorstyles.com.mt" TargetMode="External" Id="rId4919" /><Relationship Type="http://schemas.openxmlformats.org/officeDocument/2006/relationships/hyperlink" Target="MAILTO:info@domestica.com.mt" TargetMode="External" Id="rId4920" /><Relationship Type="http://schemas.openxmlformats.org/officeDocument/2006/relationships/hyperlink" Target="MAILTO:info@pvc.com.mt" TargetMode="External" Id="rId4921" /><Relationship Type="http://schemas.openxmlformats.org/officeDocument/2006/relationships/hyperlink" Target="MAILTO:info@italtrade.com.mt" TargetMode="External" Id="rId4922" /><Relationship Type="http://schemas.openxmlformats.org/officeDocument/2006/relationships/hyperlink" Target="MAILTO:hello@starfurniture.com.mt" TargetMode="External" Id="rId4923" /><Relationship Type="http://schemas.openxmlformats.org/officeDocument/2006/relationships/hyperlink" Target="MAILTO:sales@powerhousemalta.com.eu" TargetMode="External" Id="rId4924" /><Relationship Type="http://schemas.openxmlformats.org/officeDocument/2006/relationships/hyperlink" Target="MAILTO:sales@pvcmalta.com" TargetMode="External" Id="rId4925" /><Relationship Type="http://schemas.openxmlformats.org/officeDocument/2006/relationships/hyperlink" Target="MAILTO:clients@framegrip.com" TargetMode="External" Id="rId4926" /><Relationship Type="http://schemas.openxmlformats.org/officeDocument/2006/relationships/hyperlink" Target="MAILTO:pdgl@go.net.mt" TargetMode="External" Id="rId4927" /><Relationship Type="http://schemas.openxmlformats.org/officeDocument/2006/relationships/hyperlink" Target="MAILTO:clydeaquil@gmail.com" TargetMode="External" Id="rId4928" /><Relationship Type="http://schemas.openxmlformats.org/officeDocument/2006/relationships/hyperlink" Target="MAILTO:info@alfredbaldacchinoltd.net" TargetMode="External" Id="rId4929" /><Relationship Type="http://schemas.openxmlformats.org/officeDocument/2006/relationships/hyperlink" Target="MAILTO:info@nkwoodworks.com" TargetMode="External" Id="rId4930" /><Relationship Type="http://schemas.openxmlformats.org/officeDocument/2006/relationships/hyperlink" Target="MAILTO:occas2@gmail.com" TargetMode="External" Id="rId4931" /><Relationship Type="http://schemas.openxmlformats.org/officeDocument/2006/relationships/hyperlink" Target="MAILTO:info@grfmalta.com" TargetMode="External" Id="rId4932" /><Relationship Type="http://schemas.openxmlformats.org/officeDocument/2006/relationships/hyperlink" Target="MAILTO:info@casconeporteefinestre.it" TargetMode="External" Id="rId4933" /><Relationship Type="http://schemas.openxmlformats.org/officeDocument/2006/relationships/hyperlink" Target="MAILTO:info@promaninteriors.com" TargetMode="External" Id="rId4934" /><Relationship Type="http://schemas.openxmlformats.org/officeDocument/2006/relationships/hyperlink" Target="MAILTO:sales@maltadiy.com" TargetMode="External" Id="rId4935" /><Relationship Type="http://schemas.openxmlformats.org/officeDocument/2006/relationships/hyperlink" Target="MAILTO:info@cassarwordworks.com" TargetMode="External" Id="rId4936" /><Relationship Type="http://schemas.openxmlformats.org/officeDocument/2006/relationships/hyperlink" Target="MAILTO:info@ddoorcompany.com" TargetMode="External" Id="rId4937" /><Relationship Type="http://schemas.openxmlformats.org/officeDocument/2006/relationships/hyperlink" Target="MAILTO:shop@megastore.com.mt" TargetMode="External" Id="rId4938" /><Relationship Type="http://schemas.openxmlformats.org/officeDocument/2006/relationships/hyperlink" Target="MAILTO:sales@bitmac.mt" TargetMode="External" Id="rId4939" /><Relationship Type="http://schemas.openxmlformats.org/officeDocument/2006/relationships/hyperlink" Target="MAILTO:sales@maltashopper.com" TargetMode="External" Id="rId4940" /><Relationship Type="http://schemas.openxmlformats.org/officeDocument/2006/relationships/hyperlink" Target="MAILTO:sales@brandimports.com.mt" TargetMode="External" Id="rId4941" /><Relationship Type="http://schemas.openxmlformats.org/officeDocument/2006/relationships/hyperlink" Target="MAILTO:sales@newstylesmalta.com" TargetMode="External" Id="rId4942" /><Relationship Type="http://schemas.openxmlformats.org/officeDocument/2006/relationships/hyperlink" Target="MAILTO:info@aluscreens.com" TargetMode="External" Id="rId4943" /><Relationship Type="http://schemas.openxmlformats.org/officeDocument/2006/relationships/hyperlink" Target="MAILTO:sales@dimech-ent.com" TargetMode="External" Id="rId4944" /><Relationship Type="http://schemas.openxmlformats.org/officeDocument/2006/relationships/hyperlink" Target="MAILTO:info@aluagemalta.com" TargetMode="External" Id="rId4945" /><Relationship Type="http://schemas.openxmlformats.org/officeDocument/2006/relationships/hyperlink" Target="MAILTO:info@hirisegroup.com.mt" TargetMode="External" Id="rId4946" /><Relationship Type="http://schemas.openxmlformats.org/officeDocument/2006/relationships/hyperlink" Target="https://www.google.com/maps/search/?api=1&amp;query=8%20Triq%20il-Garra%20Victoria%20Gardens%20L-Ibrag%2C%20Swieqi" TargetMode="External" Id="rId4947" /><Relationship Type="http://schemas.openxmlformats.org/officeDocument/2006/relationships/hyperlink" Target="https://www.google.com/maps/search/?api=1&amp;query=Triq%20il-Kappella%20ta%27%20Santa%20Marija%2C%20Naxxar" TargetMode="External" Id="rId4948" /><Relationship Type="http://schemas.openxmlformats.org/officeDocument/2006/relationships/hyperlink" Target="https://www.google.com/maps/search/?api=1&amp;query=Triq%20il-Fortizza%2C%20Mosta" TargetMode="External" Id="rId4949" /><Relationship Type="http://schemas.openxmlformats.org/officeDocument/2006/relationships/hyperlink" Target="https://www.google.com/maps/search/?api=1&amp;query=Triq%20il-Mosta%2C%20Lija" TargetMode="External" Id="rId4950" /><Relationship Type="http://schemas.openxmlformats.org/officeDocument/2006/relationships/hyperlink" Target="https://www.google.com/maps/search/?api=1&amp;query=Triq%20it-Torri%2C%20Msida" TargetMode="External" Id="rId4951" /><Relationship Type="http://schemas.openxmlformats.org/officeDocument/2006/relationships/hyperlink" Target="https://www.google.com/maps/search/?api=1&amp;query=2%20Triq%20Lorenzo%20Gafa%2C%20Zebbug" TargetMode="External" Id="rId4952" /><Relationship Type="http://schemas.openxmlformats.org/officeDocument/2006/relationships/hyperlink" Target="https://www.google.com/maps/search/?api=1&amp;query=SUB%20030A%20Qasam%20Industrijali%2C%20San%20Gwann" TargetMode="External" Id="rId4953" /><Relationship Type="http://schemas.openxmlformats.org/officeDocument/2006/relationships/hyperlink" Target="https://www.google.com/maps/search/?api=1&amp;query=Zone%202%20Triq%20L-Ghadam%20Central%20Business%20District%2C%20B%27Kara" TargetMode="External" Id="rId4954" /><Relationship Type="http://schemas.openxmlformats.org/officeDocument/2006/relationships/hyperlink" Target="https://www.google.com/maps/search/?api=1&amp;query=34%20Triq%20it-Torri%20San%20Gwann%2C%20Birgu" TargetMode="External" Id="rId4955" /><Relationship Type="http://schemas.openxmlformats.org/officeDocument/2006/relationships/hyperlink" Target="https://www.google.com/maps/search/?api=1&amp;query=Factory%20GZB%202%20Qasam%20Industrijali%2C%20Xewkija-Gozo" TargetMode="External" Id="rId4956" /><Relationship Type="http://schemas.openxmlformats.org/officeDocument/2006/relationships/hyperlink" Target="https://www.google.com/maps/search/?api=1&amp;query=GGX%200021%20Qasam%20Industrijali%2C%20Xewkija-Gozo" TargetMode="External" Id="rId4957" /><Relationship Type="http://schemas.openxmlformats.org/officeDocument/2006/relationships/hyperlink" Target="https://www.google.com/maps/search/?api=1&amp;query=Unit%201%20%26%202%20Qasam%20Industrijali%2C%20Luqa" TargetMode="External" Id="rId4958" /><Relationship Type="http://schemas.openxmlformats.org/officeDocument/2006/relationships/hyperlink" Target="https://www.google.com/maps/search/?api=1&amp;query=31%20Triq%20il-Furnar%2C%20Qormi" TargetMode="External" Id="rId4959" /><Relationship Type="http://schemas.openxmlformats.org/officeDocument/2006/relationships/hyperlink" Target="https://www.google.com/maps/search/?api=1&amp;query=Garage%2010%2C%20Level%20-2%20Sqaq%20il-Mithna%20Triq%20I-Imqabba%2C%20Qrendi" TargetMode="External" Id="rId4960" /><Relationship Type="http://schemas.openxmlformats.org/officeDocument/2006/relationships/hyperlink" Target="https://www.google.com/maps/search/?api=1&amp;query=26%20Triq%20Haz-Zabbar%2C%20Paola" TargetMode="External" Id="rId4961" /><Relationship Type="http://schemas.openxmlformats.org/officeDocument/2006/relationships/hyperlink" Target="https://www.google.com/maps/search/?api=1&amp;query=Triq%20Mro%20Giorgio%20Zarb%20Tal-Handaq%2C%20Qormi" TargetMode="External" Id="rId4962" /><Relationship Type="http://schemas.openxmlformats.org/officeDocument/2006/relationships/hyperlink" Target="https://www.google.com/maps/search/?api=1&amp;query=Triq%20il-Parsott%2C%20Mosta" TargetMode="External" Id="rId4963" /><Relationship Type="http://schemas.openxmlformats.org/officeDocument/2006/relationships/hyperlink" Target="https://www.google.com/maps/search/?api=1&amp;query=33%20Triq%20Angelo%20Melilli%2C%20Zebbug" TargetMode="External" Id="rId4964" /><Relationship Type="http://schemas.openxmlformats.org/officeDocument/2006/relationships/hyperlink" Target="https://www.google.com/maps/search/?api=1&amp;query=No5%20Triq%20Mons%20Alfred%20Mifsud%2C%20B%27Kara" TargetMode="External" Id="rId4965" /><Relationship Type="http://schemas.openxmlformats.org/officeDocument/2006/relationships/hyperlink" Target="https://www.google.com/maps/search/?api=1&amp;query=34%20Triq%20Indri%20Psaila%2C%20Qormi" TargetMode="External" Id="rId4966" /><Relationship Type="http://schemas.openxmlformats.org/officeDocument/2006/relationships/hyperlink" Target="https://www.google.com/maps/search/?api=1&amp;query=Emmarie%20Triq%20id-Dahla%20Ta%27%20San%20Tumas%2C%20M%27Skala" TargetMode="External" Id="rId4967" /><Relationship Type="http://schemas.openxmlformats.org/officeDocument/2006/relationships/hyperlink" Target="https://www.google.com/maps/search/?api=1&amp;query=Garage%2025%20Tal-Barrani%20Industrial%20Estate%20Triq%20il-Belt%20Valletta%2C%20Ghaxaq" TargetMode="External" Id="rId4968" /><Relationship Type="http://schemas.openxmlformats.org/officeDocument/2006/relationships/hyperlink" Target="https://www.google.com/maps/search/?api=1&amp;query=Scorpio%20Triq%20Garcia%20De%20Toledo%20Qawra%2C%20San%20Pawl%20ll-Bahar" TargetMode="External" Id="rId4969" /><Relationship Type="http://schemas.openxmlformats.org/officeDocument/2006/relationships/hyperlink" Target="https://www.google.com/maps/search/?api=1&amp;query=Triq%20San%20Pawl%20ll-Bahar" TargetMode="External" Id="rId4970" /><Relationship Type="http://schemas.openxmlformats.org/officeDocument/2006/relationships/hyperlink" Target="https://www.google.com/maps/search/?api=1&amp;query=197%20Telgha%20tal-Gizwiti%2C%20Marsa" TargetMode="External" Id="rId4971" /><Relationship Type="http://schemas.openxmlformats.org/officeDocument/2006/relationships/hyperlink" Target="https://www.google.com/maps/search/?api=1&amp;query=Triq%20Pawlu%20Mifsud%2C%20Zebbug" TargetMode="External" Id="rId4972" /><Relationship Type="http://schemas.openxmlformats.org/officeDocument/2006/relationships/hyperlink" Target="https://www.google.com/maps/search/?api=1&amp;query=Entrance%204%2C%20Showroom%20No%206%20Triq%20Valletta%2C%20Marsa" TargetMode="External" Id="rId4973" /><Relationship Type="http://schemas.openxmlformats.org/officeDocument/2006/relationships/hyperlink" Target="https://www.google.com/maps/search/?api=1&amp;query=217%20Triq%20Salvu%20Psaila%2C%20B%27Kara" TargetMode="External" Id="rId4974" /><Relationship Type="http://schemas.openxmlformats.org/officeDocument/2006/relationships/hyperlink" Target="https://www.google.com/maps/search/?api=1&amp;query=10%20Triq%20Bingemma%2C%20Nadur-Gozo" TargetMode="External" Id="rId4975" /><Relationship Type="http://schemas.openxmlformats.org/officeDocument/2006/relationships/hyperlink" Target="https://www.google.com/maps/search/?api=1&amp;query=18%20Triq%20Salvinu%20Spiteri%2C%20Sta%20Venera" TargetMode="External" Id="rId4976" /><Relationship Type="http://schemas.openxmlformats.org/officeDocument/2006/relationships/hyperlink" Target="https://www.google.com/maps/search/?api=1&amp;query=124%20Triq%20San%20Gejtanu%2C%20Hamrun" TargetMode="External" Id="rId4977" /><Relationship Type="http://schemas.openxmlformats.org/officeDocument/2006/relationships/hyperlink" Target="https://www.google.com/maps/search/?api=1&amp;query=Triq%20id-Difiza%20Civili%2C%20Mosta" TargetMode="External" Id="rId4978" /><Relationship Type="http://schemas.openxmlformats.org/officeDocument/2006/relationships/hyperlink" Target="https://www.google.com/maps/search/?api=1&amp;query=BLB%20010C%20Qasam%20Industrijali%2C%20Bulebel%2C%20Zejtun" TargetMode="External" Id="rId4979" /><Relationship Type="http://schemas.openxmlformats.org/officeDocument/2006/relationships/hyperlink" Target="https://www.google.com/maps/search/?api=1&amp;query=45%20Stella%20Maris%20Triq%20James%20Smith%20Qawra%2C%20San%20Pawl%20ll-Bahar" TargetMode="External" Id="rId4980" /><Relationship Type="http://schemas.openxmlformats.org/officeDocument/2006/relationships/hyperlink" Target="https://www.google.com/maps/search/?api=1&amp;query=4%20Triq%20il-Lvant%2C%20Zejtun" TargetMode="External" Id="rId4981" /><Relationship Type="http://schemas.openxmlformats.org/officeDocument/2006/relationships/hyperlink" Target="https://www.google.com/maps/search/?api=1&amp;query=57%20Triq%20il-Qasam%20Sperimentali%20Hal%20Farrug%2C%20Luqa" TargetMode="External" Id="rId4982" /><Relationship Type="http://schemas.openxmlformats.org/officeDocument/2006/relationships/hyperlink" Target="https://www.google.com/maps/search/?api=1&amp;query=4%2C%2011%20Triq%20Valletta%20Qasam%20Industrijali%2C%20Marsa" TargetMode="External" Id="rId4983" /><Relationship Type="http://schemas.openxmlformats.org/officeDocument/2006/relationships/hyperlink" Target="https://www.google.com/maps/search/?api=1&amp;query=Plot%20121%2C%20Aluwood%20Bldg%20Triq%20Ha%3B%20Qormi%20Qasam%20Industrijali%2C%20Luqa" TargetMode="External" Id="rId4984" /><Relationship Type="http://schemas.openxmlformats.org/officeDocument/2006/relationships/hyperlink" Target="https://www.google.com/maps/search/?api=1&amp;query=Triq%20in-Naggar%2C%20Mosta" TargetMode="External" Id="rId4985" /><Relationship Type="http://schemas.openxmlformats.org/officeDocument/2006/relationships/hyperlink" Target="https://www.google.com/maps/search/?api=1&amp;query=Garage%207%2C%20Drive%20In%20Triq%20Lydda%2C%20Qormi" TargetMode="External" Id="rId4986" /><Relationship Type="http://schemas.openxmlformats.org/officeDocument/2006/relationships/hyperlink" Target="https://www.google.com/maps/search/?api=1&amp;query=Zone%203%20Triq%20San%20Gwakkin%20Central%20Business%20District%2C%20B%27Kara" TargetMode="External" Id="rId4987" /><Relationship Type="http://schemas.openxmlformats.org/officeDocument/2006/relationships/hyperlink" Target="https://www.google.com/maps/search/?api=1&amp;query=13%2C%20Triq%20Luretu%20Cutajar%2C%20Zebbug%2C%20Haz-Zebbug" TargetMode="External" Id="rId4988" /><Relationship Type="http://schemas.openxmlformats.org/officeDocument/2006/relationships/hyperlink" Target="https://www.google.com/maps/search/?api=1&amp;query=Mdina%20Road%2C%20Zebbug" TargetMode="External" Id="rId4989" /><Relationship Type="http://schemas.openxmlformats.org/officeDocument/2006/relationships/hyperlink" Target="https://www.google.com/maps/search/?api=1&amp;query=Garage%20No%202%20Triq%20tas-Sejba%2C%20Mqabba" TargetMode="External" Id="rId4990" /><Relationship Type="http://schemas.openxmlformats.org/officeDocument/2006/relationships/hyperlink" Target="https://www.google.com/maps/search/?api=1&amp;query=52%2C%20Triq%20Pinto%2C%20Qormi" TargetMode="External" Id="rId4991" /><Relationship Type="http://schemas.openxmlformats.org/officeDocument/2006/relationships/hyperlink" Target="https://www.google.com/maps/search/?api=1&amp;query=Garage%20No%201%20Triq%20Anthony%20John%20Coleiro%20Tal-Handaq%2C%20Qormi" TargetMode="External" Id="rId4992" /><Relationship Type="http://schemas.openxmlformats.org/officeDocument/2006/relationships/hyperlink" Target="https://www.google.com/maps/search/?api=1&amp;query=3%20Triq%20Manwel%20Borg%20Gauci%2C%20Qormi" TargetMode="External" Id="rId4993" /><Relationship Type="http://schemas.openxmlformats.org/officeDocument/2006/relationships/hyperlink" Target="https://www.google.com/maps/search/?api=1&amp;query=16-17%20Waterside%20Place%2C%20Flt%209%20Ix-Xatt%20ta%27%20Qui%20Si-Sana%2C%20Sliema" TargetMode="External" Id="rId4994" /><Relationship Type="http://schemas.openxmlformats.org/officeDocument/2006/relationships/hyperlink" Target="https://www.google.com/maps/search/?api=1&amp;query=10c%20Midland%20Park%20Triq%20Burmarrad%2C%20Naxxar" TargetMode="External" Id="rId4995" /><Relationship Type="http://schemas.openxmlformats.org/officeDocument/2006/relationships/hyperlink" Target="https://www.google.com/maps/search/?api=1&amp;query=Triq%20it-Territorji%2C%20B%27Kara" TargetMode="External" Id="rId4996" /><Relationship Type="http://schemas.openxmlformats.org/officeDocument/2006/relationships/hyperlink" Target="https://www.google.com/maps/search/?api=1&amp;query=Sub%20029A%20Qasam%20Industrijali%2C%20San%20Gwann" TargetMode="External" Id="rId4997" /><Relationship Type="http://schemas.openxmlformats.org/officeDocument/2006/relationships/hyperlink" Target="https://www.google.com/maps/search/?api=1&amp;query=Landscape%20Triq%20Gnien%20Fieres%2C%20Rabat" TargetMode="External" Id="rId4998" /><Relationship Type="http://schemas.openxmlformats.org/officeDocument/2006/relationships/hyperlink" Target="https://www.google.com/maps/search/?api=1&amp;query=114%20Triq%20il-Wied%2C%20B%27Kara" TargetMode="External" Id="rId4999" /><Relationship Type="http://schemas.openxmlformats.org/officeDocument/2006/relationships/hyperlink" Target="https://www.google.com/maps/search/?api=1&amp;query=3%20Triq%20iz-Znuber%2C%20Mosta" TargetMode="External" Id="rId5000" /><Relationship Type="http://schemas.openxmlformats.org/officeDocument/2006/relationships/hyperlink" Target="https://www.google.com/maps/search/?api=1&amp;query=Qasam%20Industrijali%2C%20Tal-Handaq%2C%20Qormi" TargetMode="External" Id="rId5001" /><Relationship Type="http://schemas.openxmlformats.org/officeDocument/2006/relationships/hyperlink" Target="https://www.google.com/maps/search/?api=1&amp;query=52%20Triq%20il-Muzika%2C%20Iklin" TargetMode="External" Id="rId5002" /><Relationship Type="http://schemas.openxmlformats.org/officeDocument/2006/relationships/hyperlink" Target="https://www.google.com/maps/search/?api=1&amp;query=Five%20Star%20Business%20Park%20Triq%20il-Belt%20Valetta%2C%20Ghaxaq" TargetMode="External" Id="rId5003" /><Relationship Type="http://schemas.openxmlformats.org/officeDocument/2006/relationships/hyperlink" Target="https://www.google.com/maps/search/?api=1&amp;query=Express%20Bldg%20Triq%20Gharram%2C%20Zebbug" TargetMode="External" Id="rId5004" /><Relationship Type="http://schemas.openxmlformats.org/officeDocument/2006/relationships/hyperlink" Target="https://www.google.com/maps/search/?api=1&amp;query=Oliand%20Triq%20Anthony%20John%20Coleiro%20Tal-Handaq%2C%20Qormi" TargetMode="External" Id="rId5005" /><Relationship Type="http://schemas.openxmlformats.org/officeDocument/2006/relationships/hyperlink" Target="https://www.google.com/maps/search/?api=1&amp;query=SUB%20029B%20Qasam%20Industrijali%2C%20San%20Gwann" TargetMode="External" Id="rId5006" /><Relationship Type="http://schemas.openxmlformats.org/officeDocument/2006/relationships/hyperlink" Target="https://www.google.com/maps/search/?api=1&amp;query=Garage%20144%20Triq%20San%20Xmun%2C%20Fgura" TargetMode="External" Id="rId5007" /><Relationship Type="http://schemas.openxmlformats.org/officeDocument/2006/relationships/hyperlink" Target="https://www.google.com/maps/search/?api=1&amp;query=263%20Triq%20il-Merhba%2C%20Fgura" TargetMode="External" Id="rId5008" /><Relationship Type="http://schemas.openxmlformats.org/officeDocument/2006/relationships/hyperlink" Target="https://www.google.com/maps/search/?api=1&amp;query=Triq%20Mro%20Giuseppe%20Camilleri%20Tal-Hanhaq%2C%20Qormi" TargetMode="External" Id="rId5009" /><Relationship Type="http://schemas.openxmlformats.org/officeDocument/2006/relationships/hyperlink" Target="https://www.google.com/maps/search/?api=1&amp;query=TQL%20027%20Crafts%20Village%20Ta%27%20Qali%2C%20Attard" TargetMode="External" Id="rId5010" /><Relationship Type="http://schemas.openxmlformats.org/officeDocument/2006/relationships/hyperlink" Target="https://www.google.com/maps/search/?api=1&amp;query=23%20Graham%20Aluminium%20Triq%20John%20Michael%20Testa%20Tal-Handaq%2C%20Qormi" TargetMode="External" Id="rId5011" /><Relationship Type="http://schemas.openxmlformats.org/officeDocument/2006/relationships/hyperlink" Target="https://www.google.com/maps/search/?api=1&amp;query=Drive%20in%20fi%20triq%20il-Belt%20Valletta%2C%20Qormi" TargetMode="External" Id="rId5012" /><Relationship Type="http://schemas.openxmlformats.org/officeDocument/2006/relationships/hyperlink" Target="https://www.google.com/maps/search/?api=1&amp;query=A%2042%20Qasam%20Industrijali%2C%20Marsa" TargetMode="External" Id="rId5013" /><Relationship Type="http://schemas.openxmlformats.org/officeDocument/2006/relationships/hyperlink" Target="https://www.google.com/maps/search/?api=1&amp;query=Qart%20D%27Orange%20Garage%20Trejqet%20il-Wied%2C%20Qormi" TargetMode="External" Id="rId5014" /><Relationship Type="http://schemas.openxmlformats.org/officeDocument/2006/relationships/hyperlink" Target="https://www.google.com/maps/search/?api=1&amp;query=Triq%20I-Imdina%2C%20Zebbug" TargetMode="External" Id="rId5015" /><Relationship Type="http://schemas.openxmlformats.org/officeDocument/2006/relationships/hyperlink" Target="https://www.google.com/maps/search/?api=1&amp;query=13%20Triq%20Mro%20Giorgio%20Zarb%20Tal-Handaq%2C%20Qormi" TargetMode="External" Id="rId5016" /><Relationship Type="http://schemas.openxmlformats.org/officeDocument/2006/relationships/hyperlink" Target="https://www.google.com/maps/search/?api=1&amp;query=John%20Garage%20Triq%20Haz-Zebbug%2C%20Attard" TargetMode="External" Id="rId5017" /><Relationship Type="http://schemas.openxmlformats.org/officeDocument/2006/relationships/hyperlink" Target="https://www.google.com/maps/search/?api=1&amp;query=Sqaq%2011%2C%20Nru%202%20Triq%20Santa%20Lucija%2C%20Naxxar" TargetMode="External" Id="rId5018" /><Relationship Type="http://schemas.openxmlformats.org/officeDocument/2006/relationships/hyperlink" Target="https://www.google.com/maps/search/?api=1&amp;query=110%2C%20Triq%20Dun%20Bartilmew%20Attard%2C%20Zebbug" TargetMode="External" Id="rId5019" /><Relationship Type="http://schemas.openxmlformats.org/officeDocument/2006/relationships/hyperlink" Target="https://www.google.com/maps/search/?api=1&amp;query=KW%2019J%20Qasam%20Industrijali%2C%20Kordin%2C%20Paola" TargetMode="External" Id="rId5020" /><Relationship Type="http://schemas.openxmlformats.org/officeDocument/2006/relationships/hyperlink" Target="https://www.google.com/maps/search/?api=1&amp;query=Oceanis%20Triq%20tas-Sliema%2C%20Gzira" TargetMode="External" Id="rId5021" /><Relationship Type="http://schemas.openxmlformats.org/officeDocument/2006/relationships/hyperlink" Target="https://www.google.com/maps/search/?api=1&amp;query=82%20Triq%20il-Hareb%2C%20Ghaxaq" TargetMode="External" Id="rId5022" /><Relationship Type="http://schemas.openxmlformats.org/officeDocument/2006/relationships/hyperlink" Target="https://www.google.com/maps/search/?api=1&amp;query=12%20Triq%20Wenzu%20Despott%2C%20Tarxien" TargetMode="External" Id="rId5023" /><Relationship Type="http://schemas.openxmlformats.org/officeDocument/2006/relationships/hyperlink" Target="https://www.google.com/maps/search/?api=1&amp;query=Garage%2023%20Triq%20il-Bizzilla%2C%20Ghaxaq" TargetMode="External" Id="rId5024" /><Relationship Type="http://schemas.openxmlformats.org/officeDocument/2006/relationships/hyperlink" Target="https://www.google.com/maps/search/?api=1&amp;query=KKW%20721%2C%20Corradino%20%0AIndustrial%20Estate%0APaola%2C%20PLA%203000%2C%20Malta" TargetMode="External" Id="rId5025" /><Relationship Type="http://schemas.openxmlformats.org/officeDocument/2006/relationships/hyperlink" Target="https://www.google.com/maps/search/?api=1&amp;query=Casa%20Pisani%20Triq%20Pisoniano%2C%20Sannat-Gozo" TargetMode="External" Id="rId5026" /><Relationship Type="http://schemas.openxmlformats.org/officeDocument/2006/relationships/hyperlink" Target="https://www.google.com/maps/search/?api=1&amp;query=Triq%20il-Palazz%20L-Ahmar%2C%20Sta%20Venera" TargetMode="External" Id="rId5027" /><Relationship Type="http://schemas.openxmlformats.org/officeDocument/2006/relationships/hyperlink" Target="https://www.google.com/maps/search/?api=1&amp;query=12%20Triq%20il-Parsott%2C%20Mosta" TargetMode="External" Id="rId5028" /><Relationship Type="http://schemas.openxmlformats.org/officeDocument/2006/relationships/hyperlink" Target="https://www.google.com/maps/search/?api=1&amp;query=43%20Triq%20Dun%20Bartilmew%20Attard%2C%20Zebbug" TargetMode="External" Id="rId5029" /><Relationship Type="http://schemas.openxmlformats.org/officeDocument/2006/relationships/hyperlink" Target="https://www.google.com/maps/search/?api=1&amp;query=New%20Building%20Triq%20id-Dawwara%2C%20Victoria-Gozo" TargetMode="External" Id="rId5030" /><Relationship Type="http://schemas.openxmlformats.org/officeDocument/2006/relationships/hyperlink" Target="https://www.google.com/maps/search/?api=1&amp;query=Triq%20Pietru%20D%27%20Armenia%2C%20Pembroke" TargetMode="External" Id="rId5031" /><Relationship Type="http://schemas.openxmlformats.org/officeDocument/2006/relationships/hyperlink" Target="https://www.google.com/maps/search/?api=1&amp;query=Triq%20I-Imdina%2C%20Zebbug" TargetMode="External" Id="rId5032" /><Relationship Type="http://schemas.openxmlformats.org/officeDocument/2006/relationships/hyperlink" Target="https://www.google.com/maps/search/?api=1&amp;query=KW36%20Qasam%20Indrustrijali%20Kordin%20Paola" TargetMode="External" Id="rId5033" /><Relationship Type="http://schemas.openxmlformats.org/officeDocument/2006/relationships/hyperlink" Target="https://www.google.com/maps/search/?api=1&amp;query=Zone%202%20Triq%20ll-Ghain%20Central%20Business%20District%2C%20B%27Kara" TargetMode="External" Id="rId5034" /><Relationship Type="http://schemas.openxmlformats.org/officeDocument/2006/relationships/hyperlink" Target="https://www.google.com/maps/search/?api=1&amp;query=F18%2C%20Lower%20Level%20Midland%20Industrial%20Oark%20Triq%20Burmarrad%2C%20Naxxar" TargetMode="External" Id="rId5035" /><Relationship Type="http://schemas.openxmlformats.org/officeDocument/2006/relationships/hyperlink" Target="https://www.google.com/maps/search/?api=1&amp;query=23%20Triq%20Angelo%20Melilli%2C%20Zebbug" TargetMode="External" Id="rId5036" /><Relationship Type="http://schemas.openxmlformats.org/officeDocument/2006/relationships/hyperlink" Target="https://www.google.com/maps/search/?api=1&amp;query=8%20Triq%20ll-Madonna%20Ta%27%20Pompej%2C%20B%27Kara" TargetMode="External" Id="rId5037" /><Relationship Type="http://schemas.openxmlformats.org/officeDocument/2006/relationships/hyperlink" Target="https://www.google.com/maps/search/?api=1&amp;query=29%20Triq%20E%20Attard%20Bezzina%2C%20Zejtun" TargetMode="External" Id="rId5038" /><Relationship Type="http://schemas.openxmlformats.org/officeDocument/2006/relationships/hyperlink" Target="https://www.google.com/maps/search/?api=1&amp;query=Towe%20Buildings%20Triq%20Graham%2C%20Zebbug" TargetMode="External" Id="rId5039" /><Relationship Type="http://schemas.openxmlformats.org/officeDocument/2006/relationships/hyperlink" Target="https://www.google.com/maps/search/?api=1&amp;query=KK%20011%20Qasam%20Industrijali%2C%20Kordin%2C%20Paola" TargetMode="External" Id="rId5040" /><Relationship Type="http://schemas.openxmlformats.org/officeDocument/2006/relationships/hyperlink" Target="https://www.google.com/maps/search/?api=1&amp;query=Triq%20l-isturnell%20Roza%2C%20Hal%20Luqa%2C%20Malta" TargetMode="External" Id="rId5041" /><Relationship Type="http://schemas.openxmlformats.org/officeDocument/2006/relationships/hyperlink" Target="https://www.google.com/maps/search/?api=1&amp;query=MRA%20053%20Qasam%20Industrijali%2C%20Marsa" TargetMode="External" Id="rId5042" /><Relationship Type="http://schemas.openxmlformats.org/officeDocument/2006/relationships/hyperlink" Target="https://www.google.com/maps/search/?api=1&amp;query=77%20Triq%20il-Ballut%20Qasam%20Industrijali%2C%20Mosta" TargetMode="External" Id="rId5043" /><Relationship Type="http://schemas.openxmlformats.org/officeDocument/2006/relationships/hyperlink" Target="https://www.google.com/maps/search/?api=1&amp;query=A8%20Qasam%20Industrijali%2C%20Marsa" TargetMode="External" Id="rId5044" /><Relationship Type="http://schemas.openxmlformats.org/officeDocument/2006/relationships/hyperlink" Target="https://www.google.com/maps/search/?api=1&amp;query=Sqaq%20Privat%20Triq%20tal-Ghajn%2C%20Fontana-Gozo" TargetMode="External" Id="rId5045" /><Relationship Type="http://schemas.openxmlformats.org/officeDocument/2006/relationships/hyperlink" Target="https://www.google.com/maps/search/?api=1&amp;query=128%20old%20Railway%20Track%20%2C%20Santa%20venera%20%2C%20Malta" TargetMode="External" Id="rId5046" /><Relationship Type="http://schemas.openxmlformats.org/officeDocument/2006/relationships/hyperlink" Target="https://www.google.com/maps/search/?api=1&amp;query=Centre%20point%20%2C%20Triq%20Valleta%20%2C%20Luqa%20%20LQA%201762%20%2C%20Malta" TargetMode="External" Id="rId5047" /><Relationship Type="http://schemas.openxmlformats.org/officeDocument/2006/relationships/hyperlink" Target="https://www.google.com/maps/search/?api=1&amp;query=Triq%20il-Kappillan%20Mifsud%20%2C%20Santa%20venera%20%2C%20Malta" TargetMode="External" Id="rId5048" /><Relationship Type="http://schemas.openxmlformats.org/officeDocument/2006/relationships/hyperlink" Target="https://www.google.com/maps/search/?api=1&amp;query=Unit%201%262%2C%20Industrial%20Estate%20Luqa%20MT%20LQA%203000%2C%20%C4%A6al%20Luqa" TargetMode="External" Id="rId5049" /><Relationship Type="http://schemas.openxmlformats.org/officeDocument/2006/relationships/hyperlink" Target="https://www.google.com/maps/search/?api=1&amp;query=Domestica%20Complex%2C%20Level%201%20%2CValley%20road%20%2C%20Msida%20%20MSD%209091%20%2CMalta" TargetMode="External" Id="rId5050" /><Relationship Type="http://schemas.openxmlformats.org/officeDocument/2006/relationships/hyperlink" Target="https://www.google.com/maps/search/?api=1&amp;query=8%20Garra%2C%20Is-Swieqi" TargetMode="External" Id="rId5051" /><Relationship Type="http://schemas.openxmlformats.org/officeDocument/2006/relationships/hyperlink" Target="https://www.google.com/maps/search/?api=1&amp;query=WC4R%2B335%2C%20Triq%20il-mosta%2C%20Lija%20LJA%209010" TargetMode="External" Id="rId5052" /><Relationship Type="http://schemas.openxmlformats.org/officeDocument/2006/relationships/hyperlink" Target="https://www.google.com/maps/search/?api=1&amp;query=73%20Sir%20Arthur%20Burton%20Street%2C%20Mosta%20MST%201883%2C%20Malta" TargetMode="External" Id="rId5053" /><Relationship Type="http://schemas.openxmlformats.org/officeDocument/2006/relationships/hyperlink" Target="https://www.google.com/maps/search/?api=1&amp;query=13%20Censu%20Bugeja%20Street%20%2C%20Birkirkara%20%2C%20Malta" TargetMode="External" Id="rId5054" /><Relationship Type="http://schemas.openxmlformats.org/officeDocument/2006/relationships/hyperlink" Target="https://www.google.com/maps/search/?api=1&amp;query=52%2CTriq%20ll-Muzika%20%2C%20L-Lkin%20%2C%20Malta%20IKL%201091" TargetMode="External" Id="rId5055" /><Relationship Type="http://schemas.openxmlformats.org/officeDocument/2006/relationships/hyperlink" Target="https://www.google.com/maps/search/?api=1&amp;query=Triq%20Il-Mosta%2C%20Hal%20Lija%2C%20Malta%20LJA%209010" TargetMode="External" Id="rId5056" /><Relationship Type="http://schemas.openxmlformats.org/officeDocument/2006/relationships/hyperlink" Target="https://www.google.com/maps/search/?api=1&amp;query=triq%20-il%20kappar%20%2C%20ll-Mosta%20%2C%20Malta%20MST%2003" TargetMode="External" Id="rId5057" /><Relationship Type="http://schemas.openxmlformats.org/officeDocument/2006/relationships/hyperlink" Target="https://www.google.com/maps/search/?api=1&amp;query=Triq%20Mastru%20Gorg%20Cachia%2C%20Tal-%C4%A6andaq%2C%20%C4%A6al%20Qormi%2C%20Malta%20QRM%204000" TargetMode="External" Id="rId5058" /><Relationship Type="http://schemas.openxmlformats.org/officeDocument/2006/relationships/hyperlink" Target="https://www.google.com/maps/search/?api=1&amp;query=166-167%2C%20Qasam%20Industrijali%20Ta%27%20Hal%20Luqa%2C%20Hal%20Luqa%2C%20Malta" TargetMode="External" Id="rId5059" /><Relationship Type="http://schemas.openxmlformats.org/officeDocument/2006/relationships/hyperlink" Target="https://www.google.com/maps/search/?api=1&amp;query=Triq%20Valletta%20Triq%20Gdida%20Fi%2C%20Hal%20Luqa%2C%20Malta" TargetMode="External" Id="rId5060" /><Relationship Type="http://schemas.openxmlformats.org/officeDocument/2006/relationships/hyperlink" Target="https://www.google.com/maps/search/?api=1&amp;query=No%207%2C%20Triq%20Il-Ballut%2C%20Il-Mosta%2C%20Malta" TargetMode="External" Id="rId5061" /><Relationship Type="http://schemas.openxmlformats.org/officeDocument/2006/relationships/hyperlink" Target="https://www.google.com/maps/search/?api=1&amp;query=106%2C%20Qasam%20Industrijali%20Ta%27%20Hal-Farrug%2C%20Hal%20Luqa%2C%20Hal%20Farrug%2C%20Malta" TargetMode="External" Id="rId5062" /><Relationship Type="http://schemas.openxmlformats.org/officeDocument/2006/relationships/hyperlink" Target="https://www.google.com/maps/search/?api=1&amp;query=117%20Triq%20L-Assemblea%20Nazzjonali%2C%0ASan%20Gwann%20SGN%203034%2C%20Malta" TargetMode="External" Id="rId5063" /><Relationship Type="http://schemas.openxmlformats.org/officeDocument/2006/relationships/hyperlink" Target="https://www.google.com/maps/search/?api=1&amp;query=Msida%20Valley%20Road%2C%20BKR9022%20Birkirkara%20-%20Malta" TargetMode="External" Id="rId5064" /><Relationship Type="http://schemas.openxmlformats.org/officeDocument/2006/relationships/hyperlink" Target="https://www.google.com/maps/search/?api=1&amp;query=Proman%20Interiors%2C%0A115%2C%20Valley%20Road%2C%0AB%27Kara.%20BKR%209022.%0AMalta." TargetMode="External" Id="rId5065" /><Relationship Type="http://schemas.openxmlformats.org/officeDocument/2006/relationships/hyperlink" Target="https://www.google.com/maps/search/?api=1&amp;query=Baldacchino%20Building%20B%2C%20Triq%20Il-Belt%20Valletta%2C%20Zurrieq" TargetMode="External" Id="rId5066" /><Relationship Type="http://schemas.openxmlformats.org/officeDocument/2006/relationships/hyperlink" Target="https://www.google.com/maps/search/?api=1&amp;query=Plot%20TQL027%2C%20Crafts%20Village%2C%20Ta%27Qali%2C%20ATD%204000%2C%20Malta" TargetMode="External" Id="rId5067" /><Relationship Type="http://schemas.openxmlformats.org/officeDocument/2006/relationships/hyperlink" Target="https://www.google.com/maps/search/?api=1&amp;query=128%20Old%20Railway%20Track%2C%20Santa%20Venera" TargetMode="External" Id="rId5068" /><Relationship Type="http://schemas.openxmlformats.org/officeDocument/2006/relationships/hyperlink" Target="https://www.google.com/maps/search/?api=1&amp;query=Warehouse%20No.%2025%2C%20Hard%20Rocks%20Industrial%20Park%2C%20Burmarrad%20Road%2C%20Naxxar%2C%20Malta" TargetMode="External" Id="rId5069" /><Relationship Type="http://schemas.openxmlformats.org/officeDocument/2006/relationships/hyperlink" Target="https://www.google.com/maps/search/?api=1&amp;query=Bitmac%20Ltd.%0ATal-Balal%20Road%2C%0AIklin%2C%20IKL%209013%0AMalta" TargetMode="External" Id="rId5070" /><Relationship Type="http://schemas.openxmlformats.org/officeDocument/2006/relationships/hyperlink" Target="https://www.google.com/maps/search/?api=1&amp;query=162%20Cannon%20Road%2C%20Santa%20Venera%2C%20Malta" TargetMode="External" Id="rId5071" /><Relationship Type="http://schemas.openxmlformats.org/officeDocument/2006/relationships/hyperlink" Target="https://www.google.com/maps/search/?api=1&amp;query=Showroom%2026%2C%20Triq%20Haz-Zabbar%2C%20Paola%2C%20Malta" TargetMode="External" Id="rId5072" /><Relationship Type="http://schemas.openxmlformats.org/officeDocument/2006/relationships/hyperlink" Target="https://www.google.com/maps/search/?api=1&amp;query=SUB%20030A%2C%20Qasam%20Industrijali%2C%20San%20%C4%A0wann%2C%20SGN%203000%2C%20Malta" TargetMode="External" Id="rId5073" /><Relationship Type="http://schemas.openxmlformats.org/officeDocument/2006/relationships/hyperlink" Target="https://www.google.com/maps/search/?api=1&amp;query=Mdina%20Road%2C%20%C5%BBebbu%C4%A1%2C%20ZBG%2001%2C%20Malta" TargetMode="External" Id="rId5074" /><Relationship Type="http://schemas.openxmlformats.org/officeDocument/2006/relationships/hyperlink" Target="https://www.google.com/maps/search/?api=1&amp;query=Centre%20Point%2C%20Triq%20Valletta%2C%20%C4%A6al%20Luqa%2C%20LQA%201762%2C%20Malta" TargetMode="External" Id="rId5075" /><Relationship Type="http://schemas.openxmlformats.org/officeDocument/2006/relationships/hyperlink" Target="https://www.google.com/maps/search/?api=1&amp;query=%3A%20Triq%20id-Dejma%2C%20Tarxien%2C%20Malta" TargetMode="External" Id="rId5076" /><Relationship Type="http://schemas.openxmlformats.org/officeDocument/2006/relationships/hyperlink" Target="https://www.google.com/maps/search/?api=1&amp;query=Handaq%2C%20Malta" TargetMode="External" Id="rId5077" /><Relationship Type="http://schemas.openxmlformats.org/officeDocument/2006/relationships/hyperlink" Target="https://pvc.com.mt" TargetMode="External" Id="rId5078" /><Relationship Type="http://schemas.openxmlformats.org/officeDocument/2006/relationships/hyperlink" Target="https://kbstructuresltd.com" TargetMode="External" Id="rId5079" /><Relationship Type="http://schemas.openxmlformats.org/officeDocument/2006/relationships/hyperlink" Target="https://stanthonyww.com" TargetMode="External" Id="rId5080" /><Relationship Type="http://schemas.openxmlformats.org/officeDocument/2006/relationships/hyperlink" Target="https://framegrip.com" TargetMode="External" Id="rId5081" /><Relationship Type="http://schemas.openxmlformats.org/officeDocument/2006/relationships/hyperlink" Target="https://jlautier.com" TargetMode="External" Id="rId5082" /><Relationship Type="http://schemas.openxmlformats.org/officeDocument/2006/relationships/hyperlink" Target="https://newstylesmalta.com" TargetMode="External" Id="rId5083" /><Relationship Type="http://schemas.openxmlformats.org/officeDocument/2006/relationships/hyperlink" Target="https://grimafurniture.com" TargetMode="External" Id="rId5084" /><Relationship Type="http://schemas.openxmlformats.org/officeDocument/2006/relationships/hyperlink" Target="https://amabilegalea.com" TargetMode="External" Id="rId5085" /><Relationship Type="http://schemas.openxmlformats.org/officeDocument/2006/relationships/hyperlink" Target="https://facebook.com/GozoAluminium/" TargetMode="External" Id="rId5086" /><Relationship Type="http://schemas.openxmlformats.org/officeDocument/2006/relationships/hyperlink" Target="https://facebook.com/p/Nu-Aluminium-100064044373074/" TargetMode="External" Id="rId5087" /><Relationship Type="http://schemas.openxmlformats.org/officeDocument/2006/relationships/hyperlink" Target="https://sfdoorstyle.com.mt" TargetMode="External" Id="rId5088" /><Relationship Type="http://schemas.openxmlformats.org/officeDocument/2006/relationships/hyperlink" Target="https://afdaaluminium.com" TargetMode="External" Id="rId5089" /><Relationship Type="http://schemas.openxmlformats.org/officeDocument/2006/relationships/hyperlink" Target="https://brandimports.com.mt" TargetMode="External" Id="rId5090" /><Relationship Type="http://schemas.openxmlformats.org/officeDocument/2006/relationships/hyperlink" Target="https://j3alumiuniumworks.com" TargetMode="External" Id="rId5091" /><Relationship Type="http://schemas.openxmlformats.org/officeDocument/2006/relationships/hyperlink" Target="https://sgt1183woodworks.com" TargetMode="External" Id="rId5092" /><Relationship Type="http://schemas.openxmlformats.org/officeDocument/2006/relationships/hyperlink" Target="https://nicholas.mt" TargetMode="External" Id="rId5093" /><Relationship Type="http://schemas.openxmlformats.org/officeDocument/2006/relationships/hyperlink" Target="https://facebook.com/ihomes" TargetMode="External" Id="rId5094" /><Relationship Type="http://schemas.openxmlformats.org/officeDocument/2006/relationships/hyperlink" Target="https://abelawoodworks.wixsite.com/abelawoodworks?utm_source=Yellow&amp;utm_medium=Yellow-Website&amp;utm_campaign=Landing-Page" TargetMode="External" Id="rId5095" /><Relationship Type="http://schemas.openxmlformats.org/officeDocument/2006/relationships/hyperlink" Target="https://facebook.com/p/Melvin-Aluminium-works-100057483907699/" TargetMode="External" Id="rId5096" /><Relationship Type="http://schemas.openxmlformats.org/officeDocument/2006/relationships/hyperlink" Target="https://facebook.com/p/Josef-Aluminium-Metal-Works-100054319188613/" TargetMode="External" Id="rId5097" /><Relationship Type="http://schemas.openxmlformats.org/officeDocument/2006/relationships/hyperlink" Target="https://facebook.com/people/Northalu/100055070154471/?utm_source=Yellow&amp;utm_medium=Yellow-Website&amp;utm_campaign=Landing-Page#" TargetMode="External" Id="rId5098" /><Relationship Type="http://schemas.openxmlformats.org/officeDocument/2006/relationships/hyperlink" Target="https://agoodchildinstallations.com" TargetMode="External" Id="rId5099" /><Relationship Type="http://schemas.openxmlformats.org/officeDocument/2006/relationships/hyperlink" Target="https://facebook.com/jsbaluminium.works" TargetMode="External" Id="rId5100" /><Relationship Type="http://schemas.openxmlformats.org/officeDocument/2006/relationships/hyperlink" Target="https://classicdesignwoodworksmalta.com" TargetMode="External" Id="rId5101" /><Relationship Type="http://schemas.openxmlformats.org/officeDocument/2006/relationships/hyperlink" Target="https://facebook.com/doorsand.more.3" TargetMode="External" Id="rId5102" /><Relationship Type="http://schemas.openxmlformats.org/officeDocument/2006/relationships/hyperlink" Target="https://adoremore.com.mt" TargetMode="External" Id="rId5103" /><Relationship Type="http://schemas.openxmlformats.org/officeDocument/2006/relationships/hyperlink" Target="https://acmamalta.com" TargetMode="External" Id="rId5104" /><Relationship Type="http://schemas.openxmlformats.org/officeDocument/2006/relationships/hyperlink" Target="https://facebook.com/alukeyaluminium" TargetMode="External" Id="rId5105" /><Relationship Type="http://schemas.openxmlformats.org/officeDocument/2006/relationships/hyperlink" Target="https://aluminium-ltd.business.site" TargetMode="External" Id="rId5106" /><Relationship Type="http://schemas.openxmlformats.org/officeDocument/2006/relationships/hyperlink" Target="https://facebook.com/AluwoodCoLtd" TargetMode="External" Id="rId5107" /><Relationship Type="http://schemas.openxmlformats.org/officeDocument/2006/relationships/hyperlink" Target="https://facebook.com/people/Andrew-vella-aluminium/100064883072627/" TargetMode="External" Id="rId5108" /><Relationship Type="http://schemas.openxmlformats.org/officeDocument/2006/relationships/hyperlink" Target="https://facebook.com/azzopardialum" TargetMode="External" Id="rId5109" /><Relationship Type="http://schemas.openxmlformats.org/officeDocument/2006/relationships/hyperlink" Target="https://basonaluminium.com" TargetMode="External" Id="rId5110" /><Relationship Type="http://schemas.openxmlformats.org/officeDocument/2006/relationships/hyperlink" Target="https://facebook.com/borgalum/" TargetMode="External" Id="rId5111" /><Relationship Type="http://schemas.openxmlformats.org/officeDocument/2006/relationships/hyperlink" Target="https://bpapertures.com/" TargetMode="External" Id="rId5112" /><Relationship Type="http://schemas.openxmlformats.org/officeDocument/2006/relationships/hyperlink" Target="https://facebook.com/people/CDS-Aluminium-work/100064086582054/" TargetMode="External" Id="rId5113" /><Relationship Type="http://schemas.openxmlformats.org/officeDocument/2006/relationships/hyperlink" Target="https://cagroup.com.mt" TargetMode="External" Id="rId5114" /><Relationship Type="http://schemas.openxmlformats.org/officeDocument/2006/relationships/hyperlink" Target="https://facebook.com/p/TC-Aluminium-Works-100064147390058/" TargetMode="External" Id="rId5115" /><Relationship Type="http://schemas.openxmlformats.org/officeDocument/2006/relationships/hyperlink" Target="https://salamander-windows.com/?utm_source=Yellow&amp;utm_medium=Yellow-Website&amp;utm_campaign=Landing-Page" TargetMode="External" Id="rId5116" /><Relationship Type="http://schemas.openxmlformats.org/officeDocument/2006/relationships/hyperlink" Target="https://facebook.com/p/Choco-aluminium-works-100064574387617/" TargetMode="External" Id="rId5117" /><Relationship Type="http://schemas.openxmlformats.org/officeDocument/2006/relationships/hyperlink" Target="https://comfortabita.com" TargetMode="External" Id="rId5118" /><Relationship Type="http://schemas.openxmlformats.org/officeDocument/2006/relationships/hyperlink" Target="https://cuschierigroup.com" TargetMode="External" Id="rId5119" /><Relationship Type="http://schemas.openxmlformats.org/officeDocument/2006/relationships/hyperlink" Target="https://facebook.com/deckor.mt/" TargetMode="External" Id="rId5120" /><Relationship Type="http://schemas.openxmlformats.org/officeDocument/2006/relationships/hyperlink" Target="https://dimechapertures.com/" TargetMode="External" Id="rId5121" /><Relationship Type="http://schemas.openxmlformats.org/officeDocument/2006/relationships/hyperlink" Target="https://pvcmalta.com" TargetMode="External" Id="rId5122" /><Relationship Type="http://schemas.openxmlformats.org/officeDocument/2006/relationships/hyperlink" Target="https://facebook.com/p/DX-Aluminium-Works-100064182690832/" TargetMode="External" Id="rId5123" /><Relationship Type="http://schemas.openxmlformats.org/officeDocument/2006/relationships/hyperlink" Target="https://expressaluminium.com" TargetMode="External" Id="rId5124" /><Relationship Type="http://schemas.openxmlformats.org/officeDocument/2006/relationships/hyperlink" Target="https://finestralmalta.com" TargetMode="External" Id="rId5125" /><Relationship Type="http://schemas.openxmlformats.org/officeDocument/2006/relationships/hyperlink" Target="https://aluminiumworks.in" TargetMode="External" Id="rId5126" /><Relationship Type="http://schemas.openxmlformats.org/officeDocument/2006/relationships/hyperlink" Target="https://facebook.com/p/Giorgio-Aluminium-Co-Ltd-100065044507710/" TargetMode="External" Id="rId5127" /><Relationship Type="http://schemas.openxmlformats.org/officeDocument/2006/relationships/hyperlink" Target="https://cassarwoodworks.com" TargetMode="External" Id="rId5128" /><Relationship Type="http://schemas.openxmlformats.org/officeDocument/2006/relationships/hyperlink" Target="https://grahamaluminium.com" TargetMode="External" Id="rId5129" /><Relationship Type="http://schemas.openxmlformats.org/officeDocument/2006/relationships/hyperlink" Target="https://facebook.com/Guys21485785/" TargetMode="External" Id="rId5130" /><Relationship Type="http://schemas.openxmlformats.org/officeDocument/2006/relationships/hyperlink" Target="https://horvinltd.com" TargetMode="External" Id="rId5131" /><Relationship Type="http://schemas.openxmlformats.org/officeDocument/2006/relationships/hyperlink" Target="https://icsaluminium.yolasite.com" TargetMode="External" Id="rId5132" /><Relationship Type="http://schemas.openxmlformats.org/officeDocument/2006/relationships/hyperlink" Target="https://jcdaluminium.com" TargetMode="External" Id="rId5133" /><Relationship Type="http://schemas.openxmlformats.org/officeDocument/2006/relationships/hyperlink" Target="https://jk-aluminium.com" TargetMode="External" Id="rId5134" /><Relationship Type="http://schemas.openxmlformats.org/officeDocument/2006/relationships/hyperlink" Target="https://jamarmalta.com" TargetMode="External" Id="rId5135" /><Relationship Type="http://schemas.openxmlformats.org/officeDocument/2006/relationships/hyperlink" Target="https://jasonaluminium.com" TargetMode="External" Id="rId5136" /><Relationship Type="http://schemas.openxmlformats.org/officeDocument/2006/relationships/hyperlink" Target="https://facebook.com/KKAluWorks/" TargetMode="External" Id="rId5137" /><Relationship Type="http://schemas.openxmlformats.org/officeDocument/2006/relationships/hyperlink" Target="https://facebook.com/p/Munita-Aluminium-100063476861515/" TargetMode="External" Id="rId5138" /><Relationship Type="http://schemas.openxmlformats.org/officeDocument/2006/relationships/hyperlink" Target="https://nigeldimech.com/" TargetMode="External" Id="rId5139" /><Relationship Type="http://schemas.openxmlformats.org/officeDocument/2006/relationships/hyperlink" Target="https://facebook.com/QormiAluminium" TargetMode="External" Id="rId5140" /><Relationship Type="http://schemas.openxmlformats.org/officeDocument/2006/relationships/hyperlink" Target="https://facebook.com/people/Rapa-Aluminium-Victoria-Gozo/100063473081953/?utm_source=Yellow&amp;utm_medium=Yellow-Website&amp;utm_campaign=Landing-Page#" TargetMode="External" Id="rId5141" /><Relationship Type="http://schemas.openxmlformats.org/officeDocument/2006/relationships/hyperlink" Target="https://facebook.com/RayAluWorks/" TargetMode="External" Id="rId5142" /><Relationship Type="http://schemas.openxmlformats.org/officeDocument/2006/relationships/hyperlink" Target="https://facebook.com/people/Refined-Aluminium-Metal-Works/100063567219937/?utm_source=Yellow&amp;utm_medium=Yellow-Website&amp;utm_campaign=Landing-Page#" TargetMode="External" Id="rId5143" /><Relationship Type="http://schemas.openxmlformats.org/officeDocument/2006/relationships/hyperlink" Target="https://servgroupmalta.com" TargetMode="External" Id="rId5144" /><Relationship Type="http://schemas.openxmlformats.org/officeDocument/2006/relationships/hyperlink" Target="https://sptechniques.com" TargetMode="External" Id="rId5145" /><Relationship Type="http://schemas.openxmlformats.org/officeDocument/2006/relationships/hyperlink" Target="https://aluminium.mt/" TargetMode="External" Id="rId5146" /><Relationship Type="http://schemas.openxmlformats.org/officeDocument/2006/relationships/hyperlink" Target="https://towergroupmalta.com" TargetMode="External" Id="rId5147" /><Relationship Type="http://schemas.openxmlformats.org/officeDocument/2006/relationships/hyperlink" Target="https://trendsltdmalta.com" TargetMode="External" Id="rId5148" /><Relationship Type="http://schemas.openxmlformats.org/officeDocument/2006/relationships/hyperlink" Target="https://valormalta.wixsite.com/valor" TargetMode="External" Id="rId5149" /><Relationship Type="http://schemas.openxmlformats.org/officeDocument/2006/relationships/hyperlink" Target="https://facebook.com/windmillltd/" TargetMode="External" Id="rId5150" /><Relationship Type="http://schemas.openxmlformats.org/officeDocument/2006/relationships/hyperlink" Target="https://facebook.com/bespokelocalfurniture" TargetMode="External" Id="rId5151" /><Relationship Type="http://schemas.openxmlformats.org/officeDocument/2006/relationships/hyperlink" Target="https://facebook.com/zammitaluminum/" TargetMode="External" Id="rId5152" /><Relationship Type="http://schemas.openxmlformats.org/officeDocument/2006/relationships/hyperlink" Target="https://facebook.com/RGroupMalta" TargetMode="External" Id="rId5153" /><Relationship Type="http://schemas.openxmlformats.org/officeDocument/2006/relationships/hyperlink" Target="https://ddoorcompany.com" TargetMode="External" Id="rId5154" /><Relationship Type="http://schemas.openxmlformats.org/officeDocument/2006/relationships/hyperlink" Target="https://dimech-ent.com" TargetMode="External" Id="rId5155" /><Relationship Type="http://schemas.openxmlformats.org/officeDocument/2006/relationships/hyperlink" Target="https://fourwalls.com.mt" TargetMode="External" Id="rId5156" /><Relationship Type="http://schemas.openxmlformats.org/officeDocument/2006/relationships/hyperlink" Target="https://sfdoorstyles.com.mt" TargetMode="External" Id="rId5157" /><Relationship Type="http://schemas.openxmlformats.org/officeDocument/2006/relationships/hyperlink" Target="https://domestica.com.mt" TargetMode="External" Id="rId5158" /><Relationship Type="http://schemas.openxmlformats.org/officeDocument/2006/relationships/hyperlink" Target="https://pvc.com.mt" TargetMode="External" Id="rId5159" /><Relationship Type="http://schemas.openxmlformats.org/officeDocument/2006/relationships/hyperlink" Target="https://italtrade.com.mt" TargetMode="External" Id="rId5160" /><Relationship Type="http://schemas.openxmlformats.org/officeDocument/2006/relationships/hyperlink" Target="https://starfurniture.com.mt" TargetMode="External" Id="rId5161" /><Relationship Type="http://schemas.openxmlformats.org/officeDocument/2006/relationships/hyperlink" Target="https://powerhousemalta.eu.com.mt" TargetMode="External" Id="rId5162" /><Relationship Type="http://schemas.openxmlformats.org/officeDocument/2006/relationships/hyperlink" Target="https://pvcmalta.com" TargetMode="External" Id="rId5163" /><Relationship Type="http://schemas.openxmlformats.org/officeDocument/2006/relationships/hyperlink" Target="https://framegrip.com" TargetMode="External" Id="rId5164" /><Relationship Type="http://schemas.openxmlformats.org/officeDocument/2006/relationships/hyperlink" Target="https://gauciwoodsmalta.com" TargetMode="External" Id="rId5165" /><Relationship Type="http://schemas.openxmlformats.org/officeDocument/2006/relationships/hyperlink" Target="https://alfredbaldacchinoltd.net" TargetMode="External" Id="rId5166" /><Relationship Type="http://schemas.openxmlformats.org/officeDocument/2006/relationships/hyperlink" Target="https://nkwoodworks.com" TargetMode="External" Id="rId5167" /><Relationship Type="http://schemas.openxmlformats.org/officeDocument/2006/relationships/hyperlink" Target="https://masterwoodmalta.net" TargetMode="External" Id="rId5168" /><Relationship Type="http://schemas.openxmlformats.org/officeDocument/2006/relationships/hyperlink" Target="https://grfmalta.com/" TargetMode="External" Id="rId5169" /><Relationship Type="http://schemas.openxmlformats.org/officeDocument/2006/relationships/hyperlink" Target="https://casconehome.com/en/index.php" TargetMode="External" Id="rId5170" /><Relationship Type="http://schemas.openxmlformats.org/officeDocument/2006/relationships/hyperlink" Target="https://promaninteriors.com/" TargetMode="External" Id="rId5171" /><Relationship Type="http://schemas.openxmlformats.org/officeDocument/2006/relationships/hyperlink" Target="https://maltadiy.com/product-category/doors-windows/internal-door/pocket-doors/" TargetMode="External" Id="rId5172" /><Relationship Type="http://schemas.openxmlformats.org/officeDocument/2006/relationships/hyperlink" Target="https://cassarwoodworks.com/opening-solutions-by-george-cassar-woodworks/" TargetMode="External" Id="rId5173" /><Relationship Type="http://schemas.openxmlformats.org/officeDocument/2006/relationships/hyperlink" Target="https://ddoorcompany.com/" TargetMode="External" Id="rId5174" /><Relationship Type="http://schemas.openxmlformats.org/officeDocument/2006/relationships/hyperlink" Target="https://megastore.com.mt/" TargetMode="External" Id="rId5175" /><Relationship Type="http://schemas.openxmlformats.org/officeDocument/2006/relationships/hyperlink" Target="https://bitmacltd.com/" TargetMode="External" Id="rId5176" /><Relationship Type="http://schemas.openxmlformats.org/officeDocument/2006/relationships/hyperlink" Target="https://maltashopper.com/" TargetMode="External" Id="rId5177" /><Relationship Type="http://schemas.openxmlformats.org/officeDocument/2006/relationships/hyperlink" Target="https://brandimports.com.mt" TargetMode="External" Id="rId5178" /><Relationship Type="http://schemas.openxmlformats.org/officeDocument/2006/relationships/hyperlink" Target="https://newstylesmalta.com" TargetMode="External" Id="rId5179" /><Relationship Type="http://schemas.openxmlformats.org/officeDocument/2006/relationships/hyperlink" Target="https://aluscreens.com" TargetMode="External" Id="rId5180" /><Relationship Type="http://schemas.openxmlformats.org/officeDocument/2006/relationships/hyperlink" Target="https://dimech-ent.com" TargetMode="External" Id="rId5181" /><Relationship Type="http://schemas.openxmlformats.org/officeDocument/2006/relationships/hyperlink" Target="https://aluage.com" TargetMode="External" Id="rId5182" /><Relationship Type="http://schemas.openxmlformats.org/officeDocument/2006/relationships/hyperlink" Target="https://facebook.com/mtrefurbishing/" TargetMode="External" Id="rId5183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hyperlink" Target="MAILTO:info@desanamarbles.com" TargetMode="External" Id="rId5184" /><Relationship Type="http://schemas.openxmlformats.org/officeDocument/2006/relationships/hyperlink" Target="MAILTO:sales@marbleinnovation.com" TargetMode="External" Id="rId5185" /><Relationship Type="http://schemas.openxmlformats.org/officeDocument/2006/relationships/hyperlink" Target="MAILTO:rgpmarblemalta@gmail.com" TargetMode="External" Id="rId5186" /><Relationship Type="http://schemas.openxmlformats.org/officeDocument/2006/relationships/hyperlink" Target="MAILTO:info@hmvella.com" TargetMode="External" Id="rId5187" /><Relationship Type="http://schemas.openxmlformats.org/officeDocument/2006/relationships/hyperlink" Target="MAILTO:bugejamarbles@gmail.com" TargetMode="External" Id="rId5188" /><Relationship Type="http://schemas.openxmlformats.org/officeDocument/2006/relationships/hyperlink" Target="MAILTO:info@chicliving.com.mt" TargetMode="External" Id="rId5189" /><Relationship Type="http://schemas.openxmlformats.org/officeDocument/2006/relationships/hyperlink" Target="MAILTO:amuscatmarble@gmail.com" TargetMode="External" Id="rId5190" /><Relationship Type="http://schemas.openxmlformats.org/officeDocument/2006/relationships/hyperlink" Target="MAILTO:info@cinimarbles.com" TargetMode="External" Id="rId5191" /><Relationship Type="http://schemas.openxmlformats.org/officeDocument/2006/relationships/hyperlink" Target="MAILTO:info@rabatmarbles.com" TargetMode="External" Id="rId5192" /><Relationship Type="http://schemas.openxmlformats.org/officeDocument/2006/relationships/hyperlink" Target="MAILTO:info@juliansmarble.com" TargetMode="External" Id="rId5193" /><Relationship Type="http://schemas.openxmlformats.org/officeDocument/2006/relationships/hyperlink" Target="MAILTO:grechmarbles@onvol.net" TargetMode="External" Id="rId5194" /><Relationship Type="http://schemas.openxmlformats.org/officeDocument/2006/relationships/hyperlink" Target="MAILTO:afellismarbleworks@gmail.com" TargetMode="External" Id="rId5195" /><Relationship Type="http://schemas.openxmlformats.org/officeDocument/2006/relationships/hyperlink" Target="MAILTO:icamill52@gmail.com" TargetMode="External" Id="rId5196" /><Relationship Type="http://schemas.openxmlformats.org/officeDocument/2006/relationships/hyperlink" Target="https://www.google.com/maps/search/?api=1&amp;query=Buskett%20Road%2C%20Dingli%2C%20DGL%202709%2C%20Malta" TargetMode="External" Id="rId5197" /><Relationship Type="http://schemas.openxmlformats.org/officeDocument/2006/relationships/hyperlink" Target="https://www.google.com/maps/search/?api=1&amp;query=KKW601%2C%20Triq%20Kordin%2C%20Paola%2C%20Malta" TargetMode="External" Id="rId5198" /><Relationship Type="http://schemas.openxmlformats.org/officeDocument/2006/relationships/hyperlink" Target="https://www.google.com/maps/search/?api=1&amp;query=%C4%A6a%C5%BC-%C5%BBebbu%C4%A1%2C%20Malta" TargetMode="External" Id="rId5199" /><Relationship Type="http://schemas.openxmlformats.org/officeDocument/2006/relationships/hyperlink" Target="https://www.google.com/maps/search/?api=1&amp;query=Handaq%20Road%2C%20Qormi%2C%20QRM%204000%2C%20Malta" TargetMode="External" Id="rId5200" /><Relationship Type="http://schemas.openxmlformats.org/officeDocument/2006/relationships/hyperlink" Target="https://www.google.com/maps/search/?api=1&amp;query=Zone%203%2C%20Central%20Business%20District%2C%20Triq%20San%20Gwakkin%2C%20Birkirkara%2C%20Mriehel%2C%20Malta" TargetMode="External" Id="rId5201" /><Relationship Type="http://schemas.openxmlformats.org/officeDocument/2006/relationships/hyperlink" Target="https://www.google.com/maps/search/?api=1&amp;query=triq%20Durumblat%2C%20Il-Mosta%2C%20Malta%20MST%204816" TargetMode="External" Id="rId5202" /><Relationship Type="http://schemas.openxmlformats.org/officeDocument/2006/relationships/hyperlink" Target="https://www.google.com/maps/search/?api=1&amp;query=355%2C%20Triq%20l-Imdina%2C%20%C4%A6al%20Qormi%2C%20Malta%20QRM%209012" TargetMode="External" Id="rId5203" /><Relationship Type="http://schemas.openxmlformats.org/officeDocument/2006/relationships/hyperlink" Target="https://www.google.com/maps/search/?api=1&amp;query=Handaq%20Road%2C%20Qormi%2C%20QRM%204000%2C%20Malta" TargetMode="External" Id="rId5204" /><Relationship Type="http://schemas.openxmlformats.org/officeDocument/2006/relationships/hyperlink" Target="https://www.google.com/maps/search/?api=1&amp;query=Labour%20Avenue%2C%20Rabat%20RBT%201769%20%2C%20Malta" TargetMode="External" Id="rId5205" /><Relationship Type="http://schemas.openxmlformats.org/officeDocument/2006/relationships/hyperlink" Target="https://www.google.com/maps/search/?api=1&amp;query=Marsalforn%20Road%20%2C%20xaghra%20%2C%20Gozo%20%2CMalta" TargetMode="External" Id="rId5206" /><Relationship Type="http://schemas.openxmlformats.org/officeDocument/2006/relationships/hyperlink" Target="https://www.google.com/maps/search/?api=1&amp;query=Triq%20L-Mdina%20%2C%20H%20Attard%20%2C%20Malta%20ATD%209037" TargetMode="External" Id="rId5207" /><Relationship Type="http://schemas.openxmlformats.org/officeDocument/2006/relationships/hyperlink" Target="https://www.google.com/maps/search/?api=1&amp;query=Il-Pressa%2C%20Triq%20Il-Biccerija%2C%20Ix-Xewkija%2C%20Gozo%2C%20Malta%20XWK%203000" TargetMode="External" Id="rId5208" /><Relationship Type="http://schemas.openxmlformats.org/officeDocument/2006/relationships/hyperlink" Target="https://www.google.com/maps/search/?api=1&amp;query=Triq%20Hal%20Tarxien%2C%20Il-Gudja%2C%20Malta%20ZTN%2014" TargetMode="External" Id="rId5209" /><Relationship Type="http://schemas.openxmlformats.org/officeDocument/2006/relationships/hyperlink" Target="https://desanamarbles.com" TargetMode="External" Id="rId5210" /><Relationship Type="http://schemas.openxmlformats.org/officeDocument/2006/relationships/hyperlink" Target="https://marbleinnovation.com" TargetMode="External" Id="rId5211" /><Relationship Type="http://schemas.openxmlformats.org/officeDocument/2006/relationships/hyperlink" Target="https://rgpmarblemalta.com" TargetMode="External" Id="rId5212" /><Relationship Type="http://schemas.openxmlformats.org/officeDocument/2006/relationships/hyperlink" Target="https://halmanvella.com" TargetMode="External" Id="rId5213" /><Relationship Type="http://schemas.openxmlformats.org/officeDocument/2006/relationships/hyperlink" Target="https://bugeja-marbles.com" TargetMode="External" Id="rId5214" /><Relationship Type="http://schemas.openxmlformats.org/officeDocument/2006/relationships/hyperlink" Target="https://muscarmarbleworks.com" TargetMode="External" Id="rId5215" /><Relationship Type="http://schemas.openxmlformats.org/officeDocument/2006/relationships/hyperlink" Target="https://cinimarbles.com" TargetMode="External" Id="rId5216" /><Relationship Type="http://schemas.openxmlformats.org/officeDocument/2006/relationships/hyperlink" Target="https://rabatmarbles.com" TargetMode="External" Id="rId5217" /><Relationship Type="http://schemas.openxmlformats.org/officeDocument/2006/relationships/hyperlink" Target="https://juliansmarble.com" TargetMode="External" Id="rId5218" /><Relationship Type="http://schemas.openxmlformats.org/officeDocument/2006/relationships/hyperlink" Target="https://cgrechmarbles.com" TargetMode="External" Id="rId5219" /><Relationship Type="http://schemas.openxmlformats.org/officeDocument/2006/relationships/hyperlink" Target="https://afellismarbleworks.com" TargetMode="External" Id="rId5220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hyperlink" Target="MAILTO:sales@maltadiy.com" TargetMode="External" Id="rId5221" /><Relationship Type="http://schemas.openxmlformats.org/officeDocument/2006/relationships/hyperlink" Target="MAILTO:info@cassarwordworks.com" TargetMode="External" Id="rId5222" /><Relationship Type="http://schemas.openxmlformats.org/officeDocument/2006/relationships/hyperlink" Target="MAILTO:info@ddoorcompany.com" TargetMode="External" Id="rId5223" /><Relationship Type="http://schemas.openxmlformats.org/officeDocument/2006/relationships/hyperlink" Target="https://www.google.com/maps/search/?api=1&amp;query=Baldacchino%20Building%20B%2C%20Triq%20Il-Belt%20Valletta%2C%20Zurrieq" TargetMode="External" Id="rId5224" /><Relationship Type="http://schemas.openxmlformats.org/officeDocument/2006/relationships/hyperlink" Target="https://www.google.com/maps/search/?api=1&amp;query=Plot%20TQL027%2C%20Crafts%20Village%2C%20Ta%27Qali%2C%20ATD%204000%2C%20Malta" TargetMode="External" Id="rId5225" /><Relationship Type="http://schemas.openxmlformats.org/officeDocument/2006/relationships/hyperlink" Target="https://www.google.com/maps/search/?api=1&amp;query=128%20Old%20Railway%20Track%2C%20Santa%20Venera" TargetMode="External" Id="rId5226" /><Relationship Type="http://schemas.openxmlformats.org/officeDocument/2006/relationships/hyperlink" Target="https://maltadiy.com/product-category/doors-windows/internal-door/pocket-doors/" TargetMode="External" Id="rId5227" /><Relationship Type="http://schemas.openxmlformats.org/officeDocument/2006/relationships/hyperlink" Target="https://cassarwoodworks.com/opening-solutions-by-george-cassar-woodworks/" TargetMode="External" Id="rId5228" /><Relationship Type="http://schemas.openxmlformats.org/officeDocument/2006/relationships/hyperlink" Target="https://ddoorcompany.com/" TargetMode="External" Id="rId5229" 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hyperlink" Target="MAILTO:info@ddoorcompany.com" TargetMode="External" Id="rId5230" /><Relationship Type="http://schemas.openxmlformats.org/officeDocument/2006/relationships/hyperlink" Target="MAILTO:sales@dimech-ent.com" TargetMode="External" Id="rId5231" /><Relationship Type="http://schemas.openxmlformats.org/officeDocument/2006/relationships/hyperlink" Target="MAILTO:info@fourwalls.com.mt" TargetMode="External" Id="rId5232" /><Relationship Type="http://schemas.openxmlformats.org/officeDocument/2006/relationships/hyperlink" Target="MAILTO:info@sfdoorstyles.com.mt" TargetMode="External" Id="rId5233" /><Relationship Type="http://schemas.openxmlformats.org/officeDocument/2006/relationships/hyperlink" Target="MAILTO:info@domestica.com.mt" TargetMode="External" Id="rId5234" /><Relationship Type="http://schemas.openxmlformats.org/officeDocument/2006/relationships/hyperlink" Target="MAILTO:info@pvc.com.mt" TargetMode="External" Id="rId5235" /><Relationship Type="http://schemas.openxmlformats.org/officeDocument/2006/relationships/hyperlink" Target="MAILTO:info@italtrade.com.mt" TargetMode="External" Id="rId5236" /><Relationship Type="http://schemas.openxmlformats.org/officeDocument/2006/relationships/hyperlink" Target="MAILTO:hello@starfurniture.com.mt" TargetMode="External" Id="rId5237" /><Relationship Type="http://schemas.openxmlformats.org/officeDocument/2006/relationships/hyperlink" Target="MAILTO:sales@powerhousemalta.com.eu" TargetMode="External" Id="rId5238" /><Relationship Type="http://schemas.openxmlformats.org/officeDocument/2006/relationships/hyperlink" Target="MAILTO:sales@pvcmalta.com" TargetMode="External" Id="rId5239" /><Relationship Type="http://schemas.openxmlformats.org/officeDocument/2006/relationships/hyperlink" Target="MAILTO:clients@framegrip.com" TargetMode="External" Id="rId5240" /><Relationship Type="http://schemas.openxmlformats.org/officeDocument/2006/relationships/hyperlink" Target="MAILTO:pdgl@go.net.mt" TargetMode="External" Id="rId5241" /><Relationship Type="http://schemas.openxmlformats.org/officeDocument/2006/relationships/hyperlink" Target="MAILTO:clydeaquil@gmail.com" TargetMode="External" Id="rId5242" /><Relationship Type="http://schemas.openxmlformats.org/officeDocument/2006/relationships/hyperlink" Target="MAILTO:info@alfredbaldacchinoltd.net" TargetMode="External" Id="rId5243" /><Relationship Type="http://schemas.openxmlformats.org/officeDocument/2006/relationships/hyperlink" Target="MAILTO:info@nkwoodworks.com" TargetMode="External" Id="rId5244" /><Relationship Type="http://schemas.openxmlformats.org/officeDocument/2006/relationships/hyperlink" Target="MAILTO:occas2@gmail.com" TargetMode="External" Id="rId5245" /><Relationship Type="http://schemas.openxmlformats.org/officeDocument/2006/relationships/hyperlink" Target="MAILTO:info@grfmalta.com" TargetMode="External" Id="rId5246" /><Relationship Type="http://schemas.openxmlformats.org/officeDocument/2006/relationships/hyperlink" Target="MAILTO:info@casconeporteefinestre.it" TargetMode="External" Id="rId5247" /><Relationship Type="http://schemas.openxmlformats.org/officeDocument/2006/relationships/hyperlink" Target="MAILTO:info@promaninteriors.com" TargetMode="External" Id="rId5248" /><Relationship Type="http://schemas.openxmlformats.org/officeDocument/2006/relationships/hyperlink" Target="https://www.google.com/maps/search/?api=1&amp;query=128%20old%20Railway%20Track%20%2C%20Santa%20venera%20%2C%20Malta" TargetMode="External" Id="rId5249" /><Relationship Type="http://schemas.openxmlformats.org/officeDocument/2006/relationships/hyperlink" Target="https://www.google.com/maps/search/?api=1&amp;query=Centre%20point%20%2C%20Triq%20Valleta%20%2C%20Luqa%20%20LQA%201762%20%2C%20Malta" TargetMode="External" Id="rId5250" /><Relationship Type="http://schemas.openxmlformats.org/officeDocument/2006/relationships/hyperlink" Target="https://www.google.com/maps/search/?api=1&amp;query=Triq%20il-Kappillan%20Mifsud%20%2C%20Santa%20venera%20%2C%20Malta" TargetMode="External" Id="rId5251" /><Relationship Type="http://schemas.openxmlformats.org/officeDocument/2006/relationships/hyperlink" Target="https://www.google.com/maps/search/?api=1&amp;query=Unit%201%262%2C%20Industrial%20Estate%20Luqa%20MT%20LQA%203000%2C%20%C4%A6al%20Luqa" TargetMode="External" Id="rId5252" /><Relationship Type="http://schemas.openxmlformats.org/officeDocument/2006/relationships/hyperlink" Target="https://www.google.com/maps/search/?api=1&amp;query=Domestica%20Complex%2C%20Level%201%20%2CValley%20road%20%2C%20Msida%20%20MSD%209091%20%2CMalta" TargetMode="External" Id="rId5253" /><Relationship Type="http://schemas.openxmlformats.org/officeDocument/2006/relationships/hyperlink" Target="https://www.google.com/maps/search/?api=1&amp;query=8%20Garra%2C%20Is-Swieqi" TargetMode="External" Id="rId5254" /><Relationship Type="http://schemas.openxmlformats.org/officeDocument/2006/relationships/hyperlink" Target="https://www.google.com/maps/search/?api=1&amp;query=WC4R%2B335%2C%20Triq%20il-mosta%2C%20Lija%20LJA%209010" TargetMode="External" Id="rId5255" /><Relationship Type="http://schemas.openxmlformats.org/officeDocument/2006/relationships/hyperlink" Target="https://www.google.com/maps/search/?api=1&amp;query=73%20Sir%20Arthur%20Burton%20Street%2C%20Mosta%20MST%201883%2C%20Malta" TargetMode="External" Id="rId5256" /><Relationship Type="http://schemas.openxmlformats.org/officeDocument/2006/relationships/hyperlink" Target="https://www.google.com/maps/search/?api=1&amp;query=13%20Censu%20Bugeja%20Street%20%2C%20Birkirkara%20%2C%20Malta" TargetMode="External" Id="rId5257" /><Relationship Type="http://schemas.openxmlformats.org/officeDocument/2006/relationships/hyperlink" Target="https://www.google.com/maps/search/?api=1&amp;query=52%2CTriq%20ll-Muzika%20%2C%20L-Lkin%20%2C%20Malta%20IKL%201091" TargetMode="External" Id="rId5258" /><Relationship Type="http://schemas.openxmlformats.org/officeDocument/2006/relationships/hyperlink" Target="https://www.google.com/maps/search/?api=1&amp;query=Triq%20Il-Mosta%2C%20Hal%20Lija%2C%20Malta%20LJA%209010" TargetMode="External" Id="rId5259" /><Relationship Type="http://schemas.openxmlformats.org/officeDocument/2006/relationships/hyperlink" Target="https://www.google.com/maps/search/?api=1&amp;query=triq%20-il%20kappar%20%2C%20ll-Mosta%20%2C%20Malta%20MST%2003" TargetMode="External" Id="rId5260" /><Relationship Type="http://schemas.openxmlformats.org/officeDocument/2006/relationships/hyperlink" Target="https://www.google.com/maps/search/?api=1&amp;query=Triq%20Mastru%20Gorg%20Cachia%2C%20Tal-%C4%A6andaq%2C%20%C4%A6al%20Qormi%2C%20Malta%20QRM%204000" TargetMode="External" Id="rId5261" /><Relationship Type="http://schemas.openxmlformats.org/officeDocument/2006/relationships/hyperlink" Target="https://www.google.com/maps/search/?api=1&amp;query=166-167%2C%20Qasam%20Industrijali%20Ta%27%20Hal%20Luqa%2C%20Hal%20Luqa%2C%20Malta" TargetMode="External" Id="rId5262" /><Relationship Type="http://schemas.openxmlformats.org/officeDocument/2006/relationships/hyperlink" Target="https://www.google.com/maps/search/?api=1&amp;query=Triq%20Valletta%20Triq%20Gdida%20Fi%2C%20Hal%20Luqa%2C%20Malta" TargetMode="External" Id="rId5263" /><Relationship Type="http://schemas.openxmlformats.org/officeDocument/2006/relationships/hyperlink" Target="https://www.google.com/maps/search/?api=1&amp;query=No%207%2C%20Triq%20Il-Ballut%2C%20Il-Mosta%2C%20Malta" TargetMode="External" Id="rId5264" /><Relationship Type="http://schemas.openxmlformats.org/officeDocument/2006/relationships/hyperlink" Target="https://www.google.com/maps/search/?api=1&amp;query=106%2C%20Qasam%20Industrijali%20Ta%27%20Hal-Farrug%2C%20Hal%20Luqa%2C%20Hal%20Farrug%2C%20Malta" TargetMode="External" Id="rId5265" /><Relationship Type="http://schemas.openxmlformats.org/officeDocument/2006/relationships/hyperlink" Target="https://www.google.com/maps/search/?api=1&amp;query=117%20Triq%20L-Assemblea%20Nazzjonali%2C%0ASan%20Gwann%20SGN%203034%2C%20Malta" TargetMode="External" Id="rId5266" /><Relationship Type="http://schemas.openxmlformats.org/officeDocument/2006/relationships/hyperlink" Target="https://www.google.com/maps/search/?api=1&amp;query=Msida%20Valley%20Road%2C%20BKR9022%20Birkirkara%20-%20Malta" TargetMode="External" Id="rId5267" /><Relationship Type="http://schemas.openxmlformats.org/officeDocument/2006/relationships/hyperlink" Target="https://www.google.com/maps/search/?api=1&amp;query=Proman%20Interiors%2C%0A115%2C%20Valley%20Road%2C%0AB%27Kara.%20BKR%209022.%0AMalta." TargetMode="External" Id="rId5268" /><Relationship Type="http://schemas.openxmlformats.org/officeDocument/2006/relationships/hyperlink" Target="https://ddoorcompany.com" TargetMode="External" Id="rId5269" /><Relationship Type="http://schemas.openxmlformats.org/officeDocument/2006/relationships/hyperlink" Target="https://dimech-ent.com" TargetMode="External" Id="rId5270" /><Relationship Type="http://schemas.openxmlformats.org/officeDocument/2006/relationships/hyperlink" Target="https://fourwalls.com.mt" TargetMode="External" Id="rId5271" /><Relationship Type="http://schemas.openxmlformats.org/officeDocument/2006/relationships/hyperlink" Target="https://sfdoorstyles.com.mt" TargetMode="External" Id="rId5272" /><Relationship Type="http://schemas.openxmlformats.org/officeDocument/2006/relationships/hyperlink" Target="https://domestica.com.mt" TargetMode="External" Id="rId5273" /><Relationship Type="http://schemas.openxmlformats.org/officeDocument/2006/relationships/hyperlink" Target="https://pvc.com.mt" TargetMode="External" Id="rId5274" /><Relationship Type="http://schemas.openxmlformats.org/officeDocument/2006/relationships/hyperlink" Target="https://italtrade.com.mt" TargetMode="External" Id="rId5275" /><Relationship Type="http://schemas.openxmlformats.org/officeDocument/2006/relationships/hyperlink" Target="https://starfurniture.com.mt" TargetMode="External" Id="rId5276" /><Relationship Type="http://schemas.openxmlformats.org/officeDocument/2006/relationships/hyperlink" Target="https://powerhousemalta.eu.com.mt" TargetMode="External" Id="rId5277" /><Relationship Type="http://schemas.openxmlformats.org/officeDocument/2006/relationships/hyperlink" Target="https://pvcmalta.com" TargetMode="External" Id="rId5278" /><Relationship Type="http://schemas.openxmlformats.org/officeDocument/2006/relationships/hyperlink" Target="https://framegrip.com" TargetMode="External" Id="rId5279" /><Relationship Type="http://schemas.openxmlformats.org/officeDocument/2006/relationships/hyperlink" Target="https://gauciwoodsmalta.com" TargetMode="External" Id="rId5280" /><Relationship Type="http://schemas.openxmlformats.org/officeDocument/2006/relationships/hyperlink" Target="https://alfredbaldacchinoltd.net" TargetMode="External" Id="rId5281" /><Relationship Type="http://schemas.openxmlformats.org/officeDocument/2006/relationships/hyperlink" Target="https://nkwoodworks.com" TargetMode="External" Id="rId5282" /><Relationship Type="http://schemas.openxmlformats.org/officeDocument/2006/relationships/hyperlink" Target="https://masterwoodmalta.net" TargetMode="External" Id="rId5283" /><Relationship Type="http://schemas.openxmlformats.org/officeDocument/2006/relationships/hyperlink" Target="https://grfmalta.com/" TargetMode="External" Id="rId5284" /><Relationship Type="http://schemas.openxmlformats.org/officeDocument/2006/relationships/hyperlink" Target="https://casconehome.com/en/index.php" TargetMode="External" Id="rId5285" /><Relationship Type="http://schemas.openxmlformats.org/officeDocument/2006/relationships/hyperlink" Target="https://promaninteriors.com/" TargetMode="External" Id="rId5286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hyperlink" Target="MAILTO:jethro@able.com.mnt" TargetMode="External" Id="rId5287" /><Relationship Type="http://schemas.openxmlformats.org/officeDocument/2006/relationships/hyperlink" Target="MAILTO:info@maa.com.mt" TargetMode="External" Id="rId5288" /><Relationship Type="http://schemas.openxmlformats.org/officeDocument/2006/relationships/hyperlink" Target="MAILTO:sales@btmalta.com" TargetMode="External" Id="rId5289" /><Relationship Type="http://schemas.openxmlformats.org/officeDocument/2006/relationships/hyperlink" Target="MAILTO:sales@cutrico.com" TargetMode="External" Id="rId5290" /><Relationship Type="http://schemas.openxmlformats.org/officeDocument/2006/relationships/hyperlink" Target="MAILTO:airsolutions@ezee.mt" TargetMode="External" Id="rId5291" /><Relationship Type="http://schemas.openxmlformats.org/officeDocument/2006/relationships/hyperlink" Target="MAILTO:info@casmalta.com" TargetMode="External" Id="rId5292" /><Relationship Type="http://schemas.openxmlformats.org/officeDocument/2006/relationships/hyperlink" Target="MAILTO:reniergrima.com@gmail.com" TargetMode="External" Id="rId5293" /><Relationship Type="http://schemas.openxmlformats.org/officeDocument/2006/relationships/hyperlink" Target="MAILTO:info@shead.com.mt" TargetMode="External" Id="rId5294" /><Relationship Type="http://schemas.openxmlformats.org/officeDocument/2006/relationships/hyperlink" Target="MAILTO:bamburas583@gmail.com" TargetMode="External" Id="rId5295" /><Relationship Type="http://schemas.openxmlformats.org/officeDocument/2006/relationships/hyperlink" Target="MAILTO:maintainit.mt@gmail.com" TargetMode="External" Id="rId5296" /><Relationship Type="http://schemas.openxmlformats.org/officeDocument/2006/relationships/hyperlink" Target="MAILTO:futurahomeappliances@gmail.com" TargetMode="External" Id="rId5297" /><Relationship Type="http://schemas.openxmlformats.org/officeDocument/2006/relationships/hyperlink" Target="MAILTO:info@attardsmalta.com" TargetMode="External" Id="rId5298" /><Relationship Type="http://schemas.openxmlformats.org/officeDocument/2006/relationships/hyperlink" Target="MAILTO:afenech@smarteffects.com.mt" TargetMode="External" Id="rId5299" /><Relationship Type="http://schemas.openxmlformats.org/officeDocument/2006/relationships/hyperlink" Target="MAILTO:info@titan.mizzi.com.mt" TargetMode="External" Id="rId5300" /><Relationship Type="http://schemas.openxmlformats.org/officeDocument/2006/relationships/hyperlink" Target="MAILTO:showroom@itc-malta.com" TargetMode="External" Id="rId5301" /><Relationship Type="http://schemas.openxmlformats.org/officeDocument/2006/relationships/hyperlink" Target="MAILTO:info@engenuity.com.mt" TargetMode="External" Id="rId5302" /><Relationship Type="http://schemas.openxmlformats.org/officeDocument/2006/relationships/hyperlink" Target="MAILTO:info@econetique.com" TargetMode="External" Id="rId5303" /><Relationship Type="http://schemas.openxmlformats.org/officeDocument/2006/relationships/hyperlink" Target="MAILTO:info@knlservice.com" TargetMode="External" Id="rId5304" /><Relationship Type="http://schemas.openxmlformats.org/officeDocument/2006/relationships/hyperlink" Target="MAILTO:info@hvacsupplies.eu" TargetMode="External" Id="rId5305" /><Relationship Type="http://schemas.openxmlformats.org/officeDocument/2006/relationships/hyperlink" Target="MAILTO:sales@midea.mt" TargetMode="External" Id="rId5306" /><Relationship Type="http://schemas.openxmlformats.org/officeDocument/2006/relationships/hyperlink" Target="MAILTO:info@ac-malta.com" TargetMode="External" Id="rId5307" /><Relationship Type="http://schemas.openxmlformats.org/officeDocument/2006/relationships/hyperlink" Target="MAILTO:gyorgymihalka@gmail.com" TargetMode="External" Id="rId5308" /><Relationship Type="http://schemas.openxmlformats.org/officeDocument/2006/relationships/hyperlink" Target="MAILTO:sales@tekno.com.mt" TargetMode="External" Id="rId5309" /><Relationship Type="http://schemas.openxmlformats.org/officeDocument/2006/relationships/hyperlink" Target="MAILTO:mekanika@gasan.com" TargetMode="External" Id="rId5310" /><Relationship Type="http://schemas.openxmlformats.org/officeDocument/2006/relationships/hyperlink" Target="MAILTO:enquiries@panta.mt" TargetMode="External" Id="rId5311" /><Relationship Type="http://schemas.openxmlformats.org/officeDocument/2006/relationships/hyperlink" Target="MAILTO:info@clima755.com" TargetMode="External" Id="rId5312" /><Relationship Type="http://schemas.openxmlformats.org/officeDocument/2006/relationships/hyperlink" Target="MAILTO:info@cooltekservices.com.mt" TargetMode="External" Id="rId5313" /><Relationship Type="http://schemas.openxmlformats.org/officeDocument/2006/relationships/hyperlink" Target="MAILTO:sales@arjakon.com" TargetMode="External" Id="rId5314" /><Relationship Type="http://schemas.openxmlformats.org/officeDocument/2006/relationships/hyperlink" Target="MAILTO:sales@vairni.com" TargetMode="External" Id="rId5315" /><Relationship Type="http://schemas.openxmlformats.org/officeDocument/2006/relationships/hyperlink" Target="MAILTO:Stefandebono90@gmail.com" TargetMode="External" Id="rId5316" /><Relationship Type="http://schemas.openxmlformats.org/officeDocument/2006/relationships/hyperlink" Target="MAILTO:info@novatrading.com.mt" TargetMode="External" Id="rId5317" /><Relationship Type="http://schemas.openxmlformats.org/officeDocument/2006/relationships/hyperlink" Target="MAILTO:sales@venturamalta.com" TargetMode="External" Id="rId5318" /><Relationship Type="http://schemas.openxmlformats.org/officeDocument/2006/relationships/hyperlink" Target="MAILTO:mark_nova@hotmail.com" TargetMode="External" Id="rId5319" /><Relationship Type="http://schemas.openxmlformats.org/officeDocument/2006/relationships/hyperlink" Target="https://www.google.com/maps/search/?api=1&amp;query=baxa%20buildings%2C%20Triq%20Valleta%20%2C%20II-Mosta%20MST%209010" TargetMode="External" Id="rId5320" /><Relationship Type="http://schemas.openxmlformats.org/officeDocument/2006/relationships/hyperlink" Target="https://www.google.com/maps/search/?api=1&amp;query=Daikin%20Showroom%2C%20Triq%20Il-Belt%20Valletta%2C%20Hal%20Qormi%20QRM%203619" TargetMode="External" Id="rId5321" /><Relationship Type="http://schemas.openxmlformats.org/officeDocument/2006/relationships/hyperlink" Target="https://www.google.com/maps/search/?api=1&amp;query=B.T.%20Buildings%2C%20300%2C%20Triq%20San%20Tumas%2C%20Hal%20Tarxien%20TXN%201602" TargetMode="External" Id="rId5322" /><Relationship Type="http://schemas.openxmlformats.org/officeDocument/2006/relationships/hyperlink" Target="https://www.google.com/maps/search/?api=1&amp;query=Cutrico%20Building%2C%20Triq%20L-Imriehel%2C%20Mriehel%2C%20Birkirkara%20BKR%203000" TargetMode="External" Id="rId5323" /><Relationship Type="http://schemas.openxmlformats.org/officeDocument/2006/relationships/hyperlink" Target="https://www.google.com/maps/search/?api=1&amp;query=Triq%20Il-Blata%20L-Kahla%2C%20Santa%20Venera" TargetMode="External" Id="rId5324" /><Relationship Type="http://schemas.openxmlformats.org/officeDocument/2006/relationships/hyperlink" Target="https://www.google.com/maps/search/?api=1&amp;query=307%2C%20Triq%20Misrah%20Il-Barrieri%2C%20Santa%20Venera%20SVR%201758" TargetMode="External" Id="rId5325" /><Relationship Type="http://schemas.openxmlformats.org/officeDocument/2006/relationships/hyperlink" Target="https://www.google.com/maps/search/?api=1&amp;query=Triq%20Guzeppi%20Agius%2C%20Is-Siggiewi" TargetMode="External" Id="rId5326" /><Relationship Type="http://schemas.openxmlformats.org/officeDocument/2006/relationships/hyperlink" Target="https://www.google.com/maps/search/?api=1&amp;query=Triq%20Tal-Mensija%2C%20San%20Gwann" TargetMode="External" Id="rId5327" /><Relationship Type="http://schemas.openxmlformats.org/officeDocument/2006/relationships/hyperlink" Target="https://www.google.com/maps/search/?api=1&amp;query=Flat%204%2C%20Hinxman%20Court%2C%20Trejqet%20Il-Gewz%2C%20Ir-Rabat%2C%20Il-Bahrija" TargetMode="External" Id="rId5328" /><Relationship Type="http://schemas.openxmlformats.org/officeDocument/2006/relationships/hyperlink" Target="https://www.google.com/maps/search/?api=1&amp;query=Phoenix%20Apartments%2C%20No%205%2C%20Triq%20Tas-Sisla%2C%20Birkirkara%2C%20Is-Swatar" TargetMode="External" Id="rId5329" /><Relationship Type="http://schemas.openxmlformats.org/officeDocument/2006/relationships/hyperlink" Target="https://www.google.com/maps/search/?api=1&amp;query=220%2C%20Triq%20In-Naxxar%2C%20San%20%C4%A0wann%2C%20Malta%20SGN%209030" TargetMode="External" Id="rId5330" /><Relationship Type="http://schemas.openxmlformats.org/officeDocument/2006/relationships/hyperlink" Target="https://www.google.com/maps/search/?api=1&amp;query=125%2C%20Triq%20Il-Kbira%20San%20%C4%A0u%C5%BCepp%2C%20%C4%A6amrun%2C%20Malta" TargetMode="External" Id="rId5331" /><Relationship Type="http://schemas.openxmlformats.org/officeDocument/2006/relationships/hyperlink" Target="https://www.google.com/maps/search/?api=1&amp;query=MPT%20Business%20Centre%2C%20Level%203%2C%20Triq%20Dun%20Karm%2C%20Birkirkara%2C%20Malta" TargetMode="External" Id="rId5332" /><Relationship Type="http://schemas.openxmlformats.org/officeDocument/2006/relationships/hyperlink" Target="https://www.google.com/maps/search/?api=1&amp;query=The%20Lyric%2C%20Triq%20Antonio%20Bosio%2C%20Msida%2C%20Malta" TargetMode="External" Id="rId5333" /><Relationship Type="http://schemas.openxmlformats.org/officeDocument/2006/relationships/hyperlink" Target="https://www.google.com/maps/search/?api=1&amp;query=Triq%20Nazzjonali%2C%20%C4%A6amrun%2C%20Malta" TargetMode="External" Id="rId5334" /><Relationship Type="http://schemas.openxmlformats.org/officeDocument/2006/relationships/hyperlink" Target="https://www.google.com/maps/search/?api=1&amp;query=Triq%20Tal-Hlas%20%2CHal%20Qormi%20%2C%20Malta" TargetMode="External" Id="rId5335" /><Relationship Type="http://schemas.openxmlformats.org/officeDocument/2006/relationships/hyperlink" Target="https://www.google.com/maps/search/?api=1&amp;query=Triq%20L-Industrija%2C%20Xewkija%2C%20Gozo" TargetMode="External" Id="rId5336" /><Relationship Type="http://schemas.openxmlformats.org/officeDocument/2006/relationships/hyperlink" Target="https://www.google.com/maps/search/?api=1&amp;query=9D%2C%20Midland%20Micro%20Enterprise%20Park%2C%20Triq%20Il-Burmarrad%2C%20Burmarrad%2C%20Malta" TargetMode="External" Id="rId5337" /><Relationship Type="http://schemas.openxmlformats.org/officeDocument/2006/relationships/hyperlink" Target="https://www.google.com/maps/search/?api=1&amp;query=Triq%20%C4%A6al%20Luqa%2C%20Qormi%2C%20QRM%209070" TargetMode="External" Id="rId5338" /><Relationship Type="http://schemas.openxmlformats.org/officeDocument/2006/relationships/hyperlink" Target="https://www.google.com/maps/search/?api=1&amp;query=168%2C%20Luqa%20Industrial%20Estate%2C%20Luqa" TargetMode="External" Id="rId5339" /><Relationship Type="http://schemas.openxmlformats.org/officeDocument/2006/relationships/hyperlink" Target="https://www.google.com/maps/search/?api=1&amp;query=Air%20Conditioners%20Malta%20%2C%20San%20Giljan" TargetMode="External" Id="rId5340" /><Relationship Type="http://schemas.openxmlformats.org/officeDocument/2006/relationships/hyperlink" Target="https://www.google.com/maps/search/?api=1&amp;query=Triq%20Is-Salib%20ta%20L-Imriehel%2C%20Birkirkara" TargetMode="External" Id="rId5341" /><Relationship Type="http://schemas.openxmlformats.org/officeDocument/2006/relationships/hyperlink" Target="https://www.google.com/maps/search/?api=1&amp;query=GPL%20Business%20Centre%2C%0ATriq%20l-Esportaturi%20Zone%201%2C%0ACentral%20Business%20District%2C%0AL-Imriehel%20CBD%201040" TargetMode="External" Id="rId5342" /><Relationship Type="http://schemas.openxmlformats.org/officeDocument/2006/relationships/hyperlink" Target="https://www.google.com/maps/search/?api=1&amp;query=Valley%20Road%20Msida" TargetMode="External" Id="rId5343" /><Relationship Type="http://schemas.openxmlformats.org/officeDocument/2006/relationships/hyperlink" Target="https://www.google.com/maps/search/?api=1&amp;query=18%2C%20Guzeppi%20Licari%2C%20Birkirkara%2C%20Malta" TargetMode="External" Id="rId5344" /><Relationship Type="http://schemas.openxmlformats.org/officeDocument/2006/relationships/hyperlink" Target="https://www.google.com/maps/search/?api=1&amp;query=Vairni%20Services%20Ltd%0A5%20Triq%20Titu%20Brandsma%20%2C%0AFgura%2C%20Malta%20FGR%202131" TargetMode="External" Id="rId5345" /><Relationship Type="http://schemas.openxmlformats.org/officeDocument/2006/relationships/hyperlink" Target="https://www.google.com/maps/search/?api=1&amp;query=29%20Maggie%20Moran%20Street%2C%20Paola" TargetMode="External" Id="rId5346" /><Relationship Type="http://schemas.openxmlformats.org/officeDocument/2006/relationships/hyperlink" Target="https://able.com.mt" TargetMode="External" Id="rId5347" /><Relationship Type="http://schemas.openxmlformats.org/officeDocument/2006/relationships/hyperlink" Target="https://daikin.com.mt" TargetMode="External" Id="rId5348" /><Relationship Type="http://schemas.openxmlformats.org/officeDocument/2006/relationships/hyperlink" Target="https://btmalta.com" TargetMode="External" Id="rId5349" /><Relationship Type="http://schemas.openxmlformats.org/officeDocument/2006/relationships/hyperlink" Target="https://cutrico.com" TargetMode="External" Id="rId5350" /><Relationship Type="http://schemas.openxmlformats.org/officeDocument/2006/relationships/hyperlink" Target="https://airsolutions.com.mt" TargetMode="External" Id="rId5351" /><Relationship Type="http://schemas.openxmlformats.org/officeDocument/2006/relationships/hyperlink" Target="https://casmalta.com" TargetMode="External" Id="rId5352" /><Relationship Type="http://schemas.openxmlformats.org/officeDocument/2006/relationships/hyperlink" Target="https://attardsmalta.com" TargetMode="External" Id="rId5353" /><Relationship Type="http://schemas.openxmlformats.org/officeDocument/2006/relationships/hyperlink" Target="https://smarteffects.com.mt" TargetMode="External" Id="rId5354" /><Relationship Type="http://schemas.openxmlformats.org/officeDocument/2006/relationships/hyperlink" Target="https://titan.com.mt" TargetMode="External" Id="rId5355" /><Relationship Type="http://schemas.openxmlformats.org/officeDocument/2006/relationships/hyperlink" Target="https://itc-malta.com" TargetMode="External" Id="rId5356" /><Relationship Type="http://schemas.openxmlformats.org/officeDocument/2006/relationships/hyperlink" Target="https://engenuity.com.mt" TargetMode="External" Id="rId5357" /><Relationship Type="http://schemas.openxmlformats.org/officeDocument/2006/relationships/hyperlink" Target="https://econetique.com" TargetMode="External" Id="rId5358" /><Relationship Type="http://schemas.openxmlformats.org/officeDocument/2006/relationships/hyperlink" Target="https://ac-malta.com/en/contacts.html" TargetMode="External" Id="rId5359" /><Relationship Type="http://schemas.openxmlformats.org/officeDocument/2006/relationships/hyperlink" Target="https://coolforyoumalta.com/?brid=ZrlreT6d_V10djmjAX8k5Q" TargetMode="External" Id="rId5360" /><Relationship Type="http://schemas.openxmlformats.org/officeDocument/2006/relationships/hyperlink" Target="https://tekno.com.mt/contact/" TargetMode="External" Id="rId5361" /><Relationship Type="http://schemas.openxmlformats.org/officeDocument/2006/relationships/hyperlink" Target="https://mekanika.com.mt/?brid=yOf5xAjx5Rj8r2210S_NJg" TargetMode="External" Id="rId5362" /><Relationship Type="http://schemas.openxmlformats.org/officeDocument/2006/relationships/hyperlink" Target="https://panta.mt/" TargetMode="External" Id="rId5363" /><Relationship Type="http://schemas.openxmlformats.org/officeDocument/2006/relationships/hyperlink" Target="https://clima755.com/" TargetMode="External" Id="rId5364" /><Relationship Type="http://schemas.openxmlformats.org/officeDocument/2006/relationships/hyperlink" Target="https://cooltekservices.com.mt/" TargetMode="External" Id="rId5365" /><Relationship Type="http://schemas.openxmlformats.org/officeDocument/2006/relationships/hyperlink" Target="https://yellow.com.mt/arjakon-co-ltd/air-conditioners/" TargetMode="External" Id="rId5366" /><Relationship Type="http://schemas.openxmlformats.org/officeDocument/2006/relationships/hyperlink" Target="https://vairni.com/wp/?utm_source=Yellow&amp;utm_medium=Yellow-Website&amp;utm_campaign=Landing-Page" TargetMode="External" Id="rId5367" /><Relationship Type="http://schemas.openxmlformats.org/officeDocument/2006/relationships/hyperlink" Target="https://facebook.com/steffannnn/" TargetMode="External" Id="rId5368" /><Relationship Type="http://schemas.openxmlformats.org/officeDocument/2006/relationships/hyperlink" Target="https://novatrading.com.mt/contact/" TargetMode="External" Id="rId5369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hyperlink" Target="MAILTO:sales@dimech-ent.com" TargetMode="External" Id="rId5370" /><Relationship Type="http://schemas.openxmlformats.org/officeDocument/2006/relationships/hyperlink" Target="MAILTO:Sales@pmhobby.com.mt" TargetMode="External" Id="rId5371" /><Relationship Type="http://schemas.openxmlformats.org/officeDocument/2006/relationships/hyperlink" Target="MAILTO:timbers@demajo.com" TargetMode="External" Id="rId5372" /><Relationship Type="http://schemas.openxmlformats.org/officeDocument/2006/relationships/hyperlink" Target="MAILTO:info@calypsomfg.com" TargetMode="External" Id="rId5373" /><Relationship Type="http://schemas.openxmlformats.org/officeDocument/2006/relationships/hyperlink" Target="MAILTO:sales@maltashopper.com" TargetMode="External" Id="rId5374" /><Relationship Type="http://schemas.openxmlformats.org/officeDocument/2006/relationships/hyperlink" Target="MAILTO:sales@pvcmalta.com" TargetMode="External" Id="rId5375" /><Relationship Type="http://schemas.openxmlformats.org/officeDocument/2006/relationships/hyperlink" Target="MAILTO:bmsltdmalta@gmail.com" TargetMode="External" Id="rId5376" /><Relationship Type="http://schemas.openxmlformats.org/officeDocument/2006/relationships/hyperlink" Target="MAILTO:info@galtd.com" TargetMode="External" Id="rId5377" /><Relationship Type="http://schemas.openxmlformats.org/officeDocument/2006/relationships/hyperlink" Target="MAILTO:info@marineservicesmalta.com" TargetMode="External" Id="rId5378" /><Relationship Type="http://schemas.openxmlformats.org/officeDocument/2006/relationships/hyperlink" Target="MAILTO:info@adrewvassallo.com" TargetMode="External" Id="rId5379" /><Relationship Type="http://schemas.openxmlformats.org/officeDocument/2006/relationships/hyperlink" Target="MAILTO:info@theprofessionalsmalta.com" TargetMode="External" Id="rId5380" /><Relationship Type="http://schemas.openxmlformats.org/officeDocument/2006/relationships/hyperlink" Target="MAILTO:info@linkprojects.com.mt" TargetMode="External" Id="rId5381" /><Relationship Type="http://schemas.openxmlformats.org/officeDocument/2006/relationships/hyperlink" Target="MAILTO:info@protrade.com.mt" TargetMode="External" Id="rId5382" /><Relationship Type="http://schemas.openxmlformats.org/officeDocument/2006/relationships/hyperlink" Target="MAILTO:info@salibawoodworks.com" TargetMode="External" Id="rId5383" /><Relationship Type="http://schemas.openxmlformats.org/officeDocument/2006/relationships/hyperlink" Target="MAILTO:sales@deckfab.co.uk" TargetMode="External" Id="rId5384" /><Relationship Type="http://schemas.openxmlformats.org/officeDocument/2006/relationships/hyperlink" Target="MAILTO:tuttoparquetmalta@gmail.com" TargetMode="External" Id="rId5385" /><Relationship Type="http://schemas.openxmlformats.org/officeDocument/2006/relationships/hyperlink" Target="https://www.google.com/maps/search/?api=1&amp;query=Centre%20Point%2C%20Triq%20Valletta%2C%20Luqa%2C%20Malta%20LQA%201762" TargetMode="External" Id="rId5386" /><Relationship Type="http://schemas.openxmlformats.org/officeDocument/2006/relationships/hyperlink" Target="https://www.google.com/maps/search/?api=1&amp;query=Zone%201%2C%20Central%20Business%20District%2C%20Bone%20Street%2C%20Mriehel%20Bypass%20%E2%80%93%20Birkirkara%2C%20CBD1060%20Malta" TargetMode="External" Id="rId5387" /><Relationship Type="http://schemas.openxmlformats.org/officeDocument/2006/relationships/hyperlink" Target="https://www.google.com/maps/search/?api=1&amp;query=Olive%20Square%2C%20Qormi%2C%20QRM%2011%2C%20Malta" TargetMode="External" Id="rId5388" /><Relationship Type="http://schemas.openxmlformats.org/officeDocument/2006/relationships/hyperlink" Target="https://www.google.com/maps/search/?api=1&amp;query=5%2C%20Cospicua%20Road%2C%20Fgura%20FGR%201261%2C%20Malta" TargetMode="External" Id="rId5389" /><Relationship Type="http://schemas.openxmlformats.org/officeDocument/2006/relationships/hyperlink" Target="https://www.google.com/maps/search/?api=1&amp;query=162%2C%20Cannon%20Road%2C%20Santa%20Venera%2C%20Malta" TargetMode="External" Id="rId5390" /><Relationship Type="http://schemas.openxmlformats.org/officeDocument/2006/relationships/hyperlink" Target="https://www.google.com/maps/search/?api=1&amp;query=52%20Triq%20il-Mu%C5%BCika%2C%20Iklin%2C%20IKL%201091%2C%20Malta" TargetMode="External" Id="rId5391" /><Relationship Type="http://schemas.openxmlformats.org/officeDocument/2006/relationships/hyperlink" Target="https://www.google.com/maps/search/?api=1&amp;query=Mdina%20Road%2C%20Qormi%2C%20QRM%209011%2C%20Malta" TargetMode="External" Id="rId5392" /><Relationship Type="http://schemas.openxmlformats.org/officeDocument/2006/relationships/hyperlink" Target="https://www.google.com/maps/search/?api=1&amp;query=Triq%20Tumas%20Galea%2C%20Birkirkara%2C%20BKR%204519%2C%20Malta" TargetMode="External" Id="rId5393" /><Relationship Type="http://schemas.openxmlformats.org/officeDocument/2006/relationships/hyperlink" Target="https://www.google.com/maps/search/?api=1&amp;query=MSL%20Boat%20Yard%2C%20Triq%20il-Kappella%20ta%E2%80%99%20Santa%20Marija%2C%20Mag%C4%A7tab%2C%20Naxxar%2C%20NXR%206511%2C%20Malta" TargetMode="External" Id="rId5394" /><Relationship Type="http://schemas.openxmlformats.org/officeDocument/2006/relationships/hyperlink" Target="https://www.google.com/maps/search/?api=1&amp;query=triq%20%C4%A6al%20Tarxien%2C%20Il-Gudja%2C%20Malta" TargetMode="External" Id="rId5395" /><Relationship Type="http://schemas.openxmlformats.org/officeDocument/2006/relationships/hyperlink" Target="https://www.google.com/maps/search/?api=1&amp;query=Qormi%2C%20Malta" TargetMode="External" Id="rId5396" /><Relationship Type="http://schemas.openxmlformats.org/officeDocument/2006/relationships/hyperlink" Target="https://www.google.com/maps/search/?api=1&amp;query=VFWV%2BV77%2C%20ix-Xatt%2C%20Ta%27%20Xbiex" TargetMode="External" Id="rId5397" /><Relationship Type="http://schemas.openxmlformats.org/officeDocument/2006/relationships/hyperlink" Target="https://www.google.com/maps/search/?api=1&amp;query=Zone%205%2C%20Triq%20Is-Seb%C4%A7%2C%20Central%20Business%20District%2C%20Qormi%2C%20Malta" TargetMode="External" Id="rId5398" /><Relationship Type="http://schemas.openxmlformats.org/officeDocument/2006/relationships/hyperlink" Target="https://www.google.com/maps/search/?api=1&amp;query=St%20Mary%20Garage%2C%20Triq%20%C4%A6al%20Tarxien%2C%20Gudja%2C%20Malta" TargetMode="External" Id="rId5399" /><Relationship Type="http://schemas.openxmlformats.org/officeDocument/2006/relationships/hyperlink" Target="https://www.google.com/maps/search/?api=1&amp;query=malta" TargetMode="External" Id="rId5400" /><Relationship Type="http://schemas.openxmlformats.org/officeDocument/2006/relationships/hyperlink" Target="https://www.google.com/maps/search/?api=1&amp;query=10%2C%20Triq%20Dun%20Karm%0ABirkirkara%2C%20Malta" TargetMode="External" Id="rId5401" /><Relationship Type="http://schemas.openxmlformats.org/officeDocument/2006/relationships/hyperlink" Target="https://dimech-ent.com/outdoors" TargetMode="External" Id="rId5402" /><Relationship Type="http://schemas.openxmlformats.org/officeDocument/2006/relationships/hyperlink" Target="https://pmhobby.com.mt" TargetMode="External" Id="rId5403" /><Relationship Type="http://schemas.openxmlformats.org/officeDocument/2006/relationships/hyperlink" Target="https://demajotimbers.com" TargetMode="External" Id="rId5404" /><Relationship Type="http://schemas.openxmlformats.org/officeDocument/2006/relationships/hyperlink" Target="https://calypsomfg.com" TargetMode="External" Id="rId5405" /><Relationship Type="http://schemas.openxmlformats.org/officeDocument/2006/relationships/hyperlink" Target="https://maltashopper.com" TargetMode="External" Id="rId5406" /><Relationship Type="http://schemas.openxmlformats.org/officeDocument/2006/relationships/hyperlink" Target="https://marineservicesmalta.com" TargetMode="External" Id="rId5407" /><Relationship Type="http://schemas.openxmlformats.org/officeDocument/2006/relationships/hyperlink" Target="https://andrewvassallo.com" TargetMode="External" Id="rId5408" /><Relationship Type="http://schemas.openxmlformats.org/officeDocument/2006/relationships/hyperlink" Target="https://theprofessionalsmalta.com" TargetMode="External" Id="rId5409" /><Relationship Type="http://schemas.openxmlformats.org/officeDocument/2006/relationships/hyperlink" Target="https://linkprojects.com.mt" TargetMode="External" Id="rId5410" /><Relationship Type="http://schemas.openxmlformats.org/officeDocument/2006/relationships/hyperlink" Target="https://protrade.com.mt" TargetMode="External" Id="rId5411" /><Relationship Type="http://schemas.openxmlformats.org/officeDocument/2006/relationships/hyperlink" Target="https://salibawoodworks.com" TargetMode="External" Id="rId5412" /><Relationship Type="http://schemas.openxmlformats.org/officeDocument/2006/relationships/hyperlink" Target="https://deckfabmarine.com" TargetMode="External" Id="rId5413" /><Relationship Type="http://schemas.openxmlformats.org/officeDocument/2006/relationships/hyperlink" Target="https://tuttoparquetmalta.com/index.html" TargetMode="External" Id="rId541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hyperlink" Target="MAILTO:info@andrewvassallo.com" TargetMode="External" Id="rId5415" /><Relationship Type="http://schemas.openxmlformats.org/officeDocument/2006/relationships/hyperlink" Target="MAILTO:tcj@mbm.com.mt" TargetMode="External" Id="rId5416" /><Relationship Type="http://schemas.openxmlformats.org/officeDocument/2006/relationships/hyperlink" Target="MAILTO:sales@carinibathrooms.com" TargetMode="External" Id="rId5417" /><Relationship Type="http://schemas.openxmlformats.org/officeDocument/2006/relationships/hyperlink" Target="MAILTO:info@hmkint.com" TargetMode="External" Id="rId5418" /><Relationship Type="http://schemas.openxmlformats.org/officeDocument/2006/relationships/hyperlink" Target="MAILTO:info@fino.com.mt" TargetMode="External" Id="rId5419" /><Relationship Type="http://schemas.openxmlformats.org/officeDocument/2006/relationships/hyperlink" Target="MAILTO:info@vivendo.mt" TargetMode="External" Id="rId5420" /><Relationship Type="http://schemas.openxmlformats.org/officeDocument/2006/relationships/hyperlink" Target="MAILTO:info@dv.mt" TargetMode="External" Id="rId5421" /><Relationship Type="http://schemas.openxmlformats.org/officeDocument/2006/relationships/hyperlink" Target="MAILTO:info@grfmalta.com" TargetMode="External" Id="rId5422" /><Relationship Type="http://schemas.openxmlformats.org/officeDocument/2006/relationships/hyperlink" Target="MAILTO:info@trendsltdmalta.com" TargetMode="External" Id="rId5423" /><Relationship Type="http://schemas.openxmlformats.org/officeDocument/2006/relationships/hyperlink" Target="MAILTO:xil@xuerebinstall.com" TargetMode="External" Id="rId5424" /><Relationship Type="http://schemas.openxmlformats.org/officeDocument/2006/relationships/hyperlink" Target="MAILTO:allroundservices9@gmail.com" TargetMode="External" Id="rId5425" /><Relationship Type="http://schemas.openxmlformats.org/officeDocument/2006/relationships/hyperlink" Target="MAILTO:marco@marcovella.com" TargetMode="External" Id="rId5426" /><Relationship Type="http://schemas.openxmlformats.org/officeDocument/2006/relationships/hyperlink" Target="MAILTO:info@fourseasonspools.com.mt" TargetMode="External" Id="rId5427" /><Relationship Type="http://schemas.openxmlformats.org/officeDocument/2006/relationships/hyperlink" Target="MAILTO:info@linkprojects.com.mt" TargetMode="External" Id="rId5428" /><Relationship Type="http://schemas.openxmlformats.org/officeDocument/2006/relationships/hyperlink" Target="MAILTO:info@ptk.mt" TargetMode="External" Id="rId5429" /><Relationship Type="http://schemas.openxmlformats.org/officeDocument/2006/relationships/hyperlink" Target="MAILTO:info@medprojects.com.mt" TargetMode="External" Id="rId5430" /><Relationship Type="http://schemas.openxmlformats.org/officeDocument/2006/relationships/hyperlink" Target="https://www.google.com/maps/search/?api=1&amp;query=Tarxien%20Road%2C%20Gudja%2C%20GDJ%201905%2C%20Malta" TargetMode="External" Id="rId5431" /><Relationship Type="http://schemas.openxmlformats.org/officeDocument/2006/relationships/hyperlink" Target="https://www.google.com/maps/search/?api=1&amp;query=M4%20Shopping%20Complex%2C%20Triq%20il-Linja%2C%20Attard%2C%20ATD1234%2C%20Malta" TargetMode="External" Id="rId5432" /><Relationship Type="http://schemas.openxmlformats.org/officeDocument/2006/relationships/hyperlink" Target="https://www.google.com/maps/search/?api=1&amp;query=435%2CSt.%20Joseph%20High%20Road%20%2C%20St%20Venera%20%2C%20Malta" TargetMode="External" Id="rId5433" /><Relationship Type="http://schemas.openxmlformats.org/officeDocument/2006/relationships/hyperlink" Target="https://www.google.com/maps/search/?api=1&amp;query=The%20Factory%2C%20Mosta%20Road%2C%20Lija%2C%20LJA9016%2C%20Malta" TargetMode="External" Id="rId5434" /><Relationship Type="http://schemas.openxmlformats.org/officeDocument/2006/relationships/hyperlink" Target="https://www.google.com/maps/search/?api=1&amp;query=Fino%20Buildings%2C%20Triq%20l-Imdina%2C%20Zone%204%2C%20Central%20Business%20District%2C%20Birkirkara%2C%20Malta" TargetMode="External" Id="rId5435" /><Relationship Type="http://schemas.openxmlformats.org/officeDocument/2006/relationships/hyperlink" Target="https://www.google.com/maps/search/?api=1&amp;query=Mdina%2C%20road%20Qormi%2CMalta" TargetMode="External" Id="rId5436" /><Relationship Type="http://schemas.openxmlformats.org/officeDocument/2006/relationships/hyperlink" Target="https://www.google.com/maps/search/?api=1&amp;query=Fairline%20Centre%2C%20Santa%20Marta%20Str%2C%20Victoria%20Gozo%2C%20VCT%202552%2C%20Malta" TargetMode="External" Id="rId5437" /><Relationship Type="http://schemas.openxmlformats.org/officeDocument/2006/relationships/hyperlink" Target="https://www.google.com/maps/search/?api=1&amp;query=117%20Triq%20L-Assemblea%20Nazzjonali%2C%20San%20%C4%A0wann%20SGN%203034" TargetMode="External" Id="rId5438" /><Relationship Type="http://schemas.openxmlformats.org/officeDocument/2006/relationships/hyperlink" Target="https://www.google.com/maps/search/?api=1&amp;query=Triq%20il-Karmnu%2C%20Luqa%2C%20Malta" TargetMode="External" Id="rId5439" /><Relationship Type="http://schemas.openxmlformats.org/officeDocument/2006/relationships/hyperlink" Target="https://www.google.com/maps/search/?api=1&amp;query=Xuereb%20Installations%20Ltd.%20Tal-Hlas%20Road%2C%20Qormi%20QRM%205011.%20Malta" TargetMode="External" Id="rId5440" /><Relationship Type="http://schemas.openxmlformats.org/officeDocument/2006/relationships/hyperlink" Target="https://andrewvassallo.com" TargetMode="External" Id="rId5441" /><Relationship Type="http://schemas.openxmlformats.org/officeDocument/2006/relationships/hyperlink" Target="https://mbm.com.mt" TargetMode="External" Id="rId5442" /><Relationship Type="http://schemas.openxmlformats.org/officeDocument/2006/relationships/hyperlink" Target="https://carinibathrooms.com" TargetMode="External" Id="rId5443" /><Relationship Type="http://schemas.openxmlformats.org/officeDocument/2006/relationships/hyperlink" Target="https://hmkint.com" TargetMode="External" Id="rId5444" /><Relationship Type="http://schemas.openxmlformats.org/officeDocument/2006/relationships/hyperlink" Target="https://fino.com.mt" TargetMode="External" Id="rId5445" /><Relationship Type="http://schemas.openxmlformats.org/officeDocument/2006/relationships/hyperlink" Target="https://vivendo.com" TargetMode="External" Id="rId5446" /><Relationship Type="http://schemas.openxmlformats.org/officeDocument/2006/relationships/hyperlink" Target="https://dv.mt" TargetMode="External" Id="rId5447" /><Relationship Type="http://schemas.openxmlformats.org/officeDocument/2006/relationships/hyperlink" Target="https://grfmalta.com" TargetMode="External" Id="rId5448" /><Relationship Type="http://schemas.openxmlformats.org/officeDocument/2006/relationships/hyperlink" Target="https://trendsltdmalta.com" TargetMode="External" Id="rId5449" /><Relationship Type="http://schemas.openxmlformats.org/officeDocument/2006/relationships/hyperlink" Target="https://xuerebinstall.com/" TargetMode="External" Id="rId5450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hyperlink" Target="MAILTO:bestinsulationltd@gmail.com" TargetMode="External" Id="rId5451" /><Relationship Type="http://schemas.openxmlformats.org/officeDocument/2006/relationships/hyperlink" Target="MAILTO:pacesons@gmail.com" TargetMode="External" Id="rId5452" /><Relationship Type="http://schemas.openxmlformats.org/officeDocument/2006/relationships/hyperlink" Target="MAILTO:info@bitmac.mt" TargetMode="External" Id="rId5453" /><Relationship Type="http://schemas.openxmlformats.org/officeDocument/2006/relationships/hyperlink" Target="MAILTO:info@devalier.com.mt" TargetMode="External" Id="rId5454" /><Relationship Type="http://schemas.openxmlformats.org/officeDocument/2006/relationships/hyperlink" Target="MAILTO:sales@btmalta.com" TargetMode="External" Id="rId5455" /><Relationship Type="http://schemas.openxmlformats.org/officeDocument/2006/relationships/hyperlink" Target="MAILTO:info@attardbros.com" TargetMode="External" Id="rId5456" /><Relationship Type="http://schemas.openxmlformats.org/officeDocument/2006/relationships/hyperlink" Target="MAILTO:gsturnkeyprojects@gmail.com" TargetMode="External" Id="rId5457" /><Relationship Type="http://schemas.openxmlformats.org/officeDocument/2006/relationships/hyperlink" Target="https://www.google.com/maps/search/?api=1&amp;query=95%2C%20triq%20Sajd%20%2C%20Haz-Zebbug%20%2C%20ZBG%203047%2CMalta" TargetMode="External" Id="rId5458" /><Relationship Type="http://schemas.openxmlformats.org/officeDocument/2006/relationships/hyperlink" Target="https://www.google.com/maps/search/?api=1&amp;query=Triq%20il-Mdina%20%2CAttard%20%2CMalta%20ATD%209039" TargetMode="External" Id="rId5459" /><Relationship Type="http://schemas.openxmlformats.org/officeDocument/2006/relationships/hyperlink" Target="https://www.google.com/maps/search/?api=1&amp;query=Tal-Balal%20Road%20%2C%20Lklin%20%2CIKL%209013%20%2C%20Malta" TargetMode="External" Id="rId5460" /><Relationship Type="http://schemas.openxmlformats.org/officeDocument/2006/relationships/hyperlink" Target="https://www.google.com/maps/search/?api=1&amp;query=The%20Old%20Factory%2C%20San%20Gwakkin%20Str%2C%20Zone%203%2C%20Central%20Business%20District%2C%20Mriehel%2C%20B%E2%80%99kara%2C%20CBD%203030%2C%20Malta" TargetMode="External" Id="rId5461" /><Relationship Type="http://schemas.openxmlformats.org/officeDocument/2006/relationships/hyperlink" Target="https://www.google.com/maps/search/?api=1&amp;query=BT%20Commercial%20LTD.%20The%20Watercourse%2C%20Triq%20L-Imdina%2C%20Zone%202%20Central%20Business%20District%2C%20Birkirkara%2C%20Malta%2C%20CBD2010" TargetMode="External" Id="rId5462" /><Relationship Type="http://schemas.openxmlformats.org/officeDocument/2006/relationships/hyperlink" Target="https://www.google.com/maps/search/?api=1&amp;query=Attard%20Bros%20Group%2C%20Industrial%20Zone%2C%E2%80%A8%0ATa%E2%80%99%20Qali%2C%20ATD%204000%2C%20Malta" TargetMode="External" Id="rId5463" /><Relationship Type="http://schemas.openxmlformats.org/officeDocument/2006/relationships/hyperlink" Target="https://facebook.com/iglumalta" TargetMode="External" Id="rId5464" /><Relationship Type="http://schemas.openxmlformats.org/officeDocument/2006/relationships/hyperlink" Target="https://yellow.com.mt" TargetMode="External" Id="rId5465" /><Relationship Type="http://schemas.openxmlformats.org/officeDocument/2006/relationships/hyperlink" Target="https://bitmacltd.com" TargetMode="External" Id="rId5466" /><Relationship Type="http://schemas.openxmlformats.org/officeDocument/2006/relationships/hyperlink" Target="https://dv.mt/de-valtech/" TargetMode="External" Id="rId5467" /><Relationship Type="http://schemas.openxmlformats.org/officeDocument/2006/relationships/hyperlink" Target="https://facebook.com/BTCommercialMalta/" TargetMode="External" Id="rId5468" /><Relationship Type="http://schemas.openxmlformats.org/officeDocument/2006/relationships/hyperlink" Target="https://attardbros.com/" TargetMode="External" Id="rId5469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hyperlink" Target="MAILTO:info@blokrete.com.mt" TargetMode="External" Id="rId5470" /><Relationship Type="http://schemas.openxmlformats.org/officeDocument/2006/relationships/hyperlink" Target="MAILTO:ballut@ballutblocks.com" TargetMode="External" Id="rId5471" /><Relationship Type="http://schemas.openxmlformats.org/officeDocument/2006/relationships/hyperlink" Target="MAILTO:info@attardbros.com" TargetMode="External" Id="rId5472" /><Relationship Type="http://schemas.openxmlformats.org/officeDocument/2006/relationships/hyperlink" Target="MAILTO:info@generalprecastconcrete.com" TargetMode="External" Id="rId5473" /><Relationship Type="http://schemas.openxmlformats.org/officeDocument/2006/relationships/hyperlink" Target="MAILTO:sales@jmvibro.com" TargetMode="External" Id="rId5474" /><Relationship Type="http://schemas.openxmlformats.org/officeDocument/2006/relationships/hyperlink" Target="MAILTO:info@polidano-group.com" TargetMode="External" Id="rId5475" /><Relationship Type="http://schemas.openxmlformats.org/officeDocument/2006/relationships/hyperlink" Target="MAILTO:info@jpbaldacchino.com" TargetMode="External" Id="rId5476" /><Relationship Type="http://schemas.openxmlformats.org/officeDocument/2006/relationships/hyperlink" Target="MAILTO:info@bbconstruction.mt" TargetMode="External" Id="rId5477" /><Relationship Type="http://schemas.openxmlformats.org/officeDocument/2006/relationships/hyperlink" Target="MAILTO:info@elbros.com.mt" TargetMode="External" Id="rId5478" /><Relationship Type="http://schemas.openxmlformats.org/officeDocument/2006/relationships/hyperlink" Target="MAILTO:info@ogcw.mt" TargetMode="External" Id="rId5479" /><Relationship Type="http://schemas.openxmlformats.org/officeDocument/2006/relationships/hyperlink" Target="MAILTO:info@michaelcaruanaltd.com" TargetMode="External" Id="rId5480" /><Relationship Type="http://schemas.openxmlformats.org/officeDocument/2006/relationships/hyperlink" Target="MAILTO:info@rasonsltd.com" TargetMode="External" Id="rId5481" /><Relationship Type="http://schemas.openxmlformats.org/officeDocument/2006/relationships/hyperlink" Target="MAILTO:kpt.kpttradingmalta@gmail.com" TargetMode="External" Id="rId5482" /><Relationship Type="http://schemas.openxmlformats.org/officeDocument/2006/relationships/hyperlink" Target="https://blokrete.com.mt/contact/" TargetMode="External" Id="rId5483" /><Relationship Type="http://schemas.openxmlformats.org/officeDocument/2006/relationships/hyperlink" Target="https://ballutblocks.com/contact-us/" TargetMode="External" Id="rId5484" /><Relationship Type="http://schemas.openxmlformats.org/officeDocument/2006/relationships/hyperlink" Target="https://facebook.com/attardbros" TargetMode="External" Id="rId5485" /><Relationship Type="http://schemas.openxmlformats.org/officeDocument/2006/relationships/hyperlink" Target="https://generalprecastconcrete.com/downloads/" TargetMode="External" Id="rId5486" /><Relationship Type="http://schemas.openxmlformats.org/officeDocument/2006/relationships/hyperlink" Target="https://jmvibro.com/structural-steel" TargetMode="External" Id="rId5487" /><Relationship Type="http://schemas.openxmlformats.org/officeDocument/2006/relationships/hyperlink" Target="https://polidano-group.com/content_id_260158.html" TargetMode="External" Id="rId5488" /><Relationship Type="http://schemas.openxmlformats.org/officeDocument/2006/relationships/hyperlink" Target="https://jpbaldacchino.com/" TargetMode="External" Id="rId5489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hyperlink" Target="MAILTO:info@forestals.com" TargetMode="External" Id="rId5490" /><Relationship Type="http://schemas.openxmlformats.org/officeDocument/2006/relationships/hyperlink" Target="MAILTO:info@imagesystems.com.mt" TargetMode="External" Id="rId5491" /><Relationship Type="http://schemas.openxmlformats.org/officeDocument/2006/relationships/hyperlink" Target="MAILTO:info@ramilenemalta.com" TargetMode="External" Id="rId5492" /><Relationship Type="http://schemas.openxmlformats.org/officeDocument/2006/relationships/hyperlink" Target="MAILTO:info@bitsandbytesmalta.com" TargetMode="External" Id="rId5493" /><Relationship Type="http://schemas.openxmlformats.org/officeDocument/2006/relationships/hyperlink" Target="https://www.google.com/maps/search/?api=1&amp;query=Lead%20Business%20Centre%2C%20Triq%20L-Intrapriza%2C%20Zone%204%2C%20Central%20Business%20District%2C%20Birkirkara%20CBD%204080%2C%20Malta" TargetMode="External" Id="rId5494" /><Relationship Type="http://schemas.openxmlformats.org/officeDocument/2006/relationships/hyperlink" Target="https://www.google.com/maps/search/?api=1&amp;query=19%2C%20Vincenti%20Buildings%2C%2011%20Strait%20Street%2C%20Valletta%20VLT%201432%2C%20Malta" TargetMode="External" Id="rId5495" /><Relationship Type="http://schemas.openxmlformats.org/officeDocument/2006/relationships/hyperlink" Target="https://www.google.com/maps/search/?api=1&amp;query=50%2F51%2C%20Ramilene%20Building%2C%20Triq%20It-Torri%2C%20Swatar%2C%20BKR%204011%2C%20Malta" TargetMode="External" Id="rId5496" /><Relationship Type="http://schemas.openxmlformats.org/officeDocument/2006/relationships/hyperlink" Target="https://www.google.com/maps/search/?api=1&amp;query=Triq%20Il-Wied%20Ta%27%20L-Imsida%2C%20L-Imsida%2C%20Malta" TargetMode="External" Id="rId5497" /><Relationship Type="http://schemas.openxmlformats.org/officeDocument/2006/relationships/hyperlink" Target="https://www.google.com/maps/search/?api=1&amp;query=St.%20Aloysius%20Square%2C%20Birkirkara%20BKR%201474%2C%20Malta" TargetMode="External" Id="rId5498" /><Relationship Type="http://schemas.openxmlformats.org/officeDocument/2006/relationships/hyperlink" Target="https://forestals.com" TargetMode="External" Id="rId5499" /><Relationship Type="http://schemas.openxmlformats.org/officeDocument/2006/relationships/hyperlink" Target="https://imagesystems.com.mt" TargetMode="External" Id="rId5500" /><Relationship Type="http://schemas.openxmlformats.org/officeDocument/2006/relationships/hyperlink" Target="https://ramilenemalta.com" TargetMode="External" Id="rId5501" /><Relationship Type="http://schemas.openxmlformats.org/officeDocument/2006/relationships/hyperlink" Target="https://strandelectronics.com" TargetMode="External" Id="rId5502" /><Relationship Type="http://schemas.openxmlformats.org/officeDocument/2006/relationships/hyperlink" Target="https://bitsandbytesmalta.com" TargetMode="External" Id="rId5503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hyperlink" Target="MAILTO:info@dprostudio.com" TargetMode="External" Id="rId5504" /><Relationship Type="http://schemas.openxmlformats.org/officeDocument/2006/relationships/hyperlink" Target="MAILTO:info@vizwali.com" TargetMode="External" Id="rId5505" /><Relationship Type="http://schemas.openxmlformats.org/officeDocument/2006/relationships/hyperlink" Target="MAILTO:hello@solideye.eu" TargetMode="External" Id="rId5506" /><Relationship Type="http://schemas.openxmlformats.org/officeDocument/2006/relationships/hyperlink" Target="MAILTO:info@KT3DStudio.mt" TargetMode="External" Id="rId5507" /><Relationship Type="http://schemas.openxmlformats.org/officeDocument/2006/relationships/hyperlink" Target="MAILTO:3dsocietymalta@gmail.com" TargetMode="External" Id="rId5508" /><Relationship Type="http://schemas.openxmlformats.org/officeDocument/2006/relationships/hyperlink" Target="MAILTO:3dvisualsmalta@gmail.com" TargetMode="External" Id="rId5509" /><Relationship Type="http://schemas.openxmlformats.org/officeDocument/2006/relationships/hyperlink" Target="MAILTO:info@entifystudio.com" TargetMode="External" Id="rId5510" /><Relationship Type="http://schemas.openxmlformats.org/officeDocument/2006/relationships/hyperlink" Target="MAILTO:contact@kibitec.com" TargetMode="External" Id="rId5511" /><Relationship Type="http://schemas.openxmlformats.org/officeDocument/2006/relationships/hyperlink" Target="MAILTO:jpace@vrsmalta.com" TargetMode="External" Id="rId5512" /><Relationship Type="http://schemas.openxmlformats.org/officeDocument/2006/relationships/hyperlink" Target="MAILTO:mdvisualsmalta@gmail.com" TargetMode="External" Id="rId5513" /><Relationship Type="http://schemas.openxmlformats.org/officeDocument/2006/relationships/hyperlink" Target="MAILTO:info@designprinciple.com.mt" TargetMode="External" Id="rId5514" /><Relationship Type="http://schemas.openxmlformats.org/officeDocument/2006/relationships/hyperlink" Target="MAILTO:info@pialidesign.com" TargetMode="External" Id="rId5515" /><Relationship Type="http://schemas.openxmlformats.org/officeDocument/2006/relationships/hyperlink" Target="MAILTO:toptiermalta@gmail.com" TargetMode="External" Id="rId5516" /><Relationship Type="http://schemas.openxmlformats.org/officeDocument/2006/relationships/hyperlink" Target="MAILTO:sales@malta-design.com" TargetMode="External" Id="rId5517" /><Relationship Type="http://schemas.openxmlformats.org/officeDocument/2006/relationships/hyperlink" Target="https://www.google.com/maps/search/?api=1&amp;query=%2F" TargetMode="External" Id="rId5518" /><Relationship Type="http://schemas.openxmlformats.org/officeDocument/2006/relationships/hyperlink" Target="https://www.google.com/maps/search/?api=1&amp;query=%2F" TargetMode="External" Id="rId5519" /><Relationship Type="http://schemas.openxmlformats.org/officeDocument/2006/relationships/hyperlink" Target="https://www.google.com/maps/search/?api=1&amp;query=39%2C%20G%C4%A7ajnsielem%20Street%0AG%C4%A7ajnsielem%20GSM%201185%0AGozo%2C%20Malta" TargetMode="External" Id="rId5520" /><Relationship Type="http://schemas.openxmlformats.org/officeDocument/2006/relationships/hyperlink" Target="https://www.google.com/maps/search/?api=1&amp;query=15%20Graham%20Street%2C%20Sliema%2C%20Malta" TargetMode="External" Id="rId5521" /><Relationship Type="http://schemas.openxmlformats.org/officeDocument/2006/relationships/hyperlink" Target="https://www.google.com/maps/search/?api=1&amp;query=Triq%20Domenico%20Cachia%2054%0ABirkirkara%2C%20BKR1017%2C%20Malta" TargetMode="External" Id="rId5522" /><Relationship Type="http://schemas.openxmlformats.org/officeDocument/2006/relationships/hyperlink" Target="https://www.google.com/maps/search/?api=1&amp;query=4%20Flat%201%2C%20Veduta%20Apartments%2C%0ALuigi%20Ellul%20Street%2C%0AAttard%2C%20ATD%203023%2C%0AMalta" TargetMode="External" Id="rId5523" /><Relationship Type="http://schemas.openxmlformats.org/officeDocument/2006/relationships/hyperlink" Target="https://www.google.com/maps/search/?api=1&amp;query=Qrendi%2C%20Malta" TargetMode="External" Id="rId5524" /><Relationship Type="http://schemas.openxmlformats.org/officeDocument/2006/relationships/hyperlink" Target="https://www.google.com/maps/search/?api=1&amp;query=Design%20Principle%0A52%2C%20St%20Paul%20Street%0AValletta%20VLT%201212%0AMalta" TargetMode="External" Id="rId5525" /><Relationship Type="http://schemas.openxmlformats.org/officeDocument/2006/relationships/hyperlink" Target="https://www.google.com/maps/search/?api=1&amp;query=Mdina%20Road%2C%0A%C4%A6az-Zebbug%2C%20Malta" TargetMode="External" Id="rId5526" /><Relationship Type="http://schemas.openxmlformats.org/officeDocument/2006/relationships/hyperlink" Target="https://www.google.com/maps/search/?api=1&amp;query=Valletta%2C%20Malta" TargetMode="External" Id="rId5527" /><Relationship Type="http://schemas.openxmlformats.org/officeDocument/2006/relationships/hyperlink" Target="https://dprostudio.com/" TargetMode="External" Id="rId5528" /><Relationship Type="http://schemas.openxmlformats.org/officeDocument/2006/relationships/hyperlink" Target="https://vizwali.com/" TargetMode="External" Id="rId5529" /><Relationship Type="http://schemas.openxmlformats.org/officeDocument/2006/relationships/hyperlink" Target="https://solideye.eu/" TargetMode="External" Id="rId5530" /><Relationship Type="http://schemas.openxmlformats.org/officeDocument/2006/relationships/hyperlink" Target="https://kt3dstudio.com/" TargetMode="External" Id="rId5531" /><Relationship Type="http://schemas.openxmlformats.org/officeDocument/2006/relationships/hyperlink" Target="https://3dsocietymalta.com/" TargetMode="External" Id="rId5532" /><Relationship Type="http://schemas.openxmlformats.org/officeDocument/2006/relationships/hyperlink" Target="https://3dvisualsmalta.com/" TargetMode="External" Id="rId5533" /><Relationship Type="http://schemas.openxmlformats.org/officeDocument/2006/relationships/hyperlink" Target="https://entifystudio.com/" TargetMode="External" Id="rId5534" /><Relationship Type="http://schemas.openxmlformats.org/officeDocument/2006/relationships/hyperlink" Target="https://kibitec.com/" TargetMode="External" Id="rId5535" /><Relationship Type="http://schemas.openxmlformats.org/officeDocument/2006/relationships/hyperlink" Target="https://vrsmalta.com/" TargetMode="External" Id="rId5536" /><Relationship Type="http://schemas.openxmlformats.org/officeDocument/2006/relationships/hyperlink" Target="https://facebook.com/moredetailedvisuals" TargetMode="External" Id="rId5537" /><Relationship Type="http://schemas.openxmlformats.org/officeDocument/2006/relationships/hyperlink" Target="https://designprinciple.com.mt/" TargetMode="External" Id="rId5538" /><Relationship Type="http://schemas.openxmlformats.org/officeDocument/2006/relationships/hyperlink" Target="https://pialidesign.com/" TargetMode="External" Id="rId5539" /><Relationship Type="http://schemas.openxmlformats.org/officeDocument/2006/relationships/hyperlink" Target="https://facebook.com/TopTierMediaMalta/" TargetMode="External" Id="rId5540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hyperlink" Target="MAILTO:info@cmyk.com.mt" TargetMode="External" Id="rId5541" /><Relationship Type="http://schemas.openxmlformats.org/officeDocument/2006/relationships/hyperlink" Target="MAILTO:sales@maltasigns.com" TargetMode="External" Id="rId5542" /><Relationship Type="http://schemas.openxmlformats.org/officeDocument/2006/relationships/hyperlink" Target="MAILTO:info@signfactory.com.mt" TargetMode="External" Id="rId5543" /><Relationship Type="http://schemas.openxmlformats.org/officeDocument/2006/relationships/hyperlink" Target="MAILTO:info@signworldmalta.com" TargetMode="External" Id="rId5544" /><Relationship Type="http://schemas.openxmlformats.org/officeDocument/2006/relationships/hyperlink" Target="MAILTO:info@gescosigns.com" TargetMode="External" Id="rId5545" /><Relationship Type="http://schemas.openxmlformats.org/officeDocument/2006/relationships/hyperlink" Target="MAILTO:info@vikingsignrite.com" TargetMode="External" Id="rId5546" /><Relationship Type="http://schemas.openxmlformats.org/officeDocument/2006/relationships/hyperlink" Target="MAILTO:customer.care@fastsigns.com" TargetMode="External" Id="rId5547" /><Relationship Type="http://schemas.openxmlformats.org/officeDocument/2006/relationships/hyperlink" Target="MAILTO:info@deltamedia.services" TargetMode="External" Id="rId5548" /><Relationship Type="http://schemas.openxmlformats.org/officeDocument/2006/relationships/hyperlink" Target="MAILTO:smcsigns@gmail.com" TargetMode="External" Id="rId5549" /><Relationship Type="http://schemas.openxmlformats.org/officeDocument/2006/relationships/hyperlink" Target="MAILTO:hello@ajet.mt" TargetMode="External" Id="rId5550" /><Relationship Type="http://schemas.openxmlformats.org/officeDocument/2006/relationships/hyperlink" Target="MAILTO:sales@mgmalta.com" TargetMode="External" Id="rId5551" /><Relationship Type="http://schemas.openxmlformats.org/officeDocument/2006/relationships/hyperlink" Target="MAILTO:bannersmalta@gmail.com" TargetMode="External" Id="rId5552" /><Relationship Type="http://schemas.openxmlformats.org/officeDocument/2006/relationships/hyperlink" Target="MAILTO:creativeworksmalta@gmail.com" TargetMode="External" Id="rId5553" /><Relationship Type="http://schemas.openxmlformats.org/officeDocument/2006/relationships/hyperlink" Target="MAILTO:info@DZYNmalta.com" TargetMode="External" Id="rId5554" /><Relationship Type="http://schemas.openxmlformats.org/officeDocument/2006/relationships/hyperlink" Target="MAILTO:connor@essencyengraving.com" TargetMode="External" Id="rId5555" /><Relationship Type="http://schemas.openxmlformats.org/officeDocument/2006/relationships/hyperlink" Target="MAILTO:info@gozo.graphics" TargetMode="External" Id="rId5556" /><Relationship Type="http://schemas.openxmlformats.org/officeDocument/2006/relationships/hyperlink" Target="MAILTO:edgar.engraving@gmail.com" TargetMode="External" Id="rId5557" /><Relationship Type="http://schemas.openxmlformats.org/officeDocument/2006/relationships/hyperlink" Target="MAILTO:nadia@pplmalta.com" TargetMode="External" Id="rId5558" /><Relationship Type="http://schemas.openxmlformats.org/officeDocument/2006/relationships/hyperlink" Target="MAILTO:info@printagram.com.mt" TargetMode="External" Id="rId5559" /><Relationship Type="http://schemas.openxmlformats.org/officeDocument/2006/relationships/hyperlink" Target="MAILTO:sales@prismprinting.com.mt" TargetMode="External" Id="rId5560" /><Relationship Type="http://schemas.openxmlformats.org/officeDocument/2006/relationships/hyperlink" Target="MAILTO:admin@zaffarese.com" TargetMode="External" Id="rId5561" /><Relationship Type="http://schemas.openxmlformats.org/officeDocument/2006/relationships/hyperlink" Target="MAILTO:info@decomalta.com" TargetMode="External" Id="rId5562" /><Relationship Type="http://schemas.openxmlformats.org/officeDocument/2006/relationships/hyperlink" Target="https://www.google.com/maps/search/?api=1&amp;query=118%20Triq%20Glormu%20Cassar%2C%20Mosta%20MST4112" TargetMode="External" Id="rId5563" /><Relationship Type="http://schemas.openxmlformats.org/officeDocument/2006/relationships/hyperlink" Target="https://www.google.com/maps/search/?api=1&amp;query=The%20Sign%20Factory%0ATriq%20Dun%20Luret%20Callus%0A%C4%A6a%C5%BC-%C5%BBebbu%C4%A1%20-%20ZBG%202495" TargetMode="External" Id="rId5564" /><Relationship Type="http://schemas.openxmlformats.org/officeDocument/2006/relationships/hyperlink" Target="https://www.google.com/maps/search/?api=1&amp;query=Triq%20il-Frangiskani%2C%20L-Imsida%0AMSD%201120%2C%20Malta" TargetMode="External" Id="rId5565" /><Relationship Type="http://schemas.openxmlformats.org/officeDocument/2006/relationships/hyperlink" Target="https://www.google.com/maps/search/?api=1&amp;query=Sliema%20Road%2C%20Gzira" TargetMode="External" Id="rId5566" /><Relationship Type="http://schemas.openxmlformats.org/officeDocument/2006/relationships/hyperlink" Target="https://www.google.com/maps/search/?api=1&amp;query=128%20Pitkali%20Road%2C%20Attard%0AM01%2C%202214" TargetMode="External" Id="rId5567" /><Relationship Type="http://schemas.openxmlformats.org/officeDocument/2006/relationships/hyperlink" Target="https://www.google.com/maps/search/?api=1&amp;query=Industrial%20Area%2C%20H%27Attard" TargetMode="External" Id="rId5568" /><Relationship Type="http://schemas.openxmlformats.org/officeDocument/2006/relationships/hyperlink" Target="https://www.google.com/maps/search/?api=1&amp;query=SMC%20Designs%0APortico%20Flt%201%2C%2023rd%20April%20Street%0AVictoria%2C%20Gozo%20-%20Malta." TargetMode="External" Id="rId5569" /><Relationship Type="http://schemas.openxmlformats.org/officeDocument/2006/relationships/hyperlink" Target="https://www.google.com/maps/search/?api=1&amp;query=3%2C%20Triq%20Bugharbiel%20ZTN%203436%20Iz-Zejtun%2C%20Malta" TargetMode="External" Id="rId5570" /><Relationship Type="http://schemas.openxmlformats.org/officeDocument/2006/relationships/hyperlink" Target="https://www.google.com/maps/search/?api=1&amp;query=MG%20Signs%0A90%20%7C%2091%20%7C%2092x%20%2C%20Luqa%20industrial%20estate%0ALuqa%2C%20LQA%203000" TargetMode="External" Id="rId5571" /><Relationship Type="http://schemas.openxmlformats.org/officeDocument/2006/relationships/hyperlink" Target="https://www.google.com/maps/search/?api=1&amp;query=Indri%20Psaila%20Street%2C%0AQormi%20QRM4000%2C%20Malta." TargetMode="External" Id="rId5572" /><Relationship Type="http://schemas.openxmlformats.org/officeDocument/2006/relationships/hyperlink" Target="https://www.google.com/maps/search/?api=1&amp;query=Santa%20Venera" TargetMode="External" Id="rId5573" /><Relationship Type="http://schemas.openxmlformats.org/officeDocument/2006/relationships/hyperlink" Target="https://www.google.com/maps/search/?api=1&amp;query=53%2C%20Triq%20Marina%20Piet%C3%A0%20%28Sa%20Maison%29" TargetMode="External" Id="rId5574" /><Relationship Type="http://schemas.openxmlformats.org/officeDocument/2006/relationships/hyperlink" Target="https://www.google.com/maps/search/?api=1&amp;query=Zabbar%2C%20Malta" TargetMode="External" Id="rId5575" /><Relationship Type="http://schemas.openxmlformats.org/officeDocument/2006/relationships/hyperlink" Target="https://www.google.com/maps/search/?api=1&amp;query=Industrial%20Estate%2C%20Luqa%2C%20Malta" TargetMode="External" Id="rId5576" /><Relationship Type="http://schemas.openxmlformats.org/officeDocument/2006/relationships/hyperlink" Target="https://www.google.com/maps/search/?api=1&amp;query=11%2C%20Triq%20II-Burmarrad%0ANaxxar%2C%20NXR%206345%0AMalta" TargetMode="External" Id="rId5577" /><Relationship Type="http://schemas.openxmlformats.org/officeDocument/2006/relationships/hyperlink" Target="https://www.google.com/maps/search/?api=1&amp;query=Merkanti%2C%20Prism%20Printing%2C%0ANaggar%20Street%2C%0AMosta%2C%0AMST%201761" TargetMode="External" Id="rId5578" /><Relationship Type="http://schemas.openxmlformats.org/officeDocument/2006/relationships/hyperlink" Target="https://www.google.com/maps/search/?api=1&amp;query=CCG%20Building%2C%20Triq%203%20Ta%E2%80%99%20Settembru%201798%0AZone%203%2C%20Central%20Business%20District%2C%0ABirkirkara%20CBD%203100%20Malta" TargetMode="External" Id="rId5579" /><Relationship Type="http://schemas.openxmlformats.org/officeDocument/2006/relationships/hyperlink" Target="https://www.google.com/maps/search/?api=1&amp;query=Bulebel%2C%20Zejtun" TargetMode="External" Id="rId5580" /><Relationship Type="http://schemas.openxmlformats.org/officeDocument/2006/relationships/hyperlink" Target="https://cmyk.com.mt" TargetMode="External" Id="rId5581" /><Relationship Type="http://schemas.openxmlformats.org/officeDocument/2006/relationships/hyperlink" Target="https://maltasigns.com/" TargetMode="External" Id="rId5582" /><Relationship Type="http://schemas.openxmlformats.org/officeDocument/2006/relationships/hyperlink" Target="https://signfactory.com.mt/" TargetMode="External" Id="rId5583" /><Relationship Type="http://schemas.openxmlformats.org/officeDocument/2006/relationships/hyperlink" Target="https://signworldmalta.com/" TargetMode="External" Id="rId5584" /><Relationship Type="http://schemas.openxmlformats.org/officeDocument/2006/relationships/hyperlink" Target="https://gescosigns.com/index.html" TargetMode="External" Id="rId5585" /><Relationship Type="http://schemas.openxmlformats.org/officeDocument/2006/relationships/hyperlink" Target="https://vikingsignrite.com/" TargetMode="External" Id="rId5586" /><Relationship Type="http://schemas.openxmlformats.org/officeDocument/2006/relationships/hyperlink" Target="https://fastsigns.mt/" TargetMode="External" Id="rId5587" /><Relationship Type="http://schemas.openxmlformats.org/officeDocument/2006/relationships/hyperlink" Target="https://deltamedia.services/" TargetMode="External" Id="rId5588" /><Relationship Type="http://schemas.openxmlformats.org/officeDocument/2006/relationships/hyperlink" Target="https://smcdesignstudio.com/" TargetMode="External" Id="rId5589" /><Relationship Type="http://schemas.openxmlformats.org/officeDocument/2006/relationships/hyperlink" Target="https://facebook.com/houseofsignsmalta/" TargetMode="External" Id="rId5590" /><Relationship Type="http://schemas.openxmlformats.org/officeDocument/2006/relationships/hyperlink" Target="https://facebook.com/ajet.signs/" TargetMode="External" Id="rId5591" /><Relationship Type="http://schemas.openxmlformats.org/officeDocument/2006/relationships/hyperlink" Target="https://facebook.com/mgsignsmalta/" TargetMode="External" Id="rId5592" /><Relationship Type="http://schemas.openxmlformats.org/officeDocument/2006/relationships/hyperlink" Target="https://bannersmalta.com/" TargetMode="External" Id="rId5593" /><Relationship Type="http://schemas.openxmlformats.org/officeDocument/2006/relationships/hyperlink" Target="https://creativeworksmalta.com/" TargetMode="External" Id="rId5594" /><Relationship Type="http://schemas.openxmlformats.org/officeDocument/2006/relationships/hyperlink" Target="https://dzynmalta.com/" TargetMode="External" Id="rId5595" /><Relationship Type="http://schemas.openxmlformats.org/officeDocument/2006/relationships/hyperlink" Target="https://essencyengraving.com/mt" TargetMode="External" Id="rId5596" /><Relationship Type="http://schemas.openxmlformats.org/officeDocument/2006/relationships/hyperlink" Target="https://gozographics.com/" TargetMode="External" Id="rId5597" /><Relationship Type="http://schemas.openxmlformats.org/officeDocument/2006/relationships/hyperlink" Target="https://eseengraving.com/" TargetMode="External" Id="rId5598" /><Relationship Type="http://schemas.openxmlformats.org/officeDocument/2006/relationships/hyperlink" Target="https://pplmalta.com/" TargetMode="External" Id="rId5599" /><Relationship Type="http://schemas.openxmlformats.org/officeDocument/2006/relationships/hyperlink" Target="https://printagram.com.mt/" TargetMode="External" Id="rId5600" /><Relationship Type="http://schemas.openxmlformats.org/officeDocument/2006/relationships/hyperlink" Target="https://prismprinting.com.mt/" TargetMode="External" Id="rId5601" /><Relationship Type="http://schemas.openxmlformats.org/officeDocument/2006/relationships/hyperlink" Target="https://zaffarese.com/" TargetMode="External" Id="rId5602" /><Relationship Type="http://schemas.openxmlformats.org/officeDocument/2006/relationships/hyperlink" Target="https://decomalta.com/contact" TargetMode="External" Id="rId5603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hyperlink" Target="MAILTO:info@maltatiles.com" TargetMode="External" Id="rId5604" /><Relationship Type="http://schemas.openxmlformats.org/officeDocument/2006/relationships/hyperlink" Target="MAILTO:info@desanamarbles.com" TargetMode="External" Id="rId5605" /><Relationship Type="http://schemas.openxmlformats.org/officeDocument/2006/relationships/hyperlink" Target="MAILTO:sales@marbleinnovation.com" TargetMode="External" Id="rId5606" /><Relationship Type="http://schemas.openxmlformats.org/officeDocument/2006/relationships/hyperlink" Target="MAILTO:rgpmarblemalta@gmail.com" TargetMode="External" Id="rId5607" /><Relationship Type="http://schemas.openxmlformats.org/officeDocument/2006/relationships/hyperlink" Target="MAILTO:info@hmvella.com" TargetMode="External" Id="rId5608" /><Relationship Type="http://schemas.openxmlformats.org/officeDocument/2006/relationships/hyperlink" Target="MAILTO:bugejamarbles@gmail.com" TargetMode="External" Id="rId5609" /><Relationship Type="http://schemas.openxmlformats.org/officeDocument/2006/relationships/hyperlink" Target="MAILTO:info@chicliving.com.mt" TargetMode="External" Id="rId5610" /><Relationship Type="http://schemas.openxmlformats.org/officeDocument/2006/relationships/hyperlink" Target="MAILTO:amuscatmarble@gmail.com" TargetMode="External" Id="rId5611" /><Relationship Type="http://schemas.openxmlformats.org/officeDocument/2006/relationships/hyperlink" Target="MAILTO:info@cinimarbles.com" TargetMode="External" Id="rId5612" /><Relationship Type="http://schemas.openxmlformats.org/officeDocument/2006/relationships/hyperlink" Target="MAILTO:info@rabatmarbles.com" TargetMode="External" Id="rId5613" /><Relationship Type="http://schemas.openxmlformats.org/officeDocument/2006/relationships/hyperlink" Target="MAILTO:info@juliansmarble.com" TargetMode="External" Id="rId5614" /><Relationship Type="http://schemas.openxmlformats.org/officeDocument/2006/relationships/hyperlink" Target="MAILTO:grechmarbles@onvol.net" TargetMode="External" Id="rId5615" /><Relationship Type="http://schemas.openxmlformats.org/officeDocument/2006/relationships/hyperlink" Target="MAILTO:afellismarbleworks@gmail.com" TargetMode="External" Id="rId5616" /><Relationship Type="http://schemas.openxmlformats.org/officeDocument/2006/relationships/hyperlink" Target="MAILTO:icamill52@gmail.com" TargetMode="External" Id="rId5617" /><Relationship Type="http://schemas.openxmlformats.org/officeDocument/2006/relationships/hyperlink" Target="MAILTO:info@absolute.com.mt" TargetMode="External" Id="rId5618" /><Relationship Type="http://schemas.openxmlformats.org/officeDocument/2006/relationships/hyperlink" Target="MAILTO:kbugeja@qualitystonemalta.com" TargetMode="External" Id="rId5619" /><Relationship Type="http://schemas.openxmlformats.org/officeDocument/2006/relationships/hyperlink" Target="MAILTO:info@bfmarbles.com" TargetMode="External" Id="rId5620" /><Relationship Type="http://schemas.openxmlformats.org/officeDocument/2006/relationships/hyperlink" Target="MAILTO:info@soll.mt" TargetMode="External" Id="rId5621" /><Relationship Type="http://schemas.openxmlformats.org/officeDocument/2006/relationships/hyperlink" Target="MAILTO:sales@carinibathrooms.com" TargetMode="External" Id="rId5622" /><Relationship Type="http://schemas.openxmlformats.org/officeDocument/2006/relationships/hyperlink" Target="MAILTO:info@okhome.com.mt" TargetMode="External" Id="rId5623" /><Relationship Type="http://schemas.openxmlformats.org/officeDocument/2006/relationships/hyperlink" Target="MAILTO:info@jpitre.com" TargetMode="External" Id="rId5624" /><Relationship Type="http://schemas.openxmlformats.org/officeDocument/2006/relationships/hyperlink" Target="MAILTO:tilesandmarbleinfo@gmail.com" TargetMode="External" Id="rId5625" /><Relationship Type="http://schemas.openxmlformats.org/officeDocument/2006/relationships/hyperlink" Target="MAILTO:info@bigmatmalta.com" TargetMode="External" Id="rId5626" /><Relationship Type="http://schemas.openxmlformats.org/officeDocument/2006/relationships/hyperlink" Target="MAILTO:info@the-tile.com" TargetMode="External" Id="rId5627" /><Relationship Type="http://schemas.openxmlformats.org/officeDocument/2006/relationships/hyperlink" Target="MAILTO:info@ssbathrooms.com" TargetMode="External" Id="rId5628" /><Relationship Type="http://schemas.openxmlformats.org/officeDocument/2006/relationships/hyperlink" Target="MAILTO:info@vellafalzon.com" TargetMode="External" Id="rId5629" /><Relationship Type="http://schemas.openxmlformats.org/officeDocument/2006/relationships/hyperlink" Target="MAILTO:cristalbath@onvol.net" TargetMode="External" Id="rId5630" /><Relationship Type="http://schemas.openxmlformats.org/officeDocument/2006/relationships/hyperlink" Target="MAILTO:info@mrcd.com.mt" TargetMode="External" Id="rId5631" /><Relationship Type="http://schemas.openxmlformats.org/officeDocument/2006/relationships/hyperlink" Target="MAILTO:info@dinofino.com" TargetMode="External" Id="rId5632" /><Relationship Type="http://schemas.openxmlformats.org/officeDocument/2006/relationships/hyperlink" Target="MAILTO:sales@thetubmalta.com" TargetMode="External" Id="rId5633" /><Relationship Type="http://schemas.openxmlformats.org/officeDocument/2006/relationships/hyperlink" Target="MAILTO:josies@josies.mt" TargetMode="External" Id="rId5634" /><Relationship Type="http://schemas.openxmlformats.org/officeDocument/2006/relationships/hyperlink" Target="MAILTO:info@radosystems.eu" TargetMode="External" Id="rId5635" /><Relationship Type="http://schemas.openxmlformats.org/officeDocument/2006/relationships/hyperlink" Target="MAILTO:admin@bhome.com.mt" TargetMode="External" Id="rId5636" /><Relationship Type="http://schemas.openxmlformats.org/officeDocument/2006/relationships/hyperlink" Target="https://www.google.com/maps/search/?api=1&amp;query=Buskett%20Road%2C%20Dingli%2C%20DGL%202709%2C%20Malta" TargetMode="External" Id="rId5637" /><Relationship Type="http://schemas.openxmlformats.org/officeDocument/2006/relationships/hyperlink" Target="https://www.google.com/maps/search/?api=1&amp;query=KKW601%2C%20Triq%20Kordin%2C%20Paola%2C%20Malta" TargetMode="External" Id="rId5638" /><Relationship Type="http://schemas.openxmlformats.org/officeDocument/2006/relationships/hyperlink" Target="https://www.google.com/maps/search/?api=1&amp;query=%C4%A6a%C5%BC-%C5%BBebbu%C4%A1%2C%20Malta" TargetMode="External" Id="rId5639" /><Relationship Type="http://schemas.openxmlformats.org/officeDocument/2006/relationships/hyperlink" Target="https://www.google.com/maps/search/?api=1&amp;query=Handaq%20Road%2C%20Qormi%2C%20QRM%204000%2C%20Malta" TargetMode="External" Id="rId5640" /><Relationship Type="http://schemas.openxmlformats.org/officeDocument/2006/relationships/hyperlink" Target="https://www.google.com/maps/search/?api=1&amp;query=Zone%203%2C%20Central%20Business%20District%2C%20Triq%20San%20Gwakkin%2C%20Birkirkara%2C%20Mriehel%2C%20Malta" TargetMode="External" Id="rId5641" /><Relationship Type="http://schemas.openxmlformats.org/officeDocument/2006/relationships/hyperlink" Target="https://www.google.com/maps/search/?api=1&amp;query=triq%20Durumblat%2C%20Il-Mosta%2C%20Malta%20MST%204816" TargetMode="External" Id="rId5642" /><Relationship Type="http://schemas.openxmlformats.org/officeDocument/2006/relationships/hyperlink" Target="https://www.google.com/maps/search/?api=1&amp;query=355%2C%20Triq%20l-Imdina%2C%20%C4%A6al%20Qormi%2C%20Malta%20QRM%209012" TargetMode="External" Id="rId5643" /><Relationship Type="http://schemas.openxmlformats.org/officeDocument/2006/relationships/hyperlink" Target="https://www.google.com/maps/search/?api=1&amp;query=Handaq%20Road%2C%20Qormi%2C%20QRM%204000%2C%20Malta" TargetMode="External" Id="rId5644" /><Relationship Type="http://schemas.openxmlformats.org/officeDocument/2006/relationships/hyperlink" Target="https://www.google.com/maps/search/?api=1&amp;query=Labour%20Avenue%2C%20Rabat%20RBT%201769%20%2C%20Malta" TargetMode="External" Id="rId5645" /><Relationship Type="http://schemas.openxmlformats.org/officeDocument/2006/relationships/hyperlink" Target="https://www.google.com/maps/search/?api=1&amp;query=Marsalforn%20Road%20%2C%20xaghra%20%2C%20Gozo%20%2CMalta" TargetMode="External" Id="rId5646" /><Relationship Type="http://schemas.openxmlformats.org/officeDocument/2006/relationships/hyperlink" Target="https://www.google.com/maps/search/?api=1&amp;query=Triq%20L-Mdina%20%2C%20H%20Attard%20%2C%20Malta%20ATD%209037" TargetMode="External" Id="rId5647" /><Relationship Type="http://schemas.openxmlformats.org/officeDocument/2006/relationships/hyperlink" Target="https://www.google.com/maps/search/?api=1&amp;query=Il-Pressa%2C%20Triq%20Il-Biccerija%2C%20Ix-Xewkija%2C%20Gozo%2C%20Malta%20XWK%203000" TargetMode="External" Id="rId5648" /><Relationship Type="http://schemas.openxmlformats.org/officeDocument/2006/relationships/hyperlink" Target="https://www.google.com/maps/search/?api=1&amp;query=Triq%20Hal%20Tarxien%2C%20Il-Gudja%2C%20Malta%20ZTN%2014" TargetMode="External" Id="rId5649" /><Relationship Type="http://schemas.openxmlformats.org/officeDocument/2006/relationships/hyperlink" Target="https://www.google.com/maps/search/?api=1&amp;query=Triq%20Pantar%2C%20Hal%20Lija" TargetMode="External" Id="rId5650" /><Relationship Type="http://schemas.openxmlformats.org/officeDocument/2006/relationships/hyperlink" Target="https://www.google.com/maps/search/?api=1&amp;query=John%20Micheal%20Testa%20Handaq%2C%20Qormi%2C%20Malta" TargetMode="External" Id="rId5651" /><Relationship Type="http://schemas.openxmlformats.org/officeDocument/2006/relationships/hyperlink" Target="https://www.google.com/maps/search/?api=1&amp;query=B1%2C%20Midland%20Enterprise%20Park%0ABurmarrad%20Road%2C%0ANaxxar%2C%20Malta" TargetMode="External" Id="rId5652" /><Relationship Type="http://schemas.openxmlformats.org/officeDocument/2006/relationships/hyperlink" Target="https://desanamarbles.com" TargetMode="External" Id="rId5653" /><Relationship Type="http://schemas.openxmlformats.org/officeDocument/2006/relationships/hyperlink" Target="https://marbleinnovation.com" TargetMode="External" Id="rId5654" /><Relationship Type="http://schemas.openxmlformats.org/officeDocument/2006/relationships/hyperlink" Target="https://rgpmarblemalta.com" TargetMode="External" Id="rId5655" /><Relationship Type="http://schemas.openxmlformats.org/officeDocument/2006/relationships/hyperlink" Target="https://halmanvella.com" TargetMode="External" Id="rId5656" /><Relationship Type="http://schemas.openxmlformats.org/officeDocument/2006/relationships/hyperlink" Target="https://bugeja-marbles.com" TargetMode="External" Id="rId5657" /><Relationship Type="http://schemas.openxmlformats.org/officeDocument/2006/relationships/hyperlink" Target="https://muscarmarbleworks.com" TargetMode="External" Id="rId5658" /><Relationship Type="http://schemas.openxmlformats.org/officeDocument/2006/relationships/hyperlink" Target="https://cinimarbles.com" TargetMode="External" Id="rId5659" /><Relationship Type="http://schemas.openxmlformats.org/officeDocument/2006/relationships/hyperlink" Target="https://rabatmarbles.com" TargetMode="External" Id="rId5660" /><Relationship Type="http://schemas.openxmlformats.org/officeDocument/2006/relationships/hyperlink" Target="https://juliansmarble.com" TargetMode="External" Id="rId5661" /><Relationship Type="http://schemas.openxmlformats.org/officeDocument/2006/relationships/hyperlink" Target="https://cgrechmarbles.com" TargetMode="External" Id="rId5662" /><Relationship Type="http://schemas.openxmlformats.org/officeDocument/2006/relationships/hyperlink" Target="https://afellismarbleworks.com" TargetMode="External" Id="rId5663" /><Relationship Type="http://schemas.openxmlformats.org/officeDocument/2006/relationships/hyperlink" Target="https://absolute.com.mt/" TargetMode="External" Id="rId5664" /><Relationship Type="http://schemas.openxmlformats.org/officeDocument/2006/relationships/hyperlink" Target="https://facebook.com/QualityStoneMalta/" TargetMode="External" Id="rId5665" /><Relationship Type="http://schemas.openxmlformats.org/officeDocument/2006/relationships/hyperlink" Target="https://bfmarbles.com/#" TargetMode="External" Id="rId5666" /><Relationship Type="http://schemas.openxmlformats.org/officeDocument/2006/relationships/hyperlink" Target="https://soll.mt/" TargetMode="External" Id="rId5667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hyperlink" Target="MAILTO:sunnyabdilla@yahoo.com" TargetMode="External" Id="rId5668" /><Relationship Type="http://schemas.openxmlformats.org/officeDocument/2006/relationships/hyperlink" Target="MAILTO:curmijonathan@gmail.com" TargetMode="External" Id="rId5669" /><Relationship Type="http://schemas.openxmlformats.org/officeDocument/2006/relationships/hyperlink" Target="MAILTO:walldonegozo@gmail.com" TargetMode="External" Id="rId5670" /><Relationship Type="http://schemas.openxmlformats.org/officeDocument/2006/relationships/hyperlink" Target="MAILTO:clintsaliba3@gmail.com" TargetMode="External" Id="rId5671" /><Relationship Type="http://schemas.openxmlformats.org/officeDocument/2006/relationships/hyperlink" Target="MAILTO:hello@gypsumworks-malta.com" TargetMode="External" Id="rId5672" /><Relationship Type="http://schemas.openxmlformats.org/officeDocument/2006/relationships/hyperlink" Target="MAILTO:galeasupplies@gmail.com" TargetMode="External" Id="rId5673" /><Relationship Type="http://schemas.openxmlformats.org/officeDocument/2006/relationships/hyperlink" Target="MAILTO:info@mbfmalta.com" TargetMode="External" Id="rId5674" /><Relationship Type="http://schemas.openxmlformats.org/officeDocument/2006/relationships/hyperlink" Target="MAILTO:info@rainbowlimited.com" TargetMode="External" Id="rId5675" /><Relationship Type="http://schemas.openxmlformats.org/officeDocument/2006/relationships/hyperlink" Target="MAILTO:info@wsinstallations.com" TargetMode="External" Id="rId5676" /><Relationship Type="http://schemas.openxmlformats.org/officeDocument/2006/relationships/hyperlink" Target="MAILTO:xil@xuerebinstall.com" TargetMode="External" Id="rId5677" /><Relationship Type="http://schemas.openxmlformats.org/officeDocument/2006/relationships/hyperlink" Target="MAILTO:info@ptk.mt" TargetMode="External" Id="rId5678" /><Relationship Type="http://schemas.openxmlformats.org/officeDocument/2006/relationships/hyperlink" Target="MAILTO:hamody.zedan00@gmail.com" TargetMode="External" Id="rId5679" /><Relationship Type="http://schemas.openxmlformats.org/officeDocument/2006/relationships/hyperlink" Target="MAILTO:doriantheuma@yahoo.com" TargetMode="External" Id="rId5680" /><Relationship Type="http://schemas.openxmlformats.org/officeDocument/2006/relationships/hyperlink" Target="MAILTO:japlastering@gmail.com" TargetMode="External" Id="rId5681" /><Relationship Type="http://schemas.openxmlformats.org/officeDocument/2006/relationships/hyperlink" Target="MAILTO:wayne_7489@msn.com" TargetMode="External" Id="rId5682" /><Relationship Type="http://schemas.openxmlformats.org/officeDocument/2006/relationships/hyperlink" Target="MAILTO:rp_plastering@hotmail.com" TargetMode="External" Id="rId5683" /><Relationship Type="http://schemas.openxmlformats.org/officeDocument/2006/relationships/hyperlink" Target="MAILTO:Josefborg2009@hotmail.com" TargetMode="External" Id="rId5684" /><Relationship Type="http://schemas.openxmlformats.org/officeDocument/2006/relationships/hyperlink" Target="MAILTO:rmgypsumworks@gmail.com" TargetMode="External" Id="rId5685" /><Relationship Type="http://schemas.openxmlformats.org/officeDocument/2006/relationships/hyperlink" Target="MAILTO:EdutzuDutzu@gmail.com" TargetMode="External" Id="rId5686" /><Relationship Type="http://schemas.openxmlformats.org/officeDocument/2006/relationships/hyperlink" Target="MAILTO:emadcmf@gmail.com" TargetMode="External" Id="rId5687" /><Relationship Type="http://schemas.openxmlformats.org/officeDocument/2006/relationships/hyperlink" Target="MAILTO:cagypsum@onvol.net" TargetMode="External" Id="rId5688" /><Relationship Type="http://schemas.openxmlformats.org/officeDocument/2006/relationships/hyperlink" Target="MAILTO:darrensb@hotmail.co.uk" TargetMode="External" Id="rId5689" /><Relationship Type="http://schemas.openxmlformats.org/officeDocument/2006/relationships/hyperlink" Target="MAILTO:contact@kibitec.com" TargetMode="External" Id="rId5690" /><Relationship Type="http://schemas.openxmlformats.org/officeDocument/2006/relationships/hyperlink" Target="MAILTO:malta.tiling@gmail.com" TargetMode="External" Id="rId5691" /><Relationship Type="http://schemas.openxmlformats.org/officeDocument/2006/relationships/hyperlink" Target="MAILTO:siamnd1985@gmail.com" TargetMode="External" Id="rId5692" /><Relationship Type="http://schemas.openxmlformats.org/officeDocument/2006/relationships/hyperlink" Target="MAILTO:gattjason76@gmail.com" TargetMode="External" Id="rId5693" /><Relationship Type="http://schemas.openxmlformats.org/officeDocument/2006/relationships/hyperlink" Target="MAILTO:oscardebono@hotmail.com" TargetMode="External" Id="rId5694" /><Relationship Type="http://schemas.openxmlformats.org/officeDocument/2006/relationships/hyperlink" Target="MAILTO:Ghazi.zedan@gmail.com" TargetMode="External" Id="rId5695" /><Relationship Type="http://schemas.openxmlformats.org/officeDocument/2006/relationships/hyperlink" Target="MAILTO:tcj@mbm.com.mt" TargetMode="External" Id="rId5696" /><Relationship Type="http://schemas.openxmlformats.org/officeDocument/2006/relationships/hyperlink" Target="MAILTO:alibodhir@yahoo.co.uk" TargetMode="External" Id="rId5697" /><Relationship Type="http://schemas.openxmlformats.org/officeDocument/2006/relationships/hyperlink" Target="MAILTO:roderickmicallef1993@gmail.com" TargetMode="External" Id="rId5698" /><Relationship Type="http://schemas.openxmlformats.org/officeDocument/2006/relationships/hyperlink" Target="MAILTO:alexcalafato@live.com" TargetMode="External" Id="rId5699" /><Relationship Type="http://schemas.openxmlformats.org/officeDocument/2006/relationships/hyperlink" Target="MAILTO:mhmdbdallh72544@gmail.com" TargetMode="External" Id="rId5700" /><Relationship Type="http://schemas.openxmlformats.org/officeDocument/2006/relationships/hyperlink" Target="MAILTO:alihamza44500@gmail.com" TargetMode="External" Id="rId5701" /><Relationship Type="http://schemas.openxmlformats.org/officeDocument/2006/relationships/hyperlink" Target="MAILTO:Clydespiteri123@gmail.com" TargetMode="External" Id="rId5702" /><Relationship Type="http://schemas.openxmlformats.org/officeDocument/2006/relationships/hyperlink" Target="MAILTO:briangrech@hotmail.com" TargetMode="External" Id="rId5703" /><Relationship Type="http://schemas.openxmlformats.org/officeDocument/2006/relationships/hyperlink" Target="MAILTO:grimainteriors@hotmail.com" TargetMode="External" Id="rId5704" /><Relationship Type="http://schemas.openxmlformats.org/officeDocument/2006/relationships/hyperlink" Target="MAILTO:galeapainters@gmail.com" TargetMode="External" Id="rId5705" /><Relationship Type="http://schemas.openxmlformats.org/officeDocument/2006/relationships/hyperlink" Target="MAILTO:damianfava27@gmail.com" TargetMode="External" Id="rId5706" /><Relationship Type="http://schemas.openxmlformats.org/officeDocument/2006/relationships/hyperlink" Target="https://www.google.com/maps/search/?api=1&amp;query=47%2F1%20Sqaq%20Tomna%2C%20San%20%C4%A0wann%2C%20Malta" TargetMode="External" Id="rId5707" /><Relationship Type="http://schemas.openxmlformats.org/officeDocument/2006/relationships/hyperlink" Target="https://www.google.com/maps/search/?api=1&amp;query=Antreas%27%2C%20Triq%20Pietru%20Saliba%2C%20%C4%A6al%20Luqa%2C%20Malta" TargetMode="External" Id="rId5708" /><Relationship Type="http://schemas.openxmlformats.org/officeDocument/2006/relationships/hyperlink" Target="https://www.google.com/maps/search/?api=1&amp;query=44%2C%20Triq%20V%20Boron%2C%20Naxxar%20NXR%201862%2C%20Malta" TargetMode="External" Id="rId5709" /><Relationship Type="http://schemas.openxmlformats.org/officeDocument/2006/relationships/hyperlink" Target="https://www.google.com/maps/search/?api=1&amp;query=32%2C%20Redeemer%2C%20Triq%20Ta%27%20Masrija%2C%20Il-Mellie%C4%A7a%2C%20Malta%20MLH%201637" TargetMode="External" Id="rId5710" /><Relationship Type="http://schemas.openxmlformats.org/officeDocument/2006/relationships/hyperlink" Target="https://www.google.com/maps/search/?api=1&amp;query=Qormi%2C%20Malta" TargetMode="External" Id="rId5711" /><Relationship Type="http://schemas.openxmlformats.org/officeDocument/2006/relationships/hyperlink" Target="https://gattjason.com" TargetMode="External" Id="rId5712" /><Relationship Type="http://schemas.openxmlformats.org/officeDocument/2006/relationships/hyperlink" Target="https://facebook.com/zedanconstructionandplastering/" TargetMode="External" Id="rId5713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hyperlink" Target="MAILTO:info@keycontractors.com.mt" TargetMode="External" Id="rId5714" /><Relationship Type="http://schemas.openxmlformats.org/officeDocument/2006/relationships/hyperlink" Target="MAILTO:decofinishesmt@gmail.com" TargetMode="External" Id="rId5715" /><Relationship Type="http://schemas.openxmlformats.org/officeDocument/2006/relationships/hyperlink" Target="MAILTO:contact@kibitec.com" TargetMode="External" Id="rId5716" /><Relationship Type="http://schemas.openxmlformats.org/officeDocument/2006/relationships/hyperlink" Target="MAILTO:protilingmalta@gmail.com" TargetMode="External" Id="rId5717" /><Relationship Type="http://schemas.openxmlformats.org/officeDocument/2006/relationships/hyperlink" Target="MAILTO:pronesti@mail.com" TargetMode="External" Id="rId5718" /><Relationship Type="http://schemas.openxmlformats.org/officeDocument/2006/relationships/hyperlink" Target="MAILTO:info@csprojects.com.mt" TargetMode="External" Id="rId5719" /><Relationship Type="http://schemas.openxmlformats.org/officeDocument/2006/relationships/hyperlink" Target="MAILTO:dwtinstallations@gmail.com" TargetMode="External" Id="rId5720" /><Relationship Type="http://schemas.openxmlformats.org/officeDocument/2006/relationships/hyperlink" Target="MAILTO:dean.bonello29@gmail.com" TargetMode="External" Id="rId5721" /><Relationship Type="http://schemas.openxmlformats.org/officeDocument/2006/relationships/hyperlink" Target="MAILTO:gypsumwizards@gmail.com" TargetMode="External" Id="rId5722" /><Relationship Type="http://schemas.openxmlformats.org/officeDocument/2006/relationships/hyperlink" Target="MAILTO:info@radosystems.eu" TargetMode="External" Id="rId5723" /><Relationship Type="http://schemas.openxmlformats.org/officeDocument/2006/relationships/hyperlink" Target="MAILTO:info@Fodha.mt" TargetMode="External" Id="rId5724" /><Relationship Type="http://schemas.openxmlformats.org/officeDocument/2006/relationships/hyperlink" Target="https://www.google.com/maps/search/?api=1&amp;query=Trejqet%20Isouard%0AMarsa%20MRS%202020%0AMalta" TargetMode="External" Id="rId5725" /><Relationship Type="http://schemas.openxmlformats.org/officeDocument/2006/relationships/hyperlink" Target="https://www.google.com/maps/search/?api=1&amp;query=25%2C%20Triq%20Il-Muzika%2C%20L-Iklin%2C%20Malta%2C%20IKL1091" TargetMode="External" Id="rId5726" /><Relationship Type="http://schemas.openxmlformats.org/officeDocument/2006/relationships/hyperlink" Target="https://keycontractors.com.mt/contact-us/" TargetMode="External" Id="rId5727" /><Relationship Type="http://schemas.openxmlformats.org/officeDocument/2006/relationships/hyperlink" Target="https://microcementmalta.com/contact-us" TargetMode="External" Id="rId5728" /><Relationship Type="http://schemas.openxmlformats.org/officeDocument/2006/relationships/hyperlink" Target="https://kibitec.com/contact-us/" TargetMode="External" Id="rId5729" /><Relationship Type="http://schemas.openxmlformats.org/officeDocument/2006/relationships/hyperlink" Target="https://facebook.com/customconcretemalta/" TargetMode="External" Id="rId5730" /><Relationship Type="http://schemas.openxmlformats.org/officeDocument/2006/relationships/hyperlink" Target="https://csgrouplimited.com/" TargetMode="External" Id="rId5731" 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hyperlink" Target="MAILTO:bestinsulationltd@gmail.com" TargetMode="External" Id="rId5732" /><Relationship Type="http://schemas.openxmlformats.org/officeDocument/2006/relationships/hyperlink" Target="MAILTO:info@bitmac.com.mt" TargetMode="External" Id="rId5733" /><Relationship Type="http://schemas.openxmlformats.org/officeDocument/2006/relationships/hyperlink" Target="MAILTO:contact@kibitec.com" TargetMode="External" Id="rId5734" /><Relationship Type="http://schemas.openxmlformats.org/officeDocument/2006/relationships/hyperlink" Target="MAILTO:thermapro@outlook.com" TargetMode="External" Id="rId5735" /><Relationship Type="http://schemas.openxmlformats.org/officeDocument/2006/relationships/hyperlink" Target="MAILTO:decgypsum@gmail.com" TargetMode="External" Id="rId5736" /><Relationship Type="http://schemas.openxmlformats.org/officeDocument/2006/relationships/hyperlink" Target="MAILTO:info@baldacchinogroup.com" TargetMode="External" Id="rId5737" /><Relationship Type="http://schemas.openxmlformats.org/officeDocument/2006/relationships/hyperlink" Target="MAILTO:info@ecogroup-mt.com" TargetMode="External" Id="rId5738" /><Relationship Type="http://schemas.openxmlformats.org/officeDocument/2006/relationships/hyperlink" Target="MAILTO:qamarwaterproofing.insulation@gmail.com" TargetMode="External" Id="rId5739" /><Relationship Type="http://schemas.openxmlformats.org/officeDocument/2006/relationships/hyperlink" Target="MAILTO:tnwaterproof@gmail.com" TargetMode="External" Id="rId5740" /><Relationship Type="http://schemas.openxmlformats.org/officeDocument/2006/relationships/hyperlink" Target="MAILTO:info@bms-malta.com" TargetMode="External" Id="rId5741" /><Relationship Type="http://schemas.openxmlformats.org/officeDocument/2006/relationships/hyperlink" Target="MAILTO:kpt.kpttradingmalta@gmail.com" TargetMode="External" Id="rId5742" /><Relationship Type="http://schemas.openxmlformats.org/officeDocument/2006/relationships/hyperlink" Target="MAILTO:info@betacentre.com.mt" TargetMode="External" Id="rId5743" /><Relationship Type="http://schemas.openxmlformats.org/officeDocument/2006/relationships/hyperlink" Target="MAILTO:tcj@mbm.com.mt" TargetMode="External" Id="rId5744" /><Relationship Type="http://schemas.openxmlformats.org/officeDocument/2006/relationships/hyperlink" Target="MAILTO:info@attardbros.com" TargetMode="External" Id="rId5745" /><Relationship Type="http://schemas.openxmlformats.org/officeDocument/2006/relationships/hyperlink" Target="MAILTO:marketing@crcmalta.com" TargetMode="External" Id="rId5746" /><Relationship Type="http://schemas.openxmlformats.org/officeDocument/2006/relationships/hyperlink" Target="MAILTO:sales@maltashopper.com" TargetMode="External" Id="rId5747" /><Relationship Type="http://schemas.openxmlformats.org/officeDocument/2006/relationships/hyperlink" Target="MAILTO:info@iqbloc.com" TargetMode="External" Id="rId5748" /><Relationship Type="http://schemas.openxmlformats.org/officeDocument/2006/relationships/hyperlink" Target="MAILTO:info@mbfmalta.com" TargetMode="External" Id="rId5749" /><Relationship Type="http://schemas.openxmlformats.org/officeDocument/2006/relationships/hyperlink" Target="MAILTO:info@389.com.mt" TargetMode="External" Id="rId5750" /><Relationship Type="http://schemas.openxmlformats.org/officeDocument/2006/relationships/hyperlink" Target="MAILTO:alexgrech.waterproofing@gmail.com" TargetMode="External" Id="rId5751" /><Relationship Type="http://schemas.openxmlformats.org/officeDocument/2006/relationships/hyperlink" Target="MAILTO:sales@jmvibro.com" TargetMode="External" Id="rId5752" /><Relationship Type="http://schemas.openxmlformats.org/officeDocument/2006/relationships/hyperlink" Target="MAILTO:sales@patabone.com" TargetMode="External" Id="rId5753" /><Relationship Type="http://schemas.openxmlformats.org/officeDocument/2006/relationships/hyperlink" Target="MAILTO:sales@wuerth.com.mt" TargetMode="External" Id="rId5754" /><Relationship Type="http://schemas.openxmlformats.org/officeDocument/2006/relationships/hyperlink" Target="MAILTO:bestinsulationltd@gmail.com" TargetMode="External" Id="rId5755" /><Relationship Type="http://schemas.openxmlformats.org/officeDocument/2006/relationships/hyperlink" Target="MAILTO:info@t4bservices.com" TargetMode="External" Id="rId5756" /><Relationship Type="http://schemas.openxmlformats.org/officeDocument/2006/relationships/hyperlink" Target="MAILTO:contact@ge-stones.com" TargetMode="External" Id="rId5757" /><Relationship Type="http://schemas.openxmlformats.org/officeDocument/2006/relationships/hyperlink" Target="MAILTO:admin@thermasealmalta.com" TargetMode="External" Id="rId5758" /><Relationship Type="http://schemas.openxmlformats.org/officeDocument/2006/relationships/hyperlink" Target="MAILTO:info@creativeprojects.eu" TargetMode="External" Id="rId5759" /><Relationship Type="http://schemas.openxmlformats.org/officeDocument/2006/relationships/hyperlink" Target="MAILTO:info@macmed.com.mt" TargetMode="External" Id="rId5760" /><Relationship Type="http://schemas.openxmlformats.org/officeDocument/2006/relationships/hyperlink" Target="MAILTO:info@rsgroup.com.mt" TargetMode="External" Id="rId5761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hyperlink" Target="MAILTO:info@generalmetalworks.com.mt" TargetMode="External" Id="rId5762" /><Relationship Type="http://schemas.openxmlformats.org/officeDocument/2006/relationships/hyperlink" Target="MAILTO:info@ironmalta.com" TargetMode="External" Id="rId5763" /><Relationship Type="http://schemas.openxmlformats.org/officeDocument/2006/relationships/hyperlink" Target="MAILTO:info@fantinmetalworks.com" TargetMode="External" Id="rId5764" /><Relationship Type="http://schemas.openxmlformats.org/officeDocument/2006/relationships/hyperlink" Target="MAILTO:info@gmscreation.com" TargetMode="External" Id="rId5765" /><Relationship Type="http://schemas.openxmlformats.org/officeDocument/2006/relationships/hyperlink" Target="MAILTO:josefvella72@gmail.com" TargetMode="External" Id="rId5766" /><Relationship Type="http://schemas.openxmlformats.org/officeDocument/2006/relationships/hyperlink" Target="MAILTO:saliba2@maltanet.net" TargetMode="External" Id="rId5767" /><Relationship Type="http://schemas.openxmlformats.org/officeDocument/2006/relationships/hyperlink" Target="MAILTO:info@expressblasting.com" TargetMode="External" Id="rId5768" /><Relationship Type="http://schemas.openxmlformats.org/officeDocument/2006/relationships/hyperlink" Target="MAILTO:info@xn-teq.com.mt" TargetMode="External" Id="rId5769" /><Relationship Type="http://schemas.openxmlformats.org/officeDocument/2006/relationships/hyperlink" Target="MAILTO:amabileg@onvol.net" TargetMode="External" Id="rId5770" /><Relationship Type="http://schemas.openxmlformats.org/officeDocument/2006/relationships/hyperlink" Target="MAILTO:stakterinacons@outlook.com" TargetMode="External" Id="rId5771" /><Relationship Type="http://schemas.openxmlformats.org/officeDocument/2006/relationships/hyperlink" Target="MAILTO:info@gml.com.mt" TargetMode="External" Id="rId5772" /><Relationship Type="http://schemas.openxmlformats.org/officeDocument/2006/relationships/hyperlink" Target="https://www.google.com/maps/search/?api=1&amp;query=Bieb%20is-Sultan%20Street%2C%20%C5%BBabbar%2C%20Malta" TargetMode="External" Id="rId5773" /><Relationship Type="http://schemas.openxmlformats.org/officeDocument/2006/relationships/hyperlink" Target="https://www.google.com/maps/search/?api=1&amp;query=Luqa%20Industrial%20Estate%2C%20Parcela%20102%2C%20Hal%20Farrug%2C%20Malta" TargetMode="External" Id="rId5774" /><Relationship Type="http://schemas.openxmlformats.org/officeDocument/2006/relationships/hyperlink" Target="https://www.google.com/maps/search/?api=1&amp;query=Mgarr%20Road%2C%20G%C4%A7ajnsielem%2C%20Gozo" TargetMode="External" Id="rId5775" /><Relationship Type="http://schemas.openxmlformats.org/officeDocument/2006/relationships/hyperlink" Target="https://www.google.com/maps/search/?api=1&amp;query=%3A%20Andreas%20Yard%2C%20Garage%20No%201%2C%20Triq%20L-Imdina%2C%20%C4%A6a%C5%BC-%C5%BBebbu%C4%A1%2C%20Malta" TargetMode="External" Id="rId5776" /><Relationship Type="http://schemas.openxmlformats.org/officeDocument/2006/relationships/hyperlink" Target="https://www.google.com/maps/search/?api=1&amp;query=Garage%2025%2C%20Tal-Barrani%20Industrial%20Estate%2C%20Triq%20Il-Belt%20Valletta%2C%20%C4%A6al%20G%C4%A7axaq%2C%20Malta" TargetMode="External" Id="rId5777" /><Relationship Type="http://schemas.openxmlformats.org/officeDocument/2006/relationships/hyperlink" Target="https://www.google.com/maps/search/?api=1&amp;query=Entrada%204%2C%20Puerta%2012%2C%20Triq%20Valletta%2C%20%C4%A6al%20Luqa%2C%20Malta" TargetMode="External" Id="rId5778" /><Relationship Type="http://schemas.openxmlformats.org/officeDocument/2006/relationships/hyperlink" Target="https://www.google.com/maps/search/?api=1&amp;query=F%C3%A1brica%20MRA%20057A%2C%20Qasam%20Industrijali%2C%20Il-Marsa%2C%20Malta" TargetMode="External" Id="rId5779" /><Relationship Type="http://schemas.openxmlformats.org/officeDocument/2006/relationships/hyperlink" Target="https://www.google.com/maps/search/?api=1&amp;query=MRA%2015A%2C%20Qasam%20Industrijali%2C%20Il-Marsa%2C%20Malta" TargetMode="External" Id="rId5780" /><Relationship Type="http://schemas.openxmlformats.org/officeDocument/2006/relationships/hyperlink" Target="https://www.google.com/maps/search/?api=1&amp;query=34%20Triq%20it-Torri%20San%20Gwann%20%2C%0ABirgu%2C%20Malta%20BRG%201116" TargetMode="External" Id="rId5781" /><Relationship Type="http://schemas.openxmlformats.org/officeDocument/2006/relationships/hyperlink" Target="https://www.google.com/maps/search/?api=1&amp;query=Triq%20il-Kappella%20ta%E2%80%99%20Santa%20Marija%20%2C%0ANaxxar%2C%20Malta%20NXR%205613" TargetMode="External" Id="rId5782" /><Relationship Type="http://schemas.openxmlformats.org/officeDocument/2006/relationships/hyperlink" Target="https://www.google.com/maps/search/?api=1&amp;query=HHF%20033%20Qasam%20Industrijali%2C%20Hal%20Far%20%2C%0AB%E2%80%99Bugia%2C%20Malta%20BBG%203000" TargetMode="External" Id="rId5783" 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hyperlink" Target="MAILTO:info@tonnaglass.com" TargetMode="External" Id="rId5784" /><Relationship Type="http://schemas.openxmlformats.org/officeDocument/2006/relationships/hyperlink" Target="MAILTO:info@fzammitglass.com" TargetMode="External" Id="rId5785" /><Relationship Type="http://schemas.openxmlformats.org/officeDocument/2006/relationships/hyperlink" Target="MAILTO:info@floatglassltd.com" TargetMode="External" Id="rId5786" /><Relationship Type="http://schemas.openxmlformats.org/officeDocument/2006/relationships/hyperlink" Target="MAILTO:kl.glass@outlook.com" TargetMode="External" Id="rId5787" /><Relationship Type="http://schemas.openxmlformats.org/officeDocument/2006/relationships/hyperlink" Target="MAILTO:jacap@jacap.net" TargetMode="External" Id="rId5788" /><Relationship Type="http://schemas.openxmlformats.org/officeDocument/2006/relationships/hyperlink" Target="MAILTO:info@jamarmalta.com" TargetMode="External" Id="rId5789" /><Relationship Type="http://schemas.openxmlformats.org/officeDocument/2006/relationships/hyperlink" Target="MAILTO:Quotes@capriceltd.com" TargetMode="External" Id="rId5790" /><Relationship Type="http://schemas.openxmlformats.org/officeDocument/2006/relationships/hyperlink" Target="MAILTO:sales@dimech-ent.com" TargetMode="External" Id="rId5791" /><Relationship Type="http://schemas.openxmlformats.org/officeDocument/2006/relationships/hyperlink" Target="MAILTO:info@glassdesignmalta.com" TargetMode="External" Id="rId5792" /><Relationship Type="http://schemas.openxmlformats.org/officeDocument/2006/relationships/hyperlink" Target="MAILTO:miryaltd@gmail.com" TargetMode="External" Id="rId5793" /><Relationship Type="http://schemas.openxmlformats.org/officeDocument/2006/relationships/hyperlink" Target="MAILTO:info@cagroup.com.mt" TargetMode="External" Id="rId5794" /><Relationship Type="http://schemas.openxmlformats.org/officeDocument/2006/relationships/hyperlink" Target="MAILTO:crgrech.steel@gmail.com" TargetMode="External" Id="rId5795" /><Relationship Type="http://schemas.openxmlformats.org/officeDocument/2006/relationships/hyperlink" Target="MAILTO:info@anvil-forge.com" TargetMode="External" Id="rId5796" /><Relationship Type="http://schemas.openxmlformats.org/officeDocument/2006/relationships/hyperlink" Target="MAILTO:info@andrewvassallo.com" TargetMode="External" Id="rId5797" /><Relationship Type="http://schemas.openxmlformats.org/officeDocument/2006/relationships/hyperlink" Target="MAILTO:raymondfarrugia74@gmail.com" TargetMode="External" Id="rId5798" /><Relationship Type="http://schemas.openxmlformats.org/officeDocument/2006/relationships/hyperlink" Target="MAILTO:salvodsicilia@hotmail.it" TargetMode="External" Id="rId5799" /><Relationship Type="http://schemas.openxmlformats.org/officeDocument/2006/relationships/hyperlink" Target="MAILTO:info@a1finishesltd.com" TargetMode="External" Id="rId5800" /><Relationship Type="http://schemas.openxmlformats.org/officeDocument/2006/relationships/hyperlink" Target="MAILTO:j3aluminium@gmail.com" TargetMode="External" Id="rId5801" /><Relationship Type="http://schemas.openxmlformats.org/officeDocument/2006/relationships/hyperlink" Target="MAILTO:laenterprises73@gmail.com" TargetMode="External" Id="rId5802" /><Relationship Type="http://schemas.openxmlformats.org/officeDocument/2006/relationships/hyperlink" Target="MAILTO:quotes@jlautier.com" TargetMode="External" Id="rId5803" /><Relationship Type="http://schemas.openxmlformats.org/officeDocument/2006/relationships/hyperlink" Target="MAILTO:taboneglassltd@gmail.com" TargetMode="External" Id="rId5804" /><Relationship Type="http://schemas.openxmlformats.org/officeDocument/2006/relationships/hyperlink" Target="MAILTO:info@xgglass.com.mt" TargetMode="External" Id="rId5805" /><Relationship Type="http://schemas.openxmlformats.org/officeDocument/2006/relationships/hyperlink" Target="MAILTO:jeaninstallations@gmail.com" TargetMode="External" Id="rId5806" /><Relationship Type="http://schemas.openxmlformats.org/officeDocument/2006/relationships/hyperlink" Target="MAILTO:medalls.aluminium@gmail.com" TargetMode="External" Id="rId5807" /><Relationship Type="http://schemas.openxmlformats.org/officeDocument/2006/relationships/hyperlink" Target="MAILTO:info@newalucare.com" TargetMode="External" Id="rId5808" /><Relationship Type="http://schemas.openxmlformats.org/officeDocument/2006/relationships/hyperlink" Target="MAILTO:gilbertglassandmore@gmail.com" TargetMode="External" Id="rId5809" /><Relationship Type="http://schemas.openxmlformats.org/officeDocument/2006/relationships/hyperlink" Target="MAILTO:jesmond.dragonforge@yahoo.com" TargetMode="External" Id="rId5810" /><Relationship Type="http://schemas.openxmlformats.org/officeDocument/2006/relationships/hyperlink" Target="MAILTO:valormalta@gmail.com" TargetMode="External" Id="rId5811" /><Relationship Type="http://schemas.openxmlformats.org/officeDocument/2006/relationships/hyperlink" Target="https://www.google.com/maps/search/?api=1&amp;query=Paul%20Tonna%20Son%20of%20Santu%20Ltd%0AZone%201%20Triq%20L-Intornjatur%20Central%20Business%20District%20%2C%0AB%E2%80%99Kara%2C%20Malta%20CBD%201050" TargetMode="External" Id="rId5812" /><Relationship Type="http://schemas.openxmlformats.org/officeDocument/2006/relationships/hyperlink" Target="https://www.google.com/maps/search/?api=1&amp;query=Triq%20l-Imdina%20%2CZebbug%2C%20Malta%20ZBG%209019" TargetMode="External" Id="rId5813" /><Relationship Type="http://schemas.openxmlformats.org/officeDocument/2006/relationships/hyperlink" Target="https://www.google.com/maps/search/?api=1&amp;query=Dimech%20Enterprises%20Ltd%20Centre%20Point%2C%20Triq%20Valletta%20Luqa" TargetMode="External" Id="rId5814" /><Relationship Type="http://schemas.openxmlformats.org/officeDocument/2006/relationships/hyperlink" Target="https://www.google.com/maps/search/?api=1&amp;query=12%20Old%20Trafford%2C%20Dun%20Filippu%20Borg%2C%20Birkirkara%2C%20Malta." TargetMode="External" Id="rId5815" /><Relationship Type="http://schemas.openxmlformats.org/officeDocument/2006/relationships/hyperlink" Target="https://www.google.com/maps/search/?api=1&amp;query=Mirya%2C%20VF9V%2BPQ8%2C%20Marsa%2C%20Malta%2C%20Marsa%2C%20Malta%2C%20MRS3000" TargetMode="External" Id="rId5816" /><Relationship Type="http://schemas.openxmlformats.org/officeDocument/2006/relationships/hyperlink" Target="https://yellow.com.mt/paul-tonna-son-of-santu-ltd/glass-contractors/" TargetMode="External" Id="rId5817" /><Relationship Type="http://schemas.openxmlformats.org/officeDocument/2006/relationships/hyperlink" Target="https://fzammitglass.com/en/?utm_source=Yellow&amp;utm_medium=Yellow-Website&amp;utm_campaign=Landing-Page" TargetMode="External" Id="rId5818" /><Relationship Type="http://schemas.openxmlformats.org/officeDocument/2006/relationships/hyperlink" Target="https://floatglassltd.com/en/home.htm" TargetMode="External" Id="rId5819" /><Relationship Type="http://schemas.openxmlformats.org/officeDocument/2006/relationships/hyperlink" Target="https://klglassmalta.com/?utm_source=Yellow&amp;utm_medium=Yellow-Website&amp;utm_campaign=Landing-Page" TargetMode="External" Id="rId5820" /><Relationship Type="http://schemas.openxmlformats.org/officeDocument/2006/relationships/hyperlink" Target="https://jamarmalta.com/" TargetMode="External" Id="rId5821" /><Relationship Type="http://schemas.openxmlformats.org/officeDocument/2006/relationships/hyperlink" Target="https://capriceglass.com/" TargetMode="External" Id="rId5822" /><Relationship Type="http://schemas.openxmlformats.org/officeDocument/2006/relationships/hyperlink" Target="https://dimech-ent.com/" TargetMode="External" Id="rId5823" /><Relationship Type="http://schemas.openxmlformats.org/officeDocument/2006/relationships/hyperlink" Target="https://glassdesignmalta.com/copy-of-glass-walls" TargetMode="External" Id="rId5824" /><Relationship Type="http://schemas.openxmlformats.org/officeDocument/2006/relationships/hyperlink" Target="https://facebook.com/MiryaLimited/" TargetMode="External" Id="rId5825" /><Relationship Type="http://schemas.openxmlformats.org/officeDocument/2006/relationships/hyperlink" Target="https://facebook.com/profile.php?id=100066455006954" TargetMode="External" Id="rId5826" /><Relationship Type="http://schemas.openxmlformats.org/officeDocument/2006/relationships/hyperlink" Target="https://facebook.com/profile.php?id=100057245816371" TargetMode="External" Id="rId5827" /><Relationship Type="http://schemas.openxmlformats.org/officeDocument/2006/relationships/hyperlink" Target="https://facebook.com/innovativesteeldesign/" TargetMode="External" Id="rId5828" /><Relationship Type="http://schemas.openxmlformats.org/officeDocument/2006/relationships/hyperlink" Target="https://facebook.com/Andrewvassalloltd/" TargetMode="External" Id="rId5829" /><Relationship Type="http://schemas.openxmlformats.org/officeDocument/2006/relationships/hyperlink" Target="https://facebook.com/RayAluWorks/" TargetMode="External" Id="rId5830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hyperlink" Target="MAILTO:tuttoparquetmalta@gmail.com" TargetMode="External" Id="rId5831" /><Relationship Type="http://schemas.openxmlformats.org/officeDocument/2006/relationships/hyperlink" Target="MAILTO:showtiles@gmail.com" TargetMode="External" Id="rId5832" /><Relationship Type="http://schemas.openxmlformats.org/officeDocument/2006/relationships/hyperlink" Target="MAILTO:info@hirisegroup.com.mt" TargetMode="External" Id="rId5833" /><Relationship Type="http://schemas.openxmlformats.org/officeDocument/2006/relationships/hyperlink" Target="MAILTO:info@farrugiagroup.com" TargetMode="External" Id="rId5834" /><Relationship Type="http://schemas.openxmlformats.org/officeDocument/2006/relationships/hyperlink" Target="https://www.google.com/maps/search/?api=1&amp;query=10%2C%20Triq%20Dun%20Karm%0ABirkirkara%2C%20Malta" TargetMode="External" Id="rId5835" /><Relationship Type="http://schemas.openxmlformats.org/officeDocument/2006/relationships/hyperlink" Target="https://www.google.com/maps/search/?api=1&amp;query=78%2C%20Triq%20San%20Pawl%20NXR%204016%20Naxxar%2C%20Malta" TargetMode="External" Id="rId5836" /><Relationship Type="http://schemas.openxmlformats.org/officeDocument/2006/relationships/hyperlink" Target="https://www.google.com/maps/search/?api=1&amp;query=Tal-%C4%A6andaq%2C%20Qormi%2C%20Malta" TargetMode="External" Id="rId5837" /><Relationship Type="http://schemas.openxmlformats.org/officeDocument/2006/relationships/hyperlink" Target="https://www.google.com/maps/search/?api=1&amp;query=Farrugia%20Woodworks%0A60%20Ta%E2%80%99%20Magi%20Industrial%20Park%20Triq%20San%20Leonardu%20%2C%0AXghajra%2C%20Malta" TargetMode="External" Id="rId5838" /><Relationship Type="http://schemas.openxmlformats.org/officeDocument/2006/relationships/hyperlink" Target="https://tuttoparquetmalta.com/index.html" TargetMode="External" Id="rId5839" /><Relationship Type="http://schemas.openxmlformats.org/officeDocument/2006/relationships/hyperlink" Target="https://facebook.com/showtilesnaxxar/" TargetMode="External" Id="rId5840" /><Relationship Type="http://schemas.openxmlformats.org/officeDocument/2006/relationships/hyperlink" Target="https://facebook.com/mtrefurbishing/" TargetMode="External" Id="rId5841" /><Relationship Type="http://schemas.openxmlformats.org/officeDocument/2006/relationships/hyperlink" Target="https://yellow.com.mt/farrugia-woodworks/furniture/" TargetMode="External" Id="rId5842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08"/>
  <x:sheetViews>
    <x:sheetView workbookViewId="0"/>
  </x:sheetViews>
  <x:sheetFormatPr defaultRowHeight="15"/>
  <x:cols>
    <x:col min="1" max="1" width="26.996339" style="0" customWidth="1"/>
    <x:col min="2" max="2" width="27.710625" style="0" customWidth="1"/>
    <x:col min="3" max="3" width="30.853482" style="0" customWidth="1"/>
    <x:col min="4" max="4" width="34.710625" style="0" customWidth="1"/>
    <x:col min="5" max="5" width="20.853482" style="0" customWidth="1"/>
    <x:col min="6" max="6" width="15.282054" style="0" customWidth="1"/>
    <x:col min="7" max="7" width="19.282054" style="0" customWidth="1"/>
  </x:cols>
  <x:sheetData>
    <x:row r="1" spans="1:7" s="2" customFormat="1">
      <x:c r="A1" s="2" t="s">
        <x:v>5237</x:v>
      </x:c>
      <x:c r="B1" s="2" t="s">
        <x:v>3091</x:v>
      </x:c>
      <x:c r="C1" s="2" t="s">
        <x:v>2991</x:v>
      </x:c>
      <x:c r="D1" s="2" t="s">
        <x:v>4563</x:v>
      </x:c>
      <x:c r="E1" s="2" t="s">
        <x:v>3061</x:v>
      </x:c>
      <x:c r="F1" s="2" t="s">
        <x:v>2987</x:v>
      </x:c>
      <x:c r="G1" s="2" t="s">
        <x:v>3622</x:v>
      </x:c>
    </x:row>
    <x:row r="2" spans="1:7" s="3" customFormat="1">
      <x:c r="A2" s="12">
        <x:f>HYPERLINK("#'Fibreglass'!A1", "Fibreglass")</x:f>
      </x:c>
      <x:c r="B2" s="13">
        <x:f>COUNTA('Fibreglass'!A:A)-1</x:f>
      </x:c>
      <x:c r="C2" s="13">
        <x:f>IFERROR(COUNTIF(INDEX('Fibreglass'!$A:$Z, 0, MATCH("Physical Store", 'Fibreglass'!$1:$1, 0)), "yes") &amp; " out of " &amp; B2, "—")</x:f>
      </x:c>
      <x:c r="D2" s="13">
        <x:f>IFERROR(COUNTIF(INDEX('Fibreglass'!$A:$Z, 0, MATCH("Installation", 'Fibreglass'!$1:$1, 0)), "yes") &amp; " out of " &amp; B2, "—")</x:f>
      </x:c>
      <x:c r="E2" s="13">
        <x:f>IFERROR(COUNTIF(INDEX('Fibreglass'!$A:$Z, 0, MATCH("Import", 'Fibreglass'!$1:$1, 0)), "yes") &amp; " out of " &amp; B2, "—")</x:f>
      </x:c>
      <x:c r="F2" s="13">
        <x:f>IFERROR(COUNTIF(INDEX('Fibreglass'!$A:$Z, 0, MATCH("Local Supply", 'Fibreglass'!$1:$1, 0)), "yes") &amp; " out of " &amp; B2, "—")</x:f>
      </x:c>
      <x:c r="G2" s="13">
        <x:f>IFERROR(COUNTIF(INDEX('Fibreglass'!$A:$Z, 0, MATCH("Delivery", 'Fibreglass'!$1:$1, 0)), "yes") &amp; " out of " &amp; B2, "—")</x:f>
      </x:c>
    </x:row>
    <x:row r="3" spans="1:7" s="1" customFormat="1">
      <x:c r="A3" s="14">
        <x:f>HYPERLINK("#'Extractors'!A1", "Extractors")</x:f>
      </x:c>
      <x:c r="B3" s="15">
        <x:f>COUNTA('Extractors'!A:A)-1</x:f>
      </x:c>
      <x:c r="C3" s="15">
        <x:f>IFERROR(COUNTIF(INDEX('Extractors'!$A:$Z, 0, MATCH("Physical Store", 'Extractors'!$1:$1, 0)), "yes") &amp; " out of " &amp; B3, "—")</x:f>
      </x:c>
      <x:c r="D3" s="15">
        <x:f>IFERROR(COUNTIF(INDEX('Extractors'!$A:$Z, 0, MATCH("Installation", 'Extractors'!$1:$1, 0)), "yes") &amp; " out of " &amp; B3, "—")</x:f>
      </x:c>
      <x:c r="E3" s="15">
        <x:f>IFERROR(COUNTIF(INDEX('Extractors'!$A:$Z, 0, MATCH("Import", 'Extractors'!$1:$1, 0)), "yes") &amp; " out of " &amp; B3, "—")</x:f>
      </x:c>
      <x:c r="F3" s="15">
        <x:f>IFERROR(COUNTIF(INDEX('Extractors'!$A:$Z, 0, MATCH("Local Supply", 'Extractors'!$1:$1, 0)), "yes") &amp; " out of " &amp; B3, "—")</x:f>
      </x:c>
      <x:c r="G3" s="15">
        <x:f>IFERROR(COUNTIF(INDEX('Extractors'!$A:$Z, 0, MATCH("Delivery", 'Extractors'!$1:$1, 0)), "yes") &amp; " out of " &amp; B3, "—")</x:f>
      </x:c>
    </x:row>
    <x:row r="4" spans="1:7" s="4" customFormat="1">
      <x:c r="A4" s="16">
        <x:f>HYPERLINK("#'Handyman'!A1", "Handyman")</x:f>
      </x:c>
      <x:c r="B4" s="17">
        <x:f>COUNTA('Handyman'!A:A)-1</x:f>
      </x:c>
      <x:c r="C4" s="17">
        <x:f>IFERROR(COUNTIF(INDEX('Handyman'!$A:$Z, 0, MATCH("Physical Store", 'Handyman'!$1:$1, 0)), "yes") &amp; " out of " &amp; B4, "—")</x:f>
      </x:c>
      <x:c r="D4" s="17">
        <x:f>IFERROR(COUNTIF(INDEX('Handyman'!$A:$Z, 0, MATCH("Installation", 'Handyman'!$1:$1, 0)), "yes") &amp; " out of " &amp; B4, "—")</x:f>
      </x:c>
      <x:c r="E4" s="17">
        <x:f>IFERROR(COUNTIF(INDEX('Handyman'!$A:$Z, 0, MATCH("Import", 'Handyman'!$1:$1, 0)), "yes") &amp; " out of " &amp; B4, "—")</x:f>
      </x:c>
      <x:c r="F4" s="17">
        <x:f>IFERROR(COUNTIF(INDEX('Handyman'!$A:$Z, 0, MATCH("Local Supply", 'Handyman'!$1:$1, 0)), "yes") &amp; " out of " &amp; B4, "—")</x:f>
      </x:c>
      <x:c r="G4" s="17">
        <x:f>IFERROR(COUNTIF(INDEX('Handyman'!$A:$Z, 0, MATCH("Delivery", 'Handyman'!$1:$1, 0)), "yes") &amp; " out of " &amp; B4, "—")</x:f>
      </x:c>
    </x:row>
    <x:row r="5" spans="1:7" s="3" customFormat="1">
      <x:c r="A5" s="12">
        <x:f>HYPERLINK("#'Electricians'!A1", "Electricians")</x:f>
      </x:c>
      <x:c r="B5" s="13">
        <x:f>COUNTA('Electricians'!A:A)-1</x:f>
      </x:c>
      <x:c r="C5" s="13">
        <x:f>IFERROR(COUNTIF(INDEX('Electricians'!$A:$Z, 0, MATCH("Physical Store", 'Electricians'!$1:$1, 0)), "yes") &amp; " out of " &amp; B5, "—")</x:f>
      </x:c>
      <x:c r="D5" s="13">
        <x:f>IFERROR(COUNTIF(INDEX('Electricians'!$A:$Z, 0, MATCH("Installation", 'Electricians'!$1:$1, 0)), "yes") &amp; " out of " &amp; B5, "—")</x:f>
      </x:c>
      <x:c r="E5" s="13">
        <x:f>IFERROR(COUNTIF(INDEX('Electricians'!$A:$Z, 0, MATCH("Import", 'Electricians'!$1:$1, 0)), "yes") &amp; " out of " &amp; B5, "—")</x:f>
      </x:c>
      <x:c r="F5" s="13">
        <x:f>IFERROR(COUNTIF(INDEX('Electricians'!$A:$Z, 0, MATCH("Local Supply", 'Electricians'!$1:$1, 0)), "yes") &amp; " out of " &amp; B5, "—")</x:f>
      </x:c>
      <x:c r="G5" s="13">
        <x:f>IFERROR(COUNTIF(INDEX('Electricians'!$A:$Z, 0, MATCH("Delivery", 'Electricians'!$1:$1, 0)), "yes") &amp; " out of " &amp; B5, "—")</x:f>
      </x:c>
    </x:row>
    <x:row r="6" spans="1:7" s="1" customFormat="1">
      <x:c r="A6" s="14">
        <x:f>HYPERLINK("#'Carpenters'!A1", "Carpenters")</x:f>
      </x:c>
      <x:c r="B6" s="15">
        <x:f>COUNTA('Carpenters'!A:A)-1</x:f>
      </x:c>
      <x:c r="C6" s="15">
        <x:f>IFERROR(COUNTIF(INDEX('Carpenters'!$A:$Z, 0, MATCH("Physical Store", 'Carpenters'!$1:$1, 0)), "yes") &amp; " out of " &amp; B6, "—")</x:f>
      </x:c>
      <x:c r="D6" s="15">
        <x:f>IFERROR(COUNTIF(INDEX('Carpenters'!$A:$Z, 0, MATCH("Installation", 'Carpenters'!$1:$1, 0)), "yes") &amp; " out of " &amp; B6, "—")</x:f>
      </x:c>
      <x:c r="E6" s="15">
        <x:f>IFERROR(COUNTIF(INDEX('Carpenters'!$A:$Z, 0, MATCH("Import", 'Carpenters'!$1:$1, 0)), "yes") &amp; " out of " &amp; B6, "—")</x:f>
      </x:c>
      <x:c r="F6" s="15">
        <x:f>IFERROR(COUNTIF(INDEX('Carpenters'!$A:$Z, 0, MATCH("Local Supply", 'Carpenters'!$1:$1, 0)), "yes") &amp; " out of " &amp; B6, "—")</x:f>
      </x:c>
      <x:c r="G6" s="15">
        <x:f>IFERROR(COUNTIF(INDEX('Carpenters'!$A:$Z, 0, MATCH("Delivery", 'Carpenters'!$1:$1, 0)), "yes") &amp; " out of " &amp; B6, "—")</x:f>
      </x:c>
    </x:row>
    <x:row r="7" spans="1:7" s="4" customFormat="1">
      <x:c r="A7" s="16">
        <x:f>HYPERLINK("#'Second Hand Car Dealers'!A1", "Second Hand Car Dealers")</x:f>
      </x:c>
      <x:c r="B7" s="17">
        <x:f>COUNTA('Second Hand Car Dealers'!A:A)-1</x:f>
      </x:c>
      <x:c r="C7" s="17">
        <x:f>IFERROR(COUNTIF(INDEX('Second Hand Car Dealers'!$A:$Z, 0, MATCH("Physical Store", 'Second Hand Car Dealers'!$1:$1, 0)), "yes") &amp; " out of " &amp; B7, "—")</x:f>
      </x:c>
      <x:c r="D7" s="17">
        <x:f>IFERROR(COUNTIF(INDEX('Second Hand Car Dealers'!$A:$Z, 0, MATCH("Installation", 'Second Hand Car Dealers'!$1:$1, 0)), "yes") &amp; " out of " &amp; B7, "—")</x:f>
      </x:c>
      <x:c r="E7" s="17">
        <x:f>IFERROR(COUNTIF(INDEX('Second Hand Car Dealers'!$A:$Z, 0, MATCH("Import", 'Second Hand Car Dealers'!$1:$1, 0)), "yes") &amp; " out of " &amp; B7, "—")</x:f>
      </x:c>
      <x:c r="F7" s="17">
        <x:f>IFERROR(COUNTIF(INDEX('Second Hand Car Dealers'!$A:$Z, 0, MATCH("Local Supply", 'Second Hand Car Dealers'!$1:$1, 0)), "yes") &amp; " out of " &amp; B7, "—")</x:f>
      </x:c>
      <x:c r="G7" s="17">
        <x:f>IFERROR(COUNTIF(INDEX('Second Hand Car Dealers'!$A:$Z, 0, MATCH("Delivery", 'Second Hand Car Dealers'!$1:$1, 0)), "yes") &amp; " out of " &amp; B7, "—")</x:f>
      </x:c>
    </x:row>
    <x:row r="8" spans="1:7" s="3" customFormat="1">
      <x:c r="A8" s="12">
        <x:f>HYPERLINK("#'Archaeological Monitors'!A1", "Archaeological Monitors")</x:f>
      </x:c>
      <x:c r="B8" s="13">
        <x:f>COUNTA('Archaeological Monitors'!A:A)-1</x:f>
      </x:c>
      <x:c r="C8" s="13">
        <x:f>IFERROR(COUNTIF(INDEX('Archaeological Monitors'!$A:$Z, 0, MATCH("Physical Store", 'Archaeological Monitors'!$1:$1, 0)), "yes") &amp; " out of " &amp; B8, "—")</x:f>
      </x:c>
      <x:c r="D8" s="13">
        <x:f>IFERROR(COUNTIF(INDEX('Archaeological Monitors'!$A:$Z, 0, MATCH("Installation", 'Archaeological Monitors'!$1:$1, 0)), "yes") &amp; " out of " &amp; B8, "—")</x:f>
      </x:c>
      <x:c r="E8" s="13">
        <x:f>IFERROR(COUNTIF(INDEX('Archaeological Monitors'!$A:$Z, 0, MATCH("Import", 'Archaeological Monitors'!$1:$1, 0)), "yes") &amp; " out of " &amp; B8, "—")</x:f>
      </x:c>
      <x:c r="F8" s="13">
        <x:f>IFERROR(COUNTIF(INDEX('Archaeological Monitors'!$A:$Z, 0, MATCH("Local Supply", 'Archaeological Monitors'!$1:$1, 0)), "yes") &amp; " out of " &amp; B8, "—")</x:f>
      </x:c>
      <x:c r="G8" s="13">
        <x:f>IFERROR(COUNTIF(INDEX('Archaeological Monitors'!$A:$Z, 0, MATCH("Delivery", 'Archaeological Monitors'!$1:$1, 0)), "yes") &amp; " out of " &amp; B8, "—")</x:f>
      </x:c>
    </x:row>
    <x:row r="9" spans="1:7" s="1" customFormat="1">
      <x:c r="A9" s="14">
        <x:f>HYPERLINK("#'Maltese Balconies'!A1", "Maltese Balconies")</x:f>
      </x:c>
      <x:c r="B9" s="15">
        <x:f>COUNTA('Maltese Balconies'!A:A)-1</x:f>
      </x:c>
      <x:c r="C9" s="15">
        <x:f>IFERROR(COUNTIF(INDEX('Maltese Balconies'!$A:$Z, 0, MATCH("Physical Store", 'Maltese Balconies'!$1:$1, 0)), "yes") &amp; " out of " &amp; B9, "—")</x:f>
      </x:c>
      <x:c r="D9" s="15">
        <x:f>IFERROR(COUNTIF(INDEX('Maltese Balconies'!$A:$Z, 0, MATCH("Installation", 'Maltese Balconies'!$1:$1, 0)), "yes") &amp; " out of " &amp; B9, "—")</x:f>
      </x:c>
      <x:c r="E9" s="15">
        <x:f>IFERROR(COUNTIF(INDEX('Maltese Balconies'!$A:$Z, 0, MATCH("Import", 'Maltese Balconies'!$1:$1, 0)), "yes") &amp; " out of " &amp; B9, "—")</x:f>
      </x:c>
      <x:c r="F9" s="15">
        <x:f>IFERROR(COUNTIF(INDEX('Maltese Balconies'!$A:$Z, 0, MATCH("Local Supply", 'Maltese Balconies'!$1:$1, 0)), "yes") &amp; " out of " &amp; B9, "—")</x:f>
      </x:c>
      <x:c r="G9" s="15">
        <x:f>IFERROR(COUNTIF(INDEX('Maltese Balconies'!$A:$Z, 0, MATCH("Delivery", 'Maltese Balconies'!$1:$1, 0)), "yes") &amp; " out of " &amp; B9, "—")</x:f>
      </x:c>
    </x:row>
    <x:row r="10" spans="1:7" s="4" customFormat="1">
      <x:c r="A10" s="16">
        <x:f>HYPERLINK("#'Wall Mounted Speakers'!A1", "Wall Mounted Speakers")</x:f>
      </x:c>
      <x:c r="B10" s="17">
        <x:f>COUNTA('Wall Mounted Speakers'!A:A)-1</x:f>
      </x:c>
      <x:c r="C10" s="17">
        <x:f>IFERROR(COUNTIF(INDEX('Wall Mounted Speakers'!$A:$Z, 0, MATCH("Physical Store", 'Wall Mounted Speakers'!$1:$1, 0)), "yes") &amp; " out of " &amp; B10, "—")</x:f>
      </x:c>
      <x:c r="D10" s="17">
        <x:f>IFERROR(COUNTIF(INDEX('Wall Mounted Speakers'!$A:$Z, 0, MATCH("Installation", 'Wall Mounted Speakers'!$1:$1, 0)), "yes") &amp; " out of " &amp; B10, "—")</x:f>
      </x:c>
      <x:c r="E10" s="17">
        <x:f>IFERROR(COUNTIF(INDEX('Wall Mounted Speakers'!$A:$Z, 0, MATCH("Import", 'Wall Mounted Speakers'!$1:$1, 0)), "yes") &amp; " out of " &amp; B10, "—")</x:f>
      </x:c>
      <x:c r="F10" s="17">
        <x:f>IFERROR(COUNTIF(INDEX('Wall Mounted Speakers'!$A:$Z, 0, MATCH("Local Supply", 'Wall Mounted Speakers'!$1:$1, 0)), "yes") &amp; " out of " &amp; B10, "—")</x:f>
      </x:c>
      <x:c r="G10" s="17">
        <x:f>IFERROR(COUNTIF(INDEX('Wall Mounted Speakers'!$A:$Z, 0, MATCH("Delivery", 'Wall Mounted Speakers'!$1:$1, 0)), "yes") &amp; " out of " &amp; B10, "—")</x:f>
      </x:c>
    </x:row>
    <x:row r="11" spans="1:7" s="3" customFormat="1">
      <x:c r="A11" s="12">
        <x:f>HYPERLINK("#'Hardware'!A1", "Hardware")</x:f>
      </x:c>
      <x:c r="B11" s="13">
        <x:f>COUNTA('Hardware'!A:A)-1</x:f>
      </x:c>
      <x:c r="C11" s="13">
        <x:f>IFERROR(COUNTIF(INDEX('Hardware'!$A:$Z, 0, MATCH("Physical Store", 'Hardware'!$1:$1, 0)), "yes") &amp; " out of " &amp; B11, "—")</x:f>
      </x:c>
      <x:c r="D11" s="13">
        <x:f>IFERROR(COUNTIF(INDEX('Hardware'!$A:$Z, 0, MATCH("Installation", 'Hardware'!$1:$1, 0)), "yes") &amp; " out of " &amp; B11, "—")</x:f>
      </x:c>
      <x:c r="E11" s="13">
        <x:f>IFERROR(COUNTIF(INDEX('Hardware'!$A:$Z, 0, MATCH("Import", 'Hardware'!$1:$1, 0)), "yes") &amp; " out of " &amp; B11, "—")</x:f>
      </x:c>
      <x:c r="F11" s="13">
        <x:f>IFERROR(COUNTIF(INDEX('Hardware'!$A:$Z, 0, MATCH("Local Supply", 'Hardware'!$1:$1, 0)), "yes") &amp; " out of " &amp; B11, "—")</x:f>
      </x:c>
      <x:c r="G11" s="13">
        <x:f>IFERROR(COUNTIF(INDEX('Hardware'!$A:$Z, 0, MATCH("Delivery", 'Hardware'!$1:$1, 0)), "yes") &amp; " out of " &amp; B11, "—")</x:f>
      </x:c>
    </x:row>
    <x:row r="12" spans="1:7" s="1" customFormat="1">
      <x:c r="A12" s="14">
        <x:f>HYPERLINK("#'Laser'!A1", "Laser")</x:f>
      </x:c>
      <x:c r="B12" s="15">
        <x:f>COUNTA('Laser'!A:A)-1</x:f>
      </x:c>
      <x:c r="C12" s="15">
        <x:f>IFERROR(COUNTIF(INDEX('Laser'!$A:$Z, 0, MATCH("Physical Store", 'Laser'!$1:$1, 0)), "yes") &amp; " out of " &amp; B12, "—")</x:f>
      </x:c>
      <x:c r="D12" s="15">
        <x:f>IFERROR(COUNTIF(INDEX('Laser'!$A:$Z, 0, MATCH("Installation", 'Laser'!$1:$1, 0)), "yes") &amp; " out of " &amp; B12, "—")</x:f>
      </x:c>
      <x:c r="E12" s="15">
        <x:f>IFERROR(COUNTIF(INDEX('Laser'!$A:$Z, 0, MATCH("Import", 'Laser'!$1:$1, 0)), "yes") &amp; " out of " &amp; B12, "—")</x:f>
      </x:c>
      <x:c r="F12" s="15">
        <x:f>IFERROR(COUNTIF(INDEX('Laser'!$A:$Z, 0, MATCH("Local Supply", 'Laser'!$1:$1, 0)), "yes") &amp; " out of " &amp; B12, "—")</x:f>
      </x:c>
      <x:c r="G12" s="15">
        <x:f>IFERROR(COUNTIF(INDEX('Laser'!$A:$Z, 0, MATCH("Delivery", 'Laser'!$1:$1, 0)), "yes") &amp; " out of " &amp; B12, "—")</x:f>
      </x:c>
    </x:row>
    <x:row r="13" spans="1:7" s="4" customFormat="1">
      <x:c r="A13" s="16">
        <x:f>HYPERLINK("#'Surveyors'!A1", "Surveyors")</x:f>
      </x:c>
      <x:c r="B13" s="17">
        <x:f>COUNTA('Surveyors'!A:A)-1</x:f>
      </x:c>
      <x:c r="C13" s="17">
        <x:f>IFERROR(COUNTIF(INDEX('Surveyors'!$A:$Z, 0, MATCH("Physical Store", 'Surveyors'!$1:$1, 0)), "yes") &amp; " out of " &amp; B13, "—")</x:f>
      </x:c>
      <x:c r="D13" s="17">
        <x:f>IFERROR(COUNTIF(INDEX('Surveyors'!$A:$Z, 0, MATCH("Installation", 'Surveyors'!$1:$1, 0)), "yes") &amp; " out of " &amp; B13, "—")</x:f>
      </x:c>
      <x:c r="E13" s="17">
        <x:f>IFERROR(COUNTIF(INDEX('Surveyors'!$A:$Z, 0, MATCH("Import", 'Surveyors'!$1:$1, 0)), "yes") &amp; " out of " &amp; B13, "—")</x:f>
      </x:c>
      <x:c r="F13" s="17">
        <x:f>IFERROR(COUNTIF(INDEX('Surveyors'!$A:$Z, 0, MATCH("Local Supply", 'Surveyors'!$1:$1, 0)), "yes") &amp; " out of " &amp; B13, "—")</x:f>
      </x:c>
      <x:c r="G13" s="17">
        <x:f>IFERROR(COUNTIF(INDEX('Surveyors'!$A:$Z, 0, MATCH("Delivery", 'Surveyors'!$1:$1, 0)), "yes") &amp; " out of " &amp; B13, "—")</x:f>
      </x:c>
    </x:row>
    <x:row r="14" spans="1:7" s="3" customFormat="1">
      <x:c r="A14" s="12">
        <x:f>HYPERLINK("#'Car Scrapping'!A1", "Car Scrapping")</x:f>
      </x:c>
      <x:c r="B14" s="13">
        <x:f>COUNTA('Car Scrapping'!A:A)-1</x:f>
      </x:c>
      <x:c r="C14" s="13">
        <x:f>IFERROR(COUNTIF(INDEX('Car Scrapping'!$A:$Z, 0, MATCH("Physical Store", 'Car Scrapping'!$1:$1, 0)), "yes") &amp; " out of " &amp; B14, "—")</x:f>
      </x:c>
      <x:c r="D14" s="13">
        <x:f>IFERROR(COUNTIF(INDEX('Car Scrapping'!$A:$Z, 0, MATCH("Installation", 'Car Scrapping'!$1:$1, 0)), "yes") &amp; " out of " &amp; B14, "—")</x:f>
      </x:c>
      <x:c r="E14" s="13">
        <x:f>IFERROR(COUNTIF(INDEX('Car Scrapping'!$A:$Z, 0, MATCH("Import", 'Car Scrapping'!$1:$1, 0)), "yes") &amp; " out of " &amp; B14, "—")</x:f>
      </x:c>
      <x:c r="F14" s="13">
        <x:f>IFERROR(COUNTIF(INDEX('Car Scrapping'!$A:$Z, 0, MATCH("Local Supply", 'Car Scrapping'!$1:$1, 0)), "yes") &amp; " out of " &amp; B14, "—")</x:f>
      </x:c>
      <x:c r="G14" s="13">
        <x:f>IFERROR(COUNTIF(INDEX('Car Scrapping'!$A:$Z, 0, MATCH("Delivery", 'Car Scrapping'!$1:$1, 0)), "yes") &amp; " out of " &amp; B14, "—")</x:f>
      </x:c>
    </x:row>
    <x:row r="15" spans="1:7" s="1" customFormat="1">
      <x:c r="A15" s="14">
        <x:f>HYPERLINK("#'Sills'!A1", "Sills")</x:f>
      </x:c>
      <x:c r="B15" s="15">
        <x:f>COUNTA('Sills'!A:A)-1</x:f>
      </x:c>
      <x:c r="C15" s="15">
        <x:f>IFERROR(COUNTIF(INDEX('Sills'!$A:$Z, 0, MATCH("Physical Store", 'Sills'!$1:$1, 0)), "yes") &amp; " out of " &amp; B15, "—")</x:f>
      </x:c>
      <x:c r="D15" s="15">
        <x:f>IFERROR(COUNTIF(INDEX('Sills'!$A:$Z, 0, MATCH("Installation", 'Sills'!$1:$1, 0)), "yes") &amp; " out of " &amp; B15, "—")</x:f>
      </x:c>
      <x:c r="E15" s="15">
        <x:f>IFERROR(COUNTIF(INDEX('Sills'!$A:$Z, 0, MATCH("Import", 'Sills'!$1:$1, 0)), "yes") &amp; " out of " &amp; B15, "—")</x:f>
      </x:c>
      <x:c r="F15" s="15">
        <x:f>IFERROR(COUNTIF(INDEX('Sills'!$A:$Z, 0, MATCH("Local Supply", 'Sills'!$1:$1, 0)), "yes") &amp; " out of " &amp; B15, "—")</x:f>
      </x:c>
      <x:c r="G15" s="15">
        <x:f>IFERROR(COUNTIF(INDEX('Sills'!$A:$Z, 0, MATCH("Delivery", 'Sills'!$1:$1, 0)), "yes") &amp; " out of " &amp; B15, "—")</x:f>
      </x:c>
    </x:row>
    <x:row r="16" spans="1:7" s="4" customFormat="1">
      <x:c r="A16" s="16">
        <x:f>HYPERLINK("#'Waterproofing'!A1", "Waterproofing")</x:f>
      </x:c>
      <x:c r="B16" s="17">
        <x:f>COUNTA('Waterproofing'!A:A)-1</x:f>
      </x:c>
      <x:c r="C16" s="17">
        <x:f>IFERROR(COUNTIF(INDEX('Waterproofing'!$A:$Z, 0, MATCH("Physical Store", 'Waterproofing'!$1:$1, 0)), "yes") &amp; " out of " &amp; B16, "—")</x:f>
      </x:c>
      <x:c r="D16" s="17">
        <x:f>IFERROR(COUNTIF(INDEX('Waterproofing'!$A:$Z, 0, MATCH("Installation", 'Waterproofing'!$1:$1, 0)), "yes") &amp; " out of " &amp; B16, "—")</x:f>
      </x:c>
      <x:c r="E16" s="17">
        <x:f>IFERROR(COUNTIF(INDEX('Waterproofing'!$A:$Z, 0, MATCH("Import", 'Waterproofing'!$1:$1, 0)), "yes") &amp; " out of " &amp; B16, "—")</x:f>
      </x:c>
      <x:c r="F16" s="17">
        <x:f>IFERROR(COUNTIF(INDEX('Waterproofing'!$A:$Z, 0, MATCH("Local Supply", 'Waterproofing'!$1:$1, 0)), "yes") &amp; " out of " &amp; B16, "—")</x:f>
      </x:c>
      <x:c r="G16" s="17">
        <x:f>IFERROR(COUNTIF(INDEX('Waterproofing'!$A:$Z, 0, MATCH("Delivery", 'Waterproofing'!$1:$1, 0)), "yes") &amp; " out of " &amp; B16, "—")</x:f>
      </x:c>
    </x:row>
    <x:row r="17" spans="1:7" s="3" customFormat="1">
      <x:c r="A17" s="12">
        <x:f>HYPERLINK("#'Surface finishes'!A1", "Surface finishes")</x:f>
      </x:c>
      <x:c r="B17" s="13">
        <x:f>COUNTA('Surface finishes'!A:A)-1</x:f>
      </x:c>
      <x:c r="C17" s="13">
        <x:f>IFERROR(COUNTIF(INDEX('Surface finishes'!$A:$Z, 0, MATCH("Physical Store", 'Surface finishes'!$1:$1, 0)), "yes") &amp; " out of " &amp; B17, "—")</x:f>
      </x:c>
      <x:c r="D17" s="13">
        <x:f>IFERROR(COUNTIF(INDEX('Surface finishes'!$A:$Z, 0, MATCH("Installation", 'Surface finishes'!$1:$1, 0)), "yes") &amp; " out of " &amp; B17, "—")</x:f>
      </x:c>
      <x:c r="E17" s="13">
        <x:f>IFERROR(COUNTIF(INDEX('Surface finishes'!$A:$Z, 0, MATCH("Import", 'Surface finishes'!$1:$1, 0)), "yes") &amp; " out of " &amp; B17, "—")</x:f>
      </x:c>
      <x:c r="F17" s="13">
        <x:f>IFERROR(COUNTIF(INDEX('Surface finishes'!$A:$Z, 0, MATCH("Local Supply", 'Surface finishes'!$1:$1, 0)), "yes") &amp; " out of " &amp; B17, "—")</x:f>
      </x:c>
      <x:c r="G17" s="13">
        <x:f>IFERROR(COUNTIF(INDEX('Surface finishes'!$A:$Z, 0, MATCH("Delivery", 'Surface finishes'!$1:$1, 0)), "yes") &amp; " out of " &amp; B17, "—")</x:f>
      </x:c>
    </x:row>
    <x:row r="18" spans="1:7" s="1" customFormat="1">
      <x:c r="A18" s="14">
        <x:f>HYPERLINK("#'Terrazzo Slabs'!A1", "Terrazzo Slabs")</x:f>
      </x:c>
      <x:c r="B18" s="15">
        <x:f>COUNTA('Terrazzo Slabs'!A:A)-1</x:f>
      </x:c>
      <x:c r="C18" s="15">
        <x:f>IFERROR(COUNTIF(INDEX('Terrazzo Slabs'!$A:$Z, 0, MATCH("Physical Store", 'Terrazzo Slabs'!$1:$1, 0)), "yes") &amp; " out of " &amp; B18, "—")</x:f>
      </x:c>
      <x:c r="D18" s="15">
        <x:f>IFERROR(COUNTIF(INDEX('Terrazzo Slabs'!$A:$Z, 0, MATCH("Installation", 'Terrazzo Slabs'!$1:$1, 0)), "yes") &amp; " out of " &amp; B18, "—")</x:f>
      </x:c>
      <x:c r="E18" s="15">
        <x:f>IFERROR(COUNTIF(INDEX('Terrazzo Slabs'!$A:$Z, 0, MATCH("Import", 'Terrazzo Slabs'!$1:$1, 0)), "yes") &amp; " out of " &amp; B18, "—")</x:f>
      </x:c>
      <x:c r="F18" s="15">
        <x:f>IFERROR(COUNTIF(INDEX('Terrazzo Slabs'!$A:$Z, 0, MATCH("Local Supply", 'Terrazzo Slabs'!$1:$1, 0)), "yes") &amp; " out of " &amp; B18, "—")</x:f>
      </x:c>
      <x:c r="G18" s="15">
        <x:f>IFERROR(COUNTIF(INDEX('Terrazzo Slabs'!$A:$Z, 0, MATCH("Delivery", 'Terrazzo Slabs'!$1:$1, 0)), "yes") &amp; " out of " &amp; B18, "—")</x:f>
      </x:c>
    </x:row>
    <x:row r="19" spans="1:7" s="4" customFormat="1">
      <x:c r="A19" s="16">
        <x:f>HYPERLINK("#'Washing Machines'!A1", "Washing Machines")</x:f>
      </x:c>
      <x:c r="B19" s="17">
        <x:f>COUNTA('Washing Machines'!A:A)-1</x:f>
      </x:c>
      <x:c r="C19" s="17">
        <x:f>IFERROR(COUNTIF(INDEX('Washing Machines'!$A:$Z, 0, MATCH("Physical Store", 'Washing Machines'!$1:$1, 0)), "yes") &amp; " out of " &amp; B19, "—")</x:f>
      </x:c>
      <x:c r="D19" s="17">
        <x:f>IFERROR(COUNTIF(INDEX('Washing Machines'!$A:$Z, 0, MATCH("Installation", 'Washing Machines'!$1:$1, 0)), "yes") &amp; " out of " &amp; B19, "—")</x:f>
      </x:c>
      <x:c r="E19" s="17">
        <x:f>IFERROR(COUNTIF(INDEX('Washing Machines'!$A:$Z, 0, MATCH("Import", 'Washing Machines'!$1:$1, 0)), "yes") &amp; " out of " &amp; B19, "—")</x:f>
      </x:c>
      <x:c r="F19" s="17">
        <x:f>IFERROR(COUNTIF(INDEX('Washing Machines'!$A:$Z, 0, MATCH("Local Supply", 'Washing Machines'!$1:$1, 0)), "yes") &amp; " out of " &amp; B19, "—")</x:f>
      </x:c>
      <x:c r="G19" s="17">
        <x:f>IFERROR(COUNTIF(INDEX('Washing Machines'!$A:$Z, 0, MATCH("Delivery", 'Washing Machines'!$1:$1, 0)), "yes") &amp; " out of " &amp; B19, "—")</x:f>
      </x:c>
    </x:row>
    <x:row r="20" spans="1:7" s="3" customFormat="1">
      <x:c r="A20" s="12">
        <x:f>HYPERLINK("#'Tumble Dryer'!A1", "Tumble Dryer")</x:f>
      </x:c>
      <x:c r="B20" s="13">
        <x:f>COUNTA('Tumble Dryer'!A:A)-1</x:f>
      </x:c>
      <x:c r="C20" s="13">
        <x:f>IFERROR(COUNTIF(INDEX('Tumble Dryer'!$A:$Z, 0, MATCH("Physical Store", 'Tumble Dryer'!$1:$1, 0)), "yes") &amp; " out of " &amp; B20, "—")</x:f>
      </x:c>
      <x:c r="D20" s="13">
        <x:f>IFERROR(COUNTIF(INDEX('Tumble Dryer'!$A:$Z, 0, MATCH("Installation", 'Tumble Dryer'!$1:$1, 0)), "yes") &amp; " out of " &amp; B20, "—")</x:f>
      </x:c>
      <x:c r="E20" s="13">
        <x:f>IFERROR(COUNTIF(INDEX('Tumble Dryer'!$A:$Z, 0, MATCH("Import", 'Tumble Dryer'!$1:$1, 0)), "yes") &amp; " out of " &amp; B20, "—")</x:f>
      </x:c>
      <x:c r="F20" s="13">
        <x:f>IFERROR(COUNTIF(INDEX('Tumble Dryer'!$A:$Z, 0, MATCH("Local Supply", 'Tumble Dryer'!$1:$1, 0)), "yes") &amp; " out of " &amp; B20, "—")</x:f>
      </x:c>
      <x:c r="G20" s="13">
        <x:f>IFERROR(COUNTIF(INDEX('Tumble Dryer'!$A:$Z, 0, MATCH("Delivery", 'Tumble Dryer'!$1:$1, 0)), "yes") &amp; " out of " &amp; B20, "—")</x:f>
      </x:c>
    </x:row>
    <x:row r="21" spans="1:7" s="1" customFormat="1">
      <x:c r="A21" s="14">
        <x:f>HYPERLINK("#'Gypsum'!A1", "Gypsum")</x:f>
      </x:c>
      <x:c r="B21" s="15">
        <x:f>COUNTA('Gypsum'!A:A)-1</x:f>
      </x:c>
      <x:c r="C21" s="15">
        <x:f>IFERROR(COUNTIF(INDEX('Gypsum'!$A:$Z, 0, MATCH("Physical Store", 'Gypsum'!$1:$1, 0)), "yes") &amp; " out of " &amp; B21, "—")</x:f>
      </x:c>
      <x:c r="D21" s="15">
        <x:f>IFERROR(COUNTIF(INDEX('Gypsum'!$A:$Z, 0, MATCH("Installation", 'Gypsum'!$1:$1, 0)), "yes") &amp; " out of " &amp; B21, "—")</x:f>
      </x:c>
      <x:c r="E21" s="15">
        <x:f>IFERROR(COUNTIF(INDEX('Gypsum'!$A:$Z, 0, MATCH("Import", 'Gypsum'!$1:$1, 0)), "yes") &amp; " out of " &amp; B21, "—")</x:f>
      </x:c>
      <x:c r="F21" s="15">
        <x:f>IFERROR(COUNTIF(INDEX('Gypsum'!$A:$Z, 0, MATCH("Local Supply", 'Gypsum'!$1:$1, 0)), "yes") &amp; " out of " &amp; B21, "—")</x:f>
      </x:c>
      <x:c r="G21" s="15">
        <x:f>IFERROR(COUNTIF(INDEX('Gypsum'!$A:$Z, 0, MATCH("Delivery", 'Gypsum'!$1:$1, 0)), "yes") &amp; " out of " &amp; B21, "—")</x:f>
      </x:c>
    </x:row>
    <x:row r="22" spans="1:7" s="4" customFormat="1">
      <x:c r="A22" s="16">
        <x:f>HYPERLINK("#'Cubicle Partitions'!A1", "Cubicle Partitions")</x:f>
      </x:c>
      <x:c r="B22" s="17">
        <x:f>COUNTA('Cubicle Partitions'!A:A)-1</x:f>
      </x:c>
      <x:c r="C22" s="17">
        <x:f>IFERROR(COUNTIF(INDEX('Cubicle Partitions'!$A:$Z, 0, MATCH("Physical Store", 'Cubicle Partitions'!$1:$1, 0)), "yes") &amp; " out of " &amp; B22, "—")</x:f>
      </x:c>
      <x:c r="D22" s="17">
        <x:f>IFERROR(COUNTIF(INDEX('Cubicle Partitions'!$A:$Z, 0, MATCH("Installation", 'Cubicle Partitions'!$1:$1, 0)), "yes") &amp; " out of " &amp; B22, "—")</x:f>
      </x:c>
      <x:c r="E22" s="17">
        <x:f>IFERROR(COUNTIF(INDEX('Cubicle Partitions'!$A:$Z, 0, MATCH("Import", 'Cubicle Partitions'!$1:$1, 0)), "yes") &amp; " out of " &amp; B22, "—")</x:f>
      </x:c>
      <x:c r="F22" s="17">
        <x:f>IFERROR(COUNTIF(INDEX('Cubicle Partitions'!$A:$Z, 0, MATCH("Local Supply", 'Cubicle Partitions'!$1:$1, 0)), "yes") &amp; " out of " &amp; B22, "—")</x:f>
      </x:c>
      <x:c r="G22" s="17">
        <x:f>IFERROR(COUNTIF(INDEX('Cubicle Partitions'!$A:$Z, 0, MATCH("Delivery", 'Cubicle Partitions'!$1:$1, 0)), "yes") &amp; " out of " &amp; B22, "—")</x:f>
      </x:c>
    </x:row>
    <x:row r="23" spans="1:7" s="3" customFormat="1">
      <x:c r="A23" s="12">
        <x:f>HYPERLINK("#'Site Clearance'!A1", "Site Clearance")</x:f>
      </x:c>
      <x:c r="B23" s="13">
        <x:f>COUNTA('Site Clearance'!A:A)-1</x:f>
      </x:c>
      <x:c r="C23" s="13">
        <x:f>IFERROR(COUNTIF(INDEX('Site Clearance'!$A:$Z, 0, MATCH("Physical Store", 'Site Clearance'!$1:$1, 0)), "yes") &amp; " out of " &amp; B23, "—")</x:f>
      </x:c>
      <x:c r="D23" s="13">
        <x:f>IFERROR(COUNTIF(INDEX('Site Clearance'!$A:$Z, 0, MATCH("Installation", 'Site Clearance'!$1:$1, 0)), "yes") &amp; " out of " &amp; B23, "—")</x:f>
      </x:c>
      <x:c r="E23" s="13">
        <x:f>IFERROR(COUNTIF(INDEX('Site Clearance'!$A:$Z, 0, MATCH("Import", 'Site Clearance'!$1:$1, 0)), "yes") &amp; " out of " &amp; B23, "—")</x:f>
      </x:c>
      <x:c r="F23" s="13">
        <x:f>IFERROR(COUNTIF(INDEX('Site Clearance'!$A:$Z, 0, MATCH("Local Supply", 'Site Clearance'!$1:$1, 0)), "yes") &amp; " out of " &amp; B23, "—")</x:f>
      </x:c>
      <x:c r="G23" s="13">
        <x:f>IFERROR(COUNTIF(INDEX('Site Clearance'!$A:$Z, 0, MATCH("Delivery", 'Site Clearance'!$1:$1, 0)), "yes") &amp; " out of " &amp; B23, "—")</x:f>
      </x:c>
    </x:row>
    <x:row r="24" spans="1:7" s="1" customFormat="1">
      <x:c r="A24" s="14">
        <x:f>HYPERLINK("#'Industrial Shelving'!A1", "Industrial Shelving")</x:f>
      </x:c>
      <x:c r="B24" s="15">
        <x:f>COUNTA('Industrial Shelving'!A:A)-1</x:f>
      </x:c>
      <x:c r="C24" s="15">
        <x:f>IFERROR(COUNTIF(INDEX('Industrial Shelving'!$A:$Z, 0, MATCH("Physical Store", 'Industrial Shelving'!$1:$1, 0)), "yes") &amp; " out of " &amp; B24, "—")</x:f>
      </x:c>
      <x:c r="D24" s="15">
        <x:f>IFERROR(COUNTIF(INDEX('Industrial Shelving'!$A:$Z, 0, MATCH("Installation", 'Industrial Shelving'!$1:$1, 0)), "yes") &amp; " out of " &amp; B24, "—")</x:f>
      </x:c>
      <x:c r="E24" s="15">
        <x:f>IFERROR(COUNTIF(INDEX('Industrial Shelving'!$A:$Z, 0, MATCH("Import", 'Industrial Shelving'!$1:$1, 0)), "yes") &amp; " out of " &amp; B24, "—")</x:f>
      </x:c>
      <x:c r="F24" s="15">
        <x:f>IFERROR(COUNTIF(INDEX('Industrial Shelving'!$A:$Z, 0, MATCH("Local Supply", 'Industrial Shelving'!$1:$1, 0)), "yes") &amp; " out of " &amp; B24, "—")</x:f>
      </x:c>
      <x:c r="G24" s="15">
        <x:f>IFERROR(COUNTIF(INDEX('Industrial Shelving'!$A:$Z, 0, MATCH("Delivery", 'Industrial Shelving'!$1:$1, 0)), "yes") &amp; " out of " &amp; B24, "—")</x:f>
      </x:c>
    </x:row>
    <x:row r="25" spans="1:7" s="4" customFormat="1">
      <x:c r="A25" s="16">
        <x:f>HYPERLINK("#'multysensory room'!A1", "multysensory room")</x:f>
      </x:c>
      <x:c r="B25" s="17">
        <x:f>COUNTA('multysensory room'!A:A)-1</x:f>
      </x:c>
      <x:c r="C25" s="17">
        <x:f>IFERROR(COUNTIF(INDEX('multysensory room'!$A:$Z, 0, MATCH("Physical Store", 'multysensory room'!$1:$1, 0)), "yes") &amp; " out of " &amp; B25, "—")</x:f>
      </x:c>
      <x:c r="D25" s="17">
        <x:f>IFERROR(COUNTIF(INDEX('multysensory room'!$A:$Z, 0, MATCH("Installation", 'multysensory room'!$1:$1, 0)), "yes") &amp; " out of " &amp; B25, "—")</x:f>
      </x:c>
      <x:c r="E25" s="17">
        <x:f>IFERROR(COUNTIF(INDEX('multysensory room'!$A:$Z, 0, MATCH("Import", 'multysensory room'!$1:$1, 0)), "yes") &amp; " out of " &amp; B25, "—")</x:f>
      </x:c>
      <x:c r="F25" s="17">
        <x:f>IFERROR(COUNTIF(INDEX('multysensory room'!$A:$Z, 0, MATCH("Local Supply", 'multysensory room'!$1:$1, 0)), "yes") &amp; " out of " &amp; B25, "—")</x:f>
      </x:c>
      <x:c r="G25" s="17">
        <x:f>IFERROR(COUNTIF(INDEX('multysensory room'!$A:$Z, 0, MATCH("Delivery", 'multysensory room'!$1:$1, 0)), "yes") &amp; " out of " &amp; B25, "—")</x:f>
      </x:c>
    </x:row>
    <x:row r="26" spans="1:7" s="3" customFormat="1">
      <x:c r="A26" s="12">
        <x:f>HYPERLINK("#'Bathroom'!A1", "Bathroom")</x:f>
      </x:c>
      <x:c r="B26" s="13">
        <x:f>COUNTA('Bathroom'!A:A)-1</x:f>
      </x:c>
      <x:c r="C26" s="13">
        <x:f>IFERROR(COUNTIF(INDEX('Bathroom'!$A:$Z, 0, MATCH("Physical Store", 'Bathroom'!$1:$1, 0)), "yes") &amp; " out of " &amp; B26, "—")</x:f>
      </x:c>
      <x:c r="D26" s="13">
        <x:f>IFERROR(COUNTIF(INDEX('Bathroom'!$A:$Z, 0, MATCH("Installation", 'Bathroom'!$1:$1, 0)), "yes") &amp; " out of " &amp; B26, "—")</x:f>
      </x:c>
      <x:c r="E26" s="13">
        <x:f>IFERROR(COUNTIF(INDEX('Bathroom'!$A:$Z, 0, MATCH("Import", 'Bathroom'!$1:$1, 0)), "yes") &amp; " out of " &amp; B26, "—")</x:f>
      </x:c>
      <x:c r="F26" s="13">
        <x:f>IFERROR(COUNTIF(INDEX('Bathroom'!$A:$Z, 0, MATCH("Local Supply", 'Bathroom'!$1:$1, 0)), "yes") &amp; " out of " &amp; B26, "—")</x:f>
      </x:c>
      <x:c r="G26" s="13">
        <x:f>IFERROR(COUNTIF(INDEX('Bathroom'!$A:$Z, 0, MATCH("Delivery", 'Bathroom'!$1:$1, 0)), "yes") &amp; " out of " &amp; B26, "—")</x:f>
      </x:c>
    </x:row>
    <x:row r="27" spans="1:7" s="1" customFormat="1">
      <x:c r="A27" s="14">
        <x:f>HYPERLINK("#'Jacuzzi'!A1", "Jacuzzi")</x:f>
      </x:c>
      <x:c r="B27" s="15">
        <x:f>COUNTA('Jacuzzi'!A:A)-1</x:f>
      </x:c>
      <x:c r="C27" s="15">
        <x:f>IFERROR(COUNTIF(INDEX('Jacuzzi'!$A:$Z, 0, MATCH("Physical Store", 'Jacuzzi'!$1:$1, 0)), "yes") &amp; " out of " &amp; B27, "—")</x:f>
      </x:c>
      <x:c r="D27" s="15">
        <x:f>IFERROR(COUNTIF(INDEX('Jacuzzi'!$A:$Z, 0, MATCH("Installation", 'Jacuzzi'!$1:$1, 0)), "yes") &amp; " out of " &amp; B27, "—")</x:f>
      </x:c>
      <x:c r="E27" s="15">
        <x:f>IFERROR(COUNTIF(INDEX('Jacuzzi'!$A:$Z, 0, MATCH("Import", 'Jacuzzi'!$1:$1, 0)), "yes") &amp; " out of " &amp; B27, "—")</x:f>
      </x:c>
      <x:c r="F27" s="15">
        <x:f>IFERROR(COUNTIF(INDEX('Jacuzzi'!$A:$Z, 0, MATCH("Local Supply", 'Jacuzzi'!$1:$1, 0)), "yes") &amp; " out of " &amp; B27, "—")</x:f>
      </x:c>
      <x:c r="G27" s="15">
        <x:f>IFERROR(COUNTIF(INDEX('Jacuzzi'!$A:$Z, 0, MATCH("Delivery", 'Jacuzzi'!$1:$1, 0)), "yes") &amp; " out of " &amp; B27, "—")</x:f>
      </x:c>
    </x:row>
    <x:row r="28" spans="1:7" s="4" customFormat="1">
      <x:c r="A28" s="16">
        <x:f>HYPERLINK("#'Bedroom'!A1", "Bedroom")</x:f>
      </x:c>
      <x:c r="B28" s="17">
        <x:f>COUNTA('Bedroom'!A:A)-1</x:f>
      </x:c>
      <x:c r="C28" s="17">
        <x:f>IFERROR(COUNTIF(INDEX('Bedroom'!$A:$Z, 0, MATCH("Physical Store", 'Bedroom'!$1:$1, 0)), "yes") &amp; " out of " &amp; B28, "—")</x:f>
      </x:c>
      <x:c r="D28" s="17">
        <x:f>IFERROR(COUNTIF(INDEX('Bedroom'!$A:$Z, 0, MATCH("Installation", 'Bedroom'!$1:$1, 0)), "yes") &amp; " out of " &amp; B28, "—")</x:f>
      </x:c>
      <x:c r="E28" s="17">
        <x:f>IFERROR(COUNTIF(INDEX('Bedroom'!$A:$Z, 0, MATCH("Import", 'Bedroom'!$1:$1, 0)), "yes") &amp; " out of " &amp; B28, "—")</x:f>
      </x:c>
      <x:c r="F28" s="17">
        <x:f>IFERROR(COUNTIF(INDEX('Bedroom'!$A:$Z, 0, MATCH("Local Supply", 'Bedroom'!$1:$1, 0)), "yes") &amp; " out of " &amp; B28, "—")</x:f>
      </x:c>
      <x:c r="G28" s="17">
        <x:f>IFERROR(COUNTIF(INDEX('Bedroom'!$A:$Z, 0, MATCH("Delivery", 'Bedroom'!$1:$1, 0)), "yes") &amp; " out of " &amp; B28, "—")</x:f>
      </x:c>
    </x:row>
    <x:row r="29" spans="1:7" s="3" customFormat="1">
      <x:c r="A29" s="12">
        <x:f>HYPERLINK("#'Kitchen'!A1", "Kitchen")</x:f>
      </x:c>
      <x:c r="B29" s="13">
        <x:f>COUNTA('Kitchen'!A:A)-1</x:f>
      </x:c>
      <x:c r="C29" s="13">
        <x:f>IFERROR(COUNTIF(INDEX('Kitchen'!$A:$Z, 0, MATCH("Physical Store", 'Kitchen'!$1:$1, 0)), "yes") &amp; " out of " &amp; B29, "—")</x:f>
      </x:c>
      <x:c r="D29" s="13">
        <x:f>IFERROR(COUNTIF(INDEX('Kitchen'!$A:$Z, 0, MATCH("Installation", 'Kitchen'!$1:$1, 0)), "yes") &amp; " out of " &amp; B29, "—")</x:f>
      </x:c>
      <x:c r="E29" s="13">
        <x:f>IFERROR(COUNTIF(INDEX('Kitchen'!$A:$Z, 0, MATCH("Import", 'Kitchen'!$1:$1, 0)), "yes") &amp; " out of " &amp; B29, "—")</x:f>
      </x:c>
      <x:c r="F29" s="13">
        <x:f>IFERROR(COUNTIF(INDEX('Kitchen'!$A:$Z, 0, MATCH("Local Supply", 'Kitchen'!$1:$1, 0)), "yes") &amp; " out of " &amp; B29, "—")</x:f>
      </x:c>
      <x:c r="G29" s="13">
        <x:f>IFERROR(COUNTIF(INDEX('Kitchen'!$A:$Z, 0, MATCH("Delivery", 'Kitchen'!$1:$1, 0)), "yes") &amp; " out of " &amp; B29, "—")</x:f>
      </x:c>
    </x:row>
    <x:row r="30" spans="1:7" s="1" customFormat="1">
      <x:c r="A30" s="14">
        <x:f>HYPERLINK("#'Wall Panels'!A1", "Wall Panels")</x:f>
      </x:c>
      <x:c r="B30" s="15">
        <x:f>COUNTA('Wall Panels'!A:A)-1</x:f>
      </x:c>
      <x:c r="C30" s="15">
        <x:f>IFERROR(COUNTIF(INDEX('Wall Panels'!$A:$Z, 0, MATCH("Physical Store", 'Wall Panels'!$1:$1, 0)), "yes") &amp; " out of " &amp; B30, "—")</x:f>
      </x:c>
      <x:c r="D30" s="15">
        <x:f>IFERROR(COUNTIF(INDEX('Wall Panels'!$A:$Z, 0, MATCH("Installation", 'Wall Panels'!$1:$1, 0)), "yes") &amp; " out of " &amp; B30, "—")</x:f>
      </x:c>
      <x:c r="E30" s="15">
        <x:f>IFERROR(COUNTIF(INDEX('Wall Panels'!$A:$Z, 0, MATCH("Import", 'Wall Panels'!$1:$1, 0)), "yes") &amp; " out of " &amp; B30, "—")</x:f>
      </x:c>
      <x:c r="F30" s="15">
        <x:f>IFERROR(COUNTIF(INDEX('Wall Panels'!$A:$Z, 0, MATCH("Local Supply", 'Wall Panels'!$1:$1, 0)), "yes") &amp; " out of " &amp; B30, "—")</x:f>
      </x:c>
      <x:c r="G30" s="15">
        <x:f>IFERROR(COUNTIF(INDEX('Wall Panels'!$A:$Z, 0, MATCH("Delivery", 'Wall Panels'!$1:$1, 0)), "yes") &amp; " out of " &amp; B30, "—")</x:f>
      </x:c>
    </x:row>
    <x:row r="31" spans="1:7" s="4" customFormat="1">
      <x:c r="A31" s="16">
        <x:f>HYPERLINK("#'Office'!A1", "Office")</x:f>
      </x:c>
      <x:c r="B31" s="17">
        <x:f>COUNTA('Office'!A:A)-1</x:f>
      </x:c>
      <x:c r="C31" s="17">
        <x:f>IFERROR(COUNTIF(INDEX('Office'!$A:$Z, 0, MATCH("Physical Store", 'Office'!$1:$1, 0)), "yes") &amp; " out of " &amp; B31, "—")</x:f>
      </x:c>
      <x:c r="D31" s="17">
        <x:f>IFERROR(COUNTIF(INDEX('Office'!$A:$Z, 0, MATCH("Installation", 'Office'!$1:$1, 0)), "yes") &amp; " out of " &amp; B31, "—")</x:f>
      </x:c>
      <x:c r="E31" s="17">
        <x:f>IFERROR(COUNTIF(INDEX('Office'!$A:$Z, 0, MATCH("Import", 'Office'!$1:$1, 0)), "yes") &amp; " out of " &amp; B31, "—")</x:f>
      </x:c>
      <x:c r="F31" s="17">
        <x:f>IFERROR(COUNTIF(INDEX('Office'!$A:$Z, 0, MATCH("Local Supply", 'Office'!$1:$1, 0)), "yes") &amp; " out of " &amp; B31, "—")</x:f>
      </x:c>
      <x:c r="G31" s="17">
        <x:f>IFERROR(COUNTIF(INDEX('Office'!$A:$Z, 0, MATCH("Delivery", 'Office'!$1:$1, 0)), "yes") &amp; " out of " &amp; B31, "—")</x:f>
      </x:c>
    </x:row>
    <x:row r="32" spans="1:7" s="3" customFormat="1">
      <x:c r="A32" s="12">
        <x:f>HYPERLINK("#'Office Tables'!A1", "Office Tables")</x:f>
      </x:c>
      <x:c r="B32" s="13">
        <x:f>COUNTA('Office Tables'!A:A)-1</x:f>
      </x:c>
      <x:c r="C32" s="13">
        <x:f>IFERROR(COUNTIF(INDEX('Office Tables'!$A:$Z, 0, MATCH("Physical Store", 'Office Tables'!$1:$1, 0)), "yes") &amp; " out of " &amp; B32, "—")</x:f>
      </x:c>
      <x:c r="D32" s="13">
        <x:f>IFERROR(COUNTIF(INDEX('Office Tables'!$A:$Z, 0, MATCH("Installation", 'Office Tables'!$1:$1, 0)), "yes") &amp; " out of " &amp; B32, "—")</x:f>
      </x:c>
      <x:c r="E32" s="13">
        <x:f>IFERROR(COUNTIF(INDEX('Office Tables'!$A:$Z, 0, MATCH("Import", 'Office Tables'!$1:$1, 0)), "yes") &amp; " out of " &amp; B32, "—")</x:f>
      </x:c>
      <x:c r="F32" s="13">
        <x:f>IFERROR(COUNTIF(INDEX('Office Tables'!$A:$Z, 0, MATCH("Local Supply", 'Office Tables'!$1:$1, 0)), "yes") &amp; " out of " &amp; B32, "—")</x:f>
      </x:c>
      <x:c r="G32" s="13">
        <x:f>IFERROR(COUNTIF(INDEX('Office Tables'!$A:$Z, 0, MATCH("Delivery", 'Office Tables'!$1:$1, 0)), "yes") &amp; " out of " &amp; B32, "—")</x:f>
      </x:c>
    </x:row>
    <x:row r="33" spans="1:7" s="1" customFormat="1">
      <x:c r="A33" s="14">
        <x:f>HYPERLINK("#'Living Room'!A1", "Living Room")</x:f>
      </x:c>
      <x:c r="B33" s="15">
        <x:f>COUNTA('Living Room'!A:A)-1</x:f>
      </x:c>
      <x:c r="C33" s="15">
        <x:f>IFERROR(COUNTIF(INDEX('Living Room'!$A:$Z, 0, MATCH("Physical Store", 'Living Room'!$1:$1, 0)), "yes") &amp; " out of " &amp; B33, "—")</x:f>
      </x:c>
      <x:c r="D33" s="15">
        <x:f>IFERROR(COUNTIF(INDEX('Living Room'!$A:$Z, 0, MATCH("Installation", 'Living Room'!$1:$1, 0)), "yes") &amp; " out of " &amp; B33, "—")</x:f>
      </x:c>
      <x:c r="E33" s="15">
        <x:f>IFERROR(COUNTIF(INDEX('Living Room'!$A:$Z, 0, MATCH("Import", 'Living Room'!$1:$1, 0)), "yes") &amp; " out of " &amp; B33, "—")</x:f>
      </x:c>
      <x:c r="F33" s="15">
        <x:f>IFERROR(COUNTIF(INDEX('Living Room'!$A:$Z, 0, MATCH("Local Supply", 'Living Room'!$1:$1, 0)), "yes") &amp; " out of " &amp; B33, "—")</x:f>
      </x:c>
      <x:c r="G33" s="15">
        <x:f>IFERROR(COUNTIF(INDEX('Living Room'!$A:$Z, 0, MATCH("Delivery", 'Living Room'!$1:$1, 0)), "yes") &amp; " out of " &amp; B33, "—")</x:f>
      </x:c>
    </x:row>
    <x:row r="34" spans="1:7" s="4" customFormat="1">
      <x:c r="A34" s="16">
        <x:f>HYPERLINK("#'Storage Units'!A1", "Storage Units")</x:f>
      </x:c>
      <x:c r="B34" s="17">
        <x:f>COUNTA('Storage Units'!A:A)-1</x:f>
      </x:c>
      <x:c r="C34" s="17">
        <x:f>IFERROR(COUNTIF(INDEX('Storage Units'!$A:$Z, 0, MATCH("Physical Store", 'Storage Units'!$1:$1, 0)), "yes") &amp; " out of " &amp; B34, "—")</x:f>
      </x:c>
      <x:c r="D34" s="17">
        <x:f>IFERROR(COUNTIF(INDEX('Storage Units'!$A:$Z, 0, MATCH("Installation", 'Storage Units'!$1:$1, 0)), "yes") &amp; " out of " &amp; B34, "—")</x:f>
      </x:c>
      <x:c r="E34" s="17">
        <x:f>IFERROR(COUNTIF(INDEX('Storage Units'!$A:$Z, 0, MATCH("Import", 'Storage Units'!$1:$1, 0)), "yes") &amp; " out of " &amp; B34, "—")</x:f>
      </x:c>
      <x:c r="F34" s="17">
        <x:f>IFERROR(COUNTIF(INDEX('Storage Units'!$A:$Z, 0, MATCH("Local Supply", 'Storage Units'!$1:$1, 0)), "yes") &amp; " out of " &amp; B34, "—")</x:f>
      </x:c>
      <x:c r="G34" s="17">
        <x:f>IFERROR(COUNTIF(INDEX('Storage Units'!$A:$Z, 0, MATCH("Delivery", 'Storage Units'!$1:$1, 0)), "yes") &amp; " out of " &amp; B34, "—")</x:f>
      </x:c>
    </x:row>
    <x:row r="35" spans="1:7" s="3" customFormat="1">
      <x:c r="A35" s="12">
        <x:f>HYPERLINK("#'Custom Furniture'!A1", "Custom Furniture")</x:f>
      </x:c>
      <x:c r="B35" s="13">
        <x:f>COUNTA('Custom Furniture'!A:A)-1</x:f>
      </x:c>
      <x:c r="C35" s="13">
        <x:f>IFERROR(COUNTIF(INDEX('Custom Furniture'!$A:$Z, 0, MATCH("Physical Store", 'Custom Furniture'!$1:$1, 0)), "yes") &amp; " out of " &amp; B35, "—")</x:f>
      </x:c>
      <x:c r="D35" s="13">
        <x:f>IFERROR(COUNTIF(INDEX('Custom Furniture'!$A:$Z, 0, MATCH("Installation", 'Custom Furniture'!$1:$1, 0)), "yes") &amp; " out of " &amp; B35, "—")</x:f>
      </x:c>
      <x:c r="E35" s="13">
        <x:f>IFERROR(COUNTIF(INDEX('Custom Furniture'!$A:$Z, 0, MATCH("Import", 'Custom Furniture'!$1:$1, 0)), "yes") &amp; " out of " &amp; B35, "—")</x:f>
      </x:c>
      <x:c r="F35" s="13">
        <x:f>IFERROR(COUNTIF(INDEX('Custom Furniture'!$A:$Z, 0, MATCH("Local Supply", 'Custom Furniture'!$1:$1, 0)), "yes") &amp; " out of " &amp; B35, "—")</x:f>
      </x:c>
      <x:c r="G35" s="13">
        <x:f>IFERROR(COUNTIF(INDEX('Custom Furniture'!$A:$Z, 0, MATCH("Delivery", 'Custom Furniture'!$1:$1, 0)), "yes") &amp; " out of " &amp; B35, "—")</x:f>
      </x:c>
    </x:row>
    <x:row r="36" spans="1:7" s="1" customFormat="1">
      <x:c r="A36" s="14">
        <x:f>HYPERLINK("#'Garden '!A1", "Garden ")</x:f>
      </x:c>
      <x:c r="B36" s="15">
        <x:f>COUNTA('Garden '!A:A)-1</x:f>
      </x:c>
      <x:c r="C36" s="15">
        <x:f>IFERROR(COUNTIF(INDEX('Garden '!$A:$Z, 0, MATCH("Physical Store", 'Garden '!$1:$1, 0)), "yes") &amp; " out of " &amp; B36, "—")</x:f>
      </x:c>
      <x:c r="D36" s="15">
        <x:f>IFERROR(COUNTIF(INDEX('Garden '!$A:$Z, 0, MATCH("Installation", 'Garden '!$1:$1, 0)), "yes") &amp; " out of " &amp; B36, "—")</x:f>
      </x:c>
      <x:c r="E36" s="15">
        <x:f>IFERROR(COUNTIF(INDEX('Garden '!$A:$Z, 0, MATCH("Import", 'Garden '!$1:$1, 0)), "yes") &amp; " out of " &amp; B36, "—")</x:f>
      </x:c>
      <x:c r="F36" s="15">
        <x:f>IFERROR(COUNTIF(INDEX('Garden '!$A:$Z, 0, MATCH("Local Supply", 'Garden '!$1:$1, 0)), "yes") &amp; " out of " &amp; B36, "—")</x:f>
      </x:c>
      <x:c r="G36" s="15">
        <x:f>IFERROR(COUNTIF(INDEX('Garden '!$A:$Z, 0, MATCH("Delivery", 'Garden '!$1:$1, 0)), "yes") &amp; " out of " &amp; B36, "—")</x:f>
      </x:c>
    </x:row>
    <x:row r="37" spans="1:7" s="4" customFormat="1">
      <x:c r="A37" s="16">
        <x:f>HYPERLINK("#'Outdoor Furniture'!A1", "Outdoor Furniture")</x:f>
      </x:c>
      <x:c r="B37" s="17">
        <x:f>COUNTA('Outdoor Furniture'!A:A)-1</x:f>
      </x:c>
      <x:c r="C37" s="17">
        <x:f>IFERROR(COUNTIF(INDEX('Outdoor Furniture'!$A:$Z, 0, MATCH("Physical Store", 'Outdoor Furniture'!$1:$1, 0)), "yes") &amp; " out of " &amp; B37, "—")</x:f>
      </x:c>
      <x:c r="D37" s="17">
        <x:f>IFERROR(COUNTIF(INDEX('Outdoor Furniture'!$A:$Z, 0, MATCH("Installation", 'Outdoor Furniture'!$1:$1, 0)), "yes") &amp; " out of " &amp; B37, "—")</x:f>
      </x:c>
      <x:c r="E37" s="17">
        <x:f>IFERROR(COUNTIF(INDEX('Outdoor Furniture'!$A:$Z, 0, MATCH("Import", 'Outdoor Furniture'!$1:$1, 0)), "yes") &amp; " out of " &amp; B37, "—")</x:f>
      </x:c>
      <x:c r="F37" s="17">
        <x:f>IFERROR(COUNTIF(INDEX('Outdoor Furniture'!$A:$Z, 0, MATCH("Local Supply", 'Outdoor Furniture'!$1:$1, 0)), "yes") &amp; " out of " &amp; B37, "—")</x:f>
      </x:c>
      <x:c r="G37" s="17">
        <x:f>IFERROR(COUNTIF(INDEX('Outdoor Furniture'!$A:$Z, 0, MATCH("Delivery", 'Outdoor Furniture'!$1:$1, 0)), "yes") &amp; " out of " &amp; B37, "—")</x:f>
      </x:c>
    </x:row>
    <x:row r="38" spans="1:7" s="3" customFormat="1">
      <x:c r="A38" s="12">
        <x:f>HYPERLINK("#'Wallpapers'!A1", "Wallpapers")</x:f>
      </x:c>
      <x:c r="B38" s="13">
        <x:f>COUNTA('Wallpapers'!A:A)-1</x:f>
      </x:c>
      <x:c r="C38" s="13">
        <x:f>IFERROR(COUNTIF(INDEX('Wallpapers'!$A:$Z, 0, MATCH("Physical Store", 'Wallpapers'!$1:$1, 0)), "yes") &amp; " out of " &amp; B38, "—")</x:f>
      </x:c>
      <x:c r="D38" s="13">
        <x:f>IFERROR(COUNTIF(INDEX('Wallpapers'!$A:$Z, 0, MATCH("Installation", 'Wallpapers'!$1:$1, 0)), "yes") &amp; " out of " &amp; B38, "—")</x:f>
      </x:c>
      <x:c r="E38" s="13">
        <x:f>IFERROR(COUNTIF(INDEX('Wallpapers'!$A:$Z, 0, MATCH("Import", 'Wallpapers'!$1:$1, 0)), "yes") &amp; " out of " &amp; B38, "—")</x:f>
      </x:c>
      <x:c r="F38" s="13">
        <x:f>IFERROR(COUNTIF(INDEX('Wallpapers'!$A:$Z, 0, MATCH("Local Supply", 'Wallpapers'!$1:$1, 0)), "yes") &amp; " out of " &amp; B38, "—")</x:f>
      </x:c>
      <x:c r="G38" s="13">
        <x:f>IFERROR(COUNTIF(INDEX('Wallpapers'!$A:$Z, 0, MATCH("Delivery", 'Wallpapers'!$1:$1, 0)), "yes") &amp; " out of " &amp; B38, "—")</x:f>
      </x:c>
    </x:row>
    <x:row r="39" spans="1:7" s="1" customFormat="1">
      <x:c r="A39" s="14">
        <x:f>HYPERLINK("#'Trimwork'!A1", "Trimwork")</x:f>
      </x:c>
      <x:c r="B39" s="15">
        <x:f>COUNTA('Trimwork'!A:A)-1</x:f>
      </x:c>
      <x:c r="C39" s="15">
        <x:f>IFERROR(COUNTIF(INDEX('Trimwork'!$A:$Z, 0, MATCH("Physical Store", 'Trimwork'!$1:$1, 0)), "yes") &amp; " out of " &amp; B39, "—")</x:f>
      </x:c>
      <x:c r="D39" s="15">
        <x:f>IFERROR(COUNTIF(INDEX('Trimwork'!$A:$Z, 0, MATCH("Installation", 'Trimwork'!$1:$1, 0)), "yes") &amp; " out of " &amp; B39, "—")</x:f>
      </x:c>
      <x:c r="E39" s="15">
        <x:f>IFERROR(COUNTIF(INDEX('Trimwork'!$A:$Z, 0, MATCH("Import", 'Trimwork'!$1:$1, 0)), "yes") &amp; " out of " &amp; B39, "—")</x:f>
      </x:c>
      <x:c r="F39" s="15">
        <x:f>IFERROR(COUNTIF(INDEX('Trimwork'!$A:$Z, 0, MATCH("Local Supply", 'Trimwork'!$1:$1, 0)), "yes") &amp; " out of " &amp; B39, "—")</x:f>
      </x:c>
      <x:c r="G39" s="15">
        <x:f>IFERROR(COUNTIF(INDEX('Trimwork'!$A:$Z, 0, MATCH("Delivery", 'Trimwork'!$1:$1, 0)), "yes") &amp; " out of " &amp; B39, "—")</x:f>
      </x:c>
    </x:row>
    <x:row r="40" spans="1:7" s="4" customFormat="1">
      <x:c r="A40" s="16">
        <x:f>HYPERLINK("#'House Decor'!A1", "House Decor")</x:f>
      </x:c>
      <x:c r="B40" s="17">
        <x:f>COUNTA('House Decor'!A:A)-1</x:f>
      </x:c>
      <x:c r="C40" s="17">
        <x:f>IFERROR(COUNTIF(INDEX('House Decor'!$A:$Z, 0, MATCH("Physical Store", 'House Decor'!$1:$1, 0)), "yes") &amp; " out of " &amp; B40, "—")</x:f>
      </x:c>
      <x:c r="D40" s="17">
        <x:f>IFERROR(COUNTIF(INDEX('House Decor'!$A:$Z, 0, MATCH("Installation", 'House Decor'!$1:$1, 0)), "yes") &amp; " out of " &amp; B40, "—")</x:f>
      </x:c>
      <x:c r="E40" s="17">
        <x:f>IFERROR(COUNTIF(INDEX('House Decor'!$A:$Z, 0, MATCH("Import", 'House Decor'!$1:$1, 0)), "yes") &amp; " out of " &amp; B40, "—")</x:f>
      </x:c>
      <x:c r="F40" s="17">
        <x:f>IFERROR(COUNTIF(INDEX('House Decor'!$A:$Z, 0, MATCH("Local Supply", 'House Decor'!$1:$1, 0)), "yes") &amp; " out of " &amp; B40, "—")</x:f>
      </x:c>
      <x:c r="G40" s="17">
        <x:f>IFERROR(COUNTIF(INDEX('House Decor'!$A:$Z, 0, MATCH("Delivery", 'House Decor'!$1:$1, 0)), "yes") &amp; " out of " &amp; B40, "—")</x:f>
      </x:c>
    </x:row>
    <x:row r="41" spans="1:7" s="3" customFormat="1">
      <x:c r="A41" s="12">
        <x:f>HYPERLINK("#'Business Cards'!A1", "Business Cards")</x:f>
      </x:c>
      <x:c r="B41" s="13">
        <x:f>COUNTA('Business Cards'!A:A)-1</x:f>
      </x:c>
      <x:c r="C41" s="13">
        <x:f>IFERROR(COUNTIF(INDEX('Business Cards'!$A:$Z, 0, MATCH("Physical Store", 'Business Cards'!$1:$1, 0)), "yes") &amp; " out of " &amp; B41, "—")</x:f>
      </x:c>
      <x:c r="D41" s="13">
        <x:f>IFERROR(COUNTIF(INDEX('Business Cards'!$A:$Z, 0, MATCH("Installation", 'Business Cards'!$1:$1, 0)), "yes") &amp; " out of " &amp; B41, "—")</x:f>
      </x:c>
      <x:c r="E41" s="13">
        <x:f>IFERROR(COUNTIF(INDEX('Business Cards'!$A:$Z, 0, MATCH("Import", 'Business Cards'!$1:$1, 0)), "yes") &amp; " out of " &amp; B41, "—")</x:f>
      </x:c>
      <x:c r="F41" s="13">
        <x:f>IFERROR(COUNTIF(INDEX('Business Cards'!$A:$Z, 0, MATCH("Local Supply", 'Business Cards'!$1:$1, 0)), "yes") &amp; " out of " &amp; B41, "—")</x:f>
      </x:c>
      <x:c r="G41" s="13">
        <x:f>IFERROR(COUNTIF(INDEX('Business Cards'!$A:$Z, 0, MATCH("Delivery", 'Business Cards'!$1:$1, 0)), "yes") &amp; " out of " &amp; B41, "—")</x:f>
      </x:c>
    </x:row>
    <x:row r="42" spans="1:7" s="1" customFormat="1">
      <x:c r="A42" s="14">
        <x:f>HYPERLINK("#'Laundry room'!A1", "Laundry room")</x:f>
      </x:c>
      <x:c r="B42" s="15">
        <x:f>COUNTA('Laundry room'!A:A)-1</x:f>
      </x:c>
      <x:c r="C42" s="15">
        <x:f>IFERROR(COUNTIF(INDEX('Laundry room'!$A:$Z, 0, MATCH("Physical Store", 'Laundry room'!$1:$1, 0)), "yes") &amp; " out of " &amp; B42, "—")</x:f>
      </x:c>
      <x:c r="D42" s="15">
        <x:f>IFERROR(COUNTIF(INDEX('Laundry room'!$A:$Z, 0, MATCH("Installation", 'Laundry room'!$1:$1, 0)), "yes") &amp; " out of " &amp; B42, "—")</x:f>
      </x:c>
      <x:c r="E42" s="15">
        <x:f>IFERROR(COUNTIF(INDEX('Laundry room'!$A:$Z, 0, MATCH("Import", 'Laundry room'!$1:$1, 0)), "yes") &amp; " out of " &amp; B42, "—")</x:f>
      </x:c>
      <x:c r="F42" s="15">
        <x:f>IFERROR(COUNTIF(INDEX('Laundry room'!$A:$Z, 0, MATCH("Local Supply", 'Laundry room'!$1:$1, 0)), "yes") &amp; " out of " &amp; B42, "—")</x:f>
      </x:c>
      <x:c r="G42" s="15">
        <x:f>IFERROR(COUNTIF(INDEX('Laundry room'!$A:$Z, 0, MATCH("Delivery", 'Laundry room'!$1:$1, 0)), "yes") &amp; " out of " &amp; B42, "—")</x:f>
      </x:c>
    </x:row>
    <x:row r="43" spans="1:7" s="4" customFormat="1">
      <x:c r="A43" s="16">
        <x:f>HYPERLINK("#'Window Films'!A1", "Window Films")</x:f>
      </x:c>
      <x:c r="B43" s="17">
        <x:f>COUNTA('Window Films'!A:A)-1</x:f>
      </x:c>
      <x:c r="C43" s="17">
        <x:f>IFERROR(COUNTIF(INDEX('Window Films'!$A:$Z, 0, MATCH("Physical Store", 'Window Films'!$1:$1, 0)), "yes") &amp; " out of " &amp; B43, "—")</x:f>
      </x:c>
      <x:c r="D43" s="17">
        <x:f>IFERROR(COUNTIF(INDEX('Window Films'!$A:$Z, 0, MATCH("Installation", 'Window Films'!$1:$1, 0)), "yes") &amp; " out of " &amp; B43, "—")</x:f>
      </x:c>
      <x:c r="E43" s="17">
        <x:f>IFERROR(COUNTIF(INDEX('Window Films'!$A:$Z, 0, MATCH("Import", 'Window Films'!$1:$1, 0)), "yes") &amp; " out of " &amp; B43, "—")</x:f>
      </x:c>
      <x:c r="F43" s="17">
        <x:f>IFERROR(COUNTIF(INDEX('Window Films'!$A:$Z, 0, MATCH("Local Supply", 'Window Films'!$1:$1, 0)), "yes") &amp; " out of " &amp; B43, "—")</x:f>
      </x:c>
      <x:c r="G43" s="17">
        <x:f>IFERROR(COUNTIF(INDEX('Window Films'!$A:$Z, 0, MATCH("Delivery", 'Window Films'!$1:$1, 0)), "yes") &amp; " out of " &amp; B43, "—")</x:f>
      </x:c>
    </x:row>
    <x:row r="44" spans="1:7" s="3" customFormat="1">
      <x:c r="A44" s="12">
        <x:f>HYPERLINK("#'Blinds'!A1", "Blinds")</x:f>
      </x:c>
      <x:c r="B44" s="13">
        <x:f>COUNTA('Blinds'!A:A)-1</x:f>
      </x:c>
      <x:c r="C44" s="13">
        <x:f>IFERROR(COUNTIF(INDEX('Blinds'!$A:$Z, 0, MATCH("Physical Store", 'Blinds'!$1:$1, 0)), "yes") &amp; " out of " &amp; B44, "—")</x:f>
      </x:c>
      <x:c r="D44" s="13">
        <x:f>IFERROR(COUNTIF(INDEX('Blinds'!$A:$Z, 0, MATCH("Installation", 'Blinds'!$1:$1, 0)), "yes") &amp; " out of " &amp; B44, "—")</x:f>
      </x:c>
      <x:c r="E44" s="13">
        <x:f>IFERROR(COUNTIF(INDEX('Blinds'!$A:$Z, 0, MATCH("Import", 'Blinds'!$1:$1, 0)), "yes") &amp; " out of " &amp; B44, "—")</x:f>
      </x:c>
      <x:c r="F44" s="13">
        <x:f>IFERROR(COUNTIF(INDEX('Blinds'!$A:$Z, 0, MATCH("Local Supply", 'Blinds'!$1:$1, 0)), "yes") &amp; " out of " &amp; B44, "—")</x:f>
      </x:c>
      <x:c r="G44" s="13">
        <x:f>IFERROR(COUNTIF(INDEX('Blinds'!$A:$Z, 0, MATCH("Delivery", 'Blinds'!$1:$1, 0)), "yes") &amp; " out of " &amp; B44, "—")</x:f>
      </x:c>
    </x:row>
    <x:row r="45" spans="1:7" s="1" customFormat="1">
      <x:c r="A45" s="14">
        <x:f>HYPERLINK("#'Systems '!A1", "Systems ")</x:f>
      </x:c>
      <x:c r="B45" s="15">
        <x:f>COUNTA('Systems '!A:A)-1</x:f>
      </x:c>
      <x:c r="C45" s="15">
        <x:f>IFERROR(COUNTIF(INDEX('Systems '!$A:$Z, 0, MATCH("Physical Store", 'Systems '!$1:$1, 0)), "yes") &amp; " out of " &amp; B45, "—")</x:f>
      </x:c>
      <x:c r="D45" s="15">
        <x:f>IFERROR(COUNTIF(INDEX('Systems '!$A:$Z, 0, MATCH("Installation", 'Systems '!$1:$1, 0)), "yes") &amp; " out of " &amp; B45, "—")</x:f>
      </x:c>
      <x:c r="E45" s="15">
        <x:f>IFERROR(COUNTIF(INDEX('Systems '!$A:$Z, 0, MATCH("Import", 'Systems '!$1:$1, 0)), "yes") &amp; " out of " &amp; B45, "—")</x:f>
      </x:c>
      <x:c r="F45" s="15">
        <x:f>IFERROR(COUNTIF(INDEX('Systems '!$A:$Z, 0, MATCH("Local Supply", 'Systems '!$1:$1, 0)), "yes") &amp; " out of " &amp; B45, "—")</x:f>
      </x:c>
      <x:c r="G45" s="15">
        <x:f>IFERROR(COUNTIF(INDEX('Systems '!$A:$Z, 0, MATCH("Delivery", 'Systems '!$1:$1, 0)), "yes") &amp; " out of " &amp; B45, "—")</x:f>
      </x:c>
    </x:row>
    <x:row r="46" spans="1:7" s="4" customFormat="1">
      <x:c r="A46" s="16">
        <x:f>HYPERLINK("#'Water tank'!A1", "Water tank")</x:f>
      </x:c>
      <x:c r="B46" s="17">
        <x:f>COUNTA('Water tank'!A:A)-1</x:f>
      </x:c>
      <x:c r="C46" s="17">
        <x:f>IFERROR(COUNTIF(INDEX('Water tank'!$A:$Z, 0, MATCH("Physical Store", 'Water tank'!$1:$1, 0)), "yes") &amp; " out of " &amp; B46, "—")</x:f>
      </x:c>
      <x:c r="D46" s="17">
        <x:f>IFERROR(COUNTIF(INDEX('Water tank'!$A:$Z, 0, MATCH("Installation", 'Water tank'!$1:$1, 0)), "yes") &amp; " out of " &amp; B46, "—")</x:f>
      </x:c>
      <x:c r="E46" s="17">
        <x:f>IFERROR(COUNTIF(INDEX('Water tank'!$A:$Z, 0, MATCH("Import", 'Water tank'!$1:$1, 0)), "yes") &amp; " out of " &amp; B46, "—")</x:f>
      </x:c>
      <x:c r="F46" s="17">
        <x:f>IFERROR(COUNTIF(INDEX('Water tank'!$A:$Z, 0, MATCH("Local Supply", 'Water tank'!$1:$1, 0)), "yes") &amp; " out of " &amp; B46, "—")</x:f>
      </x:c>
      <x:c r="G46" s="17">
        <x:f>IFERROR(COUNTIF(INDEX('Water tank'!$A:$Z, 0, MATCH("Delivery", 'Water tank'!$1:$1, 0)), "yes") &amp; " out of " &amp; B46, "—")</x:f>
      </x:c>
    </x:row>
    <x:row r="47" spans="1:7" s="3" customFormat="1">
      <x:c r="A47" s="12">
        <x:f>HYPERLINK("#'STO'!A1", "STO")</x:f>
      </x:c>
      <x:c r="B47" s="13">
        <x:f>COUNTA('STO'!A:A)-1</x:f>
      </x:c>
      <x:c r="C47" s="13">
        <x:f>IFERROR(COUNTIF(INDEX('STO'!$A:$Z, 0, MATCH("Physical Store", 'STO'!$1:$1, 0)), "yes") &amp; " out of " &amp; B47, "—")</x:f>
      </x:c>
      <x:c r="D47" s="13">
        <x:f>IFERROR(COUNTIF(INDEX('STO'!$A:$Z, 0, MATCH("Installation", 'STO'!$1:$1, 0)), "yes") &amp; " out of " &amp; B47, "—")</x:f>
      </x:c>
      <x:c r="E47" s="13">
        <x:f>IFERROR(COUNTIF(INDEX('STO'!$A:$Z, 0, MATCH("Import", 'STO'!$1:$1, 0)), "yes") &amp; " out of " &amp; B47, "—")</x:f>
      </x:c>
      <x:c r="F47" s="13">
        <x:f>IFERROR(COUNTIF(INDEX('STO'!$A:$Z, 0, MATCH("Local Supply", 'STO'!$1:$1, 0)), "yes") &amp; " out of " &amp; B47, "—")</x:f>
      </x:c>
      <x:c r="G47" s="13">
        <x:f>IFERROR(COUNTIF(INDEX('STO'!$A:$Z, 0, MATCH("Delivery", 'STO'!$1:$1, 0)), "yes") &amp; " out of " &amp; B47, "—")</x:f>
      </x:c>
    </x:row>
    <x:row r="48" spans="1:7" s="1" customFormat="1">
      <x:c r="A48" s="14">
        <x:f>HYPERLINK("#'MEP Services'!A1", "MEP Services")</x:f>
      </x:c>
      <x:c r="B48" s="15">
        <x:f>COUNTA('MEP Services'!A:A)-1</x:f>
      </x:c>
      <x:c r="C48" s="15">
        <x:f>IFERROR(COUNTIF(INDEX('MEP Services'!$A:$Z, 0, MATCH("Physical Store", 'MEP Services'!$1:$1, 0)), "yes") &amp; " out of " &amp; B48, "—")</x:f>
      </x:c>
      <x:c r="D48" s="15">
        <x:f>IFERROR(COUNTIF(INDEX('MEP Services'!$A:$Z, 0, MATCH("Installation", 'MEP Services'!$1:$1, 0)), "yes") &amp; " out of " &amp; B48, "—")</x:f>
      </x:c>
      <x:c r="E48" s="15">
        <x:f>IFERROR(COUNTIF(INDEX('MEP Services'!$A:$Z, 0, MATCH("Import", 'MEP Services'!$1:$1, 0)), "yes") &amp; " out of " &amp; B48, "—")</x:f>
      </x:c>
      <x:c r="F48" s="15">
        <x:f>IFERROR(COUNTIF(INDEX('MEP Services'!$A:$Z, 0, MATCH("Local Supply", 'MEP Services'!$1:$1, 0)), "yes") &amp; " out of " &amp; B48, "—")</x:f>
      </x:c>
      <x:c r="G48" s="15">
        <x:f>IFERROR(COUNTIF(INDEX('MEP Services'!$A:$Z, 0, MATCH("Delivery", 'MEP Services'!$1:$1, 0)), "yes") &amp; " out of " &amp; B48, "—")</x:f>
      </x:c>
    </x:row>
    <x:row r="49" spans="1:7" s="4" customFormat="1">
      <x:c r="A49" s="16">
        <x:f>HYPERLINK("#'Lifts'!A1", "Lifts")</x:f>
      </x:c>
      <x:c r="B49" s="17">
        <x:f>COUNTA('Lifts'!A:A)-1</x:f>
      </x:c>
      <x:c r="C49" s="17">
        <x:f>IFERROR(COUNTIF(INDEX('Lifts'!$A:$Z, 0, MATCH("Physical Store", 'Lifts'!$1:$1, 0)), "yes") &amp; " out of " &amp; B49, "—")</x:f>
      </x:c>
      <x:c r="D49" s="17">
        <x:f>IFERROR(COUNTIF(INDEX('Lifts'!$A:$Z, 0, MATCH("Installation", 'Lifts'!$1:$1, 0)), "yes") &amp; " out of " &amp; B49, "—")</x:f>
      </x:c>
      <x:c r="E49" s="17">
        <x:f>IFERROR(COUNTIF(INDEX('Lifts'!$A:$Z, 0, MATCH("Import", 'Lifts'!$1:$1, 0)), "yes") &amp; " out of " &amp; B49, "—")</x:f>
      </x:c>
      <x:c r="F49" s="17">
        <x:f>IFERROR(COUNTIF(INDEX('Lifts'!$A:$Z, 0, MATCH("Local Supply", 'Lifts'!$1:$1, 0)), "yes") &amp; " out of " &amp; B49, "—")</x:f>
      </x:c>
      <x:c r="G49" s="17">
        <x:f>IFERROR(COUNTIF(INDEX('Lifts'!$A:$Z, 0, MATCH("Delivery", 'Lifts'!$1:$1, 0)), "yes") &amp; " out of " &amp; B49, "—")</x:f>
      </x:c>
    </x:row>
    <x:row r="50" spans="1:7" s="3" customFormat="1">
      <x:c r="A50" s="12">
        <x:f>HYPERLINK("#'Flooring'!A1", "Flooring")</x:f>
      </x:c>
      <x:c r="B50" s="13">
        <x:f>COUNTA('Flooring'!A:A)-1</x:f>
      </x:c>
      <x:c r="C50" s="13">
        <x:f>IFERROR(COUNTIF(INDEX('Flooring'!$A:$Z, 0, MATCH("Physical Store", 'Flooring'!$1:$1, 0)), "yes") &amp; " out of " &amp; B50, "—")</x:f>
      </x:c>
      <x:c r="D50" s="13">
        <x:f>IFERROR(COUNTIF(INDEX('Flooring'!$A:$Z, 0, MATCH("Installation", 'Flooring'!$1:$1, 0)), "yes") &amp; " out of " &amp; B50, "—")</x:f>
      </x:c>
      <x:c r="E50" s="13">
        <x:f>IFERROR(COUNTIF(INDEX('Flooring'!$A:$Z, 0, MATCH("Import", 'Flooring'!$1:$1, 0)), "yes") &amp; " out of " &amp; B50, "—")</x:f>
      </x:c>
      <x:c r="F50" s="13">
        <x:f>IFERROR(COUNTIF(INDEX('Flooring'!$A:$Z, 0, MATCH("Local Supply", 'Flooring'!$1:$1, 0)), "yes") &amp; " out of " &amp; B50, "—")</x:f>
      </x:c>
      <x:c r="G50" s="13">
        <x:f>IFERROR(COUNTIF(INDEX('Flooring'!$A:$Z, 0, MATCH("Delivery", 'Flooring'!$1:$1, 0)), "yes") &amp; " out of " &amp; B50, "—")</x:f>
      </x:c>
    </x:row>
    <x:row r="51" spans="1:7" s="1" customFormat="1">
      <x:c r="A51" s="14">
        <x:f>HYPERLINK("#'Tilers'!A1", "Tilers")</x:f>
      </x:c>
      <x:c r="B51" s="15">
        <x:f>COUNTA('Tilers'!A:A)-1</x:f>
      </x:c>
      <x:c r="C51" s="15">
        <x:f>IFERROR(COUNTIF(INDEX('Tilers'!$A:$Z, 0, MATCH("Physical Store", 'Tilers'!$1:$1, 0)), "yes") &amp; " out of " &amp; B51, "—")</x:f>
      </x:c>
      <x:c r="D51" s="15">
        <x:f>IFERROR(COUNTIF(INDEX('Tilers'!$A:$Z, 0, MATCH("Installation", 'Tilers'!$1:$1, 0)), "yes") &amp; " out of " &amp; B51, "—")</x:f>
      </x:c>
      <x:c r="E51" s="15">
        <x:f>IFERROR(COUNTIF(INDEX('Tilers'!$A:$Z, 0, MATCH("Import", 'Tilers'!$1:$1, 0)), "yes") &amp; " out of " &amp; B51, "—")</x:f>
      </x:c>
      <x:c r="F51" s="15">
        <x:f>IFERROR(COUNTIF(INDEX('Tilers'!$A:$Z, 0, MATCH("Local Supply", 'Tilers'!$1:$1, 0)), "yes") &amp; " out of " &amp; B51, "—")</x:f>
      </x:c>
      <x:c r="G51" s="15">
        <x:f>IFERROR(COUNTIF(INDEX('Tilers'!$A:$Z, 0, MATCH("Delivery", 'Tilers'!$1:$1, 0)), "yes") &amp; " out of " &amp; B51, "—")</x:f>
      </x:c>
    </x:row>
    <x:row r="52" spans="1:7" s="4" customFormat="1">
      <x:c r="A52" s="16">
        <x:f>HYPERLINK("#'Tiles'!A1", "Tiles")</x:f>
      </x:c>
      <x:c r="B52" s="17">
        <x:f>COUNTA('Tiles'!A:A)-1</x:f>
      </x:c>
      <x:c r="C52" s="17">
        <x:f>IFERROR(COUNTIF(INDEX('Tiles'!$A:$Z, 0, MATCH("Physical Store", 'Tiles'!$1:$1, 0)), "yes") &amp; " out of " &amp; B52, "—")</x:f>
      </x:c>
      <x:c r="D52" s="17">
        <x:f>IFERROR(COUNTIF(INDEX('Tiles'!$A:$Z, 0, MATCH("Installation", 'Tiles'!$1:$1, 0)), "yes") &amp; " out of " &amp; B52, "—")</x:f>
      </x:c>
      <x:c r="E52" s="17">
        <x:f>IFERROR(COUNTIF(INDEX('Tiles'!$A:$Z, 0, MATCH("Import", 'Tiles'!$1:$1, 0)), "yes") &amp; " out of " &amp; B52, "—")</x:f>
      </x:c>
      <x:c r="F52" s="17">
        <x:f>IFERROR(COUNTIF(INDEX('Tiles'!$A:$Z, 0, MATCH("Local Supply", 'Tiles'!$1:$1, 0)), "yes") &amp; " out of " &amp; B52, "—")</x:f>
      </x:c>
      <x:c r="G52" s="17">
        <x:f>IFERROR(COUNTIF(INDEX('Tiles'!$A:$Z, 0, MATCH("Delivery", 'Tiles'!$1:$1, 0)), "yes") &amp; " out of " &amp; B52, "—")</x:f>
      </x:c>
    </x:row>
    <x:row r="53" spans="1:7" s="3" customFormat="1">
      <x:c r="A53" s="12">
        <x:f>HYPERLINK("#'Seamless flooring '!A1", "Seamless flooring ")</x:f>
      </x:c>
      <x:c r="B53" s="13">
        <x:f>COUNTA('Seamless flooring '!A:A)-1</x:f>
      </x:c>
      <x:c r="C53" s="13">
        <x:f>IFERROR(COUNTIF(INDEX('Seamless flooring '!$A:$Z, 0, MATCH("Physical Store", 'Seamless flooring '!$1:$1, 0)), "yes") &amp; " out of " &amp; B53, "—")</x:f>
      </x:c>
      <x:c r="D53" s="13">
        <x:f>IFERROR(COUNTIF(INDEX('Seamless flooring '!$A:$Z, 0, MATCH("Installation", 'Seamless flooring '!$1:$1, 0)), "yes") &amp; " out of " &amp; B53, "—")</x:f>
      </x:c>
      <x:c r="E53" s="13">
        <x:f>IFERROR(COUNTIF(INDEX('Seamless flooring '!$A:$Z, 0, MATCH("Import", 'Seamless flooring '!$1:$1, 0)), "yes") &amp; " out of " &amp; B53, "—")</x:f>
      </x:c>
      <x:c r="F53" s="13">
        <x:f>IFERROR(COUNTIF(INDEX('Seamless flooring '!$A:$Z, 0, MATCH("Local Supply", 'Seamless flooring '!$1:$1, 0)), "yes") &amp; " out of " &amp; B53, "—")</x:f>
      </x:c>
      <x:c r="G53" s="13">
        <x:f>IFERROR(COUNTIF(INDEX('Seamless flooring '!$A:$Z, 0, MATCH("Delivery", 'Seamless flooring '!$1:$1, 0)), "yes") &amp; " out of " &amp; B53, "—")</x:f>
      </x:c>
    </x:row>
    <x:row r="54" spans="1:7" s="1" customFormat="1">
      <x:c r="A54" s="14">
        <x:f>HYPERLINK("#'Resin Flooring'!A1", "Resin Flooring")</x:f>
      </x:c>
      <x:c r="B54" s="15">
        <x:f>COUNTA('Resin Flooring'!A:A)-1</x:f>
      </x:c>
      <x:c r="C54" s="15">
        <x:f>IFERROR(COUNTIF(INDEX('Resin Flooring'!$A:$Z, 0, MATCH("Physical Store", 'Resin Flooring'!$1:$1, 0)), "yes") &amp; " out of " &amp; B54, "—")</x:f>
      </x:c>
      <x:c r="D54" s="15">
        <x:f>IFERROR(COUNTIF(INDEX('Resin Flooring'!$A:$Z, 0, MATCH("Installation", 'Resin Flooring'!$1:$1, 0)), "yes") &amp; " out of " &amp; B54, "—")</x:f>
      </x:c>
      <x:c r="E54" s="15">
        <x:f>IFERROR(COUNTIF(INDEX('Resin Flooring'!$A:$Z, 0, MATCH("Import", 'Resin Flooring'!$1:$1, 0)), "yes") &amp; " out of " &amp; B54, "—")</x:f>
      </x:c>
      <x:c r="F54" s="15">
        <x:f>IFERROR(COUNTIF(INDEX('Resin Flooring'!$A:$Z, 0, MATCH("Local Supply", 'Resin Flooring'!$1:$1, 0)), "yes") &amp; " out of " &amp; B54, "—")</x:f>
      </x:c>
      <x:c r="G54" s="15">
        <x:f>IFERROR(COUNTIF(INDEX('Resin Flooring'!$A:$Z, 0, MATCH("Delivery", 'Resin Flooring'!$1:$1, 0)), "yes") &amp; " out of " &amp; B54, "—")</x:f>
      </x:c>
    </x:row>
    <x:row r="55" spans="1:7" s="4" customFormat="1">
      <x:c r="A55" s="16">
        <x:f>HYPERLINK("#'Epoxy Flooring'!A1", "Epoxy Flooring")</x:f>
      </x:c>
      <x:c r="B55" s="17">
        <x:f>COUNTA('Epoxy Flooring'!A:A)-1</x:f>
      </x:c>
      <x:c r="C55" s="17">
        <x:f>IFERROR(COUNTIF(INDEX('Epoxy Flooring'!$A:$Z, 0, MATCH("Physical Store", 'Epoxy Flooring'!$1:$1, 0)), "yes") &amp; " out of " &amp; B55, "—")</x:f>
      </x:c>
      <x:c r="D55" s="17">
        <x:f>IFERROR(COUNTIF(INDEX('Epoxy Flooring'!$A:$Z, 0, MATCH("Installation", 'Epoxy Flooring'!$1:$1, 0)), "yes") &amp; " out of " &amp; B55, "—")</x:f>
      </x:c>
      <x:c r="E55" s="17">
        <x:f>IFERROR(COUNTIF(INDEX('Epoxy Flooring'!$A:$Z, 0, MATCH("Import", 'Epoxy Flooring'!$1:$1, 0)), "yes") &amp; " out of " &amp; B55, "—")</x:f>
      </x:c>
      <x:c r="F55" s="17">
        <x:f>IFERROR(COUNTIF(INDEX('Epoxy Flooring'!$A:$Z, 0, MATCH("Local Supply", 'Epoxy Flooring'!$1:$1, 0)), "yes") &amp; " out of " &amp; B55, "—")</x:f>
      </x:c>
      <x:c r="G55" s="17">
        <x:f>IFERROR(COUNTIF(INDEX('Epoxy Flooring'!$A:$Z, 0, MATCH("Delivery", 'Epoxy Flooring'!$1:$1, 0)), "yes") &amp; " out of " &amp; B55, "—")</x:f>
      </x:c>
    </x:row>
    <x:row r="56" spans="1:7" s="3" customFormat="1">
      <x:c r="A56" s="12">
        <x:f>HYPERLINK("#'Vinyl Flooring'!A1", "Vinyl Flooring")</x:f>
      </x:c>
      <x:c r="B56" s="13">
        <x:f>COUNTA('Vinyl Flooring'!A:A)-1</x:f>
      </x:c>
      <x:c r="C56" s="13">
        <x:f>IFERROR(COUNTIF(INDEX('Vinyl Flooring'!$A:$Z, 0, MATCH("Physical Store", 'Vinyl Flooring'!$1:$1, 0)), "yes") &amp; " out of " &amp; B56, "—")</x:f>
      </x:c>
      <x:c r="D56" s="13">
        <x:f>IFERROR(COUNTIF(INDEX('Vinyl Flooring'!$A:$Z, 0, MATCH("Installation", 'Vinyl Flooring'!$1:$1, 0)), "yes") &amp; " out of " &amp; B56, "—")</x:f>
      </x:c>
      <x:c r="E56" s="13">
        <x:f>IFERROR(COUNTIF(INDEX('Vinyl Flooring'!$A:$Z, 0, MATCH("Import", 'Vinyl Flooring'!$1:$1, 0)), "yes") &amp; " out of " &amp; B56, "—")</x:f>
      </x:c>
      <x:c r="F56" s="13">
        <x:f>IFERROR(COUNTIF(INDEX('Vinyl Flooring'!$A:$Z, 0, MATCH("Local Supply", 'Vinyl Flooring'!$1:$1, 0)), "yes") &amp; " out of " &amp; B56, "—")</x:f>
      </x:c>
      <x:c r="G56" s="13">
        <x:f>IFERROR(COUNTIF(INDEX('Vinyl Flooring'!$A:$Z, 0, MATCH("Delivery", 'Vinyl Flooring'!$1:$1, 0)), "yes") &amp; " out of " &amp; B56, "—")</x:f>
      </x:c>
    </x:row>
    <x:row r="57" spans="1:7" s="1" customFormat="1">
      <x:c r="A57" s="14">
        <x:f>HYPERLINK("#'Underfloor Heating'!A1", "Underfloor Heating")</x:f>
      </x:c>
      <x:c r="B57" s="15">
        <x:f>COUNTA('Underfloor Heating'!A:A)-1</x:f>
      </x:c>
      <x:c r="C57" s="15">
        <x:f>IFERROR(COUNTIF(INDEX('Underfloor Heating'!$A:$Z, 0, MATCH("Physical Store", 'Underfloor Heating'!$1:$1, 0)), "yes") &amp; " out of " &amp; B57, "—")</x:f>
      </x:c>
      <x:c r="D57" s="15">
        <x:f>IFERROR(COUNTIF(INDEX('Underfloor Heating'!$A:$Z, 0, MATCH("Installation", 'Underfloor Heating'!$1:$1, 0)), "yes") &amp; " out of " &amp; B57, "—")</x:f>
      </x:c>
      <x:c r="E57" s="15">
        <x:f>IFERROR(COUNTIF(INDEX('Underfloor Heating'!$A:$Z, 0, MATCH("Import", 'Underfloor Heating'!$1:$1, 0)), "yes") &amp; " out of " &amp; B57, "—")</x:f>
      </x:c>
      <x:c r="F57" s="15">
        <x:f>IFERROR(COUNTIF(INDEX('Underfloor Heating'!$A:$Z, 0, MATCH("Local Supply", 'Underfloor Heating'!$1:$1, 0)), "yes") &amp; " out of " &amp; B57, "—")</x:f>
      </x:c>
      <x:c r="G57" s="15">
        <x:f>IFERROR(COUNTIF(INDEX('Underfloor Heating'!$A:$Z, 0, MATCH("Delivery", 'Underfloor Heating'!$1:$1, 0)), "yes") &amp; " out of " &amp; B57, "—")</x:f>
      </x:c>
    </x:row>
    <x:row r="58" spans="1:7" s="4" customFormat="1">
      <x:c r="A58" s="16">
        <x:f>HYPERLINK("#'Floor Levelling'!A1", "Floor Levelling")</x:f>
      </x:c>
      <x:c r="B58" s="17">
        <x:f>COUNTA('Floor Levelling'!A:A)-1</x:f>
      </x:c>
      <x:c r="C58" s="17">
        <x:f>IFERROR(COUNTIF(INDEX('Floor Levelling'!$A:$Z, 0, MATCH("Physical Store", 'Floor Levelling'!$1:$1, 0)), "yes") &amp; " out of " &amp; B58, "—")</x:f>
      </x:c>
      <x:c r="D58" s="17">
        <x:f>IFERROR(COUNTIF(INDEX('Floor Levelling'!$A:$Z, 0, MATCH("Installation", 'Floor Levelling'!$1:$1, 0)), "yes") &amp; " out of " &amp; B58, "—")</x:f>
      </x:c>
      <x:c r="E58" s="17">
        <x:f>IFERROR(COUNTIF(INDEX('Floor Levelling'!$A:$Z, 0, MATCH("Import", 'Floor Levelling'!$1:$1, 0)), "yes") &amp; " out of " &amp; B58, "—")</x:f>
      </x:c>
      <x:c r="F58" s="17">
        <x:f>IFERROR(COUNTIF(INDEX('Floor Levelling'!$A:$Z, 0, MATCH("Local Supply", 'Floor Levelling'!$1:$1, 0)), "yes") &amp; " out of " &amp; B58, "—")</x:f>
      </x:c>
      <x:c r="G58" s="17">
        <x:f>IFERROR(COUNTIF(INDEX('Floor Levelling'!$A:$Z, 0, MATCH("Delivery", 'Floor Levelling'!$1:$1, 0)), "yes") &amp; " out of " &amp; B58, "—")</x:f>
      </x:c>
    </x:row>
    <x:row r="59" spans="1:7" s="3" customFormat="1">
      <x:c r="A59" s="12">
        <x:f>HYPERLINK("#'Garage doors'!A1", "Garage doors")</x:f>
      </x:c>
      <x:c r="B59" s="13">
        <x:f>COUNTA('Garage doors'!A:A)-1</x:f>
      </x:c>
      <x:c r="C59" s="13">
        <x:f>IFERROR(COUNTIF(INDEX('Garage doors'!$A:$Z, 0, MATCH("Physical Store", 'Garage doors'!$1:$1, 0)), "yes") &amp; " out of " &amp; B59, "—")</x:f>
      </x:c>
      <x:c r="D59" s="13">
        <x:f>IFERROR(COUNTIF(INDEX('Garage doors'!$A:$Z, 0, MATCH("Installation", 'Garage doors'!$1:$1, 0)), "yes") &amp; " out of " &amp; B59, "—")</x:f>
      </x:c>
      <x:c r="E59" s="13">
        <x:f>IFERROR(COUNTIF(INDEX('Garage doors'!$A:$Z, 0, MATCH("Import", 'Garage doors'!$1:$1, 0)), "yes") &amp; " out of " &amp; B59, "—")</x:f>
      </x:c>
      <x:c r="F59" s="13">
        <x:f>IFERROR(COUNTIF(INDEX('Garage doors'!$A:$Z, 0, MATCH("Local Supply", 'Garage doors'!$1:$1, 0)), "yes") &amp; " out of " &amp; B59, "—")</x:f>
      </x:c>
      <x:c r="G59" s="13">
        <x:f>IFERROR(COUNTIF(INDEX('Garage doors'!$A:$Z, 0, MATCH("Delivery", 'Garage doors'!$1:$1, 0)), "yes") &amp; " out of " &amp; B59, "—")</x:f>
      </x:c>
    </x:row>
    <x:row r="60" spans="1:7" s="1" customFormat="1">
      <x:c r="A60" s="14">
        <x:f>HYPERLINK("#'BBQ'!A1", "BBQ")</x:f>
      </x:c>
      <x:c r="B60" s="15">
        <x:f>COUNTA('BBQ'!A:A)-1</x:f>
      </x:c>
      <x:c r="C60" s="15">
        <x:f>IFERROR(COUNTIF(INDEX('BBQ'!$A:$Z, 0, MATCH("Physical Store", 'BBQ'!$1:$1, 0)), "yes") &amp; " out of " &amp; B60, "—")</x:f>
      </x:c>
      <x:c r="D60" s="15">
        <x:f>IFERROR(COUNTIF(INDEX('BBQ'!$A:$Z, 0, MATCH("Installation", 'BBQ'!$1:$1, 0)), "yes") &amp; " out of " &amp; B60, "—")</x:f>
      </x:c>
      <x:c r="E60" s="15">
        <x:f>IFERROR(COUNTIF(INDEX('BBQ'!$A:$Z, 0, MATCH("Import", 'BBQ'!$1:$1, 0)), "yes") &amp; " out of " &amp; B60, "—")</x:f>
      </x:c>
      <x:c r="F60" s="15">
        <x:f>IFERROR(COUNTIF(INDEX('BBQ'!$A:$Z, 0, MATCH("Local Supply", 'BBQ'!$1:$1, 0)), "yes") &amp; " out of " &amp; B60, "—")</x:f>
      </x:c>
      <x:c r="G60" s="15">
        <x:f>IFERROR(COUNTIF(INDEX('BBQ'!$A:$Z, 0, MATCH("Delivery", 'BBQ'!$1:$1, 0)), "yes") &amp; " out of " &amp; B60, "—")</x:f>
      </x:c>
    </x:row>
    <x:row r="61" spans="1:7" s="4" customFormat="1">
      <x:c r="A61" s="16">
        <x:f>HYPERLINK("#'Alum Apertures'!A1", "Alum Apertures")</x:f>
      </x:c>
      <x:c r="B61" s="17">
        <x:f>COUNTA('Alum Apertures'!A:A)-1</x:f>
      </x:c>
      <x:c r="C61" s="17">
        <x:f>IFERROR(COUNTIF(INDEX('Alum Apertures'!$A:$Z, 0, MATCH("Physical Store", 'Alum Apertures'!$1:$1, 0)), "yes") &amp; " out of " &amp; B61, "—")</x:f>
      </x:c>
      <x:c r="D61" s="17">
        <x:f>IFERROR(COUNTIF(INDEX('Alum Apertures'!$A:$Z, 0, MATCH("Installation", 'Alum Apertures'!$1:$1, 0)), "yes") &amp; " out of " &amp; B61, "—")</x:f>
      </x:c>
      <x:c r="E61" s="17">
        <x:f>IFERROR(COUNTIF(INDEX('Alum Apertures'!$A:$Z, 0, MATCH("Import", 'Alum Apertures'!$1:$1, 0)), "yes") &amp; " out of " &amp; B61, "—")</x:f>
      </x:c>
      <x:c r="F61" s="17">
        <x:f>IFERROR(COUNTIF(INDEX('Alum Apertures'!$A:$Z, 0, MATCH("Local Supply", 'Alum Apertures'!$1:$1, 0)), "yes") &amp; " out of " &amp; B61, "—")</x:f>
      </x:c>
      <x:c r="G61" s="17">
        <x:f>IFERROR(COUNTIF(INDEX('Alum Apertures'!$A:$Z, 0, MATCH("Delivery", 'Alum Apertures'!$1:$1, 0)), "yes") &amp; " out of " &amp; B61, "—")</x:f>
      </x:c>
    </x:row>
    <x:row r="62" spans="1:7" s="3" customFormat="1">
      <x:c r="A62" s="12">
        <x:f>HYPERLINK("#'Aluminum'!A1", "Aluminum")</x:f>
      </x:c>
      <x:c r="B62" s="13">
        <x:f>COUNTA('Aluminum'!A:A)-1</x:f>
      </x:c>
      <x:c r="C62" s="13">
        <x:f>IFERROR(COUNTIF(INDEX('Aluminum'!$A:$Z, 0, MATCH("Physical Store", 'Aluminum'!$1:$1, 0)), "yes") &amp; " out of " &amp; B62, "—")</x:f>
      </x:c>
      <x:c r="D62" s="13">
        <x:f>IFERROR(COUNTIF(INDEX('Aluminum'!$A:$Z, 0, MATCH("Installation", 'Aluminum'!$1:$1, 0)), "yes") &amp; " out of " &amp; B62, "—")</x:f>
      </x:c>
      <x:c r="E62" s="13">
        <x:f>IFERROR(COUNTIF(INDEX('Aluminum'!$A:$Z, 0, MATCH("Import", 'Aluminum'!$1:$1, 0)), "yes") &amp; " out of " &amp; B62, "—")</x:f>
      </x:c>
      <x:c r="F62" s="13">
        <x:f>IFERROR(COUNTIF(INDEX('Aluminum'!$A:$Z, 0, MATCH("Local Supply", 'Aluminum'!$1:$1, 0)), "yes") &amp; " out of " &amp; B62, "—")</x:f>
      </x:c>
      <x:c r="G62" s="13">
        <x:f>IFERROR(COUNTIF(INDEX('Aluminum'!$A:$Z, 0, MATCH("Delivery", 'Aluminum'!$1:$1, 0)), "yes") &amp; " out of " &amp; B62, "—")</x:f>
      </x:c>
    </x:row>
    <x:row r="63" spans="1:7" s="1" customFormat="1">
      <x:c r="A63" s="14">
        <x:f>HYPERLINK("#'Skylight'!A1", "Skylight")</x:f>
      </x:c>
      <x:c r="B63" s="15">
        <x:f>COUNTA('Skylight'!A:A)-1</x:f>
      </x:c>
      <x:c r="C63" s="15">
        <x:f>IFERROR(COUNTIF(INDEX('Skylight'!$A:$Z, 0, MATCH("Physical Store", 'Skylight'!$1:$1, 0)), "yes") &amp; " out of " &amp; B63, "—")</x:f>
      </x:c>
      <x:c r="D63" s="15">
        <x:f>IFERROR(COUNTIF(INDEX('Skylight'!$A:$Z, 0, MATCH("Installation", 'Skylight'!$1:$1, 0)), "yes") &amp; " out of " &amp; B63, "—")</x:f>
      </x:c>
      <x:c r="E63" s="15">
        <x:f>IFERROR(COUNTIF(INDEX('Skylight'!$A:$Z, 0, MATCH("Import", 'Skylight'!$1:$1, 0)), "yes") &amp; " out of " &amp; B63, "—")</x:f>
      </x:c>
      <x:c r="F63" s="15">
        <x:f>IFERROR(COUNTIF(INDEX('Skylight'!$A:$Z, 0, MATCH("Local Supply", 'Skylight'!$1:$1, 0)), "yes") &amp; " out of " &amp; B63, "—")</x:f>
      </x:c>
      <x:c r="G63" s="15">
        <x:f>IFERROR(COUNTIF(INDEX('Skylight'!$A:$Z, 0, MATCH("Delivery", 'Skylight'!$1:$1, 0)), "yes") &amp; " out of " &amp; B63, "—")</x:f>
      </x:c>
    </x:row>
    <x:row r="64" spans="1:7" s="4" customFormat="1">
      <x:c r="A64" s="16">
        <x:f>HYPERLINK("#'Timber Apertures'!A1", "Timber Apertures")</x:f>
      </x:c>
      <x:c r="B64" s="17">
        <x:f>COUNTA('Timber Apertures'!A:A)-1</x:f>
      </x:c>
      <x:c r="C64" s="17">
        <x:f>IFERROR(COUNTIF(INDEX('Timber Apertures'!$A:$Z, 0, MATCH("Physical Store", 'Timber Apertures'!$1:$1, 0)), "yes") &amp; " out of " &amp; B64, "—")</x:f>
      </x:c>
      <x:c r="D64" s="17">
        <x:f>IFERROR(COUNTIF(INDEX('Timber Apertures'!$A:$Z, 0, MATCH("Installation", 'Timber Apertures'!$1:$1, 0)), "yes") &amp; " out of " &amp; B64, "—")</x:f>
      </x:c>
      <x:c r="E64" s="17">
        <x:f>IFERROR(COUNTIF(INDEX('Timber Apertures'!$A:$Z, 0, MATCH("Import", 'Timber Apertures'!$1:$1, 0)), "yes") &amp; " out of " &amp; B64, "—")</x:f>
      </x:c>
      <x:c r="F64" s="17">
        <x:f>IFERROR(COUNTIF(INDEX('Timber Apertures'!$A:$Z, 0, MATCH("Local Supply", 'Timber Apertures'!$1:$1, 0)), "yes") &amp; " out of " &amp; B64, "—")</x:f>
      </x:c>
      <x:c r="G64" s="17">
        <x:f>IFERROR(COUNTIF(INDEX('Timber Apertures'!$A:$Z, 0, MATCH("Delivery", 'Timber Apertures'!$1:$1, 0)), "yes") &amp; " out of " &amp; B64, "—")</x:f>
      </x:c>
    </x:row>
    <x:row r="65" spans="1:7" s="3" customFormat="1">
      <x:c r="A65" s="12">
        <x:f>HYPERLINK("#'PVC Appertures'!A1", "PVC Appertures")</x:f>
      </x:c>
      <x:c r="B65" s="13">
        <x:f>COUNTA('PVC Appertures'!A:A)-1</x:f>
      </x:c>
      <x:c r="C65" s="13">
        <x:f>IFERROR(COUNTIF(INDEX('PVC Appertures'!$A:$Z, 0, MATCH("Physical Store", 'PVC Appertures'!$1:$1, 0)), "yes") &amp; " out of " &amp; B65, "—")</x:f>
      </x:c>
      <x:c r="D65" s="13">
        <x:f>IFERROR(COUNTIF(INDEX('PVC Appertures'!$A:$Z, 0, MATCH("Installation", 'PVC Appertures'!$1:$1, 0)), "yes") &amp; " out of " &amp; B65, "—")</x:f>
      </x:c>
      <x:c r="E65" s="13">
        <x:f>IFERROR(COUNTIF(INDEX('PVC Appertures'!$A:$Z, 0, MATCH("Import", 'PVC Appertures'!$1:$1, 0)), "yes") &amp; " out of " &amp; B65, "—")</x:f>
      </x:c>
      <x:c r="F65" s="13">
        <x:f>IFERROR(COUNTIF(INDEX('PVC Appertures'!$A:$Z, 0, MATCH("Local Supply", 'PVC Appertures'!$1:$1, 0)), "yes") &amp; " out of " &amp; B65, "—")</x:f>
      </x:c>
      <x:c r="G65" s="13">
        <x:f>IFERROR(COUNTIF(INDEX('PVC Appertures'!$A:$Z, 0, MATCH("Delivery", 'PVC Appertures'!$1:$1, 0)), "yes") &amp; " out of " &amp; B65, "—")</x:f>
      </x:c>
    </x:row>
    <x:row r="66" spans="1:7" s="1" customFormat="1">
      <x:c r="A66" s="14">
        <x:f>HYPERLINK("#'uPVC Apertures'!A1", "uPVC Apertures")</x:f>
      </x:c>
      <x:c r="B66" s="15">
        <x:f>COUNTA('uPVC Apertures'!A:A)-1</x:f>
      </x:c>
      <x:c r="C66" s="15">
        <x:f>IFERROR(COUNTIF(INDEX('uPVC Apertures'!$A:$Z, 0, MATCH("Physical Store", 'uPVC Apertures'!$1:$1, 0)), "yes") &amp; " out of " &amp; B66, "—")</x:f>
      </x:c>
      <x:c r="D66" s="15">
        <x:f>IFERROR(COUNTIF(INDEX('uPVC Apertures'!$A:$Z, 0, MATCH("Installation", 'uPVC Apertures'!$1:$1, 0)), "yes") &amp; " out of " &amp; B66, "—")</x:f>
      </x:c>
      <x:c r="E66" s="15">
        <x:f>IFERROR(COUNTIF(INDEX('uPVC Apertures'!$A:$Z, 0, MATCH("Import", 'uPVC Apertures'!$1:$1, 0)), "yes") &amp; " out of " &amp; B66, "—")</x:f>
      </x:c>
      <x:c r="F66" s="15">
        <x:f>IFERROR(COUNTIF(INDEX('uPVC Apertures'!$A:$Z, 0, MATCH("Local Supply", 'uPVC Apertures'!$1:$1, 0)), "yes") &amp; " out of " &amp; B66, "—")</x:f>
      </x:c>
      <x:c r="G66" s="15">
        <x:f>IFERROR(COUNTIF(INDEX('uPVC Apertures'!$A:$Z, 0, MATCH("Delivery", 'uPVC Apertures'!$1:$1, 0)), "yes") &amp; " out of " &amp; B66, "—")</x:f>
      </x:c>
    </x:row>
    <x:row r="67" spans="1:7" s="4" customFormat="1">
      <x:c r="A67" s="16">
        <x:f>HYPERLINK("#'Pocket Doors &amp; Sliding Doors'!A1", "Pocket Doors &amp; Sliding Doors")</x:f>
      </x:c>
      <x:c r="B67" s="17">
        <x:f>COUNTA('Pocket Doors &amp; Sliding Doors'!A:A)-1</x:f>
      </x:c>
      <x:c r="C67" s="17">
        <x:f>IFERROR(COUNTIF(INDEX('Pocket Doors &amp; Sliding Doors'!$A:$Z, 0, MATCH("Physical Store", 'Pocket Doors &amp; Sliding Doors'!$1:$1, 0)), "yes") &amp; " out of " &amp; B67, "—")</x:f>
      </x:c>
      <x:c r="D67" s="17">
        <x:f>IFERROR(COUNTIF(INDEX('Pocket Doors &amp; Sliding Doors'!$A:$Z, 0, MATCH("Installation", 'Pocket Doors &amp; Sliding Doors'!$1:$1, 0)), "yes") &amp; " out of " &amp; B67, "—")</x:f>
      </x:c>
      <x:c r="E67" s="17">
        <x:f>IFERROR(COUNTIF(INDEX('Pocket Doors &amp; Sliding Doors'!$A:$Z, 0, MATCH("Import", 'Pocket Doors &amp; Sliding Doors'!$1:$1, 0)), "yes") &amp; " out of " &amp; B67, "—")</x:f>
      </x:c>
      <x:c r="F67" s="17">
        <x:f>IFERROR(COUNTIF(INDEX('Pocket Doors &amp; Sliding Doors'!$A:$Z, 0, MATCH("Local Supply", 'Pocket Doors &amp; Sliding Doors'!$1:$1, 0)), "yes") &amp; " out of " &amp; B67, "—")</x:f>
      </x:c>
      <x:c r="G67" s="17">
        <x:f>IFERROR(COUNTIF(INDEX('Pocket Doors &amp; Sliding Doors'!$A:$Z, 0, MATCH("Delivery", 'Pocket Doors &amp; Sliding Doors'!$1:$1, 0)), "yes") &amp; " out of " &amp; B67, "—")</x:f>
      </x:c>
    </x:row>
    <x:row r="68" spans="1:7" s="3" customFormat="1">
      <x:c r="A68" s="12">
        <x:f>HYPERLINK("#'Restoration'!A1", "Restoration")</x:f>
      </x:c>
      <x:c r="B68" s="13">
        <x:f>COUNTA('Restoration'!A:A)-1</x:f>
      </x:c>
      <x:c r="C68" s="13">
        <x:f>IFERROR(COUNTIF(INDEX('Restoration'!$A:$Z, 0, MATCH("Physical Store", 'Restoration'!$1:$1, 0)), "yes") &amp; " out of " &amp; B68, "—")</x:f>
      </x:c>
      <x:c r="D68" s="13">
        <x:f>IFERROR(COUNTIF(INDEX('Restoration'!$A:$Z, 0, MATCH("Installation", 'Restoration'!$1:$1, 0)), "yes") &amp; " out of " &amp; B68, "—")</x:f>
      </x:c>
      <x:c r="E68" s="13">
        <x:f>IFERROR(COUNTIF(INDEX('Restoration'!$A:$Z, 0, MATCH("Import", 'Restoration'!$1:$1, 0)), "yes") &amp; " out of " &amp; B68, "—")</x:f>
      </x:c>
      <x:c r="F68" s="13">
        <x:f>IFERROR(COUNTIF(INDEX('Restoration'!$A:$Z, 0, MATCH("Local Supply", 'Restoration'!$1:$1, 0)), "yes") &amp; " out of " &amp; B68, "—")</x:f>
      </x:c>
      <x:c r="G68" s="13">
        <x:f>IFERROR(COUNTIF(INDEX('Restoration'!$A:$Z, 0, MATCH("Delivery", 'Restoration'!$1:$1, 0)), "yes") &amp; " out of " &amp; B68, "—")</x:f>
      </x:c>
    </x:row>
    <x:row r="69" spans="1:7" s="1" customFormat="1">
      <x:c r="A69" s="14">
        <x:f>HYPERLINK("#'Cherry Pickers'!A1", "Cherry Pickers")</x:f>
      </x:c>
      <x:c r="B69" s="15">
        <x:f>COUNTA('Cherry Pickers'!A:A)-1</x:f>
      </x:c>
      <x:c r="C69" s="15">
        <x:f>IFERROR(COUNTIF(INDEX('Cherry Pickers'!$A:$Z, 0, MATCH("Physical Store", 'Cherry Pickers'!$1:$1, 0)), "yes") &amp; " out of " &amp; B69, "—")</x:f>
      </x:c>
      <x:c r="D69" s="15">
        <x:f>IFERROR(COUNTIF(INDEX('Cherry Pickers'!$A:$Z, 0, MATCH("Installation", 'Cherry Pickers'!$1:$1, 0)), "yes") &amp; " out of " &amp; B69, "—")</x:f>
      </x:c>
      <x:c r="E69" s="15">
        <x:f>IFERROR(COUNTIF(INDEX('Cherry Pickers'!$A:$Z, 0, MATCH("Import", 'Cherry Pickers'!$1:$1, 0)), "yes") &amp; " out of " &amp; B69, "—")</x:f>
      </x:c>
      <x:c r="F69" s="15">
        <x:f>IFERROR(COUNTIF(INDEX('Cherry Pickers'!$A:$Z, 0, MATCH("Local Supply", 'Cherry Pickers'!$1:$1, 0)), "yes") &amp; " out of " &amp; B69, "—")</x:f>
      </x:c>
      <x:c r="G69" s="15">
        <x:f>IFERROR(COUNTIF(INDEX('Cherry Pickers'!$A:$Z, 0, MATCH("Delivery", 'Cherry Pickers'!$1:$1, 0)), "yes") &amp; " out of " &amp; B69, "—")</x:f>
      </x:c>
    </x:row>
    <x:row r="70" spans="1:7" s="4" customFormat="1">
      <x:c r="A70" s="16">
        <x:f>HYPERLINK("#'Turnkey Companies'!A1", "Turnkey Companies")</x:f>
      </x:c>
      <x:c r="B70" s="17">
        <x:f>COUNTA('Turnkey Companies'!A:A)-1</x:f>
      </x:c>
      <x:c r="C70" s="17">
        <x:f>IFERROR(COUNTIF(INDEX('Turnkey Companies'!$A:$Z, 0, MATCH("Physical Store", 'Turnkey Companies'!$1:$1, 0)), "yes") &amp; " out of " &amp; B70, "—")</x:f>
      </x:c>
      <x:c r="D70" s="17">
        <x:f>IFERROR(COUNTIF(INDEX('Turnkey Companies'!$A:$Z, 0, MATCH("Installation", 'Turnkey Companies'!$1:$1, 0)), "yes") &amp; " out of " &amp; B70, "—")</x:f>
      </x:c>
      <x:c r="E70" s="17">
        <x:f>IFERROR(COUNTIF(INDEX('Turnkey Companies'!$A:$Z, 0, MATCH("Import", 'Turnkey Companies'!$1:$1, 0)), "yes") &amp; " out of " &amp; B70, "—")</x:f>
      </x:c>
      <x:c r="F70" s="17">
        <x:f>IFERROR(COUNTIF(INDEX('Turnkey Companies'!$A:$Z, 0, MATCH("Local Supply", 'Turnkey Companies'!$1:$1, 0)), "yes") &amp; " out of " &amp; B70, "—")</x:f>
      </x:c>
      <x:c r="G70" s="17">
        <x:f>IFERROR(COUNTIF(INDEX('Turnkey Companies'!$A:$Z, 0, MATCH("Delivery", 'Turnkey Companies'!$1:$1, 0)), "yes") &amp; " out of " &amp; B70, "—")</x:f>
      </x:c>
    </x:row>
    <x:row r="71" spans="1:7" s="3" customFormat="1">
      <x:c r="A71" s="12">
        <x:f>HYPERLINK("#'Construction'!A1", "Construction")</x:f>
      </x:c>
      <x:c r="B71" s="13">
        <x:f>COUNTA('Construction'!A:A)-1</x:f>
      </x:c>
      <x:c r="C71" s="13">
        <x:f>IFERROR(COUNTIF(INDEX('Construction'!$A:$Z, 0, MATCH("Physical Store", 'Construction'!$1:$1, 0)), "yes") &amp; " out of " &amp; B71, "—")</x:f>
      </x:c>
      <x:c r="D71" s="13">
        <x:f>IFERROR(COUNTIF(INDEX('Construction'!$A:$Z, 0, MATCH("Installation", 'Construction'!$1:$1, 0)), "yes") &amp; " out of " &amp; B71, "—")</x:f>
      </x:c>
      <x:c r="E71" s="13">
        <x:f>IFERROR(COUNTIF(INDEX('Construction'!$A:$Z, 0, MATCH("Import", 'Construction'!$1:$1, 0)), "yes") &amp; " out of " &amp; B71, "—")</x:f>
      </x:c>
      <x:c r="F71" s="13">
        <x:f>IFERROR(COUNTIF(INDEX('Construction'!$A:$Z, 0, MATCH("Local Supply", 'Construction'!$1:$1, 0)), "yes") &amp; " out of " &amp; B71, "—")</x:f>
      </x:c>
      <x:c r="G71" s="13">
        <x:f>IFERROR(COUNTIF(INDEX('Construction'!$A:$Z, 0, MATCH("Delivery", 'Construction'!$1:$1, 0)), "yes") &amp; " out of " &amp; B71, "—")</x:f>
      </x:c>
    </x:row>
    <x:row r="72" spans="1:7" s="1" customFormat="1">
      <x:c r="A72" s="14">
        <x:f>HYPERLINK("#'Electrical &amp; Plumbing'!A1", "Electrical &amp; Plumbing")</x:f>
      </x:c>
      <x:c r="B72" s="15">
        <x:f>COUNTA('Electrical &amp; Plumbing'!A:A)-1</x:f>
      </x:c>
      <x:c r="C72" s="15">
        <x:f>IFERROR(COUNTIF(INDEX('Electrical &amp; Plumbing'!$A:$Z, 0, MATCH("Physical Store", 'Electrical &amp; Plumbing'!$1:$1, 0)), "yes") &amp; " out of " &amp; B72, "—")</x:f>
      </x:c>
      <x:c r="D72" s="15">
        <x:f>IFERROR(COUNTIF(INDEX('Electrical &amp; Plumbing'!$A:$Z, 0, MATCH("Installation", 'Electrical &amp; Plumbing'!$1:$1, 0)), "yes") &amp; " out of " &amp; B72, "—")</x:f>
      </x:c>
      <x:c r="E72" s="15">
        <x:f>IFERROR(COUNTIF(INDEX('Electrical &amp; Plumbing'!$A:$Z, 0, MATCH("Import", 'Electrical &amp; Plumbing'!$1:$1, 0)), "yes") &amp; " out of " &amp; B72, "—")</x:f>
      </x:c>
      <x:c r="F72" s="15">
        <x:f>IFERROR(COUNTIF(INDEX('Electrical &amp; Plumbing'!$A:$Z, 0, MATCH("Local Supply", 'Electrical &amp; Plumbing'!$1:$1, 0)), "yes") &amp; " out of " &amp; B72, "—")</x:f>
      </x:c>
      <x:c r="G72" s="15">
        <x:f>IFERROR(COUNTIF(INDEX('Electrical &amp; Plumbing'!$A:$Z, 0, MATCH("Delivery", 'Electrical &amp; Plumbing'!$1:$1, 0)), "yes") &amp; " out of " &amp; B72, "—")</x:f>
      </x:c>
    </x:row>
    <x:row r="73" spans="1:7" s="4" customFormat="1">
      <x:c r="A73" s="16">
        <x:f>HYPERLINK("#'Lighting'!A1", "Lighting")</x:f>
      </x:c>
      <x:c r="B73" s="17">
        <x:f>COUNTA('Lighting'!A:A)-1</x:f>
      </x:c>
      <x:c r="C73" s="17">
        <x:f>IFERROR(COUNTIF(INDEX('Lighting'!$A:$Z, 0, MATCH("Physical Store", 'Lighting'!$1:$1, 0)), "yes") &amp; " out of " &amp; B73, "—")</x:f>
      </x:c>
      <x:c r="D73" s="17">
        <x:f>IFERROR(COUNTIF(INDEX('Lighting'!$A:$Z, 0, MATCH("Installation", 'Lighting'!$1:$1, 0)), "yes") &amp; " out of " &amp; B73, "—")</x:f>
      </x:c>
      <x:c r="E73" s="17">
        <x:f>IFERROR(COUNTIF(INDEX('Lighting'!$A:$Z, 0, MATCH("Import", 'Lighting'!$1:$1, 0)), "yes") &amp; " out of " &amp; B73, "—")</x:f>
      </x:c>
      <x:c r="F73" s="17">
        <x:f>IFERROR(COUNTIF(INDEX('Lighting'!$A:$Z, 0, MATCH("Local Supply", 'Lighting'!$1:$1, 0)), "yes") &amp; " out of " &amp; B73, "—")</x:f>
      </x:c>
      <x:c r="G73" s="17">
        <x:f>IFERROR(COUNTIF(INDEX('Lighting'!$A:$Z, 0, MATCH("Delivery", 'Lighting'!$1:$1, 0)), "yes") &amp; " out of " &amp; B73, "—")</x:f>
      </x:c>
    </x:row>
    <x:row r="74" spans="1:7" s="3" customFormat="1">
      <x:c r="A74" s="12">
        <x:f>HYPERLINK("#'Scaffolding'!A1", "Scaffolding")</x:f>
      </x:c>
      <x:c r="B74" s="13">
        <x:f>COUNTA('Scaffolding'!A:A)-1</x:f>
      </x:c>
      <x:c r="C74" s="13">
        <x:f>IFERROR(COUNTIF(INDEX('Scaffolding'!$A:$Z, 0, MATCH("Physical Store", 'Scaffolding'!$1:$1, 0)), "yes") &amp; " out of " &amp; B74, "—")</x:f>
      </x:c>
      <x:c r="D74" s="13">
        <x:f>IFERROR(COUNTIF(INDEX('Scaffolding'!$A:$Z, 0, MATCH("Installation", 'Scaffolding'!$1:$1, 0)), "yes") &amp; " out of " &amp; B74, "—")</x:f>
      </x:c>
      <x:c r="E74" s="13">
        <x:f>IFERROR(COUNTIF(INDEX('Scaffolding'!$A:$Z, 0, MATCH("Import", 'Scaffolding'!$1:$1, 0)), "yes") &amp; " out of " &amp; B74, "—")</x:f>
      </x:c>
      <x:c r="F74" s="13">
        <x:f>IFERROR(COUNTIF(INDEX('Scaffolding'!$A:$Z, 0, MATCH("Local Supply", 'Scaffolding'!$1:$1, 0)), "yes") &amp; " out of " &amp; B74, "—")</x:f>
      </x:c>
      <x:c r="G74" s="13">
        <x:f>IFERROR(COUNTIF(INDEX('Scaffolding'!$A:$Z, 0, MATCH("Delivery", 'Scaffolding'!$1:$1, 0)), "yes") &amp; " out of " &amp; B74, "—")</x:f>
      </x:c>
    </x:row>
    <x:row r="75" spans="1:7" s="1" customFormat="1">
      <x:c r="A75" s="14">
        <x:f>HYPERLINK("#'Awnings &amp; Pergolas'!A1", "Awnings &amp; Pergolas")</x:f>
      </x:c>
      <x:c r="B75" s="15">
        <x:f>COUNTA('Awnings &amp; Pergolas'!A:A)-1</x:f>
      </x:c>
      <x:c r="C75" s="15">
        <x:f>IFERROR(COUNTIF(INDEX('Awnings &amp; Pergolas'!$A:$Z, 0, MATCH("Physical Store", 'Awnings &amp; Pergolas'!$1:$1, 0)), "yes") &amp; " out of " &amp; B75, "—")</x:f>
      </x:c>
      <x:c r="D75" s="15">
        <x:f>IFERROR(COUNTIF(INDEX('Awnings &amp; Pergolas'!$A:$Z, 0, MATCH("Installation", 'Awnings &amp; Pergolas'!$1:$1, 0)), "yes") &amp; " out of " &amp; B75, "—")</x:f>
      </x:c>
      <x:c r="E75" s="15">
        <x:f>IFERROR(COUNTIF(INDEX('Awnings &amp; Pergolas'!$A:$Z, 0, MATCH("Import", 'Awnings &amp; Pergolas'!$1:$1, 0)), "yes") &amp; " out of " &amp; B75, "—")</x:f>
      </x:c>
      <x:c r="F75" s="15">
        <x:f>IFERROR(COUNTIF(INDEX('Awnings &amp; Pergolas'!$A:$Z, 0, MATCH("Local Supply", 'Awnings &amp; Pergolas'!$1:$1, 0)), "yes") &amp; " out of " &amp; B75, "—")</x:f>
      </x:c>
      <x:c r="G75" s="15">
        <x:f>IFERROR(COUNTIF(INDEX('Awnings &amp; Pergolas'!$A:$Z, 0, MATCH("Delivery", 'Awnings &amp; Pergolas'!$1:$1, 0)), "yes") &amp; " out of " &amp; B75, "—")</x:f>
      </x:c>
    </x:row>
    <x:row r="76" spans="1:7" s="4" customFormat="1">
      <x:c r="A76" s="16">
        <x:f>HYPERLINK("#'Doors'!A1", "Doors")</x:f>
      </x:c>
      <x:c r="B76" s="17">
        <x:f>COUNTA('Doors'!A:A)-1</x:f>
      </x:c>
      <x:c r="C76" s="17">
        <x:f>IFERROR(COUNTIF(INDEX('Doors'!$A:$Z, 0, MATCH("Physical Store", 'Doors'!$1:$1, 0)), "yes") &amp; " out of " &amp; B76, "—")</x:f>
      </x:c>
      <x:c r="D76" s="17">
        <x:f>IFERROR(COUNTIF(INDEX('Doors'!$A:$Z, 0, MATCH("Installation", 'Doors'!$1:$1, 0)), "yes") &amp; " out of " &amp; B76, "—")</x:f>
      </x:c>
      <x:c r="E76" s="17">
        <x:f>IFERROR(COUNTIF(INDEX('Doors'!$A:$Z, 0, MATCH("Import", 'Doors'!$1:$1, 0)), "yes") &amp; " out of " &amp; B76, "—")</x:f>
      </x:c>
      <x:c r="F76" s="17">
        <x:f>IFERROR(COUNTIF(INDEX('Doors'!$A:$Z, 0, MATCH("Local Supply", 'Doors'!$1:$1, 0)), "yes") &amp; " out of " &amp; B76, "—")</x:f>
      </x:c>
      <x:c r="G76" s="17">
        <x:f>IFERROR(COUNTIF(INDEX('Doors'!$A:$Z, 0, MATCH("Delivery", 'Doors'!$1:$1, 0)), "yes") &amp; " out of " &amp; B76, "—")</x:f>
      </x:c>
    </x:row>
    <x:row r="77" spans="1:7" s="3" customFormat="1">
      <x:c r="A77" s="12">
        <x:f>HYPERLINK("#'Marble suppliers '!A1", "Marble suppliers ")</x:f>
      </x:c>
      <x:c r="B77" s="13">
        <x:f>COUNTA('Marble suppliers '!A:A)-1</x:f>
      </x:c>
      <x:c r="C77" s="13">
        <x:f>IFERROR(COUNTIF(INDEX('Marble suppliers '!$A:$Z, 0, MATCH("Physical Store", 'Marble suppliers '!$1:$1, 0)), "yes") &amp; " out of " &amp; B77, "—")</x:f>
      </x:c>
      <x:c r="D77" s="13">
        <x:f>IFERROR(COUNTIF(INDEX('Marble suppliers '!$A:$Z, 0, MATCH("Installation", 'Marble suppliers '!$1:$1, 0)), "yes") &amp; " out of " &amp; B77, "—")</x:f>
      </x:c>
      <x:c r="E77" s="13">
        <x:f>IFERROR(COUNTIF(INDEX('Marble suppliers '!$A:$Z, 0, MATCH("Import", 'Marble suppliers '!$1:$1, 0)), "yes") &amp; " out of " &amp; B77, "—")</x:f>
      </x:c>
      <x:c r="F77" s="13">
        <x:f>IFERROR(COUNTIF(INDEX('Marble suppliers '!$A:$Z, 0, MATCH("Local Supply", 'Marble suppliers '!$1:$1, 0)), "yes") &amp; " out of " &amp; B77, "—")</x:f>
      </x:c>
      <x:c r="G77" s="13">
        <x:f>IFERROR(COUNTIF(INDEX('Marble suppliers '!$A:$Z, 0, MATCH("Delivery", 'Marble suppliers '!$1:$1, 0)), "yes") &amp; " out of " &amp; B77, "—")</x:f>
      </x:c>
    </x:row>
    <x:row r="78" spans="1:7" s="1" customFormat="1">
      <x:c r="A78" s="14">
        <x:f>HYPERLINK("#'Pocket doors'!A1", "Pocket doors")</x:f>
      </x:c>
      <x:c r="B78" s="15">
        <x:f>COUNTA('Pocket doors'!A:A)-1</x:f>
      </x:c>
      <x:c r="C78" s="15">
        <x:f>IFERROR(COUNTIF(INDEX('Pocket doors'!$A:$Z, 0, MATCH("Physical Store", 'Pocket doors'!$1:$1, 0)), "yes") &amp; " out of " &amp; B78, "—")</x:f>
      </x:c>
      <x:c r="D78" s="15">
        <x:f>IFERROR(COUNTIF(INDEX('Pocket doors'!$A:$Z, 0, MATCH("Installation", 'Pocket doors'!$1:$1, 0)), "yes") &amp; " out of " &amp; B78, "—")</x:f>
      </x:c>
      <x:c r="E78" s="15">
        <x:f>IFERROR(COUNTIF(INDEX('Pocket doors'!$A:$Z, 0, MATCH("Import", 'Pocket doors'!$1:$1, 0)), "yes") &amp; " out of " &amp; B78, "—")</x:f>
      </x:c>
      <x:c r="F78" s="15">
        <x:f>IFERROR(COUNTIF(INDEX('Pocket doors'!$A:$Z, 0, MATCH("Local Supply", 'Pocket doors'!$1:$1, 0)), "yes") &amp; " out of " &amp; B78, "—")</x:f>
      </x:c>
      <x:c r="G78" s="15">
        <x:f>IFERROR(COUNTIF(INDEX('Pocket doors'!$A:$Z, 0, MATCH("Delivery", 'Pocket doors'!$1:$1, 0)), "yes") &amp; " out of " &amp; B78, "—")</x:f>
      </x:c>
    </x:row>
    <x:row r="79" spans="1:7" s="4" customFormat="1">
      <x:c r="A79" s="16">
        <x:f>HYPERLINK("#'Internal doors '!A1", "Internal doors ")</x:f>
      </x:c>
      <x:c r="B79" s="17">
        <x:f>COUNTA('Internal doors '!A:A)-1</x:f>
      </x:c>
      <x:c r="C79" s="17">
        <x:f>IFERROR(COUNTIF(INDEX('Internal doors '!$A:$Z, 0, MATCH("Physical Store", 'Internal doors '!$1:$1, 0)), "yes") &amp; " out of " &amp; B79, "—")</x:f>
      </x:c>
      <x:c r="D79" s="17">
        <x:f>IFERROR(COUNTIF(INDEX('Internal doors '!$A:$Z, 0, MATCH("Installation", 'Internal doors '!$1:$1, 0)), "yes") &amp; " out of " &amp; B79, "—")</x:f>
      </x:c>
      <x:c r="E79" s="17">
        <x:f>IFERROR(COUNTIF(INDEX('Internal doors '!$A:$Z, 0, MATCH("Import", 'Internal doors '!$1:$1, 0)), "yes") &amp; " out of " &amp; B79, "—")</x:f>
      </x:c>
      <x:c r="F79" s="17">
        <x:f>IFERROR(COUNTIF(INDEX('Internal doors '!$A:$Z, 0, MATCH("Local Supply", 'Internal doors '!$1:$1, 0)), "yes") &amp; " out of " &amp; B79, "—")</x:f>
      </x:c>
      <x:c r="G79" s="17">
        <x:f>IFERROR(COUNTIF(INDEX('Internal doors '!$A:$Z, 0, MATCH("Delivery", 'Internal doors '!$1:$1, 0)), "yes") &amp; " out of " &amp; B79, "—")</x:f>
      </x:c>
    </x:row>
    <x:row r="80" spans="1:7" s="3" customFormat="1">
      <x:c r="A80" s="12">
        <x:f>HYPERLINK("#'Air conditioners'!A1", "Air conditioners")</x:f>
      </x:c>
      <x:c r="B80" s="13">
        <x:f>COUNTA('Air conditioners'!A:A)-1</x:f>
      </x:c>
      <x:c r="C80" s="13">
        <x:f>IFERROR(COUNTIF(INDEX('Air conditioners'!$A:$Z, 0, MATCH("Physical Store", 'Air conditioners'!$1:$1, 0)), "yes") &amp; " out of " &amp; B80, "—")</x:f>
      </x:c>
      <x:c r="D80" s="13">
        <x:f>IFERROR(COUNTIF(INDEX('Air conditioners'!$A:$Z, 0, MATCH("Installation", 'Air conditioners'!$1:$1, 0)), "yes") &amp; " out of " &amp; B80, "—")</x:f>
      </x:c>
      <x:c r="E80" s="13">
        <x:f>IFERROR(COUNTIF(INDEX('Air conditioners'!$A:$Z, 0, MATCH("Import", 'Air conditioners'!$1:$1, 0)), "yes") &amp; " out of " &amp; B80, "—")</x:f>
      </x:c>
      <x:c r="F80" s="13">
        <x:f>IFERROR(COUNTIF(INDEX('Air conditioners'!$A:$Z, 0, MATCH("Local Supply", 'Air conditioners'!$1:$1, 0)), "yes") &amp; " out of " &amp; B80, "—")</x:f>
      </x:c>
      <x:c r="G80" s="13">
        <x:f>IFERROR(COUNTIF(INDEX('Air conditioners'!$A:$Z, 0, MATCH("Delivery", 'Air conditioners'!$1:$1, 0)), "yes") &amp; " out of " &amp; B80, "—")</x:f>
      </x:c>
    </x:row>
    <x:row r="81" spans="1:7" s="1" customFormat="1">
      <x:c r="A81" s="14">
        <x:f>HYPERLINK("#'Outdoor decking'!A1", "Outdoor decking")</x:f>
      </x:c>
      <x:c r="B81" s="15">
        <x:f>COUNTA('Outdoor decking'!A:A)-1</x:f>
      </x:c>
      <x:c r="C81" s="15">
        <x:f>IFERROR(COUNTIF(INDEX('Outdoor decking'!$A:$Z, 0, MATCH("Physical Store", 'Outdoor decking'!$1:$1, 0)), "yes") &amp; " out of " &amp; B81, "—")</x:f>
      </x:c>
      <x:c r="D81" s="15">
        <x:f>IFERROR(COUNTIF(INDEX('Outdoor decking'!$A:$Z, 0, MATCH("Installation", 'Outdoor decking'!$1:$1, 0)), "yes") &amp; " out of " &amp; B81, "—")</x:f>
      </x:c>
      <x:c r="E81" s="15">
        <x:f>IFERROR(COUNTIF(INDEX('Outdoor decking'!$A:$Z, 0, MATCH("Import", 'Outdoor decking'!$1:$1, 0)), "yes") &amp; " out of " &amp; B81, "—")</x:f>
      </x:c>
      <x:c r="F81" s="15">
        <x:f>IFERROR(COUNTIF(INDEX('Outdoor decking'!$A:$Z, 0, MATCH("Local Supply", 'Outdoor decking'!$1:$1, 0)), "yes") &amp; " out of " &amp; B81, "—")</x:f>
      </x:c>
      <x:c r="G81" s="15">
        <x:f>IFERROR(COUNTIF(INDEX('Outdoor decking'!$A:$Z, 0, MATCH("Delivery", 'Outdoor decking'!$1:$1, 0)), "yes") &amp; " out of " &amp; B81, "—")</x:f>
      </x:c>
    </x:row>
    <x:row r="82" spans="1:7" s="4" customFormat="1">
      <x:c r="A82" s="16">
        <x:f>HYPERLINK("#'Raised flooring'!A1", "Raised flooring")</x:f>
      </x:c>
      <x:c r="B82" s="17">
        <x:f>COUNTA('Raised flooring'!A:A)-1</x:f>
      </x:c>
      <x:c r="C82" s="17">
        <x:f>IFERROR(COUNTIF(INDEX('Raised flooring'!$A:$Z, 0, MATCH("Physical Store", 'Raised flooring'!$1:$1, 0)), "yes") &amp; " out of " &amp; B82, "—")</x:f>
      </x:c>
      <x:c r="D82" s="17">
        <x:f>IFERROR(COUNTIF(INDEX('Raised flooring'!$A:$Z, 0, MATCH("Installation", 'Raised flooring'!$1:$1, 0)), "yes") &amp; " out of " &amp; B82, "—")</x:f>
      </x:c>
      <x:c r="E82" s="17">
        <x:f>IFERROR(COUNTIF(INDEX('Raised flooring'!$A:$Z, 0, MATCH("Import", 'Raised flooring'!$1:$1, 0)), "yes") &amp; " out of " &amp; B82, "—")</x:f>
      </x:c>
      <x:c r="F82" s="17">
        <x:f>IFERROR(COUNTIF(INDEX('Raised flooring'!$A:$Z, 0, MATCH("Local Supply", 'Raised flooring'!$1:$1, 0)), "yes") &amp; " out of " &amp; B82, "—")</x:f>
      </x:c>
      <x:c r="G82" s="17">
        <x:f>IFERROR(COUNTIF(INDEX('Raised flooring'!$A:$Z, 0, MATCH("Delivery", 'Raised flooring'!$1:$1, 0)), "yes") &amp; " out of " &amp; B82, "—")</x:f>
      </x:c>
    </x:row>
    <x:row r="83" spans="1:7" s="3" customFormat="1">
      <x:c r="A83" s="12">
        <x:f>HYPERLINK("#'Iglus '!A1", "Iglus ")</x:f>
      </x:c>
      <x:c r="B83" s="13">
        <x:f>COUNTA('Iglus '!A:A)-1</x:f>
      </x:c>
      <x:c r="C83" s="13">
        <x:f>IFERROR(COUNTIF(INDEX('Iglus '!$A:$Z, 0, MATCH("Physical Store", 'Iglus '!$1:$1, 0)), "yes") &amp; " out of " &amp; B83, "—")</x:f>
      </x:c>
      <x:c r="D83" s="13">
        <x:f>IFERROR(COUNTIF(INDEX('Iglus '!$A:$Z, 0, MATCH("Installation", 'Iglus '!$1:$1, 0)), "yes") &amp; " out of " &amp; B83, "—")</x:f>
      </x:c>
      <x:c r="E83" s="13">
        <x:f>IFERROR(COUNTIF(INDEX('Iglus '!$A:$Z, 0, MATCH("Import", 'Iglus '!$1:$1, 0)), "yes") &amp; " out of " &amp; B83, "—")</x:f>
      </x:c>
      <x:c r="F83" s="13">
        <x:f>IFERROR(COUNTIF(INDEX('Iglus '!$A:$Z, 0, MATCH("Local Supply", 'Iglus '!$1:$1, 0)), "yes") &amp; " out of " &amp; B83, "—")</x:f>
      </x:c>
      <x:c r="G83" s="13">
        <x:f>IFERROR(COUNTIF(INDEX('Iglus '!$A:$Z, 0, MATCH("Delivery", 'Iglus '!$1:$1, 0)), "yes") &amp; " out of " &amp; B83, "—")</x:f>
      </x:c>
    </x:row>
    <x:row r="84" spans="1:7" s="1" customFormat="1">
      <x:c r="A84" s="14">
        <x:f>HYPERLINK("#'T Beams'!A1", "T Beams")</x:f>
      </x:c>
      <x:c r="B84" s="15">
        <x:f>COUNTA('T Beams'!A:A)-1</x:f>
      </x:c>
      <x:c r="C84" s="15">
        <x:f>IFERROR(COUNTIF(INDEX('T Beams'!$A:$Z, 0, MATCH("Physical Store", 'T Beams'!$1:$1, 0)), "yes") &amp; " out of " &amp; B84, "—")</x:f>
      </x:c>
      <x:c r="D84" s="15">
        <x:f>IFERROR(COUNTIF(INDEX('T Beams'!$A:$Z, 0, MATCH("Installation", 'T Beams'!$1:$1, 0)), "yes") &amp; " out of " &amp; B84, "—")</x:f>
      </x:c>
      <x:c r="E84" s="15">
        <x:f>IFERROR(COUNTIF(INDEX('T Beams'!$A:$Z, 0, MATCH("Import", 'T Beams'!$1:$1, 0)), "yes") &amp; " out of " &amp; B84, "—")</x:f>
      </x:c>
      <x:c r="F84" s="15">
        <x:f>IFERROR(COUNTIF(INDEX('T Beams'!$A:$Z, 0, MATCH("Local Supply", 'T Beams'!$1:$1, 0)), "yes") &amp; " out of " &amp; B84, "—")</x:f>
      </x:c>
      <x:c r="G84" s="15">
        <x:f>IFERROR(COUNTIF(INDEX('T Beams'!$A:$Z, 0, MATCH("Delivery", 'T Beams'!$1:$1, 0)), "yes") &amp; " out of " &amp; B84, "—")</x:f>
      </x:c>
    </x:row>
    <x:row r="85" spans="1:7" s="4" customFormat="1">
      <x:c r="A85" s="16">
        <x:f>HYPERLINK("#'Plotters '!A1", "Plotters ")</x:f>
      </x:c>
      <x:c r="B85" s="17">
        <x:f>COUNTA('Plotters '!A:A)-1</x:f>
      </x:c>
      <x:c r="C85" s="17">
        <x:f>IFERROR(COUNTIF(INDEX('Plotters '!$A:$Z, 0, MATCH("Physical Store", 'Plotters '!$1:$1, 0)), "yes") &amp; " out of " &amp; B85, "—")</x:f>
      </x:c>
      <x:c r="D85" s="17">
        <x:f>IFERROR(COUNTIF(INDEX('Plotters '!$A:$Z, 0, MATCH("Installation", 'Plotters '!$1:$1, 0)), "yes") &amp; " out of " &amp; B85, "—")</x:f>
      </x:c>
      <x:c r="E85" s="17">
        <x:f>IFERROR(COUNTIF(INDEX('Plotters '!$A:$Z, 0, MATCH("Import", 'Plotters '!$1:$1, 0)), "yes") &amp; " out of " &amp; B85, "—")</x:f>
      </x:c>
      <x:c r="F85" s="17">
        <x:f>IFERROR(COUNTIF(INDEX('Plotters '!$A:$Z, 0, MATCH("Local Supply", 'Plotters '!$1:$1, 0)), "yes") &amp; " out of " &amp; B85, "—")</x:f>
      </x:c>
      <x:c r="G85" s="17">
        <x:f>IFERROR(COUNTIF(INDEX('Plotters '!$A:$Z, 0, MATCH("Delivery", 'Plotters '!$1:$1, 0)), "yes") &amp; " out of " &amp; B85, "—")</x:f>
      </x:c>
    </x:row>
    <x:row r="86" spans="1:7" s="3" customFormat="1">
      <x:c r="A86" s="12">
        <x:f>HYPERLINK("#'3D Rendering Services'!A1", "3D Rendering Services")</x:f>
      </x:c>
      <x:c r="B86" s="13">
        <x:f>COUNTA('3D Rendering Services'!A:A)-1</x:f>
      </x:c>
      <x:c r="C86" s="13">
        <x:f>IFERROR(COUNTIF(INDEX('3D Rendering Services'!$A:$Z, 0, MATCH("Physical Store", '3D Rendering Services'!$1:$1, 0)), "yes") &amp; " out of " &amp; B86, "—")</x:f>
      </x:c>
      <x:c r="D86" s="13">
        <x:f>IFERROR(COUNTIF(INDEX('3D Rendering Services'!$A:$Z, 0, MATCH("Installation", '3D Rendering Services'!$1:$1, 0)), "yes") &amp; " out of " &amp; B86, "—")</x:f>
      </x:c>
      <x:c r="E86" s="13">
        <x:f>IFERROR(COUNTIF(INDEX('3D Rendering Services'!$A:$Z, 0, MATCH("Import", '3D Rendering Services'!$1:$1, 0)), "yes") &amp; " out of " &amp; B86, "—")</x:f>
      </x:c>
      <x:c r="F86" s="13">
        <x:f>IFERROR(COUNTIF(INDEX('3D Rendering Services'!$A:$Z, 0, MATCH("Local Supply", '3D Rendering Services'!$1:$1, 0)), "yes") &amp; " out of " &amp; B86, "—")</x:f>
      </x:c>
      <x:c r="G86" s="13">
        <x:f>IFERROR(COUNTIF(INDEX('3D Rendering Services'!$A:$Z, 0, MATCH("Delivery", '3D Rendering Services'!$1:$1, 0)), "yes") &amp; " out of " &amp; B86, "—")</x:f>
      </x:c>
    </x:row>
    <x:row r="87" spans="1:7" s="1" customFormat="1">
      <x:c r="A87" s="14">
        <x:f>HYPERLINK("#'Sign Makers'!A1", "Sign Makers")</x:f>
      </x:c>
      <x:c r="B87" s="15">
        <x:f>COUNTA('Sign Makers'!A:A)-1</x:f>
      </x:c>
      <x:c r="C87" s="15">
        <x:f>IFERROR(COUNTIF(INDEX('Sign Makers'!$A:$Z, 0, MATCH("Physical Store", 'Sign Makers'!$1:$1, 0)), "yes") &amp; " out of " &amp; B87, "—")</x:f>
      </x:c>
      <x:c r="D87" s="15">
        <x:f>IFERROR(COUNTIF(INDEX('Sign Makers'!$A:$Z, 0, MATCH("Installation", 'Sign Makers'!$1:$1, 0)), "yes") &amp; " out of " &amp; B87, "—")</x:f>
      </x:c>
      <x:c r="E87" s="15">
        <x:f>IFERROR(COUNTIF(INDEX('Sign Makers'!$A:$Z, 0, MATCH("Import", 'Sign Makers'!$1:$1, 0)), "yes") &amp; " out of " &amp; B87, "—")</x:f>
      </x:c>
      <x:c r="F87" s="15">
        <x:f>IFERROR(COUNTIF(INDEX('Sign Makers'!$A:$Z, 0, MATCH("Local Supply", 'Sign Makers'!$1:$1, 0)), "yes") &amp; " out of " &amp; B87, "—")</x:f>
      </x:c>
      <x:c r="G87" s="15">
        <x:f>IFERROR(COUNTIF(INDEX('Sign Makers'!$A:$Z, 0, MATCH("Delivery", 'Sign Makers'!$1:$1, 0)), "yes") &amp; " out of " &amp; B87, "—")</x:f>
      </x:c>
    </x:row>
    <x:row r="88" spans="1:7" s="4" customFormat="1">
      <x:c r="A88" s="16">
        <x:f>HYPERLINK("#'Stone suppliers'!A1", "Stone suppliers")</x:f>
      </x:c>
      <x:c r="B88" s="17">
        <x:f>COUNTA('Stone suppliers'!A:A)-1</x:f>
      </x:c>
      <x:c r="C88" s="17">
        <x:f>IFERROR(COUNTIF(INDEX('Stone suppliers'!$A:$Z, 0, MATCH("Physical Store", 'Stone suppliers'!$1:$1, 0)), "yes") &amp; " out of " &amp; B88, "—")</x:f>
      </x:c>
      <x:c r="D88" s="17">
        <x:f>IFERROR(COUNTIF(INDEX('Stone suppliers'!$A:$Z, 0, MATCH("Installation", 'Stone suppliers'!$1:$1, 0)), "yes") &amp; " out of " &amp; B88, "—")</x:f>
      </x:c>
      <x:c r="E88" s="17">
        <x:f>IFERROR(COUNTIF(INDEX('Stone suppliers'!$A:$Z, 0, MATCH("Import", 'Stone suppliers'!$1:$1, 0)), "yes") &amp; " out of " &amp; B88, "—")</x:f>
      </x:c>
      <x:c r="F88" s="17">
        <x:f>IFERROR(COUNTIF(INDEX('Stone suppliers'!$A:$Z, 0, MATCH("Local Supply", 'Stone suppliers'!$1:$1, 0)), "yes") &amp; " out of " &amp; B88, "—")</x:f>
      </x:c>
      <x:c r="G88" s="17">
        <x:f>IFERROR(COUNTIF(INDEX('Stone suppliers'!$A:$Z, 0, MATCH("Delivery", 'Stone suppliers'!$1:$1, 0)), "yes") &amp; " out of " &amp; B88, "—")</x:f>
      </x:c>
    </x:row>
    <x:row r="89" spans="1:7" s="3" customFormat="1">
      <x:c r="A89" s="12">
        <x:f>HYPERLINK("#'Plasterers'!A1", "Plasterers")</x:f>
      </x:c>
      <x:c r="B89" s="13">
        <x:f>COUNTA('Plasterers'!A:A)-1</x:f>
      </x:c>
      <x:c r="C89" s="13">
        <x:f>IFERROR(COUNTIF(INDEX('Plasterers'!$A:$Z, 0, MATCH("Physical Store", 'Plasterers'!$1:$1, 0)), "yes") &amp; " out of " &amp; B89, "—")</x:f>
      </x:c>
      <x:c r="D89" s="13">
        <x:f>IFERROR(COUNTIF(INDEX('Plasterers'!$A:$Z, 0, MATCH("Installation", 'Plasterers'!$1:$1, 0)), "yes") &amp; " out of " &amp; B89, "—")</x:f>
      </x:c>
      <x:c r="E89" s="13">
        <x:f>IFERROR(COUNTIF(INDEX('Plasterers'!$A:$Z, 0, MATCH("Import", 'Plasterers'!$1:$1, 0)), "yes") &amp; " out of " &amp; B89, "—")</x:f>
      </x:c>
      <x:c r="F89" s="13">
        <x:f>IFERROR(COUNTIF(INDEX('Plasterers'!$A:$Z, 0, MATCH("Local Supply", 'Plasterers'!$1:$1, 0)), "yes") &amp; " out of " &amp; B89, "—")</x:f>
      </x:c>
      <x:c r="G89" s="13">
        <x:f>IFERROR(COUNTIF(INDEX('Plasterers'!$A:$Z, 0, MATCH("Delivery", 'Plasterers'!$1:$1, 0)), "yes") &amp; " out of " &amp; B89, "—")</x:f>
      </x:c>
    </x:row>
    <x:row r="90" spans="1:7" s="1" customFormat="1">
      <x:c r="A90" s="14">
        <x:f>HYPERLINK("#'Microcement'!A1", "Microcement")</x:f>
      </x:c>
      <x:c r="B90" s="15">
        <x:f>COUNTA('Microcement'!A:A)-1</x:f>
      </x:c>
      <x:c r="C90" s="15">
        <x:f>IFERROR(COUNTIF(INDEX('Microcement'!$A:$Z, 0, MATCH("Physical Store", 'Microcement'!$1:$1, 0)), "yes") &amp; " out of " &amp; B90, "—")</x:f>
      </x:c>
      <x:c r="D90" s="15">
        <x:f>IFERROR(COUNTIF(INDEX('Microcement'!$A:$Z, 0, MATCH("Installation", 'Microcement'!$1:$1, 0)), "yes") &amp; " out of " &amp; B90, "—")</x:f>
      </x:c>
      <x:c r="E90" s="15">
        <x:f>IFERROR(COUNTIF(INDEX('Microcement'!$A:$Z, 0, MATCH("Import", 'Microcement'!$1:$1, 0)), "yes") &amp; " out of " &amp; B90, "—")</x:f>
      </x:c>
      <x:c r="F90" s="15">
        <x:f>IFERROR(COUNTIF(INDEX('Microcement'!$A:$Z, 0, MATCH("Local Supply", 'Microcement'!$1:$1, 0)), "yes") &amp; " out of " &amp; B90, "—")</x:f>
      </x:c>
      <x:c r="G90" s="15">
        <x:f>IFERROR(COUNTIF(INDEX('Microcement'!$A:$Z, 0, MATCH("Delivery", 'Microcement'!$1:$1, 0)), "yes") &amp; " out of " &amp; B90, "—")</x:f>
      </x:c>
    </x:row>
    <x:row r="91" spans="1:7" s="4" customFormat="1">
      <x:c r="A91" s="16">
        <x:f>HYPERLINK("#'Insulation'!A1", "Insulation")</x:f>
      </x:c>
      <x:c r="B91" s="17">
        <x:f>COUNTA('Insulation'!A:A)-1</x:f>
      </x:c>
      <x:c r="C91" s="17">
        <x:f>IFERROR(COUNTIF(INDEX('Insulation'!$A:$Z, 0, MATCH("Physical Store", 'Insulation'!$1:$1, 0)), "yes") &amp; " out of " &amp; B91, "—")</x:f>
      </x:c>
      <x:c r="D91" s="17">
        <x:f>IFERROR(COUNTIF(INDEX('Insulation'!$A:$Z, 0, MATCH("Installation", 'Insulation'!$1:$1, 0)), "yes") &amp; " out of " &amp; B91, "—")</x:f>
      </x:c>
      <x:c r="E91" s="17">
        <x:f>IFERROR(COUNTIF(INDEX('Insulation'!$A:$Z, 0, MATCH("Import", 'Insulation'!$1:$1, 0)), "yes") &amp; " out of " &amp; B91, "—")</x:f>
      </x:c>
      <x:c r="F91" s="17">
        <x:f>IFERROR(COUNTIF(INDEX('Insulation'!$A:$Z, 0, MATCH("Local Supply", 'Insulation'!$1:$1, 0)), "yes") &amp; " out of " &amp; B91, "—")</x:f>
      </x:c>
      <x:c r="G91" s="17">
        <x:f>IFERROR(COUNTIF(INDEX('Insulation'!$A:$Z, 0, MATCH("Delivery", 'Insulation'!$1:$1, 0)), "yes") &amp; " out of " &amp; B91, "—")</x:f>
      </x:c>
    </x:row>
    <x:row r="92" spans="1:7" s="3" customFormat="1">
      <x:c r="A92" s="12">
        <x:f>HYPERLINK("#'Metal works '!A1", "Metal works ")</x:f>
      </x:c>
      <x:c r="B92" s="13">
        <x:f>COUNTA('Metal works '!A:A)-1</x:f>
      </x:c>
      <x:c r="C92" s="13">
        <x:f>IFERROR(COUNTIF(INDEX('Metal works '!$A:$Z, 0, MATCH("Physical Store", 'Metal works '!$1:$1, 0)), "yes") &amp; " out of " &amp; B92, "—")</x:f>
      </x:c>
      <x:c r="D92" s="13">
        <x:f>IFERROR(COUNTIF(INDEX('Metal works '!$A:$Z, 0, MATCH("Installation", 'Metal works '!$1:$1, 0)), "yes") &amp; " out of " &amp; B92, "—")</x:f>
      </x:c>
      <x:c r="E92" s="13">
        <x:f>IFERROR(COUNTIF(INDEX('Metal works '!$A:$Z, 0, MATCH("Import", 'Metal works '!$1:$1, 0)), "yes") &amp; " out of " &amp; B92, "—")</x:f>
      </x:c>
      <x:c r="F92" s="13">
        <x:f>IFERROR(COUNTIF(INDEX('Metal works '!$A:$Z, 0, MATCH("Local Supply", 'Metal works '!$1:$1, 0)), "yes") &amp; " out of " &amp; B92, "—")</x:f>
      </x:c>
      <x:c r="G92" s="13">
        <x:f>IFERROR(COUNTIF(INDEX('Metal works '!$A:$Z, 0, MATCH("Delivery", 'Metal works '!$1:$1, 0)), "yes") &amp; " out of " &amp; B92, "—")</x:f>
      </x:c>
    </x:row>
    <x:row r="93" spans="1:7" s="1" customFormat="1">
      <x:c r="A93" s="14">
        <x:f>HYPERLINK("#'Glass'!A1", "Glass")</x:f>
      </x:c>
      <x:c r="B93" s="15">
        <x:f>COUNTA('Glass'!A:A)-1</x:f>
      </x:c>
      <x:c r="C93" s="15">
        <x:f>IFERROR(COUNTIF(INDEX('Glass'!$A:$Z, 0, MATCH("Physical Store", 'Glass'!$1:$1, 0)), "yes") &amp; " out of " &amp; B93, "—")</x:f>
      </x:c>
      <x:c r="D93" s="15">
        <x:f>IFERROR(COUNTIF(INDEX('Glass'!$A:$Z, 0, MATCH("Installation", 'Glass'!$1:$1, 0)), "yes") &amp; " out of " &amp; B93, "—")</x:f>
      </x:c>
      <x:c r="E93" s="15">
        <x:f>IFERROR(COUNTIF(INDEX('Glass'!$A:$Z, 0, MATCH("Import", 'Glass'!$1:$1, 0)), "yes") &amp; " out of " &amp; B93, "—")</x:f>
      </x:c>
      <x:c r="F93" s="15">
        <x:f>IFERROR(COUNTIF(INDEX('Glass'!$A:$Z, 0, MATCH("Local Supply", 'Glass'!$1:$1, 0)), "yes") &amp; " out of " &amp; B93, "—")</x:f>
      </x:c>
      <x:c r="G93" s="15">
        <x:f>IFERROR(COUNTIF(INDEX('Glass'!$A:$Z, 0, MATCH("Delivery", 'Glass'!$1:$1, 0)), "yes") &amp; " out of " &amp; B93, "—")</x:f>
      </x:c>
    </x:row>
    <x:row r="94" spans="1:7" s="4" customFormat="1">
      <x:c r="A94" s="16">
        <x:f>HYPERLINK("#'Wood working'!A1", "Wood working")</x:f>
      </x:c>
      <x:c r="B94" s="17">
        <x:f>COUNTA('Wood working'!A:A)-1</x:f>
      </x:c>
      <x:c r="C94" s="17">
        <x:f>IFERROR(COUNTIF(INDEX('Wood working'!$A:$Z, 0, MATCH("Physical Store", 'Wood working'!$1:$1, 0)), "yes") &amp; " out of " &amp; B94, "—")</x:f>
      </x:c>
      <x:c r="D94" s="17">
        <x:f>IFERROR(COUNTIF(INDEX('Wood working'!$A:$Z, 0, MATCH("Installation", 'Wood working'!$1:$1, 0)), "yes") &amp; " out of " &amp; B94, "—")</x:f>
      </x:c>
      <x:c r="E94" s="17">
        <x:f>IFERROR(COUNTIF(INDEX('Wood working'!$A:$Z, 0, MATCH("Import", 'Wood working'!$1:$1, 0)), "yes") &amp; " out of " &amp; B94, "—")</x:f>
      </x:c>
      <x:c r="F94" s="17">
        <x:f>IFERROR(COUNTIF(INDEX('Wood working'!$A:$Z, 0, MATCH("Local Supply", 'Wood working'!$1:$1, 0)), "yes") &amp; " out of " &amp; B94, "—")</x:f>
      </x:c>
      <x:c r="G94" s="17">
        <x:f>IFERROR(COUNTIF(INDEX('Wood working'!$A:$Z, 0, MATCH("Delivery", 'Wood working'!$1:$1, 0)), "yes") &amp; " out of " &amp; B94, "—")</x:f>
      </x:c>
    </x:row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  <x:row r="231" spans="1:7" s="1" customFormat="1"/>
    <x:row r="232" spans="1:7" s="4" customFormat="1"/>
    <x:row r="233" spans="1:7" s="3" customFormat="1"/>
    <x:row r="234" spans="1:7" s="1" customFormat="1"/>
    <x:row r="235" spans="1:7" s="4" customFormat="1"/>
    <x:row r="236" spans="1:7" s="3" customFormat="1"/>
    <x:row r="237" spans="1:7" s="1" customFormat="1"/>
    <x:row r="238" spans="1:7" s="4" customFormat="1"/>
    <x:row r="239" spans="1:7" s="3" customFormat="1"/>
    <x:row r="240" spans="1:7" s="1" customFormat="1"/>
    <x:row r="241" spans="1:7" s="4" customFormat="1"/>
    <x:row r="242" spans="1:7" s="3" customFormat="1"/>
    <x:row r="243" spans="1:7" s="1" customFormat="1"/>
    <x:row r="244" spans="1:7" s="4" customFormat="1"/>
    <x:row r="245" spans="1:7" s="3" customFormat="1"/>
    <x:row r="246" spans="1:7" s="1" customFormat="1"/>
    <x:row r="247" spans="1:7" s="4" customFormat="1"/>
    <x:row r="248" spans="1:7" s="3" customFormat="1"/>
    <x:row r="249" spans="1:7" s="1" customFormat="1"/>
    <x:row r="250" spans="1:7" s="4" customFormat="1"/>
    <x:row r="251" spans="1:7" s="3" customFormat="1"/>
    <x:row r="252" spans="1:7" s="1" customFormat="1"/>
    <x:row r="253" spans="1:7" s="4" customFormat="1"/>
    <x:row r="254" spans="1:7" s="3" customFormat="1"/>
    <x:row r="255" spans="1:7" s="1" customFormat="1"/>
    <x:row r="256" spans="1:7" s="4" customFormat="1"/>
    <x:row r="257" spans="1:7" s="3" customFormat="1"/>
    <x:row r="258" spans="1:7" s="1" customFormat="1"/>
    <x:row r="259" spans="1:7" s="4" customFormat="1"/>
    <x:row r="260" spans="1:7" s="3" customFormat="1"/>
    <x:row r="261" spans="1:7" s="1" customFormat="1"/>
    <x:row r="262" spans="1:7" s="4" customFormat="1"/>
    <x:row r="263" spans="1:7" s="3" customFormat="1"/>
    <x:row r="264" spans="1:7" s="1" customFormat="1"/>
    <x:row r="265" spans="1:7" s="4" customFormat="1"/>
    <x:row r="266" spans="1:7" s="3" customFormat="1"/>
    <x:row r="267" spans="1:7" s="1" customFormat="1"/>
    <x:row r="268" spans="1:7" s="4" customFormat="1"/>
    <x:row r="269" spans="1:7" s="3" customFormat="1"/>
    <x:row r="270" spans="1:7" s="1" customFormat="1"/>
    <x:row r="271" spans="1:7" s="4" customFormat="1"/>
    <x:row r="272" spans="1:7" s="3" customFormat="1"/>
    <x:row r="273" spans="1:7" s="1" customFormat="1"/>
    <x:row r="274" spans="1:7" s="4" customFormat="1"/>
    <x:row r="275" spans="1:7" s="3" customFormat="1"/>
    <x:row r="276" spans="1:7" s="1" customFormat="1"/>
    <x:row r="277" spans="1:7" s="4" customFormat="1"/>
    <x:row r="278" spans="1:7" s="3" customFormat="1"/>
    <x:row r="279" spans="1:7" s="1" customFormat="1"/>
    <x:row r="280" spans="1:7" s="4" customFormat="1"/>
    <x:row r="281" spans="1:7" s="3" customFormat="1"/>
    <x:row r="282" spans="1:7" s="1" customFormat="1"/>
    <x:row r="283" spans="1:7" s="4" customFormat="1"/>
    <x:row r="284" spans="1:7" s="3" customFormat="1"/>
    <x:row r="285" spans="1:7" s="1" customFormat="1"/>
    <x:row r="286" spans="1:7" s="4" customFormat="1"/>
    <x:row r="287" spans="1:7" s="3" customFormat="1"/>
    <x:row r="288" spans="1:7" s="1" customFormat="1"/>
    <x:row r="289" spans="1:7" s="4" customFormat="1"/>
    <x:row r="290" spans="1:7" s="3" customFormat="1"/>
    <x:row r="291" spans="1:7" s="1" customFormat="1"/>
    <x:row r="292" spans="1:7" s="4" customFormat="1"/>
    <x:row r="293" spans="1:7" s="3" customFormat="1"/>
    <x:row r="294" spans="1:7" s="1" customFormat="1"/>
    <x:row r="295" spans="1:7" s="4" customFormat="1"/>
    <x:row r="296" spans="1:7" s="3" customFormat="1"/>
    <x:row r="297" spans="1:7" s="1" customFormat="1"/>
    <x:row r="298" spans="1:7" s="4" customFormat="1"/>
    <x:row r="299" spans="1:7" s="3" customFormat="1"/>
    <x:row r="300" spans="1:7" s="1" customFormat="1"/>
    <x:row r="301" spans="1:7" s="4" customFormat="1"/>
    <x:row r="302" spans="1:7" s="3" customFormat="1"/>
    <x:row r="303" spans="1:7" s="1" customFormat="1"/>
    <x:row r="304" spans="1:7" s="4" customFormat="1"/>
    <x:row r="305" spans="1:7" s="3" customFormat="1"/>
    <x:row r="306" spans="1:7" s="1" customFormat="1"/>
    <x:row r="307" spans="1:7" s="4" customFormat="1"/>
    <x:row r="308" spans="1:7" s="3" customFormat="1"/>
    <x:row r="309" spans="1:7" s="1" customFormat="1"/>
    <x:row r="310" spans="1:7" s="4" customFormat="1"/>
    <x:row r="311" spans="1:7" s="3" customFormat="1"/>
    <x:row r="312" spans="1:7" s="1" customFormat="1"/>
    <x:row r="313" spans="1:7" s="4" customFormat="1"/>
    <x:row r="314" spans="1:7" s="3" customFormat="1"/>
    <x:row r="315" spans="1:7" s="1" customFormat="1"/>
    <x:row r="316" spans="1:7" s="4" customFormat="1"/>
    <x:row r="317" spans="1:7" s="3" customFormat="1"/>
    <x:row r="318" spans="1:7" s="1" customFormat="1"/>
    <x:row r="319" spans="1:7" s="4" customFormat="1"/>
    <x:row r="320" spans="1:7" s="3" customFormat="1"/>
    <x:row r="321" spans="1:7" s="1" customFormat="1"/>
    <x:row r="322" spans="1:7" s="4" customFormat="1"/>
    <x:row r="323" spans="1:7" s="3" customFormat="1"/>
    <x:row r="324" spans="1:7" s="1" customFormat="1"/>
    <x:row r="325" spans="1:7" s="4" customFormat="1"/>
    <x:row r="326" spans="1:7" s="3" customFormat="1"/>
    <x:row r="327" spans="1:7" s="1" customFormat="1"/>
    <x:row r="328" spans="1:7" s="4" customFormat="1"/>
    <x:row r="329" spans="1:7" s="3" customFormat="1"/>
    <x:row r="330" spans="1:7" s="1" customFormat="1"/>
    <x:row r="331" spans="1:7" s="4" customFormat="1"/>
    <x:row r="332" spans="1:7" s="3" customFormat="1"/>
    <x:row r="333" spans="1:7" s="1" customFormat="1"/>
    <x:row r="334" spans="1:7" s="4" customFormat="1"/>
    <x:row r="335" spans="1:7" s="3" customFormat="1"/>
    <x:row r="336" spans="1:7" s="1" customFormat="1"/>
    <x:row r="337" spans="1:7" s="4" customFormat="1"/>
    <x:row r="338" spans="1:7" s="3" customFormat="1"/>
    <x:row r="339" spans="1:7" s="1" customFormat="1"/>
    <x:row r="340" spans="1:7" s="4" customFormat="1"/>
    <x:row r="341" spans="1:7" s="3" customFormat="1"/>
    <x:row r="342" spans="1:7" s="1" customFormat="1"/>
    <x:row r="343" spans="1:7" s="4" customFormat="1"/>
    <x:row r="344" spans="1:7" s="3" customFormat="1"/>
    <x:row r="345" spans="1:7" s="1" customFormat="1"/>
    <x:row r="346" spans="1:7" s="4" customFormat="1"/>
    <x:row r="347" spans="1:7" s="3" customFormat="1"/>
    <x:row r="348" spans="1:7" s="1" customFormat="1"/>
    <x:row r="349" spans="1:7" s="4" customFormat="1"/>
    <x:row r="350" spans="1:7" s="3" customFormat="1"/>
    <x:row r="351" spans="1:7" s="1" customFormat="1"/>
    <x:row r="352" spans="1:7" s="4" customFormat="1"/>
    <x:row r="353" spans="1:7" s="3" customFormat="1"/>
    <x:row r="354" spans="1:7" s="1" customFormat="1"/>
    <x:row r="355" spans="1:7" s="4" customFormat="1"/>
    <x:row r="356" spans="1:7" s="3" customFormat="1"/>
    <x:row r="357" spans="1:7" s="1" customFormat="1"/>
    <x:row r="358" spans="1:7" s="4" customFormat="1"/>
    <x:row r="359" spans="1:7" s="3" customFormat="1"/>
    <x:row r="360" spans="1:7" s="1" customFormat="1"/>
    <x:row r="361" spans="1:7" s="4" customFormat="1"/>
    <x:row r="362" spans="1:7" s="3" customFormat="1"/>
    <x:row r="363" spans="1:7" s="1" customFormat="1"/>
    <x:row r="364" spans="1:7" s="4" customFormat="1"/>
    <x:row r="365" spans="1:7" s="3" customFormat="1"/>
    <x:row r="366" spans="1:7" s="1" customFormat="1"/>
    <x:row r="367" spans="1:7" s="4" customFormat="1"/>
    <x:row r="368" spans="1:7" s="3" customFormat="1"/>
    <x:row r="369" spans="1:7" s="1" customFormat="1"/>
    <x:row r="370" spans="1:7" s="4" customFormat="1"/>
    <x:row r="371" spans="1:7" s="3" customFormat="1"/>
    <x:row r="372" spans="1:7" s="1" customFormat="1"/>
    <x:row r="373" spans="1:7" s="4" customFormat="1"/>
    <x:row r="374" spans="1:7" s="3" customFormat="1"/>
    <x:row r="375" spans="1:7" s="1" customFormat="1"/>
    <x:row r="376" spans="1:7" s="4" customFormat="1"/>
    <x:row r="377" spans="1:7" s="3" customFormat="1"/>
    <x:row r="378" spans="1:7" s="1" customFormat="1"/>
    <x:row r="379" spans="1:7" s="4" customFormat="1"/>
    <x:row r="380" spans="1:7" s="3" customFormat="1"/>
    <x:row r="381" spans="1:7" s="1" customFormat="1"/>
    <x:row r="382" spans="1:7" s="4" customFormat="1"/>
    <x:row r="383" spans="1:7" s="3" customFormat="1"/>
    <x:row r="384" spans="1:7" s="1" customFormat="1"/>
    <x:row r="385" spans="1:7" s="4" customFormat="1"/>
    <x:row r="386" spans="1:7" s="3" customFormat="1"/>
    <x:row r="387" spans="1:7" s="1" customFormat="1"/>
    <x:row r="388" spans="1:7" s="4" customFormat="1"/>
    <x:row r="389" spans="1:7" s="3" customFormat="1"/>
    <x:row r="390" spans="1:7" s="1" customFormat="1"/>
    <x:row r="391" spans="1:7" s="4" customFormat="1"/>
    <x:row r="392" spans="1:7" s="3" customFormat="1"/>
    <x:row r="393" spans="1:7" s="1" customFormat="1"/>
    <x:row r="394" spans="1:7" s="4" customFormat="1"/>
    <x:row r="395" spans="1:7" s="3" customFormat="1"/>
    <x:row r="396" spans="1:7" s="1" customFormat="1"/>
    <x:row r="397" spans="1:7" s="4" customFormat="1"/>
    <x:row r="398" spans="1:7" s="3" customFormat="1"/>
    <x:row r="399" spans="1:7" s="1" customFormat="1"/>
    <x:row r="400" spans="1:7" s="4" customFormat="1"/>
    <x:row r="401" spans="1:7" s="3" customFormat="1"/>
    <x:row r="402" spans="1:7" s="1" customFormat="1"/>
    <x:row r="403" spans="1:7" s="4" customFormat="1"/>
    <x:row r="404" spans="1:7" s="3" customFormat="1"/>
    <x:row r="405" spans="1:7" s="1" customFormat="1"/>
    <x:row r="406" spans="1:7" s="4" customFormat="1"/>
    <x:row r="407" spans="1:7" s="3" customFormat="1"/>
    <x:row r="408" spans="1:7" s="1" customFormat="1"/>
    <x:row r="409" spans="1:7" s="4" customFormat="1"/>
    <x:row r="410" spans="1:7" s="3" customFormat="1"/>
    <x:row r="411" spans="1:7" s="1" customFormat="1"/>
    <x:row r="412" spans="1:7" s="4" customFormat="1"/>
    <x:row r="413" spans="1:7" s="3" customFormat="1"/>
    <x:row r="414" spans="1:7" s="1" customFormat="1"/>
    <x:row r="415" spans="1:7" s="4" customFormat="1"/>
    <x:row r="416" spans="1:7" s="3" customFormat="1"/>
    <x:row r="417" spans="1:7" s="1" customFormat="1"/>
    <x:row r="418" spans="1:7" s="4" customFormat="1"/>
    <x:row r="419" spans="1:7" s="3" customFormat="1"/>
    <x:row r="420" spans="1:7" s="1" customFormat="1"/>
    <x:row r="421" spans="1:7" s="4" customFormat="1"/>
    <x:row r="422" spans="1:7" s="3" customFormat="1"/>
    <x:row r="423" spans="1:7" s="1" customFormat="1"/>
    <x:row r="424" spans="1:7" s="4" customFormat="1"/>
    <x:row r="425" spans="1:7" s="3" customFormat="1"/>
    <x:row r="426" spans="1:7" s="1" customFormat="1"/>
    <x:row r="427" spans="1:7" s="4" customFormat="1"/>
    <x:row r="428" spans="1:7" s="3" customFormat="1"/>
    <x:row r="429" spans="1:7" s="1" customFormat="1"/>
    <x:row r="430" spans="1:7" s="4" customFormat="1"/>
    <x:row r="431" spans="1:7" s="3" customFormat="1"/>
    <x:row r="432" spans="1:7" s="1" customFormat="1"/>
    <x:row r="433" spans="1:7" s="4" customFormat="1"/>
    <x:row r="434" spans="1:7" s="3" customFormat="1"/>
    <x:row r="435" spans="1:7" s="1" customFormat="1"/>
    <x:row r="436" spans="1:7" s="4" customFormat="1"/>
    <x:row r="437" spans="1:7" s="3" customFormat="1"/>
    <x:row r="438" spans="1:7" s="1" customFormat="1"/>
    <x:row r="439" spans="1:7" s="4" customFormat="1"/>
    <x:row r="440" spans="1:7" s="3" customFormat="1"/>
    <x:row r="441" spans="1:7" s="1" customFormat="1"/>
    <x:row r="442" spans="1:7" s="4" customFormat="1"/>
    <x:row r="443" spans="1:7" s="3" customFormat="1"/>
    <x:row r="444" spans="1:7" s="1" customFormat="1"/>
    <x:row r="445" spans="1:7" s="4" customFormat="1"/>
    <x:row r="446" spans="1:7" s="3" customFormat="1"/>
    <x:row r="447" spans="1:7" s="1" customFormat="1"/>
    <x:row r="448" spans="1:7" s="4" customFormat="1"/>
    <x:row r="449" spans="1:7" s="3" customFormat="1"/>
    <x:row r="450" spans="1:7" s="1" customFormat="1"/>
    <x:row r="451" spans="1:7" s="4" customFormat="1"/>
    <x:row r="452" spans="1:7" s="3" customFormat="1"/>
    <x:row r="453" spans="1:7" s="1" customFormat="1"/>
    <x:row r="454" spans="1:7" s="4" customFormat="1"/>
    <x:row r="455" spans="1:7" s="3" customFormat="1"/>
    <x:row r="456" spans="1:7" s="1" customFormat="1"/>
    <x:row r="457" spans="1:7" s="4" customFormat="1"/>
    <x:row r="458" spans="1:7" s="3" customFormat="1"/>
    <x:row r="459" spans="1:7" s="1" customFormat="1"/>
    <x:row r="460" spans="1:7" s="4" customFormat="1"/>
    <x:row r="461" spans="1:7" s="3" customFormat="1"/>
    <x:row r="462" spans="1:7" s="1" customFormat="1"/>
    <x:row r="463" spans="1:7" s="4" customFormat="1"/>
    <x:row r="464" spans="1:7" s="3" customFormat="1"/>
    <x:row r="465" spans="1:7" s="1" customFormat="1"/>
    <x:row r="466" spans="1:7" s="4" customFormat="1"/>
    <x:row r="467" spans="1:7" s="3" customFormat="1"/>
    <x:row r="468" spans="1:7" s="1" customFormat="1"/>
    <x:row r="469" spans="1:7" s="4" customFormat="1"/>
    <x:row r="470" spans="1:7" s="3" customFormat="1"/>
    <x:row r="471" spans="1:7" s="1" customFormat="1"/>
    <x:row r="472" spans="1:7" s="4" customFormat="1"/>
    <x:row r="473" spans="1:7" s="3" customFormat="1"/>
    <x:row r="474" spans="1:7" s="1" customFormat="1"/>
    <x:row r="475" spans="1:7" s="4" customFormat="1"/>
    <x:row r="476" spans="1:7" s="3" customFormat="1"/>
    <x:row r="477" spans="1:7" s="1" customFormat="1"/>
    <x:row r="478" spans="1:7" s="4" customFormat="1"/>
    <x:row r="479" spans="1:7" s="3" customFormat="1"/>
    <x:row r="480" spans="1:7" s="1" customFormat="1"/>
    <x:row r="481" spans="1:7" s="4" customFormat="1"/>
    <x:row r="482" spans="1:7" s="3" customFormat="1"/>
    <x:row r="483" spans="1:7" s="1" customFormat="1"/>
    <x:row r="484" spans="1:7" s="4" customFormat="1"/>
    <x:row r="485" spans="1:7" s="3" customFormat="1"/>
    <x:row r="486" spans="1:7" s="1" customFormat="1"/>
    <x:row r="487" spans="1:7" s="4" customFormat="1"/>
    <x:row r="488" spans="1:7" s="3" customFormat="1"/>
    <x:row r="489" spans="1:7" s="1" customFormat="1"/>
    <x:row r="490" spans="1:7" s="4" customFormat="1"/>
    <x:row r="491" spans="1:7" s="3" customFormat="1"/>
    <x:row r="492" spans="1:7" s="1" customFormat="1"/>
    <x:row r="493" spans="1:7" s="4" customFormat="1"/>
    <x:row r="494" spans="1:7" s="3" customFormat="1"/>
    <x:row r="495" spans="1:7" s="1" customFormat="1"/>
    <x:row r="496" spans="1:7" s="4" customFormat="1"/>
    <x:row r="497" spans="1:7" s="3" customFormat="1"/>
    <x:row r="498" spans="1:7" s="1" customFormat="1"/>
    <x:row r="499" spans="1:7" s="4" customFormat="1"/>
    <x:row r="500" spans="1:7" s="3" customFormat="1"/>
    <x:row r="501" spans="1:7" s="1" customFormat="1"/>
    <x:row r="502" spans="1:7" s="4" customFormat="1"/>
    <x:row r="503" spans="1:7" s="3" customFormat="1"/>
    <x:row r="504" spans="1:7" s="1" customFormat="1"/>
    <x:row r="505" spans="1:7" s="4" customFormat="1"/>
    <x:row r="506" spans="1:7" s="3" customFormat="1"/>
    <x:row r="507" spans="1:7" s="1" customFormat="1"/>
    <x:row r="508" spans="1:7" s="4" customFormat="1"/>
    <x:row r="509" spans="1:7" s="3" customFormat="1"/>
    <x:row r="510" spans="1:7" s="1" customFormat="1"/>
    <x:row r="511" spans="1:7" s="4" customFormat="1"/>
    <x:row r="512" spans="1:7" s="3" customFormat="1"/>
    <x:row r="513" spans="1:7" s="1" customFormat="1"/>
    <x:row r="514" spans="1:7" s="4" customFormat="1"/>
    <x:row r="515" spans="1:7" s="3" customFormat="1"/>
    <x:row r="516" spans="1:7" s="1" customFormat="1"/>
    <x:row r="517" spans="1:7" s="4" customFormat="1"/>
    <x:row r="518" spans="1:7" s="3" customFormat="1"/>
    <x:row r="519" spans="1:7" s="1" customFormat="1"/>
    <x:row r="520" spans="1:7" s="4" customFormat="1"/>
    <x:row r="521" spans="1:7" s="3" customFormat="1"/>
    <x:row r="522" spans="1:7" s="1" customFormat="1"/>
    <x:row r="523" spans="1:7" s="4" customFormat="1"/>
    <x:row r="524" spans="1:7" s="3" customFormat="1"/>
    <x:row r="525" spans="1:7" s="1" customFormat="1"/>
    <x:row r="526" spans="1:7" s="4" customFormat="1"/>
    <x:row r="527" spans="1:7" s="3" customFormat="1"/>
    <x:row r="528" spans="1:7" s="1" customFormat="1"/>
    <x:row r="529" spans="1:7" s="4" customFormat="1"/>
    <x:row r="530" spans="1:7" s="3" customFormat="1"/>
    <x:row r="531" spans="1:7" s="1" customFormat="1"/>
    <x:row r="532" spans="1:7" s="4" customFormat="1"/>
    <x:row r="533" spans="1:7" s="3" customFormat="1"/>
    <x:row r="534" spans="1:7" s="1" customFormat="1"/>
    <x:row r="535" spans="1:7" s="4" customFormat="1"/>
    <x:row r="536" spans="1:7" s="3" customFormat="1"/>
    <x:row r="537" spans="1:7" s="1" customFormat="1"/>
    <x:row r="538" spans="1:7" s="4" customFormat="1"/>
    <x:row r="539" spans="1:7" s="3" customFormat="1"/>
    <x:row r="540" spans="1:7" s="1" customFormat="1"/>
    <x:row r="541" spans="1:7" s="4" customFormat="1"/>
    <x:row r="542" spans="1:7" s="3" customFormat="1"/>
    <x:row r="543" spans="1:7" s="1" customFormat="1"/>
    <x:row r="544" spans="1:7" s="4" customFormat="1"/>
    <x:row r="545" spans="1:7" s="3" customFormat="1"/>
    <x:row r="546" spans="1:7" s="1" customFormat="1"/>
    <x:row r="547" spans="1:7" s="4" customFormat="1"/>
    <x:row r="548" spans="1:7" s="3" customFormat="1"/>
    <x:row r="549" spans="1:7" s="1" customFormat="1"/>
    <x:row r="550" spans="1:7" s="4" customFormat="1"/>
    <x:row r="551" spans="1:7" s="3" customFormat="1"/>
    <x:row r="552" spans="1:7" s="1" customFormat="1"/>
    <x:row r="553" spans="1:7" s="4" customFormat="1"/>
    <x:row r="554" spans="1:7" s="3" customFormat="1"/>
    <x:row r="555" spans="1:7" s="1" customFormat="1"/>
    <x:row r="556" spans="1:7" s="4" customFormat="1"/>
    <x:row r="557" spans="1:7" s="3" customFormat="1"/>
    <x:row r="558" spans="1:7" s="1" customFormat="1"/>
    <x:row r="559" spans="1:7" s="4" customFormat="1"/>
    <x:row r="560" spans="1:7" s="3" customFormat="1"/>
    <x:row r="561" spans="1:7" s="1" customFormat="1"/>
    <x:row r="562" spans="1:7" s="4" customFormat="1"/>
    <x:row r="563" spans="1:7" s="3" customFormat="1"/>
    <x:row r="564" spans="1:7" s="1" customFormat="1"/>
    <x:row r="565" spans="1:7" s="4" customFormat="1"/>
    <x:row r="566" spans="1:7" s="3" customFormat="1"/>
    <x:row r="567" spans="1:7" s="1" customFormat="1"/>
    <x:row r="568" spans="1:7" s="4" customFormat="1"/>
    <x:row r="569" spans="1:7" s="3" customFormat="1"/>
    <x:row r="570" spans="1:7" s="1" customFormat="1"/>
    <x:row r="571" spans="1:7" s="4" customFormat="1"/>
    <x:row r="572" spans="1:7" s="3" customFormat="1"/>
    <x:row r="573" spans="1:7" s="1" customFormat="1"/>
    <x:row r="574" spans="1:7" s="4" customFormat="1"/>
    <x:row r="575" spans="1:7" s="3" customFormat="1"/>
    <x:row r="576" spans="1:7" s="1" customFormat="1"/>
    <x:row r="577" spans="1:7" s="4" customFormat="1"/>
    <x:row r="578" spans="1:7" s="3" customFormat="1"/>
    <x:row r="579" spans="1:7" s="1" customFormat="1"/>
    <x:row r="580" spans="1:7" s="4" customFormat="1"/>
    <x:row r="581" spans="1:7" s="3" customFormat="1"/>
    <x:row r="582" spans="1:7" s="1" customFormat="1"/>
    <x:row r="583" spans="1:7" s="4" customFormat="1"/>
    <x:row r="584" spans="1:7" s="3" customFormat="1"/>
    <x:row r="585" spans="1:7" s="1" customFormat="1"/>
    <x:row r="586" spans="1:7" s="4" customFormat="1"/>
    <x:row r="587" spans="1:7" s="3" customFormat="1"/>
    <x:row r="588" spans="1:7" s="1" customFormat="1"/>
    <x:row r="589" spans="1:7" s="4" customFormat="1"/>
    <x:row r="590" spans="1:7" s="3" customFormat="1"/>
    <x:row r="591" spans="1:7" s="1" customFormat="1"/>
    <x:row r="592" spans="1:7" s="4" customFormat="1"/>
    <x:row r="593" spans="1:7" s="3" customFormat="1"/>
    <x:row r="594" spans="1:7" s="1" customFormat="1"/>
    <x:row r="595" spans="1:7" s="4" customFormat="1"/>
    <x:row r="596" spans="1:7" s="3" customFormat="1"/>
    <x:row r="597" spans="1:7" s="1" customFormat="1"/>
    <x:row r="598" spans="1:7" s="4" customFormat="1"/>
    <x:row r="599" spans="1:7" s="3" customFormat="1"/>
    <x:row r="600" spans="1:7" s="1" customFormat="1"/>
    <x:row r="601" spans="1:7" s="4" customFormat="1"/>
    <x:row r="602" spans="1:7" s="3" customFormat="1"/>
    <x:row r="603" spans="1:7" s="1" customFormat="1"/>
    <x:row r="604" spans="1:7" s="4" customFormat="1"/>
    <x:row r="605" spans="1:7" s="3" customFormat="1"/>
    <x:row r="606" spans="1:7" s="1" customFormat="1"/>
    <x:row r="607" spans="1:7" s="4" customFormat="1"/>
    <x:row r="608" spans="1:7" s="3" customFormat="1"/>
    <x:row r="609" spans="1:7" s="1" customFormat="1"/>
    <x:row r="610" spans="1:7" s="4" customFormat="1"/>
    <x:row r="611" spans="1:7" s="3" customFormat="1"/>
    <x:row r="612" spans="1:7" s="1" customFormat="1"/>
    <x:row r="613" spans="1:7" s="4" customFormat="1"/>
    <x:row r="614" spans="1:7" s="3" customFormat="1"/>
    <x:row r="615" spans="1:7" s="1" customFormat="1"/>
    <x:row r="616" spans="1:7" s="4" customFormat="1"/>
    <x:row r="617" spans="1:7" s="3" customFormat="1"/>
    <x:row r="618" spans="1:7" s="1" customFormat="1"/>
    <x:row r="619" spans="1:7" s="4" customFormat="1"/>
    <x:row r="620" spans="1:7" s="3" customFormat="1"/>
    <x:row r="621" spans="1:7" s="1" customFormat="1"/>
    <x:row r="622" spans="1:7" s="4" customFormat="1"/>
    <x:row r="623" spans="1:7" s="3" customFormat="1"/>
    <x:row r="624" spans="1:7" s="1" customFormat="1"/>
    <x:row r="625" spans="1:7" s="4" customFormat="1"/>
    <x:row r="626" spans="1:7" s="3" customFormat="1"/>
    <x:row r="627" spans="1:7" s="1" customFormat="1"/>
    <x:row r="628" spans="1:7" s="4" customFormat="1"/>
    <x:row r="629" spans="1:7" s="3" customFormat="1"/>
    <x:row r="630" spans="1:7" s="1" customFormat="1"/>
    <x:row r="631" spans="1:7" s="4" customFormat="1"/>
    <x:row r="632" spans="1:7" s="3" customFormat="1"/>
    <x:row r="633" spans="1:7" s="1" customFormat="1"/>
    <x:row r="634" spans="1:7" s="4" customFormat="1"/>
    <x:row r="635" spans="1:7" s="3" customFormat="1"/>
    <x:row r="636" spans="1:7" s="1" customFormat="1"/>
    <x:row r="637" spans="1:7" s="4" customFormat="1"/>
    <x:row r="638" spans="1:7" s="3" customFormat="1"/>
    <x:row r="639" spans="1:7" s="1" customFormat="1"/>
    <x:row r="640" spans="1:7" s="4" customFormat="1"/>
    <x:row r="641" spans="1:7" s="3" customFormat="1"/>
    <x:row r="642" spans="1:7" s="1" customFormat="1"/>
    <x:row r="643" spans="1:7" s="4" customFormat="1"/>
    <x:row r="644" spans="1:7" s="3" customFormat="1"/>
    <x:row r="645" spans="1:7" s="1" customFormat="1"/>
    <x:row r="646" spans="1:7" s="4" customFormat="1"/>
    <x:row r="647" spans="1:7" s="3" customFormat="1"/>
    <x:row r="648" spans="1:7" s="1" customFormat="1"/>
    <x:row r="649" spans="1:7" s="4" customFormat="1"/>
    <x:row r="650" spans="1:7" s="3" customFormat="1"/>
    <x:row r="651" spans="1:7" s="1" customFormat="1"/>
    <x:row r="652" spans="1:7" s="4" customFormat="1"/>
    <x:row r="653" spans="1:7" s="3" customFormat="1"/>
    <x:row r="654" spans="1:7" s="1" customFormat="1"/>
    <x:row r="655" spans="1:7" s="4" customFormat="1"/>
    <x:row r="656" spans="1:7" s="3" customFormat="1"/>
    <x:row r="657" spans="1:7" s="1" customFormat="1"/>
    <x:row r="658" spans="1:7" s="4" customFormat="1"/>
    <x:row r="659" spans="1:7" s="3" customFormat="1"/>
    <x:row r="660" spans="1:7" s="1" customFormat="1"/>
    <x:row r="661" spans="1:7" s="4" customFormat="1"/>
    <x:row r="662" spans="1:7" s="3" customFormat="1"/>
    <x:row r="663" spans="1:7" s="1" customFormat="1"/>
    <x:row r="664" spans="1:7" s="4" customFormat="1"/>
    <x:row r="665" spans="1:7" s="3" customFormat="1"/>
    <x:row r="666" spans="1:7" s="1" customFormat="1"/>
    <x:row r="667" spans="1:7" s="4" customFormat="1"/>
    <x:row r="668" spans="1:7" s="3" customFormat="1"/>
    <x:row r="669" spans="1:7" s="1" customFormat="1"/>
    <x:row r="670" spans="1:7" s="4" customFormat="1"/>
    <x:row r="671" spans="1:7" s="3" customFormat="1"/>
    <x:row r="672" spans="1:7" s="1" customFormat="1"/>
    <x:row r="673" spans="1:7" s="4" customFormat="1"/>
    <x:row r="674" spans="1:7" s="3" customFormat="1"/>
    <x:row r="675" spans="1:7" s="1" customFormat="1"/>
    <x:row r="676" spans="1:7" s="4" customFormat="1"/>
    <x:row r="677" spans="1:7" s="3" customFormat="1"/>
    <x:row r="678" spans="1:7" s="1" customFormat="1"/>
    <x:row r="679" spans="1:7" s="4" customFormat="1"/>
    <x:row r="680" spans="1:7" s="3" customFormat="1"/>
    <x:row r="681" spans="1:7" s="1" customFormat="1"/>
    <x:row r="682" spans="1:7" s="4" customFormat="1"/>
    <x:row r="683" spans="1:7" s="3" customFormat="1"/>
    <x:row r="684" spans="1:7" s="1" customFormat="1"/>
    <x:row r="685" spans="1:7" s="4" customFormat="1"/>
    <x:row r="686" spans="1:7" s="3" customFormat="1"/>
    <x:row r="687" spans="1:7" s="1" customFormat="1"/>
    <x:row r="688" spans="1:7" s="4" customFormat="1"/>
    <x:row r="689" spans="1:7" s="3" customFormat="1"/>
    <x:row r="690" spans="1:7" s="1" customFormat="1"/>
    <x:row r="691" spans="1:7" s="4" customFormat="1"/>
    <x:row r="692" spans="1:7" s="3" customFormat="1"/>
    <x:row r="693" spans="1:7" s="1" customFormat="1"/>
    <x:row r="694" spans="1:7" s="4" customFormat="1"/>
    <x:row r="695" spans="1:7" s="3" customFormat="1"/>
    <x:row r="696" spans="1:7" s="1" customFormat="1"/>
    <x:row r="697" spans="1:7" s="4" customFormat="1"/>
    <x:row r="698" spans="1:7" s="3" customFormat="1"/>
    <x:row r="699" spans="1:7" s="1" customFormat="1"/>
    <x:row r="700" spans="1:7" s="4" customFormat="1"/>
    <x:row r="701" spans="1:7" s="3" customFormat="1"/>
    <x:row r="702" spans="1:7" s="1" customFormat="1"/>
    <x:row r="703" spans="1:7" s="4" customFormat="1"/>
    <x:row r="704" spans="1:7" s="3" customFormat="1"/>
    <x:row r="705" spans="1:7" s="1" customFormat="1"/>
    <x:row r="706" spans="1:7" s="4" customFormat="1"/>
    <x:row r="707" spans="1:7" s="3" customFormat="1"/>
    <x:row r="708" spans="1:7" s="1" customFormat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8"/>
  <x:sheetViews>
    <x:sheetView workbookViewId="0"/>
  </x:sheetViews>
  <x:sheetFormatPr defaultRowHeight="15"/>
  <x:cols>
    <x:col min="1" max="1" width="6.282054" style="0" customWidth="1"/>
    <x:col min="2" max="2" width="21.567768" style="0" customWidth="1"/>
    <x:col min="3" max="3" width="31.424911" style="0" customWidth="1"/>
    <x:col min="4" max="4" width="18.710625" style="0" customWidth="1"/>
    <x:col min="5" max="5" width="11.282054" style="0" customWidth="1"/>
    <x:col min="6" max="6" width="98.710625" style="0" customWidth="1"/>
    <x:col min="7" max="7" width="7.567768" style="0" customWidth="1"/>
    <x:col min="8" max="8" width="20.996339" style="0" customWidth="1"/>
  </x:cols>
  <x:sheetData>
    <x:row r="1" spans="1:8" s="2" customFormat="1">
      <x:c r="A1" s="2" t="s">
        <x:v>915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5322</x:v>
      </x:c>
      <x:c r="H1" s="5">
        <x:f>HYPERLINK("#'Summary List'!A2", "Back to Summary")</x:f>
      </x:c>
    </x:row>
    <x:row r="2" spans="1:8" s="3" customFormat="1">
      <x:c r="B2" s="3" t="s">
        <x:v>1</x:v>
      </x:c>
      <x:c r="C2" s="6" t="s">
        <x:v>6</x:v>
      </x:c>
      <x:c r="D2" s="7">
        <x:f>CONCATENATE(HYPERLINK("CALLTO:%2B356%202147%200282", "+356 2147 0282"))</x:f>
      </x:c>
      <x:c r="E2" s="6" t="s">
        <x:v>15</x:v>
      </x:c>
      <x:c r="F2" s="6" t="s">
        <x:v>5238</x:v>
      </x:c>
    </x:row>
    <x:row r="3" spans="1:8" s="1" customFormat="1">
      <x:c r="B3" s="1" t="s">
        <x:v>2</x:v>
      </x:c>
      <x:c r="C3" s="8" t="s">
        <x:v>7</x:v>
      </x:c>
      <x:c r="D3" s="9">
        <x:f>CONCATENATE(HYPERLINK("CALLTO:%2B356%209942%200586", "+356 9942 0586"))</x:f>
      </x:c>
      <x:c r="E3" s="8" t="s">
        <x:v>16</x:v>
      </x:c>
      <x:c r="F3" s="8" t="s">
        <x:v>20</x:v>
      </x:c>
    </x:row>
    <x:row r="4" spans="1:8" s="4" customFormat="1">
      <x:c r="B4" s="4" t="s">
        <x:v>3</x:v>
      </x:c>
      <x:c r="C4" s="10" t="s">
        <x:v>8</x:v>
      </x:c>
      <x:c r="D4" s="11">
        <x:f>CONCATENATE(HYPERLINK("CALLTO:%2B356%202189%208046", "+356 2189 8046"))</x:f>
      </x:c>
      <x:c r="E4" s="10" t="s">
        <x:v>17</x:v>
      </x:c>
      <x:c r="F4" s="10" t="s">
        <x:v>21</x:v>
      </x:c>
    </x:row>
    <x:row r="5" spans="1:8" s="3" customFormat="1">
      <x:c r="B5" s="3" t="s">
        <x:v>4</x:v>
      </x:c>
      <x:c r="C5" s="6" t="s">
        <x:v>9</x:v>
      </x:c>
      <x:c r="D5" s="7">
        <x:f>CONCATENATE(HYPERLINK("CALLTO:%2B356%202148%205748", "+356 2148 5748"))</x:f>
      </x:c>
      <x:c r="E5" s="6" t="s">
        <x:v>18</x:v>
      </x:c>
      <x:c r="F5" s="6" t="s">
        <x:v>22</x:v>
      </x:c>
    </x:row>
    <x:row r="6" spans="1:8" s="1" customFormat="1">
      <x:c r="B6" s="1" t="s">
        <x:v>5</x:v>
      </x:c>
      <x:c r="C6" s="8" t="s">
        <x:v>10</x:v>
      </x:c>
      <x:c r="D6" s="9">
        <x:f>CONCATENATE(HYPERLINK("CALLTO:%2B356%207905%200545", "+356 7905 0545"))</x:f>
      </x:c>
      <x:c r="E6" s="8" t="s">
        <x:v>19</x:v>
      </x:c>
    </x:row>
    <x:row r="7" spans="1:8" s="4" customFormat="1">
      <x:c r="C7" s="10" t="s">
        <x:v>11</x:v>
      </x:c>
    </x:row>
    <x:row r="8" spans="1:8" s="3" customFormat="1">
      <x:c r="C8" s="6" t="s">
        <x:v>12</x:v>
      </x:c>
    </x:row>
    <x:row r="9" spans="1:8" s="1" customFormat="1">
      <x:c r="C9" s="8" t="s">
        <x:v>10</x:v>
      </x:c>
    </x:row>
    <x:row r="10" spans="1:8" s="4" customFormat="1">
      <x:c r="C10" s="10" t="s">
        <x:v>7</x:v>
      </x:c>
    </x:row>
    <x:row r="11" spans="1:8" s="3" customFormat="1">
      <x:c r="C11" s="6" t="s">
        <x:v>13</x:v>
      </x:c>
    </x:row>
    <x:row r="12" spans="1:8" s="1" customFormat="1">
      <x:c r="C12" s="8" t="s">
        <x:v>14</x:v>
      </x:c>
    </x:row>
    <x:row r="13" spans="1:8" s="4" customFormat="1"/>
    <x:row r="14" spans="1:8" s="3" customFormat="1"/>
    <x:row r="15" spans="1:8" s="1" customFormat="1"/>
    <x:row r="16" spans="1:8" s="4" customFormat="1"/>
    <x:row r="17" spans="1:8" s="3" customFormat="1"/>
    <x:row r="18" spans="1:8" s="1" customFormat="1"/>
    <x:row r="19" spans="1:8" s="4" customFormat="1"/>
    <x:row r="20" spans="1:8" s="3" customFormat="1"/>
    <x:row r="21" spans="1:8" s="1" customFormat="1"/>
    <x:row r="22" spans="1:8" s="4" customFormat="1"/>
    <x:row r="23" spans="1:8" s="3" customFormat="1"/>
    <x:row r="24" spans="1:8" s="1" customFormat="1"/>
    <x:row r="25" spans="1:8" s="4" customFormat="1"/>
    <x:row r="26" spans="1:8" s="3" customFormat="1"/>
    <x:row r="27" spans="1:8" s="1" customFormat="1"/>
    <x:row r="28" spans="1:8" s="4" customFormat="1"/>
    <x:row r="29" spans="1:8" s="3" customFormat="1"/>
    <x:row r="30" spans="1:8" s="1" customFormat="1"/>
    <x:row r="31" spans="1:8" s="4" customFormat="1"/>
    <x:row r="32" spans="1:8" s="3" customFormat="1"/>
    <x:row r="33" spans="1:8" s="1" customFormat="1"/>
    <x:row r="34" spans="1:8" s="4" customFormat="1"/>
    <x:row r="35" spans="1:8" s="3" customFormat="1"/>
    <x:row r="36" spans="1:8" s="1" customFormat="1"/>
    <x:row r="37" spans="1:8" s="4" customFormat="1"/>
    <x:row r="38" spans="1:8" s="3" customFormat="1"/>
    <x:row r="39" spans="1:8" s="1" customFormat="1"/>
    <x:row r="40" spans="1:8" s="4" customFormat="1"/>
    <x:row r="41" spans="1:8" s="3" customFormat="1"/>
    <x:row r="42" spans="1:8" s="1" customFormat="1"/>
    <x:row r="43" spans="1:8" s="4" customFormat="1"/>
    <x:row r="44" spans="1:8" s="3" customFormat="1"/>
    <x:row r="45" spans="1:8" s="1" customFormat="1"/>
    <x:row r="46" spans="1:8" s="4" customFormat="1"/>
    <x:row r="47" spans="1:8" s="3" customFormat="1"/>
    <x:row r="48" spans="1:8" s="1" customFormat="1"/>
    <x:row r="49" spans="1:8" s="4" customFormat="1"/>
    <x:row r="50" spans="1:8" s="3" customFormat="1"/>
    <x:row r="51" spans="1:8" s="1" customFormat="1"/>
    <x:row r="52" spans="1:8" s="4" customFormat="1"/>
    <x:row r="53" spans="1:8" s="3" customFormat="1"/>
    <x:row r="54" spans="1:8" s="1" customFormat="1"/>
    <x:row r="55" spans="1:8" s="4" customFormat="1"/>
    <x:row r="56" spans="1:8" s="3" customFormat="1"/>
    <x:row r="57" spans="1:8" s="1" customFormat="1"/>
    <x:row r="58" spans="1:8" s="4" customFormat="1"/>
    <x:row r="59" spans="1:8" s="3" customFormat="1"/>
    <x:row r="60" spans="1:8" s="1" customFormat="1"/>
    <x:row r="61" spans="1:8" s="4" customFormat="1"/>
    <x:row r="62" spans="1:8" s="3" customFormat="1"/>
    <x:row r="63" spans="1:8" s="1" customFormat="1"/>
    <x:row r="64" spans="1:8" s="4" customFormat="1"/>
    <x:row r="65" spans="1:8" s="3" customFormat="1"/>
    <x:row r="66" spans="1:8" s="1" customFormat="1"/>
    <x:row r="67" spans="1:8" s="4" customFormat="1"/>
    <x:row r="68" spans="1:8" s="3" customFormat="1"/>
    <x:row r="69" spans="1:8" s="1" customFormat="1"/>
    <x:row r="70" spans="1:8" s="4" customFormat="1"/>
    <x:row r="71" spans="1:8" s="3" customFormat="1"/>
    <x:row r="72" spans="1:8" s="1" customFormat="1"/>
    <x:row r="73" spans="1:8" s="4" customFormat="1"/>
    <x:row r="74" spans="1:8" s="3" customFormat="1"/>
    <x:row r="75" spans="1:8" s="1" customFormat="1"/>
    <x:row r="76" spans="1:8" s="4" customFormat="1"/>
    <x:row r="77" spans="1:8" s="3" customFormat="1"/>
    <x:row r="78" spans="1:8" s="1" customFormat="1"/>
    <x:row r="79" spans="1:8" s="4" customFormat="1"/>
    <x:row r="80" spans="1:8" s="3" customFormat="1"/>
    <x:row r="81" spans="1:8" s="1" customFormat="1"/>
    <x:row r="82" spans="1:8" s="4" customFormat="1"/>
    <x:row r="83" spans="1:8" s="3" customFormat="1"/>
    <x:row r="84" spans="1:8" s="1" customFormat="1"/>
    <x:row r="85" spans="1:8" s="4" customFormat="1"/>
    <x:row r="86" spans="1:8" s="3" customFormat="1"/>
    <x:row r="87" spans="1:8" s="1" customFormat="1"/>
    <x:row r="88" spans="1:8" s="4" customFormat="1"/>
  </x:sheetData>
  <x:hyperlinks>
    <x:hyperlink ref="C2" r:id="rId98" tooltip="Send a mail to info@micalleffibreglassworks.com"/>
    <x:hyperlink ref="C3" r:id="rId99" tooltip="Send a mail to info@silvercraftltd.com"/>
    <x:hyperlink ref="C4" r:id="rId100" tooltip="Send a mail to etienne@silvercraftltd.com"/>
    <x:hyperlink ref="C5" r:id="rId101" tooltip="Send a mail to angela@silvercraftltd.com"/>
    <x:hyperlink ref="C6" r:id="rId102" tooltip="Send a mail to info@crownfibreglass.com"/>
    <x:hyperlink ref="C7" r:id="rId103" tooltip="Send a mail to info@micallefpools.com"/>
    <x:hyperlink ref="C8" r:id="rId104" tooltip="Send a mail to natasha@glassfibreindustries.net"/>
    <x:hyperlink ref="C9" r:id="rId105" tooltip="Send a mail to info@crownfibreglass.com"/>
    <x:hyperlink ref="C10" r:id="rId106" tooltip="Send a mail to info@silvercraftltd.com"/>
    <x:hyperlink ref="C11" r:id="rId107" tooltip="Send a mail to fashionfibre@hotmail.com"/>
    <x:hyperlink ref="C12" r:id="rId108" tooltip="Send a mail to info@seabravemarine.com"/>
    <x:hyperlink ref="E2" r:id="rId109" tooltip="Search Birkirkara on Google Maps"/>
    <x:hyperlink ref="E3" r:id="rId110" tooltip="Search Zetjun on Google Maps"/>
    <x:hyperlink ref="E4" r:id="rId111" tooltip="Search Marsa on Google Maps"/>
    <x:hyperlink ref="E5" r:id="rId112" tooltip="Search Qormi on Google Maps"/>
    <x:hyperlink ref="E6" r:id="rId113" tooltip="Search Birzebbugia on Google Maps"/>
    <x:hyperlink ref="F2" r:id="rId114" tooltip="Visit glassfibreindustries.net/?utm_source=Yellow&amp;utm_medium=Yellow-Website&amp;utm_campaign=Landing-Page"/>
    <x:hyperlink ref="F3" r:id="rId115" tooltip="Visit crownfibreglass.com/?utm_source=Yellow&amp;utm_medium=Yellow-Website&amp;utm_campaign=Landing-Page"/>
    <x:hyperlink ref="F4" r:id="rId116" tooltip="Visit silvercraftltd.com/?utm_source=Yellow&amp;utm_medium=Yellow-Website&amp;utm_campaign=Landing-Page"/>
    <x:hyperlink ref="F5" r:id="rId117" tooltip="Visit facebook.com/people/Seabrave-Marine/100057368593400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6"/>
  <x:sheetViews>
    <x:sheetView workbookViewId="0"/>
  </x:sheetViews>
  <x:sheetFormatPr defaultRowHeight="15"/>
  <x:cols>
    <x:col min="1" max="1" width="10.567768" style="0" customWidth="1"/>
    <x:col min="2" max="2" width="85.424911" style="0" customWidth="1"/>
    <x:col min="3" max="3" width="28.853482" style="0" customWidth="1"/>
    <x:col min="4" max="4" width="18.710625" style="0" customWidth="1"/>
    <x:col min="5" max="5" width="70.996339" style="0" customWidth="1"/>
    <x:col min="6" max="6" width="33.710625" style="0" customWidth="1"/>
    <x:col min="7" max="7" width="132.567768" style="0" customWidth="1"/>
    <x:col min="8" max="8" width="20.996339" style="0" customWidth="1"/>
  </x:cols>
  <x:sheetData>
    <x:row r="1" spans="1:8" s="2" customFormat="1">
      <x:c r="A1" s="2" t="s">
        <x:v>1947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91</x:v>
      </x:c>
      <x:c r="H1" s="5">
        <x:f>HYPERLINK("#'Summary List'!A3", "Back to Summary")</x:f>
      </x:c>
    </x:row>
    <x:row r="2" spans="1:8" s="3" customFormat="1">
      <x:c r="A2" s="3" t="s">
        <x:v>25</x:v>
      </x:c>
      <x:c r="B2" s="3" t="s">
        <x:v>26</x:v>
      </x:c>
      <x:c r="C2" s="6" t="s">
        <x:v>53</x:v>
      </x:c>
      <x:c r="D2" s="7">
        <x:f>CONCATENATE(HYPERLINK("CALLTO:%2B356%209942%201158", "+356 9942 1158"))</x:f>
      </x:c>
      <x:c r="E2" s="6" t="s">
        <x:v>72</x:v>
      </x:c>
      <x:c r="F2" s="6" t="s">
        <x:v>5239</x:v>
      </x:c>
    </x:row>
    <x:row r="3" spans="1:8" s="1" customFormat="1">
      <x:c r="A3" s="1" t="s">
        <x:v>25</x:v>
      </x:c>
      <x:c r="B3" s="1" t="s">
        <x:v>27</x:v>
      </x:c>
      <x:c r="C3" s="8" t="s">
        <x:v>54</x:v>
      </x:c>
      <x:c r="D3" s="9">
        <x:f>CONCATENATE(HYPERLINK("CALLTO:%2B356%209999%204570", "+356 9999 4570"))</x:f>
      </x:c>
      <x:c r="E3" s="8" t="s">
        <x:v>73</x:v>
      </x:c>
      <x:c r="F3" s="8" t="s">
        <x:v>80</x:v>
      </x:c>
    </x:row>
    <x:row r="4" spans="1:8" s="4" customFormat="1">
      <x:c r="A4" s="4" t="s">
        <x:v>25</x:v>
      </x:c>
      <x:c r="B4" s="4" t="s">
        <x:v>28</x:v>
      </x:c>
      <x:c r="C4" s="10" t="s">
        <x:v>55</x:v>
      </x:c>
      <x:c r="D4" s="11">
        <x:f>CONCATENATE(HYPERLINK("CALLTO:%2B356%202149%208658", "+356 2149 8658"))</x:f>
      </x:c>
      <x:c r="E4" s="10" t="s">
        <x:v>74</x:v>
      </x:c>
      <x:c r="F4" s="10" t="s">
        <x:v>81</x:v>
      </x:c>
    </x:row>
    <x:row r="5" spans="1:8" s="3" customFormat="1">
      <x:c r="A5" s="3" t="s">
        <x:v>25</x:v>
      </x:c>
      <x:c r="B5" s="3" t="s">
        <x:v>29</x:v>
      </x:c>
      <x:c r="C5" s="6" t="s">
        <x:v>56</x:v>
      </x:c>
      <x:c r="D5" s="7">
        <x:f>CONCATENATE(HYPERLINK("CALLTO:%2B356%202143%207403", "+356 2143 7403"))</x:f>
      </x:c>
      <x:c r="E5" s="6" t="s">
        <x:v>75</x:v>
      </x:c>
      <x:c r="F5" s="6" t="s">
        <x:v>83</x:v>
      </x:c>
    </x:row>
    <x:row r="6" spans="1:8" s="1" customFormat="1">
      <x:c r="A6" s="1" t="s">
        <x:v>25</x:v>
      </x:c>
      <x:c r="B6" s="1" t="s">
        <x:v>30</x:v>
      </x:c>
      <x:c r="C6" s="8" t="s">
        <x:v>57</x:v>
      </x:c>
      <x:c r="D6" s="9">
        <x:f>CONCATENATE(HYPERLINK("CALLTO:%2B356%202123%201892", "+356 2123 1892"))</x:f>
      </x:c>
      <x:c r="E6" s="8" t="s">
        <x:v>76</x:v>
      </x:c>
      <x:c r="F6" s="8" t="s">
        <x:v>5240</x:v>
      </x:c>
    </x:row>
    <x:row r="7" spans="1:8" s="4" customFormat="1">
      <x:c r="A7" s="4" t="s">
        <x:v>25</x:v>
      </x:c>
      <x:c r="B7" s="4" t="s">
        <x:v>31</x:v>
      </x:c>
      <x:c r="C7" s="10" t="s">
        <x:v>58</x:v>
      </x:c>
      <x:c r="D7" s="11">
        <x:f>CONCATENATE(HYPERLINK("CALLTO:%2B356%207920%206640", "+356 7920 6640"))</x:f>
      </x:c>
      <x:c r="E7" s="10" t="s">
        <x:v>77</x:v>
      </x:c>
      <x:c r="F7" s="10" t="s">
        <x:v>84</x:v>
      </x:c>
    </x:row>
    <x:row r="8" spans="1:8" s="3" customFormat="1">
      <x:c r="A8" s="3" t="s">
        <x:v>25</x:v>
      </x:c>
      <x:c r="B8" s="3" t="s">
        <x:v>32</x:v>
      </x:c>
      <x:c r="C8" s="6" t="s">
        <x:v>59</x:v>
      </x:c>
      <x:c r="D8" s="7">
        <x:f>CONCATENATE(HYPERLINK("CALLTO:%2B356%209947%206119", "+356 9947 6119"))</x:f>
      </x:c>
      <x:c r="E8" s="6" t="s">
        <x:v>78</x:v>
      </x:c>
      <x:c r="F8" s="6" t="s">
        <x:v>85</x:v>
      </x:c>
    </x:row>
    <x:row r="9" spans="1:8" s="1" customFormat="1">
      <x:c r="A9" s="1" t="s">
        <x:v>25</x:v>
      </x:c>
      <x:c r="B9" s="1" t="s">
        <x:v>33</x:v>
      </x:c>
      <x:c r="C9" s="8" t="s">
        <x:v>60</x:v>
      </x:c>
      <x:c r="D9" s="9">
        <x:f>CONCATENATE(HYPERLINK("CALLTO:%2B356%202767%207822", "+356 2767 7822"))</x:f>
      </x:c>
      <x:c r="E9" s="8" t="s">
        <x:v>79</x:v>
      </x:c>
      <x:c r="F9" s="8" t="s">
        <x:v>86</x:v>
      </x:c>
    </x:row>
    <x:row r="10" spans="1:8" s="4" customFormat="1">
      <x:c r="A10" s="4" t="s">
        <x:v>25</x:v>
      </x:c>
      <x:c r="B10" s="4" t="s">
        <x:v>34</x:v>
      </x:c>
      <x:c r="C10" s="10" t="s">
        <x:v>61</x:v>
      </x:c>
      <x:c r="D10" s="11">
        <x:f>CONCATENATE(HYPERLINK("CALLTO:%2B356%209940%201247", "+356 9940 1247"))</x:f>
      </x:c>
      <x:c r="F10" s="10" t="s">
        <x:v>87</x:v>
      </x:c>
    </x:row>
    <x:row r="11" spans="1:8" s="3" customFormat="1">
      <x:c r="A11" s="3" t="s">
        <x:v>25</x:v>
      </x:c>
      <x:c r="B11" s="3" t="s">
        <x:v>35</x:v>
      </x:c>
      <x:c r="C11" s="6" t="s">
        <x:v>62</x:v>
      </x:c>
      <x:c r="D11" s="7">
        <x:f>CONCATENATE(HYPERLINK("CALLTO:%2B356%207966%207908", "+356 7966 7908"))</x:f>
      </x:c>
      <x:c r="F11" s="6" t="s">
        <x:v>88</x:v>
      </x:c>
    </x:row>
    <x:row r="12" spans="1:8" s="1" customFormat="1">
      <x:c r="A12" s="1" t="s">
        <x:v>25</x:v>
      </x:c>
      <x:c r="B12" s="1" t="s">
        <x:v>36</x:v>
      </x:c>
      <x:c r="C12" s="8" t="s">
        <x:v>64</x:v>
      </x:c>
      <x:c r="D12" s="9">
        <x:f>CONCATENATE(HYPERLINK("CALLTO:%2B356%202137%200404", "+356 2137 0404"))</x:f>
      </x:c>
      <x:c r="F12" s="8" t="s">
        <x:v>5241</x:v>
      </x:c>
    </x:row>
    <x:row r="13" spans="1:8" s="4" customFormat="1">
      <x:c r="A13" s="4" t="s">
        <x:v>25</x:v>
      </x:c>
      <x:c r="B13" s="4" t="s">
        <x:v>37</x:v>
      </x:c>
      <x:c r="C13" s="10" t="s">
        <x:v>63</x:v>
      </x:c>
      <x:c r="F13" s="10" t="s">
        <x:v>5242</x:v>
      </x:c>
    </x:row>
    <x:row r="14" spans="1:8" s="3" customFormat="1">
      <x:c r="A14" s="3" t="s">
        <x:v>25</x:v>
      </x:c>
      <x:c r="B14" s="3" t="s">
        <x:v>38</x:v>
      </x:c>
      <x:c r="C14" s="6" t="s">
        <x:v>65</x:v>
      </x:c>
    </x:row>
    <x:row r="15" spans="1:8" s="1" customFormat="1">
      <x:c r="A15" s="1" t="s">
        <x:v>25</x:v>
      </x:c>
      <x:c r="B15" s="1" t="s">
        <x:v>39</x:v>
      </x:c>
      <x:c r="C15" s="8" t="s">
        <x:v>66</x:v>
      </x:c>
    </x:row>
    <x:row r="16" spans="1:8" s="4" customFormat="1">
      <x:c r="A16" s="4" t="s">
        <x:v>25</x:v>
      </x:c>
      <x:c r="B16" s="4" t="s">
        <x:v>40</x:v>
      </x:c>
      <x:c r="C16" s="10" t="s">
        <x:v>67</x:v>
      </x:c>
    </x:row>
    <x:row r="17" spans="1:8" s="3" customFormat="1">
      <x:c r="A17" s="3" t="s">
        <x:v>25</x:v>
      </x:c>
      <x:c r="B17" s="3" t="s">
        <x:v>41</x:v>
      </x:c>
      <x:c r="C17" s="6" t="s">
        <x:v>68</x:v>
      </x:c>
    </x:row>
    <x:row r="18" spans="1:8" s="1" customFormat="1">
      <x:c r="A18" s="1" t="s">
        <x:v>25</x:v>
      </x:c>
      <x:c r="B18" s="1" t="s">
        <x:v>42</x:v>
      </x:c>
      <x:c r="C18" s="8" t="s">
        <x:v>69</x:v>
      </x:c>
    </x:row>
    <x:row r="19" spans="1:8" s="4" customFormat="1">
      <x:c r="A19" s="4" t="s">
        <x:v>25</x:v>
      </x:c>
      <x:c r="B19" s="4" t="s">
        <x:v>43</x:v>
      </x:c>
      <x:c r="C19" s="10" t="s">
        <x:v>70</x:v>
      </x:c>
    </x:row>
    <x:row r="20" spans="1:8" s="3" customFormat="1">
      <x:c r="A20" s="3" t="s">
        <x:v>25</x:v>
      </x:c>
      <x:c r="B20" s="3" t="s">
        <x:v>44</x:v>
      </x:c>
      <x:c r="C20" s="6" t="s">
        <x:v>71</x:v>
      </x:c>
    </x:row>
    <x:row r="21" spans="1:8" s="1" customFormat="1">
      <x:c r="A21" s="1" t="s">
        <x:v>25</x:v>
      </x:c>
      <x:c r="B21" s="1" t="s">
        <x:v>45</x:v>
      </x:c>
    </x:row>
    <x:row r="22" spans="1:8" s="4" customFormat="1">
      <x:c r="A22" s="4" t="s">
        <x:v>25</x:v>
      </x:c>
      <x:c r="B22" s="4" t="s">
        <x:v>46</x:v>
      </x:c>
    </x:row>
    <x:row r="23" spans="1:8" s="3" customFormat="1">
      <x:c r="B23" s="3" t="s">
        <x:v>47</x:v>
      </x:c>
    </x:row>
    <x:row r="24" spans="1:8" s="1" customFormat="1">
      <x:c r="B24" s="1" t="s">
        <x:v>48</x:v>
      </x:c>
    </x:row>
    <x:row r="25" spans="1:8" s="4" customFormat="1">
      <x:c r="B25" s="4" t="s">
        <x:v>49</x:v>
      </x:c>
    </x:row>
    <x:row r="26" spans="1:8" s="3" customFormat="1">
      <x:c r="B26" s="3" t="s">
        <x:v>50</x:v>
      </x:c>
    </x:row>
    <x:row r="27" spans="1:8" s="1" customFormat="1">
      <x:c r="B27" s="1" t="s">
        <x:v>51</x:v>
      </x:c>
    </x:row>
    <x:row r="28" spans="1:8" s="4" customFormat="1">
      <x:c r="B28" s="4" t="s">
        <x:v>52</x:v>
      </x:c>
    </x:row>
    <x:row r="29" spans="1:8" s="3" customFormat="1"/>
    <x:row r="30" spans="1:8" s="1" customFormat="1"/>
    <x:row r="31" spans="1:8" s="4" customFormat="1"/>
    <x:row r="32" spans="1:8" s="3" customFormat="1"/>
    <x:row r="33" spans="1:8" s="1" customFormat="1"/>
    <x:row r="34" spans="1:8" s="4" customFormat="1"/>
    <x:row r="35" spans="1:8" s="3" customFormat="1"/>
    <x:row r="36" spans="1:8" s="1" customFormat="1"/>
    <x:row r="37" spans="1:8" s="4" customFormat="1"/>
    <x:row r="38" spans="1:8" s="3" customFormat="1"/>
    <x:row r="39" spans="1:8" s="1" customFormat="1"/>
    <x:row r="40" spans="1:8" s="4" customFormat="1"/>
    <x:row r="41" spans="1:8" s="3" customFormat="1"/>
    <x:row r="42" spans="1:8" s="1" customFormat="1"/>
    <x:row r="43" spans="1:8" s="4" customFormat="1"/>
    <x:row r="44" spans="1:8" s="3" customFormat="1"/>
    <x:row r="45" spans="1:8" s="1" customFormat="1"/>
    <x:row r="46" spans="1:8" s="4" customFormat="1"/>
    <x:row r="47" spans="1:8" s="3" customFormat="1"/>
    <x:row r="48" spans="1:8" s="1" customFormat="1"/>
    <x:row r="49" spans="1:8" s="4" customFormat="1"/>
    <x:row r="50" spans="1:8" s="3" customFormat="1"/>
    <x:row r="51" spans="1:8" s="1" customFormat="1"/>
    <x:row r="52" spans="1:8" s="4" customFormat="1"/>
    <x:row r="53" spans="1:8" s="3" customFormat="1"/>
    <x:row r="54" spans="1:8" s="1" customFormat="1"/>
    <x:row r="55" spans="1:8" s="4" customFormat="1"/>
    <x:row r="56" spans="1:8" s="3" customFormat="1"/>
    <x:row r="57" spans="1:8" s="1" customFormat="1"/>
    <x:row r="58" spans="1:8" s="4" customFormat="1"/>
    <x:row r="59" spans="1:8" s="3" customFormat="1"/>
    <x:row r="60" spans="1:8" s="1" customFormat="1"/>
    <x:row r="61" spans="1:8" s="4" customFormat="1"/>
    <x:row r="62" spans="1:8" s="3" customFormat="1"/>
    <x:row r="63" spans="1:8" s="1" customFormat="1"/>
    <x:row r="64" spans="1:8" s="4" customFormat="1"/>
    <x:row r="65" spans="1:8" s="3" customFormat="1"/>
    <x:row r="66" spans="1:8" s="1" customFormat="1"/>
    <x:row r="67" spans="1:8" s="4" customFormat="1"/>
    <x:row r="68" spans="1:8" s="3" customFormat="1"/>
    <x:row r="69" spans="1:8" s="1" customFormat="1"/>
    <x:row r="70" spans="1:8" s="4" customFormat="1"/>
    <x:row r="71" spans="1:8" s="3" customFormat="1"/>
    <x:row r="72" spans="1:8" s="1" customFormat="1"/>
    <x:row r="73" spans="1:8" s="4" customFormat="1"/>
    <x:row r="74" spans="1:8" s="3" customFormat="1"/>
    <x:row r="75" spans="1:8" s="1" customFormat="1"/>
    <x:row r="76" spans="1:8" s="4" customFormat="1"/>
    <x:row r="77" spans="1:8" s="3" customFormat="1"/>
    <x:row r="78" spans="1:8" s="1" customFormat="1"/>
    <x:row r="79" spans="1:8" s="4" customFormat="1"/>
    <x:row r="80" spans="1:8" s="3" customFormat="1"/>
    <x:row r="81" spans="1:8" s="1" customFormat="1"/>
    <x:row r="82" spans="1:8" s="4" customFormat="1"/>
    <x:row r="83" spans="1:8" s="3" customFormat="1"/>
    <x:row r="84" spans="1:8" s="1" customFormat="1"/>
    <x:row r="85" spans="1:8" s="4" customFormat="1"/>
    <x:row r="86" spans="1:8" s="3" customFormat="1"/>
    <x:row r="87" spans="1:8" s="1" customFormat="1"/>
    <x:row r="88" spans="1:8" s="4" customFormat="1"/>
    <x:row r="89" spans="1:8" s="3" customFormat="1"/>
    <x:row r="90" spans="1:8" s="1" customFormat="1"/>
    <x:row r="91" spans="1:8" s="4" customFormat="1"/>
    <x:row r="92" spans="1:8" s="3" customFormat="1"/>
    <x:row r="93" spans="1:8" s="1" customFormat="1"/>
    <x:row r="94" spans="1:8" s="4" customFormat="1"/>
    <x:row r="95" spans="1:8" s="3" customFormat="1"/>
    <x:row r="96" spans="1:8" s="1" customFormat="1"/>
    <x:row r="97" spans="1:8" s="4" customFormat="1"/>
    <x:row r="98" spans="1:8" s="3" customFormat="1"/>
    <x:row r="99" spans="1:8" s="1" customFormat="1"/>
    <x:row r="100" spans="1:8" s="4" customFormat="1"/>
    <x:row r="101" spans="1:8" s="3" customFormat="1"/>
    <x:row r="102" spans="1:8" s="1" customFormat="1"/>
    <x:row r="103" spans="1:8" s="4" customFormat="1"/>
    <x:row r="104" spans="1:8" s="3" customFormat="1"/>
    <x:row r="105" spans="1:8" s="1" customFormat="1"/>
    <x:row r="106" spans="1:8" s="4" customFormat="1"/>
    <x:row r="107" spans="1:8" s="3" customFormat="1"/>
    <x:row r="108" spans="1:8" s="1" customFormat="1"/>
    <x:row r="109" spans="1:8" s="4" customFormat="1"/>
    <x:row r="110" spans="1:8" s="3" customFormat="1"/>
    <x:row r="111" spans="1:8" s="1" customFormat="1"/>
    <x:row r="112" spans="1:8" s="4" customFormat="1"/>
    <x:row r="113" spans="1:8" s="3" customFormat="1"/>
    <x:row r="114" spans="1:8" s="1" customFormat="1"/>
    <x:row r="115" spans="1:8" s="4" customFormat="1"/>
    <x:row r="116" spans="1:8" s="3" customFormat="1"/>
    <x:row r="117" spans="1:8" s="1" customFormat="1"/>
    <x:row r="118" spans="1:8" s="4" customFormat="1"/>
    <x:row r="119" spans="1:8" s="3" customFormat="1"/>
    <x:row r="120" spans="1:8" s="1" customFormat="1"/>
    <x:row r="121" spans="1:8" s="4" customFormat="1"/>
    <x:row r="122" spans="1:8" s="3" customFormat="1"/>
    <x:row r="123" spans="1:8" s="1" customFormat="1"/>
    <x:row r="124" spans="1:8" s="4" customFormat="1"/>
    <x:row r="125" spans="1:8" s="3" customFormat="1"/>
    <x:row r="126" spans="1:8" s="1" customFormat="1"/>
    <x:row r="127" spans="1:8" s="4" customFormat="1"/>
    <x:row r="128" spans="1:8" s="3" customFormat="1"/>
    <x:row r="129" spans="1:8" s="1" customFormat="1"/>
    <x:row r="130" spans="1:8" s="4" customFormat="1"/>
    <x:row r="131" spans="1:8" s="3" customFormat="1"/>
    <x:row r="132" spans="1:8" s="1" customFormat="1"/>
    <x:row r="133" spans="1:8" s="4" customFormat="1"/>
    <x:row r="134" spans="1:8" s="3" customFormat="1"/>
    <x:row r="135" spans="1:8" s="1" customFormat="1"/>
    <x:row r="136" spans="1:8" s="4" customFormat="1"/>
    <x:row r="137" spans="1:8" s="3" customFormat="1"/>
    <x:row r="138" spans="1:8" s="1" customFormat="1"/>
    <x:row r="139" spans="1:8" s="4" customFormat="1"/>
    <x:row r="140" spans="1:8" s="3" customFormat="1"/>
    <x:row r="141" spans="1:8" s="1" customFormat="1"/>
    <x:row r="142" spans="1:8" s="4" customFormat="1"/>
    <x:row r="143" spans="1:8" s="3" customFormat="1"/>
    <x:row r="144" spans="1:8" s="1" customFormat="1"/>
    <x:row r="145" spans="1:8" s="4" customFormat="1"/>
    <x:row r="146" spans="1:8" s="3" customFormat="1"/>
    <x:row r="147" spans="1:8" s="1" customFormat="1"/>
    <x:row r="148" spans="1:8" s="4" customFormat="1"/>
    <x:row r="149" spans="1:8" s="3" customFormat="1"/>
    <x:row r="150" spans="1:8" s="1" customFormat="1"/>
    <x:row r="151" spans="1:8" s="4" customFormat="1"/>
    <x:row r="152" spans="1:8" s="3" customFormat="1"/>
    <x:row r="153" spans="1:8" s="1" customFormat="1"/>
    <x:row r="154" spans="1:8" s="4" customFormat="1"/>
    <x:row r="155" spans="1:8" s="3" customFormat="1"/>
    <x:row r="156" spans="1:8" s="1" customFormat="1"/>
  </x:sheetData>
  <x:hyperlinks>
    <x:hyperlink ref="C2" r:id="rId118" tooltip="Send a mail to econovamalta@gmail.com"/>
    <x:hyperlink ref="C3" r:id="rId119" tooltip="Send a mail to info@hvacsupplies.eu"/>
    <x:hyperlink ref="C4" r:id="rId120" tooltip="Send a mail to info@cutrico.com"/>
    <x:hyperlink ref="C5" r:id="rId121" tooltip="Send a mail to dpcomfortek@gmail.com"/>
    <x:hyperlink ref="C6" r:id="rId122" tooltip="Send a mail to info@bezzbros.com"/>
    <x:hyperlink ref="C7" r:id="rId123" tooltip="Send a mail to info@cdinstallations.com.mt"/>
    <x:hyperlink ref="C8" r:id="rId124" tooltip="Send a mail to energexservices@gmail.com"/>
    <x:hyperlink ref="C9" r:id="rId125" tooltip="Send a mail to info@cooltekservices.com.mt"/>
    <x:hyperlink ref="C10" r:id="rId126" tooltip="Send a mail to rosamonddesira@gmail.com"/>
    <x:hyperlink ref="C11" r:id="rId127" tooltip="Send a mail to info@ceinstallations.com.mt"/>
    <x:hyperlink ref="C12" r:id="rId128" tooltip="Send a mail to info@weduct.com.mt"/>
    <x:hyperlink ref="C13" r:id="rId129" tooltip="Send a mail to projects@proklimamalta.com"/>
    <x:hyperlink ref="C14" r:id="rId130" tooltip="Send a mail to sales@midea.mt"/>
    <x:hyperlink ref="C15" r:id="rId131" tooltip="Send a mail to webshop@calleja.com.mt"/>
    <x:hyperlink ref="C16" r:id="rId132" tooltip="Send a mail to sales@tabonedirect.com"/>
    <x:hyperlink ref="C17" r:id="rId133" tooltip="Send a mail to info@geoholistic.com"/>
    <x:hyperlink ref="C18" r:id="rId134" tooltip="Send a mail to sales@thetccgroup.org"/>
    <x:hyperlink ref="C19" r:id="rId135" tooltip="Send a mail to sales@mff-isl.com"/>
    <x:hyperlink ref="C20" r:id="rId136" tooltip="Send a mail to afenech@smarteffects.com.mt"/>
    <x:hyperlink ref="E2" r:id="rId137" tooltip="Search 50, Triq Salvu Psaila, Birkirkara, Malta, BKR9072 on Google Maps"/>
    <x:hyperlink ref="E3" r:id="rId138" tooltip="Search Triq Ħal Luqa, Qormi, QRM 9070, Malta on Google Maps"/>
    <x:hyperlink ref="E4" r:id="rId139" tooltip="Search Cutrico Ltd,&#10;Mriehel By-pass, Mriehel,&#10;Malta on Google Maps"/>
    <x:hyperlink ref="E5" r:id="rId140" tooltip="Search 94 Triq wied hal-Balzan, Balzan, Malta on Google Maps"/>
    <x:hyperlink ref="E6" r:id="rId141" tooltip="Search Aldo Moro Rd., Marsa, Malta, MRS9065 on Google Maps"/>
    <x:hyperlink ref="E7" r:id="rId142" tooltip="Search 28, Triq Borg, Fleur-De-Lys, Birkirkara, BKR 4963 on Google Maps"/>
    <x:hyperlink ref="E8" r:id="rId143" tooltip="Search Garage V15 Warehouse First Floor, Binja San Guzepp Haddiem Triq Indri Psaila&#10;Qormi on Google Maps"/>
    <x:hyperlink ref="E9" r:id="rId144" tooltip="Search Geo Holistic Co. Ltd.&#10;G1, Five Star Business Park,&#10;Triq il-Belt Valletta,&#10;Ghaxaq on Google Maps"/>
    <x:hyperlink ref="F2" r:id="rId145" tooltip="Visit facebook.com/econovamalta/"/>
    <x:hyperlink ref="F3" r:id="rId146" tooltip="Visit hvacsupplies.eu/about-us/"/>
    <x:hyperlink ref="F4" r:id="rId147" tooltip="Visit cutrico.com/en/home.htm"/>
    <x:hyperlink ref="F5" r:id="rId148" tooltip="Visit comfortek.mt"/>
    <x:hyperlink ref="F6" r:id="rId149" tooltip="Visit bezzbros.com/"/>
    <x:hyperlink ref="F7" r:id="rId150" tooltip="Visit cdinstallations.com.mt/"/>
    <x:hyperlink ref="F8" r:id="rId151" tooltip="Visit cooltekservices.com.mt/contact-us/"/>
    <x:hyperlink ref="F9" r:id="rId152" tooltip="Visit ceinstallations.com.mt/"/>
    <x:hyperlink ref="F10" r:id="rId153" tooltip="Visit proklimamalta.com/"/>
    <x:hyperlink ref="F11" r:id="rId154" tooltip="Visit midea.mt/contact/"/>
    <x:hyperlink ref="F12" r:id="rId155" tooltip="Visit calleja.com.mt/contact/"/>
    <x:hyperlink ref="F13" r:id="rId156" tooltip="Visit geoholistic.com/ventilation.html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32"/>
  <x:sheetViews>
    <x:sheetView workbookViewId="0"/>
  </x:sheetViews>
  <x:sheetFormatPr defaultRowHeight="15"/>
  <x:cols>
    <x:col min="1" max="1" width="10.710625" style="0" customWidth="1"/>
    <x:col min="2" max="2" width="36.710625" style="0" customWidth="1"/>
    <x:col min="3" max="3" width="35.139196" style="0" customWidth="1"/>
    <x:col min="4" max="4" width="18.710625" style="0" customWidth="1"/>
    <x:col min="5" max="5" width="79.282054" style="0" customWidth="1"/>
    <x:col min="6" max="6" width="24.710625" style="0" customWidth="1"/>
    <x:col min="7" max="7" width="30.139196" style="0" customWidth="1"/>
    <x:col min="8" max="8" width="47.139196" style="0" customWidth="1"/>
    <x:col min="9" max="9" width="20.996339" style="0" customWidth="1"/>
  </x:cols>
  <x:sheetData>
    <x:row r="1" spans="1:9" s="2" customFormat="1">
      <x:c r="A1" s="2" t="s">
        <x:v>915</x:v>
      </x:c>
      <x:c r="B1" s="2" t="s">
        <x:v>24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173</x:v>
      </x:c>
      <x:c r="H1" s="2" t="s">
        <x:v>176</x:v>
      </x:c>
      <x:c r="I1" s="5">
        <x:f>HYPERLINK("#'Summary List'!A4", "Back to Summary")</x:f>
      </x:c>
    </x:row>
    <x:row r="2" spans="1:9" s="3" customFormat="1">
      <x:c r="A2" s="3" t="s">
        <x:v>93</x:v>
      </x:c>
      <x:c r="B2" s="3" t="s">
        <x:v>95</x:v>
      </x:c>
      <x:c r="C2" s="6" t="s">
        <x:v>119</x:v>
      </x:c>
      <x:c r="D2" s="7">
        <x:f>CONCATENATE(HYPERLINK("CALLTO:%2B356%202733%200364", "+356 2733 0364"))</x:f>
      </x:c>
      <x:c r="E2" s="6" t="s">
        <x:v>145</x:v>
      </x:c>
      <x:c r="F2" s="6" t="s">
        <x:v>166</x:v>
      </x:c>
      <x:c r="G2" s="3" t="s">
        <x:v>174</x:v>
      </x:c>
      <x:c r="H2" s="3" t="s">
        <x:v>177</x:v>
      </x:c>
    </x:row>
    <x:row r="3" spans="1:9" s="1" customFormat="1">
      <x:c r="A3" s="1" t="s">
        <x:v>93</x:v>
      </x:c>
      <x:c r="B3" s="1" t="s">
        <x:v>94</x:v>
      </x:c>
      <x:c r="C3" s="8" t="s">
        <x:v>120</x:v>
      </x:c>
      <x:c r="D3" s="9">
        <x:f>CONCATENATE(HYPERLINK("CALLTO:%2B356%207922%201982", "+356 7922 1982"))</x:f>
      </x:c>
      <x:c r="E3" s="8" t="s">
        <x:v>146</x:v>
      </x:c>
      <x:c r="F3" s="8" t="s">
        <x:v>167</x:v>
      </x:c>
      <x:c r="G3" s="1" t="s">
        <x:v>174</x:v>
      </x:c>
      <x:c r="H3" s="1" t="s">
        <x:v>178</x:v>
      </x:c>
    </x:row>
    <x:row r="4" spans="1:9" s="4" customFormat="1">
      <x:c r="A4" s="4" t="s">
        <x:v>93</x:v>
      </x:c>
      <x:c r="B4" s="4" t="s">
        <x:v>96</x:v>
      </x:c>
      <x:c r="C4" s="10" t="s">
        <x:v>121</x:v>
      </x:c>
      <x:c r="D4" s="11">
        <x:f>CONCATENATE(HYPERLINK("CALLTO:%2B356%209965%205581", "+356 9965 5581"))</x:f>
      </x:c>
      <x:c r="E4" s="10" t="s">
        <x:v>147</x:v>
      </x:c>
      <x:c r="F4" s="10" t="s">
        <x:v>5243</x:v>
      </x:c>
      <x:c r="G4" s="4" t="s">
        <x:v>174</x:v>
      </x:c>
      <x:c r="H4" s="4" t="s">
        <x:v>179</x:v>
      </x:c>
    </x:row>
    <x:row r="5" spans="1:9" s="3" customFormat="1">
      <x:c r="A5" s="3" t="s">
        <x:v>93</x:v>
      </x:c>
      <x:c r="B5" s="3" t="s">
        <x:v>97</x:v>
      </x:c>
      <x:c r="C5" s="6" t="s">
        <x:v>122</x:v>
      </x:c>
      <x:c r="D5" s="7">
        <x:f>CONCATENATE(HYPERLINK("CALLTO:%2B356%207713%201210", "+356 7713 1210"))</x:f>
      </x:c>
      <x:c r="E5" s="6" t="s">
        <x:v>148</x:v>
      </x:c>
      <x:c r="F5" s="3" t="s">
        <x:v>144</x:v>
      </x:c>
      <x:c r="G5" s="3" t="s">
        <x:v>174</x:v>
      </x:c>
      <x:c r="H5" s="3" t="s">
        <x:v>180</x:v>
      </x:c>
    </x:row>
    <x:row r="6" spans="1:9" s="1" customFormat="1">
      <x:c r="A6" s="1" t="s">
        <x:v>93</x:v>
      </x:c>
      <x:c r="B6" s="1" t="s">
        <x:v>98</x:v>
      </x:c>
      <x:c r="C6" s="8" t="s">
        <x:v>123</x:v>
      </x:c>
      <x:c r="D6" s="9">
        <x:f>CONCATENATE(HYPERLINK("CALLTO:%2B356%209911%201247", "+356 9911 1247"))</x:f>
      </x:c>
      <x:c r="E6" s="8" t="s">
        <x:v>149</x:v>
      </x:c>
      <x:c r="F6" s="1" t="s">
        <x:v>144</x:v>
      </x:c>
      <x:c r="G6" s="1" t="s">
        <x:v>175</x:v>
      </x:c>
    </x:row>
    <x:row r="7" spans="1:9" s="4" customFormat="1">
      <x:c r="A7" s="4" t="s">
        <x:v>93</x:v>
      </x:c>
      <x:c r="B7" s="4" t="s">
        <x:v>99</x:v>
      </x:c>
      <x:c r="C7" s="10" t="s">
        <x:v>124</x:v>
      </x:c>
      <x:c r="D7" s="11">
        <x:f>CONCATENATE(HYPERLINK("CALLTO:%2B356%202152%209528", "+356 2152 9528"))</x:f>
      </x:c>
      <x:c r="E7" s="10" t="s">
        <x:v>150</x:v>
      </x:c>
      <x:c r="F7" s="10" t="s">
        <x:v>168</x:v>
      </x:c>
      <x:c r="G7" s="4" t="s">
        <x:v>174</x:v>
      </x:c>
    </x:row>
    <x:row r="8" spans="1:9" s="3" customFormat="1">
      <x:c r="A8" s="3" t="s">
        <x:v>93</x:v>
      </x:c>
      <x:c r="B8" s="3" t="s">
        <x:v>100</x:v>
      </x:c>
      <x:c r="C8" s="6" t="s">
        <x:v>125</x:v>
      </x:c>
      <x:c r="D8" s="7">
        <x:f>CONCATENATE(HYPERLINK("CALLTO:%2B356%209947%205511", "+356 9947 5511"))</x:f>
      </x:c>
      <x:c r="E8" s="6" t="s">
        <x:v>151</x:v>
      </x:c>
      <x:c r="F8" s="3" t="s">
        <x:v>144</x:v>
      </x:c>
      <x:c r="G8" s="3" t="s">
        <x:v>175</x:v>
      </x:c>
    </x:row>
    <x:row r="9" spans="1:9" s="1" customFormat="1">
      <x:c r="A9" s="1" t="s">
        <x:v>93</x:v>
      </x:c>
      <x:c r="B9" s="1" t="s">
        <x:v>101</x:v>
      </x:c>
      <x:c r="C9" s="8" t="s">
        <x:v>126</x:v>
      </x:c>
      <x:c r="D9" s="9">
        <x:f>CONCATENATE(HYPERLINK("CALLTO:%2B356%209958%200909", "+356 9958 0909"))</x:f>
      </x:c>
      <x:c r="E9" s="8" t="s">
        <x:v>152</x:v>
      </x:c>
      <x:c r="F9" s="8" t="s">
        <x:v>169</x:v>
      </x:c>
      <x:c r="G9" s="1" t="s">
        <x:v>174</x:v>
      </x:c>
    </x:row>
    <x:row r="10" spans="1:9" s="4" customFormat="1">
      <x:c r="A10" s="4" t="s">
        <x:v>93</x:v>
      </x:c>
      <x:c r="B10" s="4" t="s">
        <x:v>102</x:v>
      </x:c>
      <x:c r="C10" s="10" t="s">
        <x:v>127</x:v>
      </x:c>
      <x:c r="D10" s="11">
        <x:f>CONCATENATE(HYPERLINK("CALLTO:%2B356%207709%208188", "+356 7709 8188"))</x:f>
      </x:c>
      <x:c r="E10" s="10" t="s">
        <x:v>153</x:v>
      </x:c>
      <x:c r="F10" s="4" t="s">
        <x:v>144</x:v>
      </x:c>
      <x:c r="G10" s="4" t="s">
        <x:v>175</x:v>
      </x:c>
    </x:row>
    <x:row r="11" spans="1:9" s="3" customFormat="1">
      <x:c r="A11" s="3" t="s">
        <x:v>93</x:v>
      </x:c>
      <x:c r="B11" s="3" t="s">
        <x:v>103</x:v>
      </x:c>
      <x:c r="C11" s="6" t="s">
        <x:v>128</x:v>
      </x:c>
      <x:c r="D11" s="7">
        <x:f>CONCATENATE(HYPERLINK("CALLTO:%2B356%207929%209918", "+356 7929 9918"))</x:f>
      </x:c>
      <x:c r="E11" s="6" t="s">
        <x:v>154</x:v>
      </x:c>
      <x:c r="F11" s="3" t="s">
        <x:v>144</x:v>
      </x:c>
      <x:c r="G11" s="3" t="s">
        <x:v>175</x:v>
      </x:c>
    </x:row>
    <x:row r="12" spans="1:9" s="1" customFormat="1">
      <x:c r="A12" s="1" t="s">
        <x:v>93</x:v>
      </x:c>
      <x:c r="B12" s="1" t="s">
        <x:v>104</x:v>
      </x:c>
      <x:c r="C12" s="1" t="s">
        <x:v>129</x:v>
      </x:c>
      <x:c r="D12" s="9">
        <x:f>CONCATENATE(HYPERLINK("CALLTO:%2B356%207900%200000", "+356 7900 0000"))</x:f>
      </x:c>
      <x:c r="E12" s="8" t="s">
        <x:v>155</x:v>
      </x:c>
      <x:c r="F12" s="8" t="s">
        <x:v>170</x:v>
      </x:c>
      <x:c r="G12" s="1" t="s">
        <x:v>174</x:v>
      </x:c>
    </x:row>
    <x:row r="13" spans="1:9" s="4" customFormat="1">
      <x:c r="A13" s="4" t="s">
        <x:v>93</x:v>
      </x:c>
      <x:c r="B13" s="4" t="s">
        <x:v>105</x:v>
      </x:c>
      <x:c r="C13" s="10" t="s">
        <x:v>130</x:v>
      </x:c>
      <x:c r="D13" s="11">
        <x:f>CONCATENATE(HYPERLINK("CALLTO:%2B356%202733%200364", "+356 2733 0364"))</x:f>
      </x:c>
      <x:c r="E13" s="10" t="s">
        <x:v>145</x:v>
      </x:c>
      <x:c r="F13" s="10" t="s">
        <x:v>166</x:v>
      </x:c>
      <x:c r="G13" s="4" t="s">
        <x:v>174</x:v>
      </x:c>
    </x:row>
    <x:row r="14" spans="1:9" s="3" customFormat="1">
      <x:c r="A14" s="3" t="s">
        <x:v>93</x:v>
      </x:c>
      <x:c r="B14" s="3" t="s">
        <x:v>106</x:v>
      </x:c>
      <x:c r="C14" s="6" t="s">
        <x:v>131</x:v>
      </x:c>
      <x:c r="D14" s="7">
        <x:f>CONCATENATE(HYPERLINK("CALLTO:%2B356%209907%204325", "+356 9907 4325"))</x:f>
      </x:c>
      <x:c r="E14" s="6" t="s">
        <x:v>156</x:v>
      </x:c>
      <x:c r="F14" s="3" t="s">
        <x:v>144</x:v>
      </x:c>
      <x:c r="G14" s="3" t="s">
        <x:v>175</x:v>
      </x:c>
    </x:row>
    <x:row r="15" spans="1:9" s="1" customFormat="1">
      <x:c r="A15" s="1" t="s">
        <x:v>93</x:v>
      </x:c>
      <x:c r="B15" s="1" t="s">
        <x:v>107</x:v>
      </x:c>
      <x:c r="C15" s="8" t="s">
        <x:v>132</x:v>
      </x:c>
      <x:c r="D15" s="9">
        <x:f>CONCATENATE(HYPERLINK("CALLTO:%2B356%207944%202574", "+356 7944 2574"))</x:f>
      </x:c>
      <x:c r="E15" s="8" t="s">
        <x:v>149</x:v>
      </x:c>
      <x:c r="F15" s="1" t="s">
        <x:v>144</x:v>
      </x:c>
      <x:c r="G15" s="1" t="s">
        <x:v>175</x:v>
      </x:c>
    </x:row>
    <x:row r="16" spans="1:9" s="4" customFormat="1">
      <x:c r="A16" s="4" t="s">
        <x:v>93</x:v>
      </x:c>
      <x:c r="B16" s="4" t="s">
        <x:v>108</x:v>
      </x:c>
      <x:c r="C16" s="10" t="s">
        <x:v>133</x:v>
      </x:c>
      <x:c r="D16" s="11">
        <x:f>CONCATENATE(HYPERLINK("CALLTO:%2B356%207982%207981", "+356 7982 7981"))</x:f>
      </x:c>
      <x:c r="E16" s="10" t="s">
        <x:v>157</x:v>
      </x:c>
      <x:c r="F16" s="4" t="s">
        <x:v>144</x:v>
      </x:c>
      <x:c r="G16" s="4" t="s">
        <x:v>175</x:v>
      </x:c>
    </x:row>
    <x:row r="17" spans="1:9" s="3" customFormat="1">
      <x:c r="A17" s="3" t="s">
        <x:v>93</x:v>
      </x:c>
      <x:c r="B17" s="3" t="s">
        <x:v>109</x:v>
      </x:c>
      <x:c r="C17" s="6" t="s">
        <x:v>134</x:v>
      </x:c>
      <x:c r="D17" s="7">
        <x:f>CONCATENATE(HYPERLINK("CALLTO:%2B356%207777%209098", "+356 7777 9098"))</x:f>
      </x:c>
      <x:c r="E17" s="6" t="s">
        <x:v>158</x:v>
      </x:c>
      <x:c r="F17" s="3" t="s">
        <x:v>144</x:v>
      </x:c>
      <x:c r="G17" s="3" t="s">
        <x:v>174</x:v>
      </x:c>
    </x:row>
    <x:row r="18" spans="1:9" s="1" customFormat="1">
      <x:c r="A18" s="1" t="s">
        <x:v>93</x:v>
      </x:c>
      <x:c r="B18" s="1" t="s">
        <x:v>111</x:v>
      </x:c>
      <x:c r="C18" s="8" t="s">
        <x:v>135</x:v>
      </x:c>
      <x:c r="D18" s="9">
        <x:f>CONCATENATE(HYPERLINK("CALLTO:%2B356%207905%205452", "+356 7905 5452"))</x:f>
      </x:c>
      <x:c r="E18" s="8" t="s">
        <x:v>159</x:v>
      </x:c>
      <x:c r="F18" s="1" t="s">
        <x:v>144</x:v>
      </x:c>
      <x:c r="G18" s="1" t="s">
        <x:v>175</x:v>
      </x:c>
    </x:row>
    <x:row r="19" spans="1:9" s="4" customFormat="1">
      <x:c r="A19" s="4" t="s">
        <x:v>93</x:v>
      </x:c>
      <x:c r="B19" s="4" t="s">
        <x:v>110</x:v>
      </x:c>
      <x:c r="C19" s="10" t="s">
        <x:v>136</x:v>
      </x:c>
      <x:c r="D19" s="11">
        <x:f>CONCATENATE(HYPERLINK("CALLTO:%2B356%207999%203858", "+356 7999 3858"))</x:f>
      </x:c>
      <x:c r="E19" s="10" t="s">
        <x:v>160</x:v>
      </x:c>
      <x:c r="F19" s="4" t="s">
        <x:v>144</x:v>
      </x:c>
      <x:c r="G19" s="4" t="s">
        <x:v>175</x:v>
      </x:c>
    </x:row>
    <x:row r="20" spans="1:9" s="3" customFormat="1">
      <x:c r="A20" s="3" t="s">
        <x:v>93</x:v>
      </x:c>
      <x:c r="B20" s="3" t="s">
        <x:v>112</x:v>
      </x:c>
      <x:c r="C20" s="6" t="s">
        <x:v>137</x:v>
      </x:c>
      <x:c r="D20" s="7">
        <x:f>CONCATENATE(HYPERLINK("CALLTO:%2B356%202765%206533", "+356 2765 6533"))</x:f>
      </x:c>
      <x:c r="E20" s="6" t="s">
        <x:v>161</x:v>
      </x:c>
      <x:c r="F20" s="6" t="s">
        <x:v>171</x:v>
      </x:c>
      <x:c r="G20" s="3" t="s">
        <x:v>174</x:v>
      </x:c>
    </x:row>
    <x:row r="21" spans="1:9" s="1" customFormat="1">
      <x:c r="A21" s="1" t="s">
        <x:v>93</x:v>
      </x:c>
      <x:c r="B21" s="1" t="s">
        <x:v>113</x:v>
      </x:c>
      <x:c r="C21" s="8" t="s">
        <x:v>138</x:v>
      </x:c>
      <x:c r="D21" s="9">
        <x:f>CONCATENATE(HYPERLINK("CALLTO:%2B356%209982%205505", "+356 9982 5505"))</x:f>
      </x:c>
      <x:c r="E21" s="8" t="s">
        <x:v>162</x:v>
      </x:c>
      <x:c r="F21" s="1" t="s">
        <x:v>144</x:v>
      </x:c>
      <x:c r="G21" s="1" t="s">
        <x:v>175</x:v>
      </x:c>
    </x:row>
    <x:row r="22" spans="1:9" s="4" customFormat="1">
      <x:c r="A22" s="4" t="s">
        <x:v>93</x:v>
      </x:c>
      <x:c r="B22" s="4" t="s">
        <x:v>114</x:v>
      </x:c>
      <x:c r="C22" s="10" t="s">
        <x:v>139</x:v>
      </x:c>
      <x:c r="D22" s="11">
        <x:f>CONCATENATE(HYPERLINK("CALLTO:%2B356%207905%201396", "+356 7905 1396"))</x:f>
      </x:c>
      <x:c r="E22" s="10" t="s">
        <x:v>153</x:v>
      </x:c>
      <x:c r="F22" s="4" t="s">
        <x:v>144</x:v>
      </x:c>
      <x:c r="G22" s="4" t="s">
        <x:v>175</x:v>
      </x:c>
    </x:row>
    <x:row r="23" spans="1:9" s="3" customFormat="1">
      <x:c r="A23" s="3" t="s">
        <x:v>93</x:v>
      </x:c>
      <x:c r="B23" s="3" t="s">
        <x:v>115</x:v>
      </x:c>
      <x:c r="C23" s="6" t="s">
        <x:v>140</x:v>
      </x:c>
      <x:c r="D23" s="7">
        <x:f>CONCATENATE(HYPERLINK("CALLTO:%2B356%209972%206390", "+356 9972 6390"))</x:f>
      </x:c>
      <x:c r="E23" s="6" t="s">
        <x:v>163</x:v>
      </x:c>
      <x:c r="F23" s="3" t="s">
        <x:v>144</x:v>
      </x:c>
      <x:c r="G23" s="3" t="s">
        <x:v>175</x:v>
      </x:c>
    </x:row>
    <x:row r="24" spans="1:9" s="1" customFormat="1">
      <x:c r="A24" s="1" t="s">
        <x:v>93</x:v>
      </x:c>
      <x:c r="B24" s="1" t="s">
        <x:v>116</x:v>
      </x:c>
      <x:c r="C24" s="8" t="s">
        <x:v>141</x:v>
      </x:c>
      <x:c r="D24" s="1" t="s">
        <x:v>144</x:v>
      </x:c>
      <x:c r="E24" s="8" t="s">
        <x:v>164</x:v>
      </x:c>
      <x:c r="F24" s="8" t="s">
        <x:v>172</x:v>
      </x:c>
      <x:c r="G24" s="1" t="s">
        <x:v>175</x:v>
      </x:c>
    </x:row>
    <x:row r="25" spans="1:9" s="4" customFormat="1">
      <x:c r="A25" s="4" t="s">
        <x:v>93</x:v>
      </x:c>
      <x:c r="B25" s="4" t="s">
        <x:v>117</x:v>
      </x:c>
      <x:c r="C25" s="10" t="s">
        <x:v>142</x:v>
      </x:c>
      <x:c r="D25" s="11">
        <x:f>CONCATENATE(HYPERLINK("CALLTO:%2B356%202702%208282", "+356 2702 8282"))</x:f>
      </x:c>
      <x:c r="E25" s="10" t="s">
        <x:v>165</x:v>
      </x:c>
      <x:c r="F25" s="10" t="s">
        <x:v>5244</x:v>
      </x:c>
      <x:c r="G25" s="4" t="s">
        <x:v>174</x:v>
      </x:c>
    </x:row>
    <x:row r="26" spans="1:9" s="3" customFormat="1">
      <x:c r="A26" s="3" t="s">
        <x:v>93</x:v>
      </x:c>
      <x:c r="B26" s="3" t="s">
        <x:v>118</x:v>
      </x:c>
      <x:c r="C26" s="6" t="s">
        <x:v>143</x:v>
      </x:c>
      <x:c r="D26" s="7">
        <x:f>CONCATENATE(HYPERLINK("CALLTO:%2B356%207928%208241", "+356 7928 8241"))</x:f>
      </x:c>
      <x:c r="E26" s="6" t="s">
        <x:v>149</x:v>
      </x:c>
      <x:c r="F26" s="3" t="s">
        <x:v>144</x:v>
      </x:c>
      <x:c r="G26" s="3" t="s">
        <x:v>174</x:v>
      </x:c>
    </x:row>
    <x:row r="27" spans="1:9" s="1" customFormat="1">
      <x:c r="A27" s="1" t="s">
        <x:v>93</x:v>
      </x:c>
    </x:row>
    <x:row r="28" spans="1:9" s="4" customFormat="1">
      <x:c r="A28" s="4" t="s">
        <x:v>93</x:v>
      </x:c>
    </x:row>
    <x:row r="29" spans="1:9" s="3" customFormat="1">
      <x:c r="A29" s="3" t="s">
        <x:v>93</x:v>
      </x:c>
    </x:row>
    <x:row r="30" spans="1:9" s="1" customFormat="1">
      <x:c r="A30" s="1" t="s">
        <x:v>93</x:v>
      </x:c>
    </x:row>
    <x:row r="31" spans="1:9" s="4" customFormat="1">
      <x:c r="A31" s="4" t="s">
        <x:v>93</x:v>
      </x:c>
    </x:row>
    <x:row r="32" spans="1:9" s="3" customFormat="1">
      <x:c r="A32" s="3" t="s">
        <x:v>93</x:v>
      </x:c>
    </x:row>
    <x:row r="33" spans="1:9" s="1" customFormat="1">
      <x:c r="A33" s="1" t="s">
        <x:v>93</x:v>
      </x:c>
    </x:row>
    <x:row r="34" spans="1:9" s="4" customFormat="1">
      <x:c r="A34" s="4" t="s">
        <x:v>93</x:v>
      </x:c>
    </x:row>
    <x:row r="35" spans="1:9" s="3" customFormat="1">
      <x:c r="A35" s="3" t="s">
        <x:v>93</x:v>
      </x:c>
    </x:row>
    <x:row r="36" spans="1:9" s="1" customFormat="1">
      <x:c r="A36" s="1" t="s">
        <x:v>93</x:v>
      </x:c>
    </x:row>
    <x:row r="37" spans="1:9" s="4" customFormat="1"/>
    <x:row r="38" spans="1:9" s="3" customFormat="1"/>
    <x:row r="39" spans="1:9" s="1" customFormat="1"/>
    <x:row r="40" spans="1:9" s="4" customFormat="1"/>
    <x:row r="41" spans="1:9" s="3" customFormat="1"/>
    <x:row r="42" spans="1:9" s="1" customFormat="1"/>
    <x:row r="43" spans="1:9" s="4" customFormat="1"/>
    <x:row r="44" spans="1:9" s="3" customFormat="1"/>
    <x:row r="45" spans="1:9" s="1" customFormat="1"/>
    <x:row r="46" spans="1:9" s="4" customFormat="1"/>
    <x:row r="47" spans="1:9" s="3" customFormat="1"/>
    <x:row r="48" spans="1:9" s="1" customFormat="1"/>
    <x:row r="49" spans="1:9" s="4" customFormat="1"/>
    <x:row r="50" spans="1:9" s="3" customFormat="1"/>
    <x:row r="51" spans="1:9" s="1" customFormat="1"/>
    <x:row r="52" spans="1:9" s="4" customFormat="1"/>
    <x:row r="53" spans="1:9" s="3" customFormat="1"/>
    <x:row r="54" spans="1:9" s="1" customFormat="1"/>
    <x:row r="55" spans="1:9" s="4" customFormat="1"/>
    <x:row r="56" spans="1:9" s="3" customFormat="1"/>
    <x:row r="57" spans="1:9" s="1" customFormat="1"/>
    <x:row r="58" spans="1:9" s="4" customFormat="1"/>
    <x:row r="59" spans="1:9" s="3" customFormat="1"/>
    <x:row r="60" spans="1:9" s="1" customFormat="1"/>
    <x:row r="61" spans="1:9" s="4" customFormat="1"/>
    <x:row r="62" spans="1:9" s="3" customFormat="1"/>
    <x:row r="63" spans="1:9" s="1" customFormat="1"/>
    <x:row r="64" spans="1:9" s="4" customFormat="1"/>
    <x:row r="65" spans="1:9" s="3" customFormat="1"/>
    <x:row r="66" spans="1:9" s="1" customFormat="1"/>
    <x:row r="67" spans="1:9" s="4" customFormat="1"/>
    <x:row r="68" spans="1:9" s="3" customFormat="1"/>
    <x:row r="69" spans="1:9" s="1" customFormat="1"/>
    <x:row r="70" spans="1:9" s="4" customFormat="1"/>
    <x:row r="71" spans="1:9" s="3" customFormat="1"/>
    <x:row r="72" spans="1:9" s="1" customFormat="1"/>
    <x:row r="73" spans="1:9" s="4" customFormat="1"/>
    <x:row r="74" spans="1:9" s="3" customFormat="1"/>
    <x:row r="75" spans="1:9" s="1" customFormat="1"/>
    <x:row r="76" spans="1:9" s="4" customFormat="1"/>
    <x:row r="77" spans="1:9" s="3" customFormat="1"/>
    <x:row r="78" spans="1:9" s="1" customFormat="1"/>
    <x:row r="79" spans="1:9" s="4" customFormat="1"/>
    <x:row r="80" spans="1:9" s="3" customFormat="1"/>
    <x:row r="81" spans="1:9" s="1" customFormat="1"/>
    <x:row r="82" spans="1:9" s="4" customFormat="1"/>
    <x:row r="83" spans="1:9" s="3" customFormat="1"/>
    <x:row r="84" spans="1:9" s="1" customFormat="1"/>
    <x:row r="85" spans="1:9" s="4" customFormat="1"/>
    <x:row r="86" spans="1:9" s="3" customFormat="1"/>
    <x:row r="87" spans="1:9" s="1" customFormat="1"/>
    <x:row r="88" spans="1:9" s="4" customFormat="1"/>
    <x:row r="89" spans="1:9" s="3" customFormat="1"/>
    <x:row r="90" spans="1:9" s="1" customFormat="1"/>
    <x:row r="91" spans="1:9" s="4" customFormat="1"/>
    <x:row r="92" spans="1:9" s="3" customFormat="1"/>
    <x:row r="93" spans="1:9" s="1" customFormat="1"/>
    <x:row r="94" spans="1:9" s="4" customFormat="1"/>
    <x:row r="95" spans="1:9" s="3" customFormat="1"/>
    <x:row r="96" spans="1:9" s="1" customFormat="1"/>
    <x:row r="97" spans="1:9" s="4" customFormat="1"/>
    <x:row r="98" spans="1:9" s="3" customFormat="1"/>
    <x:row r="99" spans="1:9" s="1" customFormat="1"/>
    <x:row r="100" spans="1:9" s="4" customFormat="1"/>
    <x:row r="101" spans="1:9" s="3" customFormat="1"/>
    <x:row r="102" spans="1:9" s="1" customFormat="1"/>
    <x:row r="103" spans="1:9" s="4" customFormat="1"/>
    <x:row r="104" spans="1:9" s="3" customFormat="1"/>
    <x:row r="105" spans="1:9" s="1" customFormat="1"/>
    <x:row r="106" spans="1:9" s="4" customFormat="1"/>
    <x:row r="107" spans="1:9" s="3" customFormat="1"/>
    <x:row r="108" spans="1:9" s="1" customFormat="1"/>
    <x:row r="109" spans="1:9" s="4" customFormat="1"/>
    <x:row r="110" spans="1:9" s="3" customFormat="1"/>
    <x:row r="111" spans="1:9" s="1" customFormat="1"/>
    <x:row r="112" spans="1:9" s="4" customFormat="1"/>
    <x:row r="113" spans="1:9" s="3" customFormat="1"/>
    <x:row r="114" spans="1:9" s="1" customFormat="1"/>
    <x:row r="115" spans="1:9" s="4" customFormat="1"/>
    <x:row r="116" spans="1:9" s="3" customFormat="1"/>
    <x:row r="117" spans="1:9" s="1" customFormat="1"/>
    <x:row r="118" spans="1:9" s="4" customFormat="1"/>
    <x:row r="119" spans="1:9" s="3" customFormat="1"/>
    <x:row r="120" spans="1:9" s="1" customFormat="1"/>
    <x:row r="121" spans="1:9" s="4" customFormat="1"/>
    <x:row r="122" spans="1:9" s="3" customFormat="1"/>
    <x:row r="123" spans="1:9" s="1" customFormat="1"/>
    <x:row r="124" spans="1:9" s="4" customFormat="1"/>
    <x:row r="125" spans="1:9" s="3" customFormat="1"/>
    <x:row r="126" spans="1:9" s="1" customFormat="1"/>
    <x:row r="127" spans="1:9" s="4" customFormat="1"/>
    <x:row r="128" spans="1:9" s="3" customFormat="1"/>
    <x:row r="129" spans="1:9" s="1" customFormat="1"/>
    <x:row r="130" spans="1:9" s="4" customFormat="1"/>
    <x:row r="131" spans="1:9" s="3" customFormat="1"/>
    <x:row r="132" spans="1:9" s="1" customFormat="1"/>
    <x:row r="133" spans="1:9" s="4" customFormat="1"/>
    <x:row r="134" spans="1:9" s="3" customFormat="1"/>
    <x:row r="135" spans="1:9" s="1" customFormat="1"/>
    <x:row r="136" spans="1:9" s="4" customFormat="1"/>
    <x:row r="137" spans="1:9" s="3" customFormat="1"/>
    <x:row r="138" spans="1:9" s="1" customFormat="1"/>
    <x:row r="139" spans="1:9" s="4" customFormat="1"/>
    <x:row r="140" spans="1:9" s="3" customFormat="1"/>
    <x:row r="141" spans="1:9" s="1" customFormat="1"/>
    <x:row r="142" spans="1:9" s="4" customFormat="1"/>
    <x:row r="143" spans="1:9" s="3" customFormat="1"/>
    <x:row r="144" spans="1:9" s="1" customFormat="1"/>
    <x:row r="145" spans="1:9" s="4" customFormat="1"/>
    <x:row r="146" spans="1:9" s="3" customFormat="1"/>
    <x:row r="147" spans="1:9" s="1" customFormat="1"/>
    <x:row r="148" spans="1:9" s="4" customFormat="1"/>
    <x:row r="149" spans="1:9" s="3" customFormat="1"/>
    <x:row r="150" spans="1:9" s="1" customFormat="1"/>
    <x:row r="151" spans="1:9" s="4" customFormat="1"/>
    <x:row r="152" spans="1:9" s="3" customFormat="1"/>
    <x:row r="153" spans="1:9" s="1" customFormat="1"/>
    <x:row r="154" spans="1:9" s="4" customFormat="1"/>
    <x:row r="155" spans="1:9" s="3" customFormat="1"/>
    <x:row r="156" spans="1:9" s="1" customFormat="1"/>
    <x:row r="157" spans="1:9" s="4" customFormat="1"/>
    <x:row r="158" spans="1:9" s="3" customFormat="1"/>
    <x:row r="159" spans="1:9" s="1" customFormat="1"/>
    <x:row r="160" spans="1:9" s="4" customFormat="1"/>
    <x:row r="161" spans="1:9" s="3" customFormat="1"/>
    <x:row r="162" spans="1:9" s="1" customFormat="1"/>
    <x:row r="163" spans="1:9" s="4" customFormat="1"/>
    <x:row r="164" spans="1:9" s="3" customFormat="1"/>
    <x:row r="165" spans="1:9" s="1" customFormat="1"/>
    <x:row r="166" spans="1:9" s="4" customFormat="1"/>
    <x:row r="167" spans="1:9" s="3" customFormat="1"/>
    <x:row r="168" spans="1:9" s="1" customFormat="1"/>
    <x:row r="169" spans="1:9" s="4" customFormat="1"/>
    <x:row r="170" spans="1:9" s="3" customFormat="1"/>
    <x:row r="171" spans="1:9" s="1" customFormat="1"/>
    <x:row r="172" spans="1:9" s="4" customFormat="1"/>
    <x:row r="173" spans="1:9" s="3" customFormat="1"/>
    <x:row r="174" spans="1:9" s="1" customFormat="1"/>
    <x:row r="175" spans="1:9" s="4" customFormat="1"/>
    <x:row r="176" spans="1:9" s="3" customFormat="1"/>
    <x:row r="177" spans="1:9" s="1" customFormat="1"/>
    <x:row r="178" spans="1:9" s="4" customFormat="1"/>
    <x:row r="179" spans="1:9" s="3" customFormat="1"/>
    <x:row r="180" spans="1:9" s="1" customFormat="1"/>
    <x:row r="181" spans="1:9" s="4" customFormat="1"/>
    <x:row r="182" spans="1:9" s="3" customFormat="1"/>
    <x:row r="183" spans="1:9" s="1" customFormat="1"/>
    <x:row r="184" spans="1:9" s="4" customFormat="1"/>
    <x:row r="185" spans="1:9" s="3" customFormat="1"/>
    <x:row r="186" spans="1:9" s="1" customFormat="1"/>
    <x:row r="187" spans="1:9" s="4" customFormat="1"/>
    <x:row r="188" spans="1:9" s="3" customFormat="1"/>
    <x:row r="189" spans="1:9" s="1" customFormat="1"/>
    <x:row r="190" spans="1:9" s="4" customFormat="1"/>
    <x:row r="191" spans="1:9" s="3" customFormat="1"/>
    <x:row r="192" spans="1:9" s="1" customFormat="1"/>
    <x:row r="193" spans="1:9" s="4" customFormat="1"/>
    <x:row r="194" spans="1:9" s="3" customFormat="1"/>
    <x:row r="195" spans="1:9" s="1" customFormat="1"/>
    <x:row r="196" spans="1:9" s="4" customFormat="1"/>
    <x:row r="197" spans="1:9" s="3" customFormat="1"/>
    <x:row r="198" spans="1:9" s="1" customFormat="1"/>
    <x:row r="199" spans="1:9" s="4" customFormat="1"/>
    <x:row r="200" spans="1:9" s="3" customFormat="1"/>
    <x:row r="201" spans="1:9" s="1" customFormat="1"/>
    <x:row r="202" spans="1:9" s="4" customFormat="1"/>
    <x:row r="203" spans="1:9" s="3" customFormat="1"/>
    <x:row r="204" spans="1:9" s="1" customFormat="1"/>
    <x:row r="205" spans="1:9" s="4" customFormat="1"/>
    <x:row r="206" spans="1:9" s="3" customFormat="1"/>
    <x:row r="207" spans="1:9" s="1" customFormat="1"/>
    <x:row r="208" spans="1:9" s="4" customFormat="1"/>
    <x:row r="209" spans="1:9" s="3" customFormat="1"/>
    <x:row r="210" spans="1:9" s="1" customFormat="1"/>
    <x:row r="211" spans="1:9" s="4" customFormat="1"/>
    <x:row r="212" spans="1:9" s="3" customFormat="1"/>
    <x:row r="213" spans="1:9" s="1" customFormat="1"/>
    <x:row r="214" spans="1:9" s="4" customFormat="1"/>
    <x:row r="215" spans="1:9" s="3" customFormat="1"/>
    <x:row r="216" spans="1:9" s="1" customFormat="1"/>
    <x:row r="217" spans="1:9" s="4" customFormat="1"/>
    <x:row r="218" spans="1:9" s="3" customFormat="1"/>
    <x:row r="219" spans="1:9" s="1" customFormat="1"/>
    <x:row r="220" spans="1:9" s="4" customFormat="1"/>
    <x:row r="221" spans="1:9" s="3" customFormat="1"/>
    <x:row r="222" spans="1:9" s="1" customFormat="1"/>
    <x:row r="223" spans="1:9" s="4" customFormat="1"/>
    <x:row r="224" spans="1:9" s="3" customFormat="1"/>
    <x:row r="225" spans="1:9" s="1" customFormat="1"/>
    <x:row r="226" spans="1:9" s="4" customFormat="1"/>
    <x:row r="227" spans="1:9" s="3" customFormat="1"/>
    <x:row r="228" spans="1:9" s="1" customFormat="1"/>
    <x:row r="229" spans="1:9" s="4" customFormat="1"/>
    <x:row r="230" spans="1:9" s="3" customFormat="1"/>
    <x:row r="231" spans="1:9" s="1" customFormat="1"/>
    <x:row r="232" spans="1:9" s="4" customFormat="1"/>
  </x:sheetData>
  <x:hyperlinks>
    <x:hyperlink ref="C2" r:id="rId157" tooltip="Send a mail to info@mrhandy.mt"/>
    <x:hyperlink ref="C3" r:id="rId158" tooltip="Send a mail to info@ewihomeservices.com"/>
    <x:hyperlink ref="C4" r:id="rId159" tooltip="Send a mail to info@wsinstallations.com"/>
    <x:hyperlink ref="C5" r:id="rId160" tooltip="Send a mail to ilenia@actsmart.com.mt"/>
    <x:hyperlink ref="C6" r:id="rId161" tooltip="Send a mail to kevin.bonnici76@gmail.com"/>
    <x:hyperlink ref="C7" r:id="rId162" tooltip="Send a mail to info@homecaremalta.com"/>
    <x:hyperlink ref="C8" r:id="rId163" tooltip="Send a mail to demicolijo@gmail.com"/>
    <x:hyperlink ref="C9" r:id="rId164" tooltip="Send a mail to nikola.pejovic@nlpforce.com"/>
    <x:hyperlink ref="C10" r:id="rId165" tooltip="Send a mail to schembrijoseph91@gmail.com"/>
    <x:hyperlink ref="C11" r:id="rId166" tooltip="Send a mail to abinstallationsbyformosa@gmail.com"/>
    <x:hyperlink ref="C13" r:id="rId167" tooltip="Send a mail to info@briiz.com.mt"/>
    <x:hyperlink ref="C14" r:id="rId168" tooltip="Send a mail to swiftsolution2025@gmail.com"/>
    <x:hyperlink ref="C15" r:id="rId169" tooltip="Send a mail to tyrone.vassallo01@gmail.com"/>
    <x:hyperlink ref="C16" r:id="rId170" tooltip="Send a mail to jason.cordina79@gmail.com"/>
    <x:hyperlink ref="C17" r:id="rId171" tooltip="Send a mail to ZAGinfo@gmail.com"/>
    <x:hyperlink ref="C18" r:id="rId172" tooltip="Send a mail to clivesammut@hotmail.co.uk"/>
    <x:hyperlink ref="C19" r:id="rId173" tooltip="Send a mail to esteliocini@gmail.com"/>
    <x:hyperlink ref="C20" r:id="rId174" tooltip="Send a mail to gfinstallations@gmail.com"/>
    <x:hyperlink ref="C21" r:id="rId175" tooltip="Send a mail to brifor06@hotmail.com"/>
    <x:hyperlink ref="C22" r:id="rId176" tooltip="Send a mail to gino.bonnici.11@gmail.com"/>
    <x:hyperlink ref="C23" r:id="rId177" tooltip="Send a mail to mb.handymanservice@libero.it"/>
    <x:hyperlink ref="C24" r:id="rId178" tooltip="Send a mail to info@emiliohandyman.com"/>
    <x:hyperlink ref="C25" r:id="rId179" tooltip="Send a mail to Manutek@kompleto.com.mt"/>
    <x:hyperlink ref="C26" r:id="rId180" tooltip="Send a mail to pjhandyman@mail.com"/>
    <x:hyperlink ref="E2" r:id="rId181" tooltip="Search 682, Triq il-Kbira San Ġużepp, Ħamrun, Malta on Google Maps"/>
    <x:hyperlink ref="E3" r:id="rId182" tooltip="Search Registered in Malta (Service area: All Malta, no public storefront) on Google Maps"/>
    <x:hyperlink ref="E4" r:id="rId183" tooltip="Search Triq Ċensu Busuttil, L-Iklin on Google Maps"/>
    <x:hyperlink ref="E5" r:id="rId184" tooltip="Search 58c, Triq Patri Feliċjan Bilocca, Marsa on Google Maps"/>
    <x:hyperlink ref="E6" r:id="rId185" tooltip="Search Registered in Qormi (Mobile contractor, no public storefront) on Google Maps"/>
    <x:hyperlink ref="E7" r:id="rId186" tooltip="Search 881, Triq il-Kbira San Ġużepp, Ħamrun, HMR 1010 on Google Maps"/>
    <x:hyperlink ref="E8" r:id="rId187" tooltip="Search Registered in Mosta (Mobile contractor, no public storefront) on Google Maps"/>
    <x:hyperlink ref="E9" r:id="rId188" tooltip="Search Triq Ġużeppi Xuereb ix-Xhudi, Swatar, Birkirkara on Google Maps"/>
    <x:hyperlink ref="E10" r:id="rId189" tooltip="Search Registered in Żejtun (Mobile contractor, no public storefront) on Google Maps"/>
    <x:hyperlink ref="E11" r:id="rId190" tooltip="Search Registered in Żabbar (Mobile contractor, no public storefront) on Google Maps"/>
    <x:hyperlink ref="E12" r:id="rId191" tooltip="Search 31, Triq il-Merill, Mellieħa, MLH 2572 on Google Maps"/>
    <x:hyperlink ref="E13" r:id="rId192" tooltip="Search 682, Triq il-Kbira San Ġużepp, Ħamrun, Malta on Google Maps"/>
    <x:hyperlink ref="E14" r:id="rId193" tooltip="Search Registered in Mosta (Service area: All Malta, no public storefront) on Google Maps"/>
    <x:hyperlink ref="E15" r:id="rId194" tooltip="Search Registered in Qormi (Mobile contractor, no public storefront) on Google Maps"/>
    <x:hyperlink ref="E16" r:id="rId195" tooltip="Search 176, Triq San Bastjan, Qormi on Google Maps"/>
    <x:hyperlink ref="E17" r:id="rId196" tooltip="Search 373, St Joseph High Street, Mosta on Google Maps"/>
    <x:hyperlink ref="E18" r:id="rId197" tooltip="Search 45, Indri Borg Street, Rabat on Google Maps"/>
    <x:hyperlink ref="E19" r:id="rId198" tooltip="Search 152, St. Peter Paul, Triq il-Kbira, Qormi on Google Maps"/>
    <x:hyperlink ref="E20" r:id="rId199" tooltip="Search Garage 64, Triq is-Sajjied, Qawra, San Pawl il-Baħar on Google Maps"/>
    <x:hyperlink ref="E21" r:id="rId200" tooltip="Search Registered in Tarxien (Mobile contractor, no public storefront) on Google Maps"/>
    <x:hyperlink ref="E22" r:id="rId201" tooltip="Search Registered in Żejtun (Mobile contractor, no public storefront) on Google Maps"/>
    <x:hyperlink ref="E23" r:id="rId202" tooltip="Search Registered in Buġibba / St. Paul's Bay (Mobile contractor, no public storefront) on Google Maps"/>
    <x:hyperlink ref="E24" r:id="rId203" tooltip="Search 17 Madonnina, Triq il-Pluvieri, Gudja (Also lists: Milicent Garage, Triq il-Magħsar, Gudja) on Google Maps"/>
    <x:hyperlink ref="E25" r:id="rId204" tooltip="Search GPL Business Centre, Office 1, Level 2, Sqaq il-Ghadam, Mriehel, BKR3000 on Google Maps"/>
    <x:hyperlink ref="E26" r:id="rId205" tooltip="Search Registered in Qormi (Mobile contractor, no public storefront) on Google Maps"/>
    <x:hyperlink ref="F2" r:id="rId206" tooltip="Visit briiz.com.mt/handyman"/>
    <x:hyperlink ref="F3" r:id="rId207" tooltip="Visit ewihomeservices.com"/>
    <x:hyperlink ref="F4" r:id="rId208" tooltip="Visit wsinstallationsmalta.com/"/>
    <x:hyperlink ref="F7" r:id="rId209" tooltip="Visit homecaremalta.com"/>
    <x:hyperlink ref="F9" r:id="rId210" tooltip="Visit nlpforce.com"/>
    <x:hyperlink ref="F12" r:id="rId211" tooltip="Visit marcovella.com"/>
    <x:hyperlink ref="F13" r:id="rId212" tooltip="Visit briiz.com.mt/handyman"/>
    <x:hyperlink ref="F20" r:id="rId213" tooltip="Visit gfonlinestore.com"/>
    <x:hyperlink ref="F24" r:id="rId214" tooltip="Visit emiliohandyman.com"/>
    <x:hyperlink ref="F25" r:id="rId215" tooltip="Visit kompleto.com.m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0"/>
  <x:sheetViews>
    <x:sheetView workbookViewId="0"/>
  </x:sheetViews>
  <x:sheetFormatPr defaultRowHeight="15"/>
  <x:cols>
    <x:col min="1" max="1" width="9.853482" style="0" customWidth="1"/>
    <x:col min="2" max="2" width="36.282054" style="0" customWidth="1"/>
    <x:col min="3" max="3" width="31.996339" style="0" customWidth="1"/>
    <x:col min="4" max="4" width="18.710625" style="0" customWidth="1"/>
    <x:col min="5" max="5" width="64.710625" style="0" customWidth="1"/>
    <x:col min="6" max="6" width="10.996339" style="0" customWidth="1"/>
    <x:col min="7" max="7" width="30.139196" style="0" customWidth="1"/>
    <x:col min="8" max="8" width="6.567768" style="0" customWidth="1"/>
    <x:col min="9" max="9" width="20.996339" style="0" customWidth="1"/>
  </x:cols>
  <x:sheetData>
    <x:row r="1" spans="1:9" s="2" customFormat="1">
      <x:c r="A1" s="2" t="s">
        <x:v>915</x:v>
      </x:c>
      <x:c r="B1" s="2" t="s">
        <x:v>24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173</x:v>
      </x:c>
      <x:c r="H1" s="2" t="s">
        <x:v>176</x:v>
      </x:c>
      <x:c r="I1" s="5">
        <x:f>HYPERLINK("#'Summary List'!A5", "Back to Summary")</x:f>
      </x:c>
    </x:row>
    <x:row r="2" spans="1:9" s="3" customFormat="1">
      <x:c r="A2" s="3" t="s">
        <x:v>181</x:v>
      </x:c>
      <x:c r="B2" s="3" t="s">
        <x:v>182</x:v>
      </x:c>
      <x:c r="C2" s="6" t="s">
        <x:v>194</x:v>
      </x:c>
      <x:c r="D2" s="7">
        <x:f>CONCATENATE(HYPERLINK("CALLTO:%2B356%207926%202384", "+356 7926 2384"))</x:f>
      </x:c>
      <x:c r="E2" s="6" t="s">
        <x:v>200</x:v>
      </x:c>
      <x:c r="F2" s="3" t="s">
        <x:v>144</x:v>
      </x:c>
      <x:c r="G2" s="3" t="s">
        <x:v>175</x:v>
      </x:c>
    </x:row>
    <x:row r="3" spans="1:9" s="1" customFormat="1">
      <x:c r="A3" s="1" t="s">
        <x:v>181</x:v>
      </x:c>
      <x:c r="B3" s="1" t="s">
        <x:v>183</x:v>
      </x:c>
      <x:c r="C3" s="8" t="s">
        <x:v>195</x:v>
      </x:c>
      <x:c r="D3" s="9">
        <x:f>CONCATENATE(HYPERLINK("CALLTO:%2B356%209948%205960", "+356 9948 5960"))</x:f>
      </x:c>
      <x:c r="E3" s="8" t="s">
        <x:v>201</x:v>
      </x:c>
      <x:c r="F3" s="1" t="s">
        <x:v>144</x:v>
      </x:c>
      <x:c r="G3" s="1" t="s">
        <x:v>175</x:v>
      </x:c>
    </x:row>
    <x:row r="4" spans="1:9" s="4" customFormat="1">
      <x:c r="A4" s="4" t="s">
        <x:v>181</x:v>
      </x:c>
      <x:c r="B4" s="4" t="s">
        <x:v>184</x:v>
      </x:c>
      <x:c r="C4" s="4" t="s">
        <x:v>144</x:v>
      </x:c>
      <x:c r="D4" s="11">
        <x:f>CONCATENATE(HYPERLINK("CALLTO:%2B356%207920%200196", "+356 7920 0196"))</x:f>
      </x:c>
      <x:c r="E4" s="10" t="s">
        <x:v>202</x:v>
      </x:c>
      <x:c r="F4" s="4" t="s">
        <x:v>144</x:v>
      </x:c>
      <x:c r="G4" s="4" t="s">
        <x:v>175</x:v>
      </x:c>
    </x:row>
    <x:row r="5" spans="1:9" s="3" customFormat="1">
      <x:c r="A5" s="3" t="s">
        <x:v>181</x:v>
      </x:c>
      <x:c r="B5" s="3" t="s">
        <x:v>107</x:v>
      </x:c>
      <x:c r="C5" s="6" t="s">
        <x:v>132</x:v>
      </x:c>
      <x:c r="D5" s="7">
        <x:f>CONCATENATE(HYPERLINK("CALLTO:%2B356%207944%202574", "+356 7944 2574"))</x:f>
      </x:c>
      <x:c r="E5" s="6" t="s">
        <x:v>203</x:v>
      </x:c>
      <x:c r="F5" s="3" t="s">
        <x:v>144</x:v>
      </x:c>
      <x:c r="G5" s="3" t="s">
        <x:v>175</x:v>
      </x:c>
    </x:row>
    <x:row r="6" spans="1:9" s="1" customFormat="1">
      <x:c r="A6" s="1" t="s">
        <x:v>181</x:v>
      </x:c>
      <x:c r="B6" s="1" t="s">
        <x:v>185</x:v>
      </x:c>
      <x:c r="C6" s="1" t="s">
        <x:v>144</x:v>
      </x:c>
      <x:c r="D6" s="1" t="s">
        <x:v>144</x:v>
      </x:c>
      <x:c r="E6" s="8" t="s">
        <x:v>204</x:v>
      </x:c>
      <x:c r="F6" s="1" t="s">
        <x:v>144</x:v>
      </x:c>
      <x:c r="G6" s="1" t="s">
        <x:v>175</x:v>
      </x:c>
    </x:row>
    <x:row r="7" spans="1:9" s="4" customFormat="1">
      <x:c r="A7" s="4" t="s">
        <x:v>181</x:v>
      </x:c>
      <x:c r="B7" s="4" t="s">
        <x:v>186</x:v>
      </x:c>
      <x:c r="C7" s="4" t="s">
        <x:v>196</x:v>
      </x:c>
      <x:c r="D7" s="4" t="s">
        <x:v>144</x:v>
      </x:c>
      <x:c r="E7" s="10" t="s">
        <x:v>205</x:v>
      </x:c>
      <x:c r="F7" s="4" t="s">
        <x:v>144</x:v>
      </x:c>
      <x:c r="G7" s="4" t="s">
        <x:v>175</x:v>
      </x:c>
    </x:row>
    <x:row r="8" spans="1:9" s="3" customFormat="1">
      <x:c r="A8" s="3" t="s">
        <x:v>181</x:v>
      </x:c>
      <x:c r="B8" s="3" t="s">
        <x:v>187</x:v>
      </x:c>
      <x:c r="C8" s="3" t="s">
        <x:v>197</x:v>
      </x:c>
      <x:c r="D8" s="3" t="s">
        <x:v>144</x:v>
      </x:c>
      <x:c r="E8" s="6" t="s">
        <x:v>206</x:v>
      </x:c>
      <x:c r="F8" s="3" t="s">
        <x:v>144</x:v>
      </x:c>
      <x:c r="G8" s="3" t="s">
        <x:v>175</x:v>
      </x:c>
    </x:row>
    <x:row r="9" spans="1:9" s="1" customFormat="1">
      <x:c r="A9" s="1" t="s">
        <x:v>181</x:v>
      </x:c>
      <x:c r="B9" s="1" t="s">
        <x:v>188</x:v>
      </x:c>
      <x:c r="C9" s="1" t="s">
        <x:v>144</x:v>
      </x:c>
      <x:c r="D9" s="9">
        <x:f>CONCATENATE(HYPERLINK("CALLTO:%2B356%209947%206137", "+356 9947 6137"))</x:f>
      </x:c>
      <x:c r="E9" s="8" t="s">
        <x:v>207</x:v>
      </x:c>
      <x:c r="F9" s="1" t="s">
        <x:v>144</x:v>
      </x:c>
      <x:c r="G9" s="1" t="s">
        <x:v>175</x:v>
      </x:c>
    </x:row>
    <x:row r="10" spans="1:9" s="4" customFormat="1">
      <x:c r="A10" s="4" t="s">
        <x:v>181</x:v>
      </x:c>
      <x:c r="B10" s="4" t="s">
        <x:v>189</x:v>
      </x:c>
      <x:c r="C10" s="4" t="s">
        <x:v>144</x:v>
      </x:c>
      <x:c r="D10" s="11">
        <x:f>CONCATENATE(HYPERLINK("CALLTO:%2B356%209942%203371", "+356 9942 3371"))</x:f>
      </x:c>
      <x:c r="E10" s="10" t="s">
        <x:v>208</x:v>
      </x:c>
      <x:c r="F10" s="4" t="s">
        <x:v>144</x:v>
      </x:c>
      <x:c r="G10" s="4" t="s">
        <x:v>175</x:v>
      </x:c>
    </x:row>
    <x:row r="11" spans="1:9" s="3" customFormat="1">
      <x:c r="A11" s="3" t="s">
        <x:v>181</x:v>
      </x:c>
      <x:c r="B11" s="3" t="s">
        <x:v>190</x:v>
      </x:c>
      <x:c r="C11" s="6" t="s">
        <x:v>198</x:v>
      </x:c>
      <x:c r="D11" s="7">
        <x:f>CONCATENATE(HYPERLINK("CALLTO:%2B356%207949%207456", "+356 7949 7456"))</x:f>
      </x:c>
      <x:c r="E11" s="6" t="s">
        <x:v>209</x:v>
      </x:c>
      <x:c r="F11" s="3" t="s">
        <x:v>144</x:v>
      </x:c>
      <x:c r="G11" s="3" t="s">
        <x:v>175</x:v>
      </x:c>
    </x:row>
    <x:row r="12" spans="1:9" s="1" customFormat="1">
      <x:c r="A12" s="1" t="s">
        <x:v>181</x:v>
      </x:c>
      <x:c r="B12" s="1" t="s">
        <x:v>191</x:v>
      </x:c>
      <x:c r="C12" s="1" t="s">
        <x:v>144</x:v>
      </x:c>
      <x:c r="D12" s="9">
        <x:f>CONCATENATE(HYPERLINK("CALLTO:%2B356%207920%204466", "+356 7920 4466"))</x:f>
      </x:c>
      <x:c r="E12" s="8" t="s">
        <x:v>210</x:v>
      </x:c>
      <x:c r="F12" s="1" t="s">
        <x:v>144</x:v>
      </x:c>
      <x:c r="G12" s="1" t="s">
        <x:v>175</x:v>
      </x:c>
    </x:row>
    <x:row r="13" spans="1:9" s="4" customFormat="1">
      <x:c r="A13" s="4" t="s">
        <x:v>181</x:v>
      </x:c>
      <x:c r="B13" s="4" t="s">
        <x:v>192</x:v>
      </x:c>
      <x:c r="C13" s="10" t="s">
        <x:v>199</x:v>
      </x:c>
      <x:c r="D13" s="11">
        <x:f>CONCATENATE(HYPERLINK("CALLTO:%2B356%207909%203306", "+356 7909 3306"))</x:f>
      </x:c>
      <x:c r="E13" s="10" t="s">
        <x:v>211</x:v>
      </x:c>
      <x:c r="F13" s="4" t="s">
        <x:v>144</x:v>
      </x:c>
      <x:c r="G13" s="4" t="s">
        <x:v>175</x:v>
      </x:c>
    </x:row>
    <x:row r="14" spans="1:9" s="3" customFormat="1">
      <x:c r="A14" s="3" t="s">
        <x:v>181</x:v>
      </x:c>
      <x:c r="B14" s="3" t="s">
        <x:v>193</x:v>
      </x:c>
      <x:c r="C14" s="3" t="s">
        <x:v>144</x:v>
      </x:c>
      <x:c r="D14" s="7">
        <x:f>CONCATENATE(HYPERLINK("CALLTO:%2B356%209982%204815", "+356 9982 4815"))</x:f>
      </x:c>
      <x:c r="E14" s="6" t="s">
        <x:v>212</x:v>
      </x:c>
      <x:c r="F14" s="3" t="s">
        <x:v>144</x:v>
      </x:c>
      <x:c r="G14" s="3" t="s">
        <x:v>175</x:v>
      </x:c>
    </x:row>
    <x:row r="15" spans="1:9" s="1" customFormat="1">
      <x:c r="A15" s="1" t="s">
        <x:v>181</x:v>
      </x:c>
    </x:row>
    <x:row r="16" spans="1:9" s="4" customFormat="1">
      <x:c r="A16" s="4" t="s">
        <x:v>181</x:v>
      </x:c>
    </x:row>
    <x:row r="17" spans="1:9" s="3" customFormat="1">
      <x:c r="A17" s="3" t="s">
        <x:v>181</x:v>
      </x:c>
    </x:row>
    <x:row r="18" spans="1:9" s="1" customFormat="1">
      <x:c r="A18" s="1" t="s">
        <x:v>181</x:v>
      </x:c>
    </x:row>
    <x:row r="19" spans="1:9" s="4" customFormat="1">
      <x:c r="A19" s="4" t="s">
        <x:v>181</x:v>
      </x:c>
    </x:row>
    <x:row r="20" spans="1:9" s="3" customFormat="1">
      <x:c r="A20" s="3" t="s">
        <x:v>181</x:v>
      </x:c>
    </x:row>
    <x:row r="21" spans="1:9" s="1" customFormat="1">
      <x:c r="A21" s="1" t="s">
        <x:v>181</x:v>
      </x:c>
    </x:row>
    <x:row r="22" spans="1:9" s="4" customFormat="1">
      <x:c r="A22" s="4" t="s">
        <x:v>181</x:v>
      </x:c>
    </x:row>
    <x:row r="23" spans="1:9" s="3" customFormat="1">
      <x:c r="A23" s="3" t="s">
        <x:v>181</x:v>
      </x:c>
    </x:row>
    <x:row r="24" spans="1:9" s="1" customFormat="1">
      <x:c r="A24" s="1" t="s">
        <x:v>181</x:v>
      </x:c>
    </x:row>
    <x:row r="25" spans="1:9" s="4" customFormat="1">
      <x:c r="A25" s="4" t="s">
        <x:v>181</x:v>
      </x:c>
    </x:row>
    <x:row r="26" spans="1:9" s="3" customFormat="1">
      <x:c r="A26" s="3" t="s">
        <x:v>181</x:v>
      </x:c>
    </x:row>
    <x:row r="27" spans="1:9" s="1" customFormat="1">
      <x:c r="A27" s="1" t="s">
        <x:v>181</x:v>
      </x:c>
    </x:row>
    <x:row r="28" spans="1:9" s="4" customFormat="1">
      <x:c r="A28" s="4" t="s">
        <x:v>181</x:v>
      </x:c>
    </x:row>
    <x:row r="29" spans="1:9" s="3" customFormat="1">
      <x:c r="A29" s="3" t="s">
        <x:v>181</x:v>
      </x:c>
    </x:row>
    <x:row r="30" spans="1:9" s="1" customFormat="1">
      <x:c r="A30" s="1" t="s">
        <x:v>181</x:v>
      </x:c>
    </x:row>
    <x:row r="31" spans="1:9" s="4" customFormat="1">
      <x:c r="A31" s="4" t="s">
        <x:v>181</x:v>
      </x:c>
    </x:row>
    <x:row r="32" spans="1:9" s="3" customFormat="1">
      <x:c r="A32" s="3" t="s">
        <x:v>181</x:v>
      </x:c>
    </x:row>
    <x:row r="33" spans="1:9" s="1" customFormat="1">
      <x:c r="A33" s="1" t="s">
        <x:v>181</x:v>
      </x:c>
    </x:row>
    <x:row r="34" spans="1:9" s="4" customFormat="1">
      <x:c r="A34" s="4" t="s">
        <x:v>181</x:v>
      </x:c>
    </x:row>
    <x:row r="35" spans="1:9" s="3" customFormat="1">
      <x:c r="A35" s="3" t="s">
        <x:v>181</x:v>
      </x:c>
    </x:row>
    <x:row r="36" spans="1:9" s="1" customFormat="1">
      <x:c r="A36" s="1" t="s">
        <x:v>181</x:v>
      </x:c>
    </x:row>
    <x:row r="37" spans="1:9" s="4" customFormat="1"/>
    <x:row r="38" spans="1:9" s="3" customFormat="1"/>
    <x:row r="39" spans="1:9" s="1" customFormat="1"/>
    <x:row r="40" spans="1:9" s="4" customFormat="1"/>
    <x:row r="41" spans="1:9" s="3" customFormat="1"/>
    <x:row r="42" spans="1:9" s="1" customFormat="1"/>
    <x:row r="43" spans="1:9" s="4" customFormat="1"/>
    <x:row r="44" spans="1:9" s="3" customFormat="1"/>
    <x:row r="45" spans="1:9" s="1" customFormat="1"/>
    <x:row r="46" spans="1:9" s="4" customFormat="1"/>
    <x:row r="47" spans="1:9" s="3" customFormat="1"/>
    <x:row r="48" spans="1:9" s="1" customFormat="1"/>
    <x:row r="49" spans="1:9" s="4" customFormat="1"/>
    <x:row r="50" spans="1:9" s="3" customFormat="1"/>
    <x:row r="51" spans="1:9" s="1" customFormat="1"/>
    <x:row r="52" spans="1:9" s="4" customFormat="1"/>
    <x:row r="53" spans="1:9" s="3" customFormat="1"/>
    <x:row r="54" spans="1:9" s="1" customFormat="1"/>
    <x:row r="55" spans="1:9" s="4" customFormat="1"/>
    <x:row r="56" spans="1:9" s="3" customFormat="1"/>
    <x:row r="57" spans="1:9" s="1" customFormat="1"/>
    <x:row r="58" spans="1:9" s="4" customFormat="1"/>
    <x:row r="59" spans="1:9" s="3" customFormat="1"/>
    <x:row r="60" spans="1:9" s="1" customFormat="1"/>
    <x:row r="61" spans="1:9" s="4" customFormat="1"/>
    <x:row r="62" spans="1:9" s="3" customFormat="1"/>
    <x:row r="63" spans="1:9" s="1" customFormat="1"/>
    <x:row r="64" spans="1:9" s="4" customFormat="1"/>
    <x:row r="65" spans="1:9" s="3" customFormat="1"/>
    <x:row r="66" spans="1:9" s="1" customFormat="1"/>
    <x:row r="67" spans="1:9" s="4" customFormat="1"/>
    <x:row r="68" spans="1:9" s="3" customFormat="1"/>
    <x:row r="69" spans="1:9" s="1" customFormat="1"/>
    <x:row r="70" spans="1:9" s="4" customFormat="1"/>
    <x:row r="71" spans="1:9" s="3" customFormat="1"/>
    <x:row r="72" spans="1:9" s="1" customFormat="1"/>
    <x:row r="73" spans="1:9" s="4" customFormat="1"/>
    <x:row r="74" spans="1:9" s="3" customFormat="1"/>
    <x:row r="75" spans="1:9" s="1" customFormat="1"/>
    <x:row r="76" spans="1:9" s="4" customFormat="1"/>
    <x:row r="77" spans="1:9" s="3" customFormat="1"/>
    <x:row r="78" spans="1:9" s="1" customFormat="1"/>
    <x:row r="79" spans="1:9" s="4" customFormat="1"/>
    <x:row r="80" spans="1:9" s="3" customFormat="1"/>
    <x:row r="81" spans="1:9" s="1" customFormat="1"/>
    <x:row r="82" spans="1:9" s="4" customFormat="1"/>
    <x:row r="83" spans="1:9" s="3" customFormat="1"/>
    <x:row r="84" spans="1:9" s="1" customFormat="1"/>
    <x:row r="85" spans="1:9" s="4" customFormat="1"/>
    <x:row r="86" spans="1:9" s="3" customFormat="1"/>
    <x:row r="87" spans="1:9" s="1" customFormat="1"/>
    <x:row r="88" spans="1:9" s="4" customFormat="1"/>
    <x:row r="89" spans="1:9" s="3" customFormat="1"/>
    <x:row r="90" spans="1:9" s="1" customFormat="1"/>
    <x:row r="91" spans="1:9" s="4" customFormat="1"/>
    <x:row r="92" spans="1:9" s="3" customFormat="1"/>
    <x:row r="93" spans="1:9" s="1" customFormat="1"/>
    <x:row r="94" spans="1:9" s="4" customFormat="1"/>
    <x:row r="95" spans="1:9" s="3" customFormat="1"/>
    <x:row r="96" spans="1:9" s="1" customFormat="1"/>
    <x:row r="97" spans="1:9" s="4" customFormat="1"/>
    <x:row r="98" spans="1:9" s="3" customFormat="1"/>
    <x:row r="99" spans="1:9" s="1" customFormat="1"/>
    <x:row r="100" spans="1:9" s="4" customFormat="1"/>
    <x:row r="101" spans="1:9" s="3" customFormat="1"/>
    <x:row r="102" spans="1:9" s="1" customFormat="1"/>
    <x:row r="103" spans="1:9" s="4" customFormat="1"/>
    <x:row r="104" spans="1:9" s="3" customFormat="1"/>
    <x:row r="105" spans="1:9" s="1" customFormat="1"/>
    <x:row r="106" spans="1:9" s="4" customFormat="1"/>
    <x:row r="107" spans="1:9" s="3" customFormat="1"/>
    <x:row r="108" spans="1:9" s="1" customFormat="1"/>
    <x:row r="109" spans="1:9" s="4" customFormat="1"/>
    <x:row r="110" spans="1:9" s="3" customFormat="1"/>
    <x:row r="111" spans="1:9" s="1" customFormat="1"/>
    <x:row r="112" spans="1:9" s="4" customFormat="1"/>
    <x:row r="113" spans="1:9" s="3" customFormat="1"/>
    <x:row r="114" spans="1:9" s="1" customFormat="1"/>
    <x:row r="115" spans="1:9" s="4" customFormat="1"/>
    <x:row r="116" spans="1:9" s="3" customFormat="1"/>
    <x:row r="117" spans="1:9" s="1" customFormat="1"/>
    <x:row r="118" spans="1:9" s="4" customFormat="1"/>
    <x:row r="119" spans="1:9" s="3" customFormat="1"/>
    <x:row r="120" spans="1:9" s="1" customFormat="1"/>
    <x:row r="121" spans="1:9" s="4" customFormat="1"/>
    <x:row r="122" spans="1:9" s="3" customFormat="1"/>
    <x:row r="123" spans="1:9" s="1" customFormat="1"/>
    <x:row r="124" spans="1:9" s="4" customFormat="1"/>
    <x:row r="125" spans="1:9" s="3" customFormat="1"/>
    <x:row r="126" spans="1:9" s="1" customFormat="1"/>
    <x:row r="127" spans="1:9" s="4" customFormat="1"/>
    <x:row r="128" spans="1:9" s="3" customFormat="1"/>
    <x:row r="129" spans="1:9" s="1" customFormat="1"/>
    <x:row r="130" spans="1:9" s="4" customFormat="1"/>
    <x:row r="131" spans="1:9" s="3" customFormat="1"/>
    <x:row r="132" spans="1:9" s="1" customFormat="1"/>
    <x:row r="133" spans="1:9" s="4" customFormat="1"/>
    <x:row r="134" spans="1:9" s="3" customFormat="1"/>
    <x:row r="135" spans="1:9" s="1" customFormat="1"/>
    <x:row r="136" spans="1:9" s="4" customFormat="1"/>
    <x:row r="137" spans="1:9" s="3" customFormat="1"/>
    <x:row r="138" spans="1:9" s="1" customFormat="1"/>
    <x:row r="139" spans="1:9" s="4" customFormat="1"/>
    <x:row r="140" spans="1:9" s="3" customFormat="1"/>
    <x:row r="141" spans="1:9" s="1" customFormat="1"/>
    <x:row r="142" spans="1:9" s="4" customFormat="1"/>
    <x:row r="143" spans="1:9" s="3" customFormat="1"/>
    <x:row r="144" spans="1:9" s="1" customFormat="1"/>
    <x:row r="145" spans="1:9" s="4" customFormat="1"/>
    <x:row r="146" spans="1:9" s="3" customFormat="1"/>
    <x:row r="147" spans="1:9" s="1" customFormat="1"/>
    <x:row r="148" spans="1:9" s="4" customFormat="1"/>
    <x:row r="149" spans="1:9" s="3" customFormat="1"/>
    <x:row r="150" spans="1:9" s="1" customFormat="1"/>
  </x:sheetData>
  <x:hyperlinks>
    <x:hyperlink ref="C2" r:id="rId216" tooltip="Send a mail to aaronagius82@gmail.com"/>
    <x:hyperlink ref="C3" r:id="rId217" tooltip="Send a mail to danastasi.rt@outlook.com"/>
    <x:hyperlink ref="C5" r:id="rId218" tooltip="Send a mail to tyrone.vassallo01@gmail.com"/>
    <x:hyperlink ref="C11" r:id="rId219" tooltip="Send a mail to salvufenech@gmail.com"/>
    <x:hyperlink ref="C13" r:id="rId220" tooltip="Send a mail to jcelectricalmalta@gmail.com"/>
    <x:hyperlink ref="E2" r:id="rId221" tooltip="Search Id-Dwejra, Triq il-Fidwa, Gudja, Malta on Google Maps"/>
    <x:hyperlink ref="E3" r:id="rId222" tooltip="Search 32 Virgo, Triq il-Battaljun, Mosta, MST 2721, Malta on Google Maps"/>
    <x:hyperlink ref="E4" r:id="rId223" tooltip="Search Cawsli Court, Flt 4, Triq L-Imdina, Ħal Qormi, Malta on Google Maps"/>
    <x:hyperlink ref="E5" r:id="rId224" tooltip="Search Registered in Qormi (Mobile contractor, no public street address listed) on Google Maps"/>
    <x:hyperlink ref="E6" r:id="rId225" tooltip="Search Registered in Malta (Mobile contractor, no public street address listed) on Google Maps"/>
    <x:hyperlink ref="E7" r:id="rId226" tooltip="Search Blk C6 Flat 2, Triq il-Fraxxnu, Ħaż-Żebbuġ, Malta on Google Maps"/>
    <x:hyperlink ref="E8" r:id="rId227" tooltip="Search Registered in Birżebbuġa, BBG 1606, Malta (Mobile contractor) on Google Maps"/>
    <x:hyperlink ref="E9" r:id="rId228" tooltip="Search Registered in Central Malta (Mobile domestic electrician) on Google Maps"/>
    <x:hyperlink ref="E10" r:id="rId229" tooltip="Search 92 Triq Blanche Huber, Sliema, Malta on Google Maps"/>
    <x:hyperlink ref="E11" r:id="rId230" tooltip="Search 39 Siskina, Triq Raddet Ir-Roti, Mosta, Malta on Google Maps"/>
    <x:hyperlink ref="E12" r:id="rId231" tooltip="Search Registered in Marsaxlokk (Mobile domestic electrician) on Google Maps"/>
    <x:hyperlink ref="E13" r:id="rId232" tooltip="Search Registered in Qormi (Mobile contractor) on Google Maps"/>
    <x:hyperlink ref="E14" r:id="rId233" tooltip="Search Registered in Naxxar (Mobile contractor) on Google Maps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5"/>
  <x:sheetViews>
    <x:sheetView workbookViewId="0"/>
  </x:sheetViews>
  <x:sheetFormatPr defaultRowHeight="15"/>
  <x:cols>
    <x:col min="1" max="1" width="9.853482" style="0" customWidth="1"/>
    <x:col min="2" max="2" width="26.424911" style="0" customWidth="1"/>
    <x:col min="3" max="3" width="36.853482" style="0" customWidth="1"/>
    <x:col min="4" max="4" width="18.710625" style="0" customWidth="1"/>
    <x:col min="5" max="5" width="10.853482" style="0" customWidth="1"/>
    <x:col min="6" max="6" width="58.996339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24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List'!A6", "Back to Summary")</x:f>
      </x:c>
    </x:row>
    <x:row r="2" spans="1:7" s="3" customFormat="1">
      <x:c r="A2" s="3" t="s">
        <x:v>213</x:v>
      </x:c>
      <x:c r="B2" s="3" t="s">
        <x:v>214</x:v>
      </x:c>
      <x:c r="C2" s="6" t="s">
        <x:v>224</x:v>
      </x:c>
      <x:c r="F2" s="6" t="s">
        <x:v>4598</x:v>
      </x:c>
    </x:row>
    <x:row r="3" spans="1:7" s="1" customFormat="1">
      <x:c r="A3" s="1" t="s">
        <x:v>213</x:v>
      </x:c>
      <x:c r="B3" s="1" t="s">
        <x:v>215</x:v>
      </x:c>
      <x:c r="C3" s="8" t="s">
        <x:v>225</x:v>
      </x:c>
      <x:c r="F3" s="8" t="s">
        <x:v>234</x:v>
      </x:c>
    </x:row>
    <x:row r="4" spans="1:7" s="4" customFormat="1">
      <x:c r="A4" s="4" t="s">
        <x:v>213</x:v>
      </x:c>
      <x:c r="B4" s="4" t="s">
        <x:v>216</x:v>
      </x:c>
      <x:c r="C4" s="10" t="s">
        <x:v>226</x:v>
      </x:c>
      <x:c r="F4" s="10" t="s">
        <x:v>235</x:v>
      </x:c>
    </x:row>
    <x:row r="5" spans="1:7" s="3" customFormat="1">
      <x:c r="A5" s="3" t="s">
        <x:v>213</x:v>
      </x:c>
      <x:c r="B5" s="3" t="s">
        <x:v>217</x:v>
      </x:c>
      <x:c r="C5" s="6" t="s">
        <x:v>227</x:v>
      </x:c>
      <x:c r="F5" s="6" t="s">
        <x:v>236</x:v>
      </x:c>
    </x:row>
    <x:row r="6" spans="1:7" s="1" customFormat="1">
      <x:c r="A6" s="1" t="s">
        <x:v>213</x:v>
      </x:c>
      <x:c r="B6" s="1" t="s">
        <x:v>218</x:v>
      </x:c>
      <x:c r="C6" s="8" t="s">
        <x:v>228</x:v>
      </x:c>
      <x:c r="F6" s="8" t="s">
        <x:v>237</x:v>
      </x:c>
    </x:row>
    <x:row r="7" spans="1:7" s="4" customFormat="1">
      <x:c r="A7" s="4" t="s">
        <x:v>213</x:v>
      </x:c>
      <x:c r="B7" s="4" t="s">
        <x:v>219</x:v>
      </x:c>
      <x:c r="C7" s="10" t="s">
        <x:v>229</x:v>
      </x:c>
      <x:c r="F7" s="10" t="s">
        <x:v>238</x:v>
      </x:c>
    </x:row>
    <x:row r="8" spans="1:7" s="3" customFormat="1">
      <x:c r="A8" s="3" t="s">
        <x:v>213</x:v>
      </x:c>
      <x:c r="B8" s="3" t="s">
        <x:v>220</x:v>
      </x:c>
      <x:c r="C8" s="6" t="s">
        <x:v>230</x:v>
      </x:c>
      <x:c r="F8" s="6" t="s">
        <x:v>239</x:v>
      </x:c>
    </x:row>
    <x:row r="9" spans="1:7" s="1" customFormat="1">
      <x:c r="A9" s="1" t="s">
        <x:v>213</x:v>
      </x:c>
      <x:c r="B9" s="1" t="s">
        <x:v>221</x:v>
      </x:c>
      <x:c r="C9" s="8" t="s">
        <x:v>231</x:v>
      </x:c>
      <x:c r="F9" s="1" t="s">
        <x:v>144</x:v>
      </x:c>
    </x:row>
    <x:row r="10" spans="1:7" s="4" customFormat="1">
      <x:c r="A10" s="4" t="s">
        <x:v>213</x:v>
      </x:c>
      <x:c r="B10" s="4" t="s">
        <x:v>222</x:v>
      </x:c>
      <x:c r="C10" s="10" t="s">
        <x:v>232</x:v>
      </x:c>
      <x:c r="F10" s="4" t="s">
        <x:v>144</x:v>
      </x:c>
    </x:row>
    <x:row r="11" spans="1:7" s="3" customFormat="1">
      <x:c r="A11" s="3" t="s">
        <x:v>213</x:v>
      </x:c>
      <x:c r="B11" s="3" t="s">
        <x:v>223</x:v>
      </x:c>
      <x:c r="C11" s="6" t="s">
        <x:v>233</x:v>
      </x:c>
      <x:c r="F11" s="6" t="s">
        <x:v>240</x:v>
      </x:c>
    </x:row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</x:sheetData>
  <x:hyperlinks>
    <x:hyperlink ref="C2" r:id="rId234" tooltip="Send a mail to info@domestica.com.mt"/>
    <x:hyperlink ref="C3" r:id="rId235" tooltip="Send a mail to fran@fvcarpentry.com"/>
    <x:hyperlink ref="C4" r:id="rId236" tooltip="Send a mail to info@refalowoodworksltd.com"/>
    <x:hyperlink ref="C5" r:id="rId237" tooltip="Send a mail to pdgl1969@gmail.com"/>
    <x:hyperlink ref="C6" r:id="rId238" tooltip="Send a mail to info@bpwoodworks.com"/>
    <x:hyperlink ref="C7" r:id="rId239" tooltip="Send a mail to info@armstrong.com.mt"/>
    <x:hyperlink ref="C8" r:id="rId240" tooltip="Send a mail to sales@shalomwoodworks.com"/>
    <x:hyperlink ref="C9" r:id="rId241" tooltip="Send a mail to joseph.briffa.woodworks@hotmail.com"/>
    <x:hyperlink ref="C10" r:id="rId242" tooltip="Send a mail to joseph.taekwondo@gmail.com"/>
    <x:hyperlink ref="C11" r:id="rId243" tooltip="Send a mail to info@baldacchinogroup.com"/>
    <x:hyperlink ref="F2" r:id="rId244" tooltip="Visit domestica.com.mt"/>
    <x:hyperlink ref="F3" r:id="rId245" tooltip="Visit fvcarpentry.com"/>
    <x:hyperlink ref="F4" r:id="rId246" tooltip="Visit refalowoodworks.com"/>
    <x:hyperlink ref="F5" r:id="rId247" tooltip="Visit findit.com.mt/en/directory/listings/3682/gauci-woodworks.htm"/>
    <x:hyperlink ref="F6" r:id="rId248" tooltip="Visit bpwoodworks.com"/>
    <x:hyperlink ref="F7" r:id="rId249" tooltip="Visit armstrong.com.mt"/>
    <x:hyperlink ref="F8" r:id="rId250" tooltip="Visit shalomwoodworks.com"/>
    <x:hyperlink ref="F11" r:id="rId251" tooltip="Visit baldacchinogroup.com/left-menu/woodworks.html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26"/>
  <x:sheetViews>
    <x:sheetView workbookViewId="0"/>
  </x:sheetViews>
  <x:sheetFormatPr defaultRowHeight="15"/>
  <x:cols>
    <x:col min="1" max="1" width="9.996339" style="0" customWidth="1"/>
    <x:col min="2" max="2" width="41.282054" style="0" customWidth="1"/>
    <x:col min="3" max="3" width="30.567768" style="0" customWidth="1"/>
    <x:col min="4" max="4" width="18.710625" style="0" customWidth="1"/>
    <x:col min="5" max="5" width="24.710625" style="0" customWidth="1"/>
    <x:col min="6" max="6" width="66.853482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24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List'!A7", "Back to Summary")</x:f>
      </x:c>
    </x:row>
    <x:row r="2" spans="1:7" s="3" customFormat="1">
      <x:c r="A2" s="3" t="s">
        <x:v>242</x:v>
      </x:c>
      <x:c r="B2" s="3" t="s">
        <x:v>243</x:v>
      </x:c>
      <x:c r="C2" s="6" t="s">
        <x:v>327</x:v>
      </x:c>
      <x:c r="D2" s="7">
        <x:f>CONCATENATE(HYPERLINK("CALLTO:%2B356%209949%204186", "+356 9949 4186"))</x:f>
      </x:c>
      <x:c r="E2" s="6" t="s">
        <x:v>378</x:v>
      </x:c>
      <x:c r="F2" s="6" t="s">
        <x:v>241</x:v>
      </x:c>
    </x:row>
    <x:row r="3" spans="1:7" s="1" customFormat="1">
      <x:c r="A3" s="1" t="s">
        <x:v>242</x:v>
      </x:c>
      <x:c r="B3" s="1" t="s">
        <x:v>244</x:v>
      </x:c>
      <x:c r="C3" s="8" t="s">
        <x:v>328</x:v>
      </x:c>
      <x:c r="D3" s="9">
        <x:f>CONCATENATE(HYPERLINK("CALLTO:%2B356%207990%202106", "+356 7990 2106"))</x:f>
      </x:c>
      <x:c r="F3" s="8" t="s">
        <x:v>377</x:v>
      </x:c>
    </x:row>
    <x:row r="4" spans="1:7" s="4" customFormat="1">
      <x:c r="A4" s="4" t="s">
        <x:v>242</x:v>
      </x:c>
      <x:c r="B4" s="4" t="s">
        <x:v>245</x:v>
      </x:c>
      <x:c r="C4" s="10" t="s">
        <x:v>329</x:v>
      </x:c>
      <x:c r="D4" s="11">
        <x:f>CONCATENATE(HYPERLINK("CALLTO:%2B356%209945%204154", "+356 9945 4154"))</x:f>
      </x:c>
      <x:c r="F4" s="10" t="s">
        <x:v>379</x:v>
      </x:c>
    </x:row>
    <x:row r="5" spans="1:7" s="3" customFormat="1">
      <x:c r="A5" s="3" t="s">
        <x:v>242</x:v>
      </x:c>
      <x:c r="B5" s="3" t="s">
        <x:v>246</x:v>
      </x:c>
      <x:c r="C5" s="6" t="s">
        <x:v>330</x:v>
      </x:c>
      <x:c r="D5" s="7">
        <x:f>CONCATENATE(HYPERLINK("CALLTO:%2B356%209925%202716", "+356 9925 2716"))</x:f>
      </x:c>
      <x:c r="F5" s="6" t="s">
        <x:v>380</x:v>
      </x:c>
    </x:row>
    <x:row r="6" spans="1:7" s="1" customFormat="1">
      <x:c r="A6" s="1" t="s">
        <x:v>242</x:v>
      </x:c>
      <x:c r="B6" s="1" t="s">
        <x:v>247</x:v>
      </x:c>
      <x:c r="C6" s="8" t="s">
        <x:v>331</x:v>
      </x:c>
      <x:c r="D6" s="9">
        <x:f>CONCATENATE(HYPERLINK("CALLTO:%2B356%209903%200870", "+356 9903 0870"))</x:f>
      </x:c>
      <x:c r="F6" s="8" t="s">
        <x:v>381</x:v>
      </x:c>
    </x:row>
    <x:row r="7" spans="1:7" s="4" customFormat="1">
      <x:c r="A7" s="4" t="s">
        <x:v>242</x:v>
      </x:c>
      <x:c r="B7" s="4" t="s">
        <x:v>248</x:v>
      </x:c>
      <x:c r="C7" s="10" t="s">
        <x:v>332</x:v>
      </x:c>
      <x:c r="D7" s="11">
        <x:f>CONCATENATE(HYPERLINK("CALLTO:%2B356%209949%204553", "+356 9949 4553"))</x:f>
      </x:c>
      <x:c r="F7" s="10" t="s">
        <x:v>382</x:v>
      </x:c>
    </x:row>
    <x:row r="8" spans="1:7" s="3" customFormat="1">
      <x:c r="A8" s="3" t="s">
        <x:v>242</x:v>
      </x:c>
      <x:c r="B8" s="3" t="s">
        <x:v>249</x:v>
      </x:c>
      <x:c r="C8" s="6" t="s">
        <x:v>333</x:v>
      </x:c>
      <x:c r="D8" s="7">
        <x:f>CONCATENATE(HYPERLINK("CALLTO:%2B356%207747%204746", "+356 7747 4746"))</x:f>
      </x:c>
      <x:c r="F8" s="6" t="s">
        <x:v>383</x:v>
      </x:c>
    </x:row>
    <x:row r="9" spans="1:7" s="1" customFormat="1">
      <x:c r="A9" s="1" t="s">
        <x:v>242</x:v>
      </x:c>
      <x:c r="B9" s="1" t="s">
        <x:v>250</x:v>
      </x:c>
      <x:c r="C9" s="8" t="s">
        <x:v>334</x:v>
      </x:c>
      <x:c r="D9" s="9">
        <x:f>CONCATENATE(HYPERLINK("CALLTO:%2B356%209947%207956", "+356 9947 7956"))</x:f>
      </x:c>
      <x:c r="F9" s="8" t="s">
        <x:v>384</x:v>
      </x:c>
    </x:row>
    <x:row r="10" spans="1:7" s="4" customFormat="1">
      <x:c r="A10" s="4" t="s">
        <x:v>242</x:v>
      </x:c>
      <x:c r="B10" s="4" t="s">
        <x:v>251</x:v>
      </x:c>
      <x:c r="C10" s="10" t="s">
        <x:v>335</x:v>
      </x:c>
      <x:c r="D10" s="11">
        <x:f>CONCATENATE(HYPERLINK("CALLTO:%2B356%209975%205547", "+356 9975 5547"))</x:f>
      </x:c>
      <x:c r="F10" s="10" t="s">
        <x:v>385</x:v>
      </x:c>
    </x:row>
    <x:row r="11" spans="1:7" s="3" customFormat="1">
      <x:c r="A11" s="3" t="s">
        <x:v>242</x:v>
      </x:c>
      <x:c r="B11" s="3" t="s">
        <x:v>252</x:v>
      </x:c>
      <x:c r="C11" s="6" t="s">
        <x:v>336</x:v>
      </x:c>
      <x:c r="D11" s="7">
        <x:f>CONCATENATE(HYPERLINK("CALLTO:%2B356%202148%205301", "+356 2148 5301"))</x:f>
      </x:c>
      <x:c r="F11" s="6" t="s">
        <x:v>386</x:v>
      </x:c>
    </x:row>
    <x:row r="12" spans="1:7" s="1" customFormat="1">
      <x:c r="A12" s="1" t="s">
        <x:v>242</x:v>
      </x:c>
      <x:c r="B12" s="1" t="s">
        <x:v>253</x:v>
      </x:c>
      <x:c r="C12" s="8" t="s">
        <x:v>337</x:v>
      </x:c>
      <x:c r="F12" s="8" t="s">
        <x:v>387</x:v>
      </x:c>
    </x:row>
    <x:row r="13" spans="1:7" s="4" customFormat="1">
      <x:c r="A13" s="4" t="s">
        <x:v>242</x:v>
      </x:c>
      <x:c r="B13" s="4" t="s">
        <x:v>254</x:v>
      </x:c>
      <x:c r="C13" s="10" t="s">
        <x:v>338</x:v>
      </x:c>
      <x:c r="F13" s="10" t="s">
        <x:v>388</x:v>
      </x:c>
    </x:row>
    <x:row r="14" spans="1:7" s="3" customFormat="1">
      <x:c r="A14" s="3" t="s">
        <x:v>242</x:v>
      </x:c>
      <x:c r="B14" s="3" t="s">
        <x:v>255</x:v>
      </x:c>
      <x:c r="C14" s="6" t="s">
        <x:v>339</x:v>
      </x:c>
      <x:c r="F14" s="6" t="s">
        <x:v>389</x:v>
      </x:c>
    </x:row>
    <x:row r="15" spans="1:7" s="1" customFormat="1">
      <x:c r="A15" s="1" t="s">
        <x:v>242</x:v>
      </x:c>
      <x:c r="B15" s="1" t="s">
        <x:v>256</x:v>
      </x:c>
      <x:c r="C15" s="8" t="s">
        <x:v>340</x:v>
      </x:c>
      <x:c r="F15" s="8" t="s">
        <x:v>390</x:v>
      </x:c>
    </x:row>
    <x:row r="16" spans="1:7" s="4" customFormat="1">
      <x:c r="A16" s="4" t="s">
        <x:v>242</x:v>
      </x:c>
      <x:c r="B16" s="4" t="s">
        <x:v>257</x:v>
      </x:c>
      <x:c r="C16" s="10" t="s">
        <x:v>341</x:v>
      </x:c>
      <x:c r="F16" s="10" t="s">
        <x:v>391</x:v>
      </x:c>
    </x:row>
    <x:row r="17" spans="1:7" s="3" customFormat="1">
      <x:c r="A17" s="3" t="s">
        <x:v>242</x:v>
      </x:c>
      <x:c r="B17" s="3" t="s">
        <x:v>258</x:v>
      </x:c>
      <x:c r="C17" s="6" t="s">
        <x:v>342</x:v>
      </x:c>
      <x:c r="F17" s="6" t="s">
        <x:v>392</x:v>
      </x:c>
    </x:row>
    <x:row r="18" spans="1:7" s="1" customFormat="1">
      <x:c r="A18" s="1" t="s">
        <x:v>242</x:v>
      </x:c>
      <x:c r="B18" s="1" t="s">
        <x:v>259</x:v>
      </x:c>
      <x:c r="C18" s="8" t="s">
        <x:v>343</x:v>
      </x:c>
      <x:c r="F18" s="8" t="s">
        <x:v>393</x:v>
      </x:c>
    </x:row>
    <x:row r="19" spans="1:7" s="4" customFormat="1">
      <x:c r="A19" s="4" t="s">
        <x:v>242</x:v>
      </x:c>
      <x:c r="B19" s="4" t="s">
        <x:v>260</x:v>
      </x:c>
      <x:c r="C19" s="10" t="s">
        <x:v>344</x:v>
      </x:c>
      <x:c r="F19" s="10" t="s">
        <x:v>394</x:v>
      </x:c>
    </x:row>
    <x:row r="20" spans="1:7" s="3" customFormat="1">
      <x:c r="A20" s="3" t="s">
        <x:v>242</x:v>
      </x:c>
      <x:c r="B20" s="3" t="s">
        <x:v>261</x:v>
      </x:c>
      <x:c r="C20" s="6" t="s">
        <x:v>345</x:v>
      </x:c>
      <x:c r="F20" s="6" t="s">
        <x:v>395</x:v>
      </x:c>
    </x:row>
    <x:row r="21" spans="1:7" s="1" customFormat="1">
      <x:c r="A21" s="1" t="s">
        <x:v>242</x:v>
      </x:c>
      <x:c r="B21" s="1" t="s">
        <x:v>262</x:v>
      </x:c>
      <x:c r="C21" s="8" t="s">
        <x:v>346</x:v>
      </x:c>
      <x:c r="F21" s="8" t="s">
        <x:v>396</x:v>
      </x:c>
    </x:row>
    <x:row r="22" spans="1:7" s="4" customFormat="1">
      <x:c r="A22" s="4" t="s">
        <x:v>242</x:v>
      </x:c>
      <x:c r="B22" s="4" t="s">
        <x:v>263</x:v>
      </x:c>
      <x:c r="C22" s="10" t="s">
        <x:v>347</x:v>
      </x:c>
      <x:c r="F22" s="10" t="s">
        <x:v>397</x:v>
      </x:c>
    </x:row>
    <x:row r="23" spans="1:7" s="3" customFormat="1">
      <x:c r="A23" s="3" t="s">
        <x:v>242</x:v>
      </x:c>
      <x:c r="B23" s="3" t="s">
        <x:v>264</x:v>
      </x:c>
      <x:c r="C23" s="6" t="s">
        <x:v>348</x:v>
      </x:c>
      <x:c r="F23" s="6" t="s">
        <x:v>398</x:v>
      </x:c>
    </x:row>
    <x:row r="24" spans="1:7" s="1" customFormat="1">
      <x:c r="A24" s="1" t="s">
        <x:v>242</x:v>
      </x:c>
      <x:c r="B24" s="1" t="s">
        <x:v>265</x:v>
      </x:c>
      <x:c r="C24" s="8" t="s">
        <x:v>349</x:v>
      </x:c>
      <x:c r="F24" s="8" t="s">
        <x:v>399</x:v>
      </x:c>
    </x:row>
    <x:row r="25" spans="1:7" s="4" customFormat="1">
      <x:c r="A25" s="4" t="s">
        <x:v>242</x:v>
      </x:c>
      <x:c r="B25" s="4" t="s">
        <x:v>266</x:v>
      </x:c>
      <x:c r="C25" s="10" t="s">
        <x:v>350</x:v>
      </x:c>
      <x:c r="F25" s="10" t="s">
        <x:v>400</x:v>
      </x:c>
    </x:row>
    <x:row r="26" spans="1:7" s="3" customFormat="1">
      <x:c r="A26" s="3" t="s">
        <x:v>242</x:v>
      </x:c>
      <x:c r="B26" s="3" t="s">
        <x:v>267</x:v>
      </x:c>
      <x:c r="C26" s="6" t="s">
        <x:v>351</x:v>
      </x:c>
      <x:c r="F26" s="6" t="s">
        <x:v>401</x:v>
      </x:c>
    </x:row>
    <x:row r="27" spans="1:7" s="1" customFormat="1">
      <x:c r="A27" s="1" t="s">
        <x:v>242</x:v>
      </x:c>
      <x:c r="B27" s="1" t="s">
        <x:v>268</x:v>
      </x:c>
      <x:c r="C27" s="8" t="s">
        <x:v>352</x:v>
      </x:c>
      <x:c r="F27" s="8" t="s">
        <x:v>402</x:v>
      </x:c>
    </x:row>
    <x:row r="28" spans="1:7" s="4" customFormat="1">
      <x:c r="A28" s="4" t="s">
        <x:v>242</x:v>
      </x:c>
      <x:c r="B28" s="4" t="s">
        <x:v>269</x:v>
      </x:c>
      <x:c r="C28" s="10" t="s">
        <x:v>353</x:v>
      </x:c>
      <x:c r="F28" s="10" t="s">
        <x:v>403</x:v>
      </x:c>
    </x:row>
    <x:row r="29" spans="1:7" s="3" customFormat="1">
      <x:c r="A29" s="3" t="s">
        <x:v>242</x:v>
      </x:c>
      <x:c r="B29" s="3" t="s">
        <x:v>270</x:v>
      </x:c>
      <x:c r="C29" s="6" t="s">
        <x:v>354</x:v>
      </x:c>
      <x:c r="F29" s="6" t="s">
        <x:v>404</x:v>
      </x:c>
    </x:row>
    <x:row r="30" spans="1:7" s="1" customFormat="1">
      <x:c r="A30" s="1" t="s">
        <x:v>242</x:v>
      </x:c>
      <x:c r="B30" s="1" t="s">
        <x:v>271</x:v>
      </x:c>
      <x:c r="C30" s="8" t="s">
        <x:v>355</x:v>
      </x:c>
      <x:c r="F30" s="8" t="s">
        <x:v>405</x:v>
      </x:c>
    </x:row>
    <x:row r="31" spans="1:7" s="4" customFormat="1">
      <x:c r="A31" s="4" t="s">
        <x:v>242</x:v>
      </x:c>
      <x:c r="B31" s="4" t="s">
        <x:v>272</x:v>
      </x:c>
      <x:c r="C31" s="10" t="s">
        <x:v>356</x:v>
      </x:c>
      <x:c r="F31" s="10" t="s">
        <x:v>406</x:v>
      </x:c>
    </x:row>
    <x:row r="32" spans="1:7" s="3" customFormat="1">
      <x:c r="A32" s="3" t="s">
        <x:v>242</x:v>
      </x:c>
      <x:c r="B32" s="3" t="s">
        <x:v>273</x:v>
      </x:c>
      <x:c r="C32" s="6" t="s">
        <x:v>357</x:v>
      </x:c>
      <x:c r="F32" s="6" t="s">
        <x:v>407</x:v>
      </x:c>
    </x:row>
    <x:row r="33" spans="1:7" s="1" customFormat="1">
      <x:c r="A33" s="1" t="s">
        <x:v>242</x:v>
      </x:c>
      <x:c r="B33" s="1" t="s">
        <x:v>274</x:v>
      </x:c>
      <x:c r="C33" s="8" t="s">
        <x:v>358</x:v>
      </x:c>
      <x:c r="F33" s="8" t="s">
        <x:v>408</x:v>
      </x:c>
    </x:row>
    <x:row r="34" spans="1:7" s="4" customFormat="1">
      <x:c r="A34" s="4" t="s">
        <x:v>242</x:v>
      </x:c>
      <x:c r="B34" s="4" t="s">
        <x:v>275</x:v>
      </x:c>
      <x:c r="C34" s="10" t="s">
        <x:v>359</x:v>
      </x:c>
      <x:c r="F34" s="10" t="s">
        <x:v>409</x:v>
      </x:c>
    </x:row>
    <x:row r="35" spans="1:7" s="3" customFormat="1">
      <x:c r="A35" s="3" t="s">
        <x:v>242</x:v>
      </x:c>
      <x:c r="B35" s="3" t="s">
        <x:v>276</x:v>
      </x:c>
      <x:c r="C35" s="6" t="s">
        <x:v>360</x:v>
      </x:c>
      <x:c r="F35" s="6" t="s">
        <x:v>410</x:v>
      </x:c>
    </x:row>
    <x:row r="36" spans="1:7" s="1" customFormat="1">
      <x:c r="A36" s="1" t="s">
        <x:v>242</x:v>
      </x:c>
      <x:c r="B36" s="1" t="s">
        <x:v>277</x:v>
      </x:c>
      <x:c r="C36" s="8" t="s">
        <x:v>361</x:v>
      </x:c>
      <x:c r="F36" s="8" t="s">
        <x:v>411</x:v>
      </x:c>
    </x:row>
    <x:row r="37" spans="1:7" s="4" customFormat="1">
      <x:c r="A37" s="4" t="s">
        <x:v>242</x:v>
      </x:c>
      <x:c r="B37" s="4" t="s">
        <x:v>278</x:v>
      </x:c>
      <x:c r="C37" s="10" t="s">
        <x:v>362</x:v>
      </x:c>
      <x:c r="F37" s="10" t="s">
        <x:v>412</x:v>
      </x:c>
    </x:row>
    <x:row r="38" spans="1:7" s="3" customFormat="1">
      <x:c r="A38" s="3" t="s">
        <x:v>242</x:v>
      </x:c>
      <x:c r="B38" s="3" t="s">
        <x:v>279</x:v>
      </x:c>
      <x:c r="C38" s="6" t="s">
        <x:v>363</x:v>
      </x:c>
      <x:c r="F38" s="6" t="s">
        <x:v>413</x:v>
      </x:c>
    </x:row>
    <x:row r="39" spans="1:7" s="1" customFormat="1">
      <x:c r="A39" s="1" t="s">
        <x:v>242</x:v>
      </x:c>
      <x:c r="B39" s="1" t="s">
        <x:v>280</x:v>
      </x:c>
      <x:c r="C39" s="8" t="s">
        <x:v>364</x:v>
      </x:c>
      <x:c r="F39" s="8" t="s">
        <x:v>414</x:v>
      </x:c>
    </x:row>
    <x:row r="40" spans="1:7" s="4" customFormat="1">
      <x:c r="A40" s="4" t="s">
        <x:v>242</x:v>
      </x:c>
      <x:c r="B40" s="4" t="s">
        <x:v>281</x:v>
      </x:c>
      <x:c r="C40" s="10" t="s">
        <x:v>365</x:v>
      </x:c>
      <x:c r="F40" s="10" t="s">
        <x:v>415</x:v>
      </x:c>
    </x:row>
    <x:row r="41" spans="1:7" s="3" customFormat="1">
      <x:c r="A41" s="3" t="s">
        <x:v>242</x:v>
      </x:c>
      <x:c r="B41" s="3" t="s">
        <x:v>282</x:v>
      </x:c>
      <x:c r="C41" s="6" t="s">
        <x:v>366</x:v>
      </x:c>
      <x:c r="F41" s="6" t="s">
        <x:v>416</x:v>
      </x:c>
    </x:row>
    <x:row r="42" spans="1:7" s="1" customFormat="1">
      <x:c r="A42" s="1" t="s">
        <x:v>242</x:v>
      </x:c>
      <x:c r="B42" s="1" t="s">
        <x:v>283</x:v>
      </x:c>
      <x:c r="C42" s="8" t="s">
        <x:v>367</x:v>
      </x:c>
    </x:row>
    <x:row r="43" spans="1:7" s="4" customFormat="1">
      <x:c r="A43" s="4" t="s">
        <x:v>242</x:v>
      </x:c>
      <x:c r="B43" s="4" t="s">
        <x:v>284</x:v>
      </x:c>
      <x:c r="C43" s="10" t="s">
        <x:v>368</x:v>
      </x:c>
    </x:row>
    <x:row r="44" spans="1:7" s="3" customFormat="1">
      <x:c r="A44" s="3" t="s">
        <x:v>242</x:v>
      </x:c>
      <x:c r="B44" s="3" t="s">
        <x:v>285</x:v>
      </x:c>
      <x:c r="C44" s="6" t="s">
        <x:v>369</x:v>
      </x:c>
    </x:row>
    <x:row r="45" spans="1:7" s="1" customFormat="1">
      <x:c r="A45" s="1" t="s">
        <x:v>242</x:v>
      </x:c>
      <x:c r="B45" s="1" t="s">
        <x:v>286</x:v>
      </x:c>
      <x:c r="C45" s="8" t="s">
        <x:v>370</x:v>
      </x:c>
    </x:row>
    <x:row r="46" spans="1:7" s="4" customFormat="1">
      <x:c r="A46" s="4" t="s">
        <x:v>242</x:v>
      </x:c>
      <x:c r="B46" s="4" t="s">
        <x:v>287</x:v>
      </x:c>
      <x:c r="C46" s="10" t="s">
        <x:v>372</x:v>
      </x:c>
    </x:row>
    <x:row r="47" spans="1:7" s="3" customFormat="1">
      <x:c r="A47" s="3" t="s">
        <x:v>242</x:v>
      </x:c>
      <x:c r="B47" s="3" t="s">
        <x:v>288</x:v>
      </x:c>
      <x:c r="C47" s="6" t="s">
        <x:v>371</x:v>
      </x:c>
    </x:row>
    <x:row r="48" spans="1:7" s="1" customFormat="1">
      <x:c r="A48" s="1" t="s">
        <x:v>242</x:v>
      </x:c>
      <x:c r="B48" s="1" t="s">
        <x:v>289</x:v>
      </x:c>
      <x:c r="C48" s="8" t="s">
        <x:v>373</x:v>
      </x:c>
    </x:row>
    <x:row r="49" spans="1:7" s="4" customFormat="1">
      <x:c r="A49" s="4" t="s">
        <x:v>242</x:v>
      </x:c>
      <x:c r="B49" s="4" t="s">
        <x:v>290</x:v>
      </x:c>
      <x:c r="C49" s="10" t="s">
        <x:v>374</x:v>
      </x:c>
    </x:row>
    <x:row r="50" spans="1:7" s="3" customFormat="1">
      <x:c r="A50" s="3" t="s">
        <x:v>242</x:v>
      </x:c>
      <x:c r="B50" s="3" t="s">
        <x:v>291</x:v>
      </x:c>
      <x:c r="C50" s="6" t="s">
        <x:v>375</x:v>
      </x:c>
    </x:row>
    <x:row r="51" spans="1:7" s="1" customFormat="1">
      <x:c r="A51" s="1" t="s">
        <x:v>242</x:v>
      </x:c>
      <x:c r="B51" s="1" t="s">
        <x:v>292</x:v>
      </x:c>
      <x:c r="C51" s="8" t="s">
        <x:v>376</x:v>
      </x:c>
    </x:row>
    <x:row r="52" spans="1:7" s="4" customFormat="1">
      <x:c r="A52" s="4" t="s">
        <x:v>242</x:v>
      </x:c>
      <x:c r="B52" s="4" t="s">
        <x:v>293</x:v>
      </x:c>
    </x:row>
    <x:row r="53" spans="1:7" s="3" customFormat="1">
      <x:c r="A53" s="3" t="s">
        <x:v>242</x:v>
      </x:c>
      <x:c r="B53" s="3" t="s">
        <x:v>294</x:v>
      </x:c>
    </x:row>
    <x:row r="54" spans="1:7" s="1" customFormat="1">
      <x:c r="A54" s="1" t="s">
        <x:v>242</x:v>
      </x:c>
      <x:c r="B54" s="1" t="s">
        <x:v>295</x:v>
      </x:c>
    </x:row>
    <x:row r="55" spans="1:7" s="4" customFormat="1">
      <x:c r="A55" s="4" t="s">
        <x:v>242</x:v>
      </x:c>
      <x:c r="B55" s="4" t="s">
        <x:v>296</x:v>
      </x:c>
    </x:row>
    <x:row r="56" spans="1:7" s="3" customFormat="1">
      <x:c r="A56" s="3" t="s">
        <x:v>242</x:v>
      </x:c>
      <x:c r="B56" s="3" t="s">
        <x:v>297</x:v>
      </x:c>
    </x:row>
    <x:row r="57" spans="1:7" s="1" customFormat="1">
      <x:c r="A57" s="1" t="s">
        <x:v>242</x:v>
      </x:c>
      <x:c r="B57" s="1" t="s">
        <x:v>298</x:v>
      </x:c>
    </x:row>
    <x:row r="58" spans="1:7" s="4" customFormat="1">
      <x:c r="A58" s="4" t="s">
        <x:v>242</x:v>
      </x:c>
      <x:c r="B58" s="4" t="s">
        <x:v>299</x:v>
      </x:c>
    </x:row>
    <x:row r="59" spans="1:7" s="3" customFormat="1">
      <x:c r="A59" s="3" t="s">
        <x:v>242</x:v>
      </x:c>
      <x:c r="B59" s="3" t="s">
        <x:v>300</x:v>
      </x:c>
    </x:row>
    <x:row r="60" spans="1:7" s="1" customFormat="1">
      <x:c r="A60" s="1" t="s">
        <x:v>242</x:v>
      </x:c>
      <x:c r="B60" s="1" t="s">
        <x:v>301</x:v>
      </x:c>
    </x:row>
    <x:row r="61" spans="1:7" s="4" customFormat="1">
      <x:c r="A61" s="4" t="s">
        <x:v>242</x:v>
      </x:c>
      <x:c r="B61" s="4" t="s">
        <x:v>302</x:v>
      </x:c>
    </x:row>
    <x:row r="62" spans="1:7" s="3" customFormat="1">
      <x:c r="A62" s="3" t="s">
        <x:v>242</x:v>
      </x:c>
      <x:c r="B62" s="3" t="s">
        <x:v>303</x:v>
      </x:c>
    </x:row>
    <x:row r="63" spans="1:7" s="1" customFormat="1">
      <x:c r="A63" s="1" t="s">
        <x:v>242</x:v>
      </x:c>
      <x:c r="B63" s="1" t="s">
        <x:v>304</x:v>
      </x:c>
    </x:row>
    <x:row r="64" spans="1:7" s="4" customFormat="1">
      <x:c r="A64" s="4" t="s">
        <x:v>242</x:v>
      </x:c>
      <x:c r="B64" s="4" t="s">
        <x:v>305</x:v>
      </x:c>
    </x:row>
    <x:row r="65" spans="1:7" s="3" customFormat="1">
      <x:c r="A65" s="3" t="s">
        <x:v>242</x:v>
      </x:c>
      <x:c r="B65" s="3" t="s">
        <x:v>306</x:v>
      </x:c>
    </x:row>
    <x:row r="66" spans="1:7" s="1" customFormat="1">
      <x:c r="A66" s="1" t="s">
        <x:v>242</x:v>
      </x:c>
      <x:c r="B66" s="1" t="s">
        <x:v>307</x:v>
      </x:c>
    </x:row>
    <x:row r="67" spans="1:7" s="4" customFormat="1">
      <x:c r="A67" s="4" t="s">
        <x:v>242</x:v>
      </x:c>
      <x:c r="B67" s="4" t="s">
        <x:v>308</x:v>
      </x:c>
    </x:row>
    <x:row r="68" spans="1:7" s="3" customFormat="1">
      <x:c r="A68" s="3" t="s">
        <x:v>242</x:v>
      </x:c>
      <x:c r="B68" s="3" t="s">
        <x:v>309</x:v>
      </x:c>
    </x:row>
    <x:row r="69" spans="1:7" s="1" customFormat="1">
      <x:c r="A69" s="1" t="s">
        <x:v>242</x:v>
      </x:c>
      <x:c r="B69" s="1" t="s">
        <x:v>310</x:v>
      </x:c>
    </x:row>
    <x:row r="70" spans="1:7" s="4" customFormat="1">
      <x:c r="A70" s="4" t="s">
        <x:v>242</x:v>
      </x:c>
      <x:c r="B70" s="4" t="s">
        <x:v>311</x:v>
      </x:c>
    </x:row>
    <x:row r="71" spans="1:7" s="3" customFormat="1">
      <x:c r="A71" s="3" t="s">
        <x:v>242</x:v>
      </x:c>
      <x:c r="B71" s="3" t="s">
        <x:v>312</x:v>
      </x:c>
    </x:row>
    <x:row r="72" spans="1:7" s="1" customFormat="1">
      <x:c r="A72" s="1" t="s">
        <x:v>242</x:v>
      </x:c>
      <x:c r="B72" s="1" t="s">
        <x:v>313</x:v>
      </x:c>
    </x:row>
    <x:row r="73" spans="1:7" s="4" customFormat="1">
      <x:c r="A73" s="4" t="s">
        <x:v>242</x:v>
      </x:c>
      <x:c r="B73" s="4" t="s">
        <x:v>314</x:v>
      </x:c>
    </x:row>
    <x:row r="74" spans="1:7" s="3" customFormat="1">
      <x:c r="A74" s="3" t="s">
        <x:v>242</x:v>
      </x:c>
      <x:c r="B74" s="3" t="s">
        <x:v>315</x:v>
      </x:c>
    </x:row>
    <x:row r="75" spans="1:7" s="1" customFormat="1">
      <x:c r="A75" s="1" t="s">
        <x:v>242</x:v>
      </x:c>
      <x:c r="B75" s="1" t="s">
        <x:v>316</x:v>
      </x:c>
    </x:row>
    <x:row r="76" spans="1:7" s="4" customFormat="1">
      <x:c r="A76" s="4" t="s">
        <x:v>242</x:v>
      </x:c>
      <x:c r="B76" s="4" t="s">
        <x:v>317</x:v>
      </x:c>
    </x:row>
    <x:row r="77" spans="1:7" s="3" customFormat="1">
      <x:c r="A77" s="3" t="s">
        <x:v>242</x:v>
      </x:c>
      <x:c r="B77" s="3" t="s">
        <x:v>318</x:v>
      </x:c>
    </x:row>
    <x:row r="78" spans="1:7" s="1" customFormat="1">
      <x:c r="A78" s="1" t="s">
        <x:v>242</x:v>
      </x:c>
      <x:c r="B78" s="1" t="s">
        <x:v>319</x:v>
      </x:c>
    </x:row>
    <x:row r="79" spans="1:7" s="4" customFormat="1">
      <x:c r="A79" s="4" t="s">
        <x:v>242</x:v>
      </x:c>
      <x:c r="B79" s="4" t="s">
        <x:v>320</x:v>
      </x:c>
    </x:row>
    <x:row r="80" spans="1:7" s="3" customFormat="1">
      <x:c r="A80" s="3" t="s">
        <x:v>242</x:v>
      </x:c>
      <x:c r="B80" s="3" t="s">
        <x:v>321</x:v>
      </x:c>
    </x:row>
    <x:row r="81" spans="1:7" s="1" customFormat="1">
      <x:c r="A81" s="1" t="s">
        <x:v>242</x:v>
      </x:c>
      <x:c r="B81" s="1" t="s">
        <x:v>322</x:v>
      </x:c>
    </x:row>
    <x:row r="82" spans="1:7" s="4" customFormat="1">
      <x:c r="A82" s="4" t="s">
        <x:v>242</x:v>
      </x:c>
      <x:c r="B82" s="4" t="s">
        <x:v>323</x:v>
      </x:c>
    </x:row>
    <x:row r="83" spans="1:7" s="3" customFormat="1">
      <x:c r="A83" s="3" t="s">
        <x:v>242</x:v>
      </x:c>
      <x:c r="B83" s="3" t="s">
        <x:v>324</x:v>
      </x:c>
    </x:row>
    <x:row r="84" spans="1:7" s="1" customFormat="1">
      <x:c r="A84" s="1" t="s">
        <x:v>242</x:v>
      </x:c>
      <x:c r="B84" s="1" t="s">
        <x:v>325</x:v>
      </x:c>
    </x:row>
    <x:row r="85" spans="1:7" s="4" customFormat="1">
      <x:c r="A85" s="4" t="s">
        <x:v>242</x:v>
      </x:c>
      <x:c r="B85" s="4" t="s">
        <x:v>326</x:v>
      </x:c>
    </x:row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  <x:row r="231" spans="1:7" s="1" customFormat="1"/>
    <x:row r="232" spans="1:7" s="4" customFormat="1"/>
    <x:row r="233" spans="1:7" s="3" customFormat="1"/>
    <x:row r="234" spans="1:7" s="1" customFormat="1"/>
    <x:row r="235" spans="1:7" s="4" customFormat="1"/>
    <x:row r="236" spans="1:7" s="3" customFormat="1"/>
    <x:row r="237" spans="1:7" s="1" customFormat="1"/>
    <x:row r="238" spans="1:7" s="4" customFormat="1"/>
    <x:row r="239" spans="1:7" s="3" customFormat="1"/>
    <x:row r="240" spans="1:7" s="1" customFormat="1"/>
    <x:row r="241" spans="1:7" s="4" customFormat="1"/>
    <x:row r="242" spans="1:7" s="3" customFormat="1"/>
    <x:row r="243" spans="1:7" s="1" customFormat="1"/>
    <x:row r="244" spans="1:7" s="4" customFormat="1"/>
    <x:row r="245" spans="1:7" s="3" customFormat="1"/>
    <x:row r="246" spans="1:7" s="1" customFormat="1"/>
    <x:row r="247" spans="1:7" s="4" customFormat="1"/>
    <x:row r="248" spans="1:7" s="3" customFormat="1"/>
    <x:row r="249" spans="1:7" s="1" customFormat="1"/>
    <x:row r="250" spans="1:7" s="4" customFormat="1"/>
    <x:row r="251" spans="1:7" s="3" customFormat="1"/>
    <x:row r="252" spans="1:7" s="1" customFormat="1"/>
    <x:row r="253" spans="1:7" s="4" customFormat="1"/>
    <x:row r="254" spans="1:7" s="3" customFormat="1"/>
    <x:row r="255" spans="1:7" s="1" customFormat="1"/>
    <x:row r="256" spans="1:7" s="4" customFormat="1"/>
    <x:row r="257" spans="1:7" s="3" customFormat="1"/>
    <x:row r="258" spans="1:7" s="1" customFormat="1"/>
    <x:row r="259" spans="1:7" s="4" customFormat="1"/>
    <x:row r="260" spans="1:7" s="3" customFormat="1"/>
    <x:row r="261" spans="1:7" s="1" customFormat="1"/>
    <x:row r="262" spans="1:7" s="4" customFormat="1"/>
    <x:row r="263" spans="1:7" s="3" customFormat="1"/>
    <x:row r="264" spans="1:7" s="1" customFormat="1"/>
    <x:row r="265" spans="1:7" s="4" customFormat="1"/>
    <x:row r="266" spans="1:7" s="3" customFormat="1"/>
    <x:row r="267" spans="1:7" s="1" customFormat="1"/>
    <x:row r="268" spans="1:7" s="4" customFormat="1"/>
    <x:row r="269" spans="1:7" s="3" customFormat="1"/>
    <x:row r="270" spans="1:7" s="1" customFormat="1"/>
    <x:row r="271" spans="1:7" s="4" customFormat="1"/>
    <x:row r="272" spans="1:7" s="3" customFormat="1"/>
    <x:row r="273" spans="1:7" s="1" customFormat="1"/>
    <x:row r="274" spans="1:7" s="4" customFormat="1"/>
    <x:row r="275" spans="1:7" s="3" customFormat="1"/>
    <x:row r="276" spans="1:7" s="1" customFormat="1"/>
    <x:row r="277" spans="1:7" s="4" customFormat="1"/>
    <x:row r="278" spans="1:7" s="3" customFormat="1"/>
    <x:row r="279" spans="1:7" s="1" customFormat="1"/>
    <x:row r="280" spans="1:7" s="4" customFormat="1"/>
    <x:row r="281" spans="1:7" s="3" customFormat="1"/>
    <x:row r="282" spans="1:7" s="1" customFormat="1"/>
    <x:row r="283" spans="1:7" s="4" customFormat="1"/>
    <x:row r="284" spans="1:7" s="3" customFormat="1"/>
    <x:row r="285" spans="1:7" s="1" customFormat="1"/>
    <x:row r="286" spans="1:7" s="4" customFormat="1"/>
    <x:row r="287" spans="1:7" s="3" customFormat="1"/>
    <x:row r="288" spans="1:7" s="1" customFormat="1"/>
    <x:row r="289" spans="1:7" s="4" customFormat="1"/>
    <x:row r="290" spans="1:7" s="3" customFormat="1"/>
    <x:row r="291" spans="1:7" s="1" customFormat="1"/>
    <x:row r="292" spans="1:7" s="4" customFormat="1"/>
    <x:row r="293" spans="1:7" s="3" customFormat="1"/>
    <x:row r="294" spans="1:7" s="1" customFormat="1"/>
    <x:row r="295" spans="1:7" s="4" customFormat="1"/>
    <x:row r="296" spans="1:7" s="3" customFormat="1"/>
    <x:row r="297" spans="1:7" s="1" customFormat="1"/>
    <x:row r="298" spans="1:7" s="4" customFormat="1"/>
    <x:row r="299" spans="1:7" s="3" customFormat="1"/>
    <x:row r="300" spans="1:7" s="1" customFormat="1"/>
    <x:row r="301" spans="1:7" s="4" customFormat="1"/>
    <x:row r="302" spans="1:7" s="3" customFormat="1"/>
    <x:row r="303" spans="1:7" s="1" customFormat="1"/>
    <x:row r="304" spans="1:7" s="4" customFormat="1"/>
    <x:row r="305" spans="1:7" s="3" customFormat="1"/>
    <x:row r="306" spans="1:7" s="1" customFormat="1"/>
    <x:row r="307" spans="1:7" s="4" customFormat="1"/>
    <x:row r="308" spans="1:7" s="3" customFormat="1"/>
    <x:row r="309" spans="1:7" s="1" customFormat="1"/>
    <x:row r="310" spans="1:7" s="4" customFormat="1"/>
    <x:row r="311" spans="1:7" s="3" customFormat="1"/>
    <x:row r="312" spans="1:7" s="1" customFormat="1"/>
    <x:row r="313" spans="1:7" s="4" customFormat="1"/>
    <x:row r="314" spans="1:7" s="3" customFormat="1"/>
    <x:row r="315" spans="1:7" s="1" customFormat="1"/>
    <x:row r="316" spans="1:7" s="4" customFormat="1"/>
    <x:row r="317" spans="1:7" s="3" customFormat="1"/>
    <x:row r="318" spans="1:7" s="1" customFormat="1"/>
    <x:row r="319" spans="1:7" s="4" customFormat="1"/>
    <x:row r="320" spans="1:7" s="3" customFormat="1"/>
    <x:row r="321" spans="1:7" s="1" customFormat="1"/>
    <x:row r="322" spans="1:7" s="4" customFormat="1"/>
    <x:row r="323" spans="1:7" s="3" customFormat="1"/>
    <x:row r="324" spans="1:7" s="1" customFormat="1"/>
    <x:row r="325" spans="1:7" s="4" customFormat="1"/>
    <x:row r="326" spans="1:7" s="3" customFormat="1"/>
  </x:sheetData>
  <x:hyperlinks>
    <x:hyperlink ref="C2" r:id="rId252" tooltip="Send a mail to info@aacarimports.com.mt"/>
    <x:hyperlink ref="C3" r:id="rId253" tooltip="Send a mail to dowlinga@go.net.mt"/>
    <x:hyperlink ref="C4" r:id="rId254" tooltip="Send a mail to abs@onvol.net"/>
    <x:hyperlink ref="C5" r:id="rId255" tooltip="Send a mail to ajmotorsales@gmail.com"/>
    <x:hyperlink ref="C6" r:id="rId256" tooltip="Send a mail to info@alanmotors.com.mt"/>
    <x:hyperlink ref="C7" r:id="rId257" tooltip="Send a mail to attardautodealer@gmail.com"/>
    <x:hyperlink ref="C8" r:id="rId258" tooltip="Send a mail to taattardmotors@gmail.com"/>
    <x:hyperlink ref="C9" r:id="rId259" tooltip="Send a mail to autozoneautodealer@gmail.com"/>
    <x:hyperlink ref="C10" r:id="rId260" tooltip="Send a mail to info@aviscarsales.mt"/>
    <x:hyperlink ref="C11" r:id="rId261" tooltip="Send a mail to info@brincatautoimports.com"/>
    <x:hyperlink ref="C12" r:id="rId262" tooltip="Send a mail to btlautodealer@gmail.com"/>
    <x:hyperlink ref="C13" r:id="rId263" tooltip="Send a mail to canadisautodealer@gmail.com"/>
    <x:hyperlink ref="C14" r:id="rId264" tooltip="Send a mail to info@carhub.mt"/>
    <x:hyperlink ref="C15" r:id="rId265" tooltip="Send a mail to info@cam.com.mt"/>
    <x:hyperlink ref="C16" r:id="rId266" tooltip="Send a mail to info@carsunlimitedmalta.com"/>
    <x:hyperlink ref="C17" r:id="rId267" tooltip="Send a mail to sales@chevronautodealer.mt"/>
    <x:hyperlink ref="C18" r:id="rId268" tooltip="Send a mail to sales@fordsparesmalta.com"/>
    <x:hyperlink ref="C19" r:id="rId269" tooltip="Send a mail to dandsautodealer@hotmail.com"/>
    <x:hyperlink ref="C20" r:id="rId270" tooltip="Send a mail to dcmotorsbkara@gmail.com"/>
    <x:hyperlink ref="C21" r:id="rId271" tooltip="Send a mail to dinosreception@gmail.com"/>
    <x:hyperlink ref="C22" r:id="rId272" tooltip="Send a mail to info@drive.com.mt"/>
    <x:hyperlink ref="C23" r:id="rId273" tooltip="Send a mail to philmar87@hotmail.co.uk"/>
    <x:hyperlink ref="C24" r:id="rId274" tooltip="Send a mail to sales@emotionimports.com"/>
    <x:hyperlink ref="C25" r:id="rId275" tooltip="Send a mail to info@emauto.com.mt"/>
    <x:hyperlink ref="C26" r:id="rId276" tooltip="Send a mail to clivefava@gmail.com"/>
    <x:hyperlink ref="C27" r:id="rId277" tooltip="Send a mail to info@ggs.com.mt"/>
    <x:hyperlink ref="C28" r:id="rId278" tooltip="Send a mail to automotive@gasan.com"/>
    <x:hyperlink ref="C29" r:id="rId279" tooltip="Send a mail to sales@gauciautomobiles.com"/>
    <x:hyperlink ref="C30" r:id="rId280" tooltip="Send a mail to rocco@georgeandrocco.com"/>
    <x:hyperlink ref="C31" r:id="rId281" tooltip="Send a mail to georgeautodealer95@gmail.com"/>
    <x:hyperlink ref="C32" r:id="rId282" tooltip="Send a mail to highwayauto@onvol.net"/>
    <x:hyperlink ref="C33" r:id="rId283" tooltip="Send a mail to craigscicluna@gmail.com"/>
    <x:hyperlink ref="C34" r:id="rId284" tooltip="Send a mail to jautoimports@gmail.com"/>
    <x:hyperlink ref="C35" r:id="rId285" tooltip="Send a mail to jeanpazzopardi@gmail.com"/>
    <x:hyperlink ref="C36" r:id="rId286" tooltip="Send a mail to jfmotorsgozo@gmail.com"/>
    <x:hyperlink ref="C37" r:id="rId287" tooltip="Send a mail to info@jmmotorsmalta.com"/>
    <x:hyperlink ref="C38" r:id="rId288" tooltip="Send a mail to sales@jasoncarimports.com"/>
    <x:hyperlink ref="C39" r:id="rId289" tooltip="Send a mail to info@joeautodealer.com"/>
    <x:hyperlink ref="C40" r:id="rId290" tooltip="Send a mail to justinauto@hotmail.com"/>
    <x:hyperlink ref="C41" r:id="rId291" tooltip="Send a mail to kennethsch3mbri@gmail.com"/>
    <x:hyperlink ref="C42" r:id="rId292" tooltip="Send a mail to info@autosales.com.mt"/>
    <x:hyperlink ref="C43" r:id="rId293" tooltip="Send a mail to kurtsautosales@hotmail.com"/>
    <x:hyperlink ref="C44" r:id="rId294" tooltip="Send a mail to falzonluca@gmail.com"/>
    <x:hyperlink ref="C45" r:id="rId295" tooltip="Send a mail to mariogalea@msn.com"/>
    <x:hyperlink ref="C46" r:id="rId296" tooltip="Send a mail to info@michaeldebonoused.mt"/>
    <x:hyperlink ref="C47" r:id="rId297" tooltip="Send a mail to pajsurebus74@gimel.com"/>
    <x:hyperlink ref="C48" r:id="rId298" tooltip="Send a mail to gattsammy@yahoo.com"/>
    <x:hyperlink ref="C49" r:id="rId299" tooltip="Send a mail to rokkuautodealer@gmail.com"/>
    <x:hyperlink ref="C50" r:id="rId300" tooltip="Send a mail to venturmotors@gmail.com"/>
    <x:hyperlink ref="C51" r:id="rId301" tooltip="Send a mail to xautomobiles@gmail.com"/>
    <x:hyperlink ref="E2" r:id="rId302" tooltip="Search Dino's Motor Centre,&#10;Mosta Road, Lija. LJA9012. on Google Maps"/>
    <x:hyperlink ref="F2" r:id="rId303" tooltip="Visit aacarimports.com.mt/"/>
    <x:hyperlink ref="F3" r:id="rId304" tooltip="Visit yellow.com.mt/a-1-auto-dealers_auto-dealers+mosta/"/>
    <x:hyperlink ref="F4" r:id="rId305" tooltip="Visit facebook.com/p/ABS-Auto-Dealer-100057348224337/"/>
    <x:hyperlink ref="F5" r:id="rId306" tooltip="Visit yellow.com.mt/aj-motors/auto-dealers/"/>
    <x:hyperlink ref="F6" r:id="rId307" tooltip="Visit alanmotors.com.mt/"/>
    <x:hyperlink ref="F7" r:id="rId308" tooltip="Visit facebook.com/p/Attard-Auto-Dealer-100057253586326/"/>
    <x:hyperlink ref="F8" r:id="rId309" tooltip="Visit facebook.com/attardsmotors/"/>
    <x:hyperlink ref="F9" r:id="rId310" tooltip="Visit facebook.com/autogamaimports/"/>
    <x:hyperlink ref="F10" r:id="rId311" tooltip="Visit facebook.com/autozonemalta/"/>
    <x:hyperlink ref="F11" r:id="rId312" tooltip="Visit facebook.com/AvisMaltaUsedCarSales/"/>
    <x:hyperlink ref="F12" r:id="rId313" tooltip="Visit brincatautoimports.com/"/>
    <x:hyperlink ref="F13" r:id="rId314" tooltip="Visit facebook.com/Btlautodeater/"/>
    <x:hyperlink ref="F14" r:id="rId315" tooltip="Visit facebook.com/p/Canadis-Auto-Dealer-100063715533716/"/>
    <x:hyperlink ref="F15" r:id="rId316" tooltip="Visit facebook.com/carhubmalta/"/>
    <x:hyperlink ref="F16" r:id="rId317" tooltip="Visit facebook.com/Caromotors/"/>
    <x:hyperlink ref="F17" r:id="rId318" tooltip="Visit facebook.com/carsandmoremalta"/>
    <x:hyperlink ref="F18" r:id="rId319" tooltip="Visit carsunlimitedmalta.com/"/>
    <x:hyperlink ref="F19" r:id="rId320" tooltip="Visit facebook.com/p/Charlie-Auto-Dealer-100054340519565/"/>
    <x:hyperlink ref="F20" r:id="rId321" tooltip="Visit facebook.com/ChevronCarsAndmore/"/>
    <x:hyperlink ref="F21" r:id="rId322" tooltip="Visit facebook.com/crcarsmalta/"/>
    <x:hyperlink ref="F22" r:id="rId323" tooltip="Visit facebook.com/dandsautodealer/"/>
    <x:hyperlink ref="F23" r:id="rId324" tooltip="Visit facebook.com/p/DC-motors-Auto-Sales-100057442128124/"/>
    <x:hyperlink ref="F24" r:id="rId325" tooltip="Visit dinosmotors.com/contact-form/"/>
    <x:hyperlink ref="F25" r:id="rId326" tooltip="Visit facebook.com/DriveAutomotiveCoLtd/"/>
    <x:hyperlink ref="F26" r:id="rId327" tooltip="Visit facebook.com/p/DRM-Autosales-100054512857141/"/>
    <x:hyperlink ref="F27" r:id="rId328" tooltip="Visit facebook.com/EmotionImports/"/>
    <x:hyperlink ref="F28" r:id="rId329" tooltip="Visit facebook.com/emautoltd/"/>
    <x:hyperlink ref="F29" r:id="rId330" tooltip="Visit facebook.com/favacardealers/"/>
    <x:hyperlink ref="F30" r:id="rId331" tooltip="Visit facebook.com/GaleaGeneralServicesLtd/"/>
    <x:hyperlink ref="F31" r:id="rId332" tooltip="Visit facebook.com/georgeandroccocarcentre/?locale=mt_MT"/>
    <x:hyperlink ref="F32" r:id="rId333" tooltip="Visit jasoncarimports.com/"/>
    <x:hyperlink ref="F33" r:id="rId334" tooltip="Visit joeautodealer.com/"/>
    <x:hyperlink ref="F34" r:id="rId335" tooltip="Visit autosales.com.mt/"/>
    <x:hyperlink ref="F35" r:id="rId336" tooltip="Visit facebook.com/p/Mario-Galea-New-Second-Hand-Cars-100050330211879/"/>
    <x:hyperlink ref="F36" r:id="rId337" tooltip="Visit michaeldebonoused.mt/"/>
    <x:hyperlink ref="F37" r:id="rId338" tooltip="Visit facebook.com/www.pajsudealer.com.mt/"/>
    <x:hyperlink ref="F38" r:id="rId339" tooltip="Visit facebook.com/PremiereCarSales/"/>
    <x:hyperlink ref="F39" r:id="rId340" tooltip="Visit facebook.com/rokkuautodealer/"/>
    <x:hyperlink ref="F40" r:id="rId341" tooltip="Visit venturmotors.mt/"/>
    <x:hyperlink ref="F41" r:id="rId342" tooltip="Visit facebook.com/xauto007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93"/>
  <x:sheetViews>
    <x:sheetView workbookViewId="0"/>
  </x:sheetViews>
  <x:sheetFormatPr defaultRowHeight="15"/>
  <x:cols>
    <x:col min="1" max="1" width="8.424911" style="0" customWidth="1"/>
    <x:col min="2" max="2" width="25.567768" style="0" customWidth="1"/>
    <x:col min="3" max="3" width="29.996339" style="0" customWidth="1"/>
    <x:col min="4" max="4" width="18.710625" style="0" customWidth="1"/>
    <x:col min="5" max="5" width="10.853482" style="0" customWidth="1"/>
    <x:col min="6" max="6" width="10.996339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24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List'!A8", "Back to Summary")</x:f>
      </x:c>
    </x:row>
    <x:row r="2" spans="1:7" s="3" customFormat="1">
      <x:c r="A2" s="3" t="s">
        <x:v>418</x:v>
      </x:c>
      <x:c r="B2" s="3" t="s">
        <x:v>419</x:v>
      </x:c>
      <x:c r="C2" s="6" t="s">
        <x:v>453</x:v>
      </x:c>
      <x:c r="D2" s="7">
        <x:f>CONCATENATE(HYPERLINK("CALLTO:%2B356%207962%201262", "+356 7962 1262"))</x:f>
      </x:c>
    </x:row>
    <x:row r="3" spans="1:7" s="1" customFormat="1">
      <x:c r="A3" s="1" t="s">
        <x:v>418</x:v>
      </x:c>
      <x:c r="B3" s="1" t="s">
        <x:v>420</x:v>
      </x:c>
      <x:c r="C3" s="8" t="s">
        <x:v>454</x:v>
      </x:c>
      <x:c r="D3" s="9">
        <x:f>CONCATENATE(HYPERLINK("CALLTO:%2B356%207928%209569", "+356 7928 9569"))</x:f>
      </x:c>
    </x:row>
    <x:row r="4" spans="1:7" s="4" customFormat="1">
      <x:c r="A4" s="4" t="s">
        <x:v>418</x:v>
      </x:c>
      <x:c r="B4" s="4" t="s">
        <x:v>421</x:v>
      </x:c>
      <x:c r="C4" s="10" t="s">
        <x:v>455</x:v>
      </x:c>
      <x:c r="D4" s="11">
        <x:f>CONCATENATE(HYPERLINK("CALLTO:%2B356%207788%202898", "+356 7788 2898"))</x:f>
      </x:c>
    </x:row>
    <x:row r="5" spans="1:7" s="3" customFormat="1">
      <x:c r="A5" s="3" t="s">
        <x:v>418</x:v>
      </x:c>
      <x:c r="B5" s="3" t="s">
        <x:v>422</x:v>
      </x:c>
      <x:c r="C5" s="6" t="s">
        <x:v>456</x:v>
      </x:c>
      <x:c r="D5" s="7">
        <x:f>CONCATENATE(HYPERLINK("CALLTO:%2B356%209987%202954", "+356 9987 2954"))</x:f>
      </x:c>
    </x:row>
    <x:row r="6" spans="1:7" s="1" customFormat="1">
      <x:c r="A6" s="1" t="s">
        <x:v>418</x:v>
      </x:c>
      <x:c r="B6" s="1" t="s">
        <x:v>423</x:v>
      </x:c>
      <x:c r="C6" s="8" t="s">
        <x:v>456</x:v>
      </x:c>
      <x:c r="D6" s="9">
        <x:f>CONCATENATE(HYPERLINK("CALLTO:%2B356%207927%207408", "+356 7927 7408"))</x:f>
      </x:c>
    </x:row>
    <x:row r="7" spans="1:7" s="4" customFormat="1">
      <x:c r="A7" s="4" t="s">
        <x:v>418</x:v>
      </x:c>
      <x:c r="B7" s="4" t="s">
        <x:v>424</x:v>
      </x:c>
      <x:c r="C7" s="10" t="s">
        <x:v>457</x:v>
      </x:c>
      <x:c r="D7" s="11">
        <x:f>CONCATENATE(HYPERLINK("CALLTO:%2B356%209925%206349", "+356 9925 6349"))</x:f>
      </x:c>
    </x:row>
    <x:row r="8" spans="1:7" s="3" customFormat="1">
      <x:c r="A8" s="3" t="s">
        <x:v>418</x:v>
      </x:c>
      <x:c r="B8" s="3" t="s">
        <x:v>425</x:v>
      </x:c>
      <x:c r="C8" s="6" t="s">
        <x:v>458</x:v>
      </x:c>
      <x:c r="D8" s="7">
        <x:f>CONCATENATE(HYPERLINK("CALLTO:%2B356%209927%205364", "+356 9927 5364"))</x:f>
      </x:c>
    </x:row>
    <x:row r="9" spans="1:7" s="1" customFormat="1">
      <x:c r="A9" s="1" t="s">
        <x:v>418</x:v>
      </x:c>
      <x:c r="B9" s="1" t="s">
        <x:v>426</x:v>
      </x:c>
      <x:c r="C9" s="8" t="s">
        <x:v>456</x:v>
      </x:c>
      <x:c r="D9" s="9">
        <x:f>CONCATENATE(HYPERLINK("CALLTO:%2B356%207953%208973", "+356 7953 8973"))</x:f>
      </x:c>
    </x:row>
    <x:row r="10" spans="1:7" s="4" customFormat="1">
      <x:c r="A10" s="4" t="s">
        <x:v>418</x:v>
      </x:c>
      <x:c r="B10" s="4" t="s">
        <x:v>427</x:v>
      </x:c>
      <x:c r="C10" s="10" t="s">
        <x:v>459</x:v>
      </x:c>
      <x:c r="D10" s="11">
        <x:f>CONCATENATE(HYPERLINK("CALLTO:%2B356%209982%202803", "+356 9982 2803"))</x:f>
      </x:c>
    </x:row>
    <x:row r="11" spans="1:7" s="3" customFormat="1">
      <x:c r="A11" s="3" t="s">
        <x:v>418</x:v>
      </x:c>
      <x:c r="B11" s="3" t="s">
        <x:v>428</x:v>
      </x:c>
      <x:c r="C11" s="6" t="s">
        <x:v>460</x:v>
      </x:c>
      <x:c r="D11" s="7">
        <x:f>CONCATENATE(HYPERLINK("CALLTO:%2B356%207909%202230", "+356 7909 2230"))</x:f>
      </x:c>
    </x:row>
    <x:row r="12" spans="1:7" s="1" customFormat="1">
      <x:c r="A12" s="1" t="s">
        <x:v>418</x:v>
      </x:c>
      <x:c r="B12" s="1" t="s">
        <x:v>429</x:v>
      </x:c>
      <x:c r="C12" s="8" t="s">
        <x:v>461</x:v>
      </x:c>
      <x:c r="D12" s="9">
        <x:f>CONCATENATE(HYPERLINK("CALLTO:%2B356%207925%204003", "+356 7925 4003"))</x:f>
      </x:c>
    </x:row>
    <x:row r="13" spans="1:7" s="4" customFormat="1">
      <x:c r="A13" s="4" t="s">
        <x:v>418</x:v>
      </x:c>
      <x:c r="B13" s="4" t="s">
        <x:v>430</x:v>
      </x:c>
      <x:c r="C13" s="10" t="s">
        <x:v>462</x:v>
      </x:c>
      <x:c r="D13" s="11">
        <x:f>CONCATENATE(HYPERLINK("CALLTO:%2B356%209950%202126", "+356 9950 2126"))</x:f>
      </x:c>
    </x:row>
    <x:row r="14" spans="1:7" s="3" customFormat="1">
      <x:c r="A14" s="3" t="s">
        <x:v>418</x:v>
      </x:c>
      <x:c r="B14" s="3" t="s">
        <x:v>431</x:v>
      </x:c>
      <x:c r="C14" s="6" t="s">
        <x:v>463</x:v>
      </x:c>
      <x:c r="D14" s="7">
        <x:f>CONCATENATE(HYPERLINK("CALLTO:%2B356%209914%208084", "+356 9914 8084"))</x:f>
      </x:c>
    </x:row>
    <x:row r="15" spans="1:7" s="1" customFormat="1">
      <x:c r="A15" s="1" t="s">
        <x:v>418</x:v>
      </x:c>
      <x:c r="B15" s="1" t="s">
        <x:v>432</x:v>
      </x:c>
      <x:c r="C15" s="8" t="s">
        <x:v>464</x:v>
      </x:c>
      <x:c r="D15" s="9">
        <x:f>CONCATENATE(HYPERLINK("CALLTO:%2B356%209923%201484", "+356 9923 1484"))</x:f>
      </x:c>
    </x:row>
    <x:row r="16" spans="1:7" s="4" customFormat="1">
      <x:c r="A16" s="4" t="s">
        <x:v>418</x:v>
      </x:c>
      <x:c r="B16" s="4" t="s">
        <x:v>433</x:v>
      </x:c>
      <x:c r="C16" s="10" t="s">
        <x:v>465</x:v>
      </x:c>
      <x:c r="D16" s="11">
        <x:f>CONCATENATE(HYPERLINK("CALLTO:%2B356%207970%206849", "+356 7970 6849"))</x:f>
      </x:c>
    </x:row>
    <x:row r="17" spans="1:7" s="3" customFormat="1">
      <x:c r="A17" s="3" t="s">
        <x:v>418</x:v>
      </x:c>
      <x:c r="B17" s="3" t="s">
        <x:v>434</x:v>
      </x:c>
      <x:c r="C17" s="6" t="s">
        <x:v>459</x:v>
      </x:c>
      <x:c r="D17" s="7">
        <x:f>CONCATENATE(HYPERLINK("CALLTO:%2B356%207706%201013", "+356 7706 1013"))</x:f>
      </x:c>
    </x:row>
    <x:row r="18" spans="1:7" s="1" customFormat="1">
      <x:c r="A18" s="1" t="s">
        <x:v>418</x:v>
      </x:c>
      <x:c r="B18" s="1" t="s">
        <x:v>435</x:v>
      </x:c>
      <x:c r="C18" s="8" t="s">
        <x:v>466</x:v>
      </x:c>
      <x:c r="D18" s="9">
        <x:f>CONCATENATE(HYPERLINK("CALLTO:%2B356%207999%205055", "+356 7999 5055"))</x:f>
      </x:c>
    </x:row>
    <x:row r="19" spans="1:7" s="4" customFormat="1">
      <x:c r="A19" s="4" t="s">
        <x:v>418</x:v>
      </x:c>
      <x:c r="B19" s="4" t="s">
        <x:v>436</x:v>
      </x:c>
      <x:c r="C19" s="10" t="s">
        <x:v>467</x:v>
      </x:c>
      <x:c r="D19" s="11">
        <x:f>CONCATENATE(HYPERLINK("CALLTO:%2B356%209987%209732", "+356 9987 9732"))</x:f>
      </x:c>
    </x:row>
    <x:row r="20" spans="1:7" s="3" customFormat="1">
      <x:c r="A20" s="3" t="s">
        <x:v>418</x:v>
      </x:c>
      <x:c r="B20" s="3" t="s">
        <x:v>437</x:v>
      </x:c>
      <x:c r="C20" s="6" t="s">
        <x:v>468</x:v>
      </x:c>
      <x:c r="D20" s="7">
        <x:f>CONCATENATE(HYPERLINK("CALLTO:%2B356%207940%202003", "+356 7940 2003"))</x:f>
      </x:c>
    </x:row>
    <x:row r="21" spans="1:7" s="1" customFormat="1">
      <x:c r="A21" s="1" t="s">
        <x:v>418</x:v>
      </x:c>
      <x:c r="B21" s="1" t="s">
        <x:v>438</x:v>
      </x:c>
      <x:c r="C21" s="8" t="s">
        <x:v>469</x:v>
      </x:c>
      <x:c r="D21" s="9">
        <x:f>CONCATENATE(HYPERLINK("CALLTO:%2B356%207711%203850", "+356 7711 3850"))</x:f>
      </x:c>
    </x:row>
    <x:row r="22" spans="1:7" s="4" customFormat="1">
      <x:c r="A22" s="4" t="s">
        <x:v>418</x:v>
      </x:c>
      <x:c r="B22" s="4" t="s">
        <x:v>439</x:v>
      </x:c>
      <x:c r="C22" s="10" t="s">
        <x:v>470</x:v>
      </x:c>
      <x:c r="D22" s="11">
        <x:f>CONCATENATE(HYPERLINK("CALLTO:%2B356%209956%201273", "+356 9956 1273"))</x:f>
      </x:c>
    </x:row>
    <x:row r="23" spans="1:7" s="3" customFormat="1">
      <x:c r="A23" s="3" t="s">
        <x:v>418</x:v>
      </x:c>
      <x:c r="B23" s="3" t="s">
        <x:v>440</x:v>
      </x:c>
      <x:c r="C23" s="6" t="s">
        <x:v>469</x:v>
      </x:c>
      <x:c r="D23" s="7">
        <x:f>CONCATENATE(HYPERLINK("CALLTO:%2B356%207739%205018", "+356 7739 5018"))</x:f>
      </x:c>
    </x:row>
    <x:row r="24" spans="1:7" s="1" customFormat="1">
      <x:c r="A24" s="1" t="s">
        <x:v>418</x:v>
      </x:c>
      <x:c r="B24" s="1" t="s">
        <x:v>441</x:v>
      </x:c>
      <x:c r="C24" s="8" t="s">
        <x:v>471</x:v>
      </x:c>
      <x:c r="D24" s="9">
        <x:f>CONCATENATE(HYPERLINK("CALLTO:%2B356%209953%208796", "+356 9953 8796"))</x:f>
      </x:c>
    </x:row>
    <x:row r="25" spans="1:7" s="4" customFormat="1">
      <x:c r="A25" s="4" t="s">
        <x:v>418</x:v>
      </x:c>
      <x:c r="B25" s="4" t="s">
        <x:v>442</x:v>
      </x:c>
      <x:c r="C25" s="10" t="s">
        <x:v>472</x:v>
      </x:c>
      <x:c r="D25" s="11">
        <x:f>CONCATENATE(HYPERLINK("CALLTO:%2B356%207930%206337", "+356 7930 6337"))</x:f>
      </x:c>
    </x:row>
    <x:row r="26" spans="1:7" s="3" customFormat="1">
      <x:c r="A26" s="3" t="s">
        <x:v>418</x:v>
      </x:c>
      <x:c r="B26" s="3" t="s">
        <x:v>443</x:v>
      </x:c>
      <x:c r="C26" s="6" t="s">
        <x:v>469</x:v>
      </x:c>
      <x:c r="D26" s="7">
        <x:f>CONCATENATE(HYPERLINK("CALLTO:%2B356%207904%208377", "+356 7904 8377"))</x:f>
      </x:c>
    </x:row>
    <x:row r="27" spans="1:7" s="1" customFormat="1">
      <x:c r="A27" s="1" t="s">
        <x:v>418</x:v>
      </x:c>
      <x:c r="B27" s="1" t="s">
        <x:v>444</x:v>
      </x:c>
      <x:c r="C27" s="8" t="s">
        <x:v>473</x:v>
      </x:c>
      <x:c r="D27" s="9">
        <x:f>CONCATENATE(HYPERLINK("CALLTO:%2B356%207927%209899", "+356 7927 9899"))</x:f>
      </x:c>
    </x:row>
    <x:row r="28" spans="1:7" s="4" customFormat="1">
      <x:c r="A28" s="4" t="s">
        <x:v>418</x:v>
      </x:c>
      <x:c r="B28" s="4" t="s">
        <x:v>445</x:v>
      </x:c>
      <x:c r="C28" s="10" t="s">
        <x:v>474</x:v>
      </x:c>
      <x:c r="D28" s="11">
        <x:f>CONCATENATE(HYPERLINK("CALLTO:%2B356%207982%205355", "+356 7982 5355"))</x:f>
      </x:c>
    </x:row>
    <x:row r="29" spans="1:7" s="3" customFormat="1">
      <x:c r="A29" s="3" t="s">
        <x:v>418</x:v>
      </x:c>
      <x:c r="B29" s="3" t="s">
        <x:v>446</x:v>
      </x:c>
      <x:c r="C29" s="6" t="s">
        <x:v>456</x:v>
      </x:c>
      <x:c r="D29" s="7">
        <x:f>CONCATENATE(HYPERLINK("CALLTO:%2B356%209921%200901", "+356 9921 0901"))</x:f>
      </x:c>
    </x:row>
    <x:row r="30" spans="1:7" s="1" customFormat="1">
      <x:c r="A30" s="1" t="s">
        <x:v>418</x:v>
      </x:c>
      <x:c r="B30" s="1" t="s">
        <x:v>447</x:v>
      </x:c>
      <x:c r="C30" s="8" t="s">
        <x:v>459</x:v>
      </x:c>
      <x:c r="D30" s="9">
        <x:f>CONCATENATE(HYPERLINK("CALLTO:%2B356%207930%203911", "+356 7930 3911"))</x:f>
      </x:c>
    </x:row>
    <x:row r="31" spans="1:7" s="4" customFormat="1">
      <x:c r="A31" s="4" t="s">
        <x:v>418</x:v>
      </x:c>
      <x:c r="B31" s="4" t="s">
        <x:v>448</x:v>
      </x:c>
      <x:c r="C31" s="10" t="s">
        <x:v>475</x:v>
      </x:c>
      <x:c r="D31" s="11">
        <x:f>CONCATENATE(HYPERLINK("CALLTO:%2B356%209908%207896", "+356 9908 7896"))</x:f>
      </x:c>
    </x:row>
    <x:row r="32" spans="1:7" s="3" customFormat="1">
      <x:c r="A32" s="3" t="s">
        <x:v>418</x:v>
      </x:c>
      <x:c r="B32" s="3" t="s">
        <x:v>449</x:v>
      </x:c>
      <x:c r="C32" s="6" t="s">
        <x:v>476</x:v>
      </x:c>
      <x:c r="D32" s="7">
        <x:f>CONCATENATE(HYPERLINK("CALLTO:%2B356%209964%208749", "+356 9964 8749"))</x:f>
      </x:c>
    </x:row>
    <x:row r="33" spans="1:7" s="1" customFormat="1">
      <x:c r="A33" s="1" t="s">
        <x:v>418</x:v>
      </x:c>
      <x:c r="B33" s="1" t="s">
        <x:v>450</x:v>
      </x:c>
      <x:c r="C33" s="8" t="s">
        <x:v>477</x:v>
      </x:c>
      <x:c r="D33" s="9">
        <x:f>CONCATENATE(HYPERLINK("CALLTO:%2B356%209988%202908", "+356 9988 2908"))</x:f>
      </x:c>
    </x:row>
    <x:row r="34" spans="1:7" s="4" customFormat="1">
      <x:c r="A34" s="4" t="s">
        <x:v>418</x:v>
      </x:c>
      <x:c r="B34" s="4" t="s">
        <x:v>451</x:v>
      </x:c>
      <x:c r="C34" s="10" t="s">
        <x:v>456</x:v>
      </x:c>
      <x:c r="D34" s="11">
        <x:f>CONCATENATE(HYPERLINK("CALLTO:%2B356%207920%203818", "+356 7920 3818"))</x:f>
      </x:c>
    </x:row>
    <x:row r="35" spans="1:7" s="3" customFormat="1">
      <x:c r="A35" s="3" t="s">
        <x:v>418</x:v>
      </x:c>
      <x:c r="B35" s="3" t="s">
        <x:v>452</x:v>
      </x:c>
      <x:c r="C35" s="6" t="s">
        <x:v>478</x:v>
      </x:c>
      <x:c r="D35" s="7">
        <x:f>CONCATENATE(HYPERLINK("CALLTO:%2B356%209919%202609", "+356 9919 2609"))</x:f>
      </x:c>
    </x:row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</x:sheetData>
  <x:hyperlinks>
    <x:hyperlink ref="C2" r:id="rId343" tooltip="Send a mail to arkeomalta@gmail.com"/>
    <x:hyperlink ref="C3" r:id="rId344" tooltip="Send a mail to jeremy@jbarchteam.com"/>
    <x:hyperlink ref="C4" r:id="rId345" tooltip="Send a mail to samuelabossini@gmail.com"/>
    <x:hyperlink ref="C5" r:id="rId346" tooltip="Send a mail to ascoopltdmalta@gmail.com"/>
    <x:hyperlink ref="C6" r:id="rId347" tooltip="Send a mail to ascoopltdmalta@gmail.com"/>
    <x:hyperlink ref="C7" r:id="rId348" tooltip="Send a mail to chrisbu.su@gmail.com"/>
    <x:hyperlink ref="C8" r:id="rId349" tooltip="Send a mail to karloco621@gmail.com"/>
    <x:hyperlink ref="C9" r:id="rId350" tooltip="Send a mail to ascoopltdmalta@gmail.com"/>
    <x:hyperlink ref="C10" r:id="rId351" tooltip="Send a mail to skavarc@digiarc.mt"/>
    <x:hyperlink ref="C11" r:id="rId352" tooltip="Send a mail to josefcaruana1@googlemail.com"/>
    <x:hyperlink ref="C12" r:id="rId353" tooltip="Send a mail to projects@aecmalta.com.mt"/>
    <x:hyperlink ref="C13" r:id="rId354" tooltip="Send a mail to rossano.cherubini@qpml.com"/>
    <x:hyperlink ref="C14" r:id="rId355" tooltip="Send a mail to vincenzo.cherubini@ais.com.mt"/>
    <x:hyperlink ref="C15" r:id="rId356" tooltip="Send a mail to luisana_damato@yahoo.co.uk"/>
    <x:hyperlink ref="C16" r:id="rId357" tooltip="Send a mail to farrugia.glenn@gmail.com"/>
    <x:hyperlink ref="C17" r:id="rId358" tooltip="Send a mail to skavarc@digiarc.mt"/>
    <x:hyperlink ref="C18" r:id="rId359" tooltip="Send a mail to joseph.grima.19@gmail.com"/>
    <x:hyperlink ref="C19" r:id="rId360" tooltip="Send a mail to karl@jbarchteam.com"/>
    <x:hyperlink ref="C20" r:id="rId361" tooltip="Send a mail to jerkinerak@gmail.com"/>
    <x:hyperlink ref="C21" r:id="rId362" tooltip="Send a mail to info@jbarchteam.com"/>
    <x:hyperlink ref="C22" r:id="rId363" tooltip="Send a mail to tamsin.kingswell@qpml.com"/>
    <x:hyperlink ref="C23" r:id="rId364" tooltip="Send a mail to info@jbarchteam.com"/>
    <x:hyperlink ref="C24" r:id="rId365" tooltip="Send a mail to nickybb777@gmail.com"/>
    <x:hyperlink ref="C25" r:id="rId366" tooltip="Send a mail to chrimint@gmail.com"/>
    <x:hyperlink ref="C26" r:id="rId367" tooltip="Send a mail to info@jbarchteam.com"/>
    <x:hyperlink ref="C27" r:id="rId368" tooltip="Send a mail to iona.muscat@hotmail.com"/>
    <x:hyperlink ref="C28" r:id="rId369" tooltip="Send a mail to kim.muscat@gmail.com"/>
    <x:hyperlink ref="C29" r:id="rId370" tooltip="Send a mail to ascoopltdmalta@gmail.com"/>
    <x:hyperlink ref="C30" r:id="rId371" tooltip="Send a mail to skavarc@digiarc.mt"/>
    <x:hyperlink ref="C31" r:id="rId372" tooltip="Send a mail to patriziapec@gmail.com"/>
    <x:hyperlink ref="C32" r:id="rId373" tooltip="Send a mail to samuele.serini@ais.com.mt"/>
    <x:hyperlink ref="C33" r:id="rId374" tooltip="Send a mail to kirsten.theuma@qpml.com"/>
    <x:hyperlink ref="C34" r:id="rId375" tooltip="Send a mail to ascoopltdmalta@gmail.com"/>
    <x:hyperlink ref="C35" r:id="rId376" tooltip="Send a mail to martinazarb@gmail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7"/>
  <x:sheetViews>
    <x:sheetView workbookViewId="0"/>
  </x:sheetViews>
  <x:sheetFormatPr defaultRowHeight="15"/>
  <x:cols>
    <x:col min="1" max="1" width="6.282054" style="0" customWidth="1"/>
    <x:col min="2" max="2" width="7.710625" style="0" customWidth="1"/>
    <x:col min="3" max="3" width="7.139196" style="0" customWidth="1"/>
    <x:col min="4" max="4" width="18.710625" style="0" customWidth="1"/>
    <x:col min="5" max="5" width="10.853482" style="0" customWidth="1"/>
    <x:col min="6" max="6" width="10.996339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24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List'!A9", "Back to Summary")</x:f>
      </x:c>
    </x:row>
    <x:row r="2" spans="1:7" s="3" customFormat="1"/>
    <x:row r="3" spans="1:7" s="1" customFormat="1"/>
    <x:row r="4" spans="1:7" s="4" customFormat="1"/>
    <x:row r="5" spans="1:7" s="3" customFormat="1"/>
    <x:row r="6" spans="1:7" s="1" customFormat="1"/>
    <x:row r="7" spans="1:7" s="4" customFormat="1"/>
    <x:row r="8" spans="1:7" s="3" customFormat="1"/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70"/>
  <x:sheetViews>
    <x:sheetView workbookViewId="0"/>
  </x:sheetViews>
  <x:sheetFormatPr defaultRowHeight="15"/>
  <x:cols>
    <x:col min="1" max="2" width="23.567768" style="0" customWidth="1"/>
    <x:col min="3" max="3" width="26.710625" style="0" customWidth="1"/>
    <x:col min="4" max="4" width="18.710625" style="0" customWidth="1"/>
    <x:col min="5" max="5" width="30.282054" style="0" customWidth="1"/>
    <x:col min="6" max="6" width="74.710625" style="0" customWidth="1"/>
    <x:col min="7" max="7" width="17.139196" style="0" customWidth="1"/>
    <x:col min="8" max="8" width="15.424911" style="0" customWidth="1"/>
    <x:col min="9" max="9" width="20.996339" style="0" customWidth="1"/>
  </x:cols>
  <x:sheetData>
    <x:row r="1" spans="1:9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2" t="s">
        <x:v>545</x:v>
      </x:c>
      <x:c r="H1" s="2" t="s">
        <x:v>546</x:v>
      </x:c>
      <x:c r="I1" s="5">
        <x:f>HYPERLINK("#'Summary List'!A10", "Back to Summary")</x:f>
      </x:c>
    </x:row>
    <x:row r="2" spans="1:9" s="3" customFormat="1">
      <x:c r="A2" s="3" t="s">
        <x:v>480</x:v>
      </x:c>
      <x:c r="B2" s="3" t="s">
        <x:v>487</x:v>
      </x:c>
      <x:c r="C2" s="6" t="s">
        <x:v>504</x:v>
      </x:c>
      <x:c r="D2" s="7">
        <x:f>CONCATENATE(HYPERLINK("CALLTO:%2B356%202123%200741", "+356 2123 0741"))</x:f>
      </x:c>
      <x:c r="E2" s="6" t="s">
        <x:v>524</x:v>
      </x:c>
      <x:c r="F2" s="6" t="s">
        <x:v>533</x:v>
      </x:c>
      <x:c r="G2" s="3" t="s">
        <x:v>547</x:v>
      </x:c>
      <x:c r="H2" s="3" t="s">
        <x:v>547</x:v>
      </x:c>
    </x:row>
    <x:row r="3" spans="1:9" s="1" customFormat="1">
      <x:c r="A3" s="1" t="s">
        <x:v>480</x:v>
      </x:c>
      <x:c r="B3" s="1" t="s">
        <x:v>488</x:v>
      </x:c>
      <x:c r="C3" s="8" t="s">
        <x:v>505</x:v>
      </x:c>
      <x:c r="D3" s="9">
        <x:f>CONCATENATE(HYPERLINK("CALLTO:%2B356%202134%200562", "+356 2134 0562"))</x:f>
      </x:c>
      <x:c r="E3" s="8" t="s">
        <x:v>525</x:v>
      </x:c>
      <x:c r="F3" s="8" t="s">
        <x:v>534</x:v>
      </x:c>
      <x:c r="G3" s="1" t="s">
        <x:v>547</x:v>
      </x:c>
      <x:c r="H3" s="1" t="s">
        <x:v>547</x:v>
      </x:c>
    </x:row>
    <x:row r="4" spans="1:9" s="4" customFormat="1">
      <x:c r="A4" s="4" t="s">
        <x:v>481</x:v>
      </x:c>
      <x:c r="B4" s="4" t="s">
        <x:v>489</x:v>
      </x:c>
      <x:c r="C4" s="10" t="s">
        <x:v>506</x:v>
      </x:c>
      <x:c r="D4" s="11">
        <x:f>CONCATENATE(HYPERLINK("CALLTO:%2B356%202156%200719", "+356 2156 0719"))</x:f>
      </x:c>
      <x:c r="E4" s="10" t="s">
        <x:v>526</x:v>
      </x:c>
      <x:c r="F4" s="10" t="s">
        <x:v>535</x:v>
      </x:c>
      <x:c r="G4" s="4" t="s">
        <x:v>547</x:v>
      </x:c>
      <x:c r="H4" s="4" t="s">
        <x:v>548</x:v>
      </x:c>
    </x:row>
    <x:row r="5" spans="1:9" s="3" customFormat="1">
      <x:c r="A5" s="3" t="s">
        <x:v>480</x:v>
      </x:c>
      <x:c r="B5" s="3" t="s">
        <x:v>490</x:v>
      </x:c>
      <x:c r="C5" s="6" t="s">
        <x:v>507</x:v>
      </x:c>
      <x:c r="D5" s="7">
        <x:f>CONCATENATE(HYPERLINK("CALLTO:%2B356%207949%209432", "+356 7949 9432"))</x:f>
      </x:c>
      <x:c r="E5" s="6" t="s">
        <x:v>17</x:v>
      </x:c>
      <x:c r="F5" s="6" t="s">
        <x:v>536</x:v>
      </x:c>
      <x:c r="G5" s="3" t="s">
        <x:v>547</x:v>
      </x:c>
      <x:c r="H5" s="3" t="s">
        <x:v>547</x:v>
      </x:c>
    </x:row>
    <x:row r="6" spans="1:9" s="1" customFormat="1">
      <x:c r="A6" s="1" t="s">
        <x:v>480</x:v>
      </x:c>
      <x:c r="B6" s="1" t="s">
        <x:v>486</x:v>
      </x:c>
      <x:c r="C6" s="8" t="s">
        <x:v>508</x:v>
      </x:c>
      <x:c r="D6" s="9">
        <x:f>CONCATENATE(HYPERLINK("CALLTO:%2B356%209931%209111", "+356 9931 9111"))</x:f>
      </x:c>
      <x:c r="E6" s="8" t="s">
        <x:v>523</x:v>
      </x:c>
      <x:c r="F6" s="8" t="s">
        <x:v>537</x:v>
      </x:c>
      <x:c r="G6" s="1" t="s">
        <x:v>547</x:v>
      </x:c>
      <x:c r="H6" s="1" t="s">
        <x:v>547</x:v>
      </x:c>
    </x:row>
    <x:row r="7" spans="1:9" s="4" customFormat="1">
      <x:c r="A7" s="4" t="s">
        <x:v>480</x:v>
      </x:c>
      <x:c r="B7" s="4" t="s">
        <x:v>491</x:v>
      </x:c>
      <x:c r="C7" s="10" t="s">
        <x:v>509</x:v>
      </x:c>
      <x:c r="D7" s="11">
        <x:f>CONCATENATE(HYPERLINK("CALLTO:%2B356%202138%202876", "+356 2138 2876"))</x:f>
      </x:c>
      <x:c r="E7" s="10" t="s">
        <x:v>527</x:v>
      </x:c>
      <x:c r="F7" s="10" t="s">
        <x:v>538</x:v>
      </x:c>
      <x:c r="G7" s="4" t="s">
        <x:v>547</x:v>
      </x:c>
      <x:c r="H7" s="4" t="s">
        <x:v>547</x:v>
      </x:c>
    </x:row>
    <x:row r="8" spans="1:9" s="3" customFormat="1">
      <x:c r="A8" s="3" t="s">
        <x:v>480</x:v>
      </x:c>
      <x:c r="B8" s="3" t="s">
        <x:v>492</x:v>
      </x:c>
      <x:c r="C8" s="6" t="s">
        <x:v>510</x:v>
      </x:c>
      <x:c r="D8" s="7">
        <x:f>CONCATENATE(HYPERLINK("CALLTO:%2B356%209949%205428", "+356 9949 5428"))</x:f>
      </x:c>
      <x:c r="E8" s="6" t="s">
        <x:v>528</x:v>
      </x:c>
      <x:c r="F8" s="6" t="s">
        <x:v>539</x:v>
      </x:c>
      <x:c r="G8" s="3" t="s">
        <x:v>548</x:v>
      </x:c>
      <x:c r="H8" s="3" t="s">
        <x:v>547</x:v>
      </x:c>
    </x:row>
    <x:row r="9" spans="1:9" s="1" customFormat="1">
      <x:c r="A9" s="1" t="s">
        <x:v>480</x:v>
      </x:c>
      <x:c r="B9" s="1" t="s">
        <x:v>494</x:v>
      </x:c>
      <x:c r="C9" s="8" t="s">
        <x:v>511</x:v>
      </x:c>
      <x:c r="D9" s="9">
        <x:f>CONCATENATE(HYPERLINK("CALLTO:%2B356%202799%202315", "+356 2799 2315"))</x:f>
      </x:c>
      <x:c r="E9" s="8" t="s">
        <x:v>530</x:v>
      </x:c>
      <x:c r="F9" s="8" t="s">
        <x:v>540</x:v>
      </x:c>
      <x:c r="G9" s="1" t="s">
        <x:v>547</x:v>
      </x:c>
      <x:c r="H9" s="1" t="s">
        <x:v>547</x:v>
      </x:c>
    </x:row>
    <x:row r="10" spans="1:9" s="4" customFormat="1">
      <x:c r="A10" s="4" t="s">
        <x:v>480</x:v>
      </x:c>
      <x:c r="B10" s="4" t="s">
        <x:v>495</x:v>
      </x:c>
      <x:c r="C10" s="10" t="s">
        <x:v>512</x:v>
      </x:c>
      <x:c r="D10" s="11">
        <x:f>CONCATENATE(HYPERLINK("CALLTO:%2B356%202144%204545", "+356 2144 4545"))</x:f>
      </x:c>
      <x:c r="E10" s="10" t="s">
        <x:v>531</x:v>
      </x:c>
      <x:c r="F10" s="10" t="s">
        <x:v>541</x:v>
      </x:c>
      <x:c r="G10" s="4" t="s">
        <x:v>547</x:v>
      </x:c>
      <x:c r="H10" s="4" t="s">
        <x:v>547</x:v>
      </x:c>
    </x:row>
    <x:row r="11" spans="1:9" s="3" customFormat="1">
      <x:c r="A11" s="3" t="s">
        <x:v>480</x:v>
      </x:c>
      <x:c r="B11" s="3" t="s">
        <x:v>496</x:v>
      </x:c>
      <x:c r="C11" s="6" t="s">
        <x:v>513</x:v>
      </x:c>
      <x:c r="D11" s="7">
        <x:f>CONCATENATE(HYPERLINK("CALLTO:%2B356%202148%206301", "+356 2148 6301"))</x:f>
      </x:c>
      <x:c r="E11" s="6" t="s">
        <x:v>15</x:v>
      </x:c>
      <x:c r="F11" s="6" t="s">
        <x:v>543</x:v>
      </x:c>
      <x:c r="G11" s="3" t="s">
        <x:v>548</x:v>
      </x:c>
      <x:c r="H11" s="3" t="s">
        <x:v>547</x:v>
      </x:c>
    </x:row>
    <x:row r="12" spans="1:9" s="1" customFormat="1">
      <x:c r="A12" s="1" t="s">
        <x:v>480</x:v>
      </x:c>
      <x:c r="B12" s="1" t="s">
        <x:v>493</x:v>
      </x:c>
      <x:c r="C12" s="8" t="s">
        <x:v>514</x:v>
      </x:c>
      <x:c r="D12" s="9">
        <x:f>CONCATENATE(HYPERLINK("CALLTO:%2B356%202125%205500", "+356 2125 5500"))</x:f>
      </x:c>
      <x:c r="E12" s="8" t="s">
        <x:v>532</x:v>
      </x:c>
      <x:c r="F12" s="8" t="s">
        <x:v>542</x:v>
      </x:c>
      <x:c r="G12" s="1" t="s">
        <x:v>547</x:v>
      </x:c>
      <x:c r="H12" s="1" t="s">
        <x:v>547</x:v>
      </x:c>
    </x:row>
    <x:row r="13" spans="1:9" s="4" customFormat="1">
      <x:c r="A13" s="4" t="s">
        <x:v>480</x:v>
      </x:c>
      <x:c r="B13" s="4" t="s">
        <x:v>497</x:v>
      </x:c>
      <x:c r="C13" s="10" t="s">
        <x:v>515</x:v>
      </x:c>
      <x:c r="D13" s="11">
        <x:f>CONCATENATE(HYPERLINK("CALLTO:%2B356%202145%209966", "+356 2145 9966"))</x:f>
      </x:c>
      <x:c r="E13" s="10" t="s">
        <x:v>15</x:v>
      </x:c>
      <x:c r="F13" s="10" t="s">
        <x:v>544</x:v>
      </x:c>
      <x:c r="G13" s="4" t="s">
        <x:v>547</x:v>
      </x:c>
      <x:c r="H13" s="4" t="s">
        <x:v>547</x:v>
      </x:c>
    </x:row>
    <x:row r="14" spans="1:9" s="3" customFormat="1">
      <x:c r="A14" s="3" t="s">
        <x:v>480</x:v>
      </x:c>
      <x:c r="B14" s="3" t="s">
        <x:v>499</x:v>
      </x:c>
      <x:c r="C14" s="6" t="s">
        <x:v>516</x:v>
      </x:c>
    </x:row>
    <x:row r="15" spans="1:9" s="1" customFormat="1">
      <x:c r="A15" s="1" t="s">
        <x:v>483</x:v>
      </x:c>
      <x:c r="B15" s="1" t="s">
        <x:v>498</x:v>
      </x:c>
      <x:c r="C15" s="8" t="s">
        <x:v>517</x:v>
      </x:c>
    </x:row>
    <x:row r="16" spans="1:9" s="4" customFormat="1">
      <x:c r="A16" s="4" t="s">
        <x:v>480</x:v>
      </x:c>
      <x:c r="B16" s="4" t="s">
        <x:v>500</x:v>
      </x:c>
      <x:c r="C16" s="10" t="s">
        <x:v>518</x:v>
      </x:c>
    </x:row>
    <x:row r="17" spans="1:9" s="3" customFormat="1"/>
    <x:row r="18" spans="1:9" s="1" customFormat="1">
      <x:c r="A18" s="1" t="s">
        <x:v>484</x:v>
      </x:c>
      <x:c r="B18" s="1" t="s">
        <x:v>501</x:v>
      </x:c>
      <x:c r="C18" s="8" t="s">
        <x:v>519</x:v>
      </x:c>
    </x:row>
    <x:row r="19" spans="1:9" s="4" customFormat="1"/>
    <x:row r="20" spans="1:9" s="3" customFormat="1">
      <x:c r="A20" s="3" t="s">
        <x:v>485</x:v>
      </x:c>
      <x:c r="B20" s="3" t="s">
        <x:v>503</x:v>
      </x:c>
      <x:c r="C20" s="6" t="s">
        <x:v>520</x:v>
      </x:c>
    </x:row>
    <x:row r="21" spans="1:9" s="1" customFormat="1"/>
    <x:row r="22" spans="1:9" s="4" customFormat="1"/>
    <x:row r="23" spans="1:9" s="3" customFormat="1"/>
    <x:row r="24" spans="1:9" s="1" customFormat="1"/>
    <x:row r="25" spans="1:9" s="4" customFormat="1"/>
    <x:row r="26" spans="1:9" s="3" customFormat="1"/>
    <x:row r="27" spans="1:9" s="1" customFormat="1"/>
    <x:row r="28" spans="1:9" s="4" customFormat="1"/>
    <x:row r="29" spans="1:9" s="3" customFormat="1"/>
    <x:row r="30" spans="1:9" s="1" customFormat="1"/>
    <x:row r="31" spans="1:9" s="4" customFormat="1"/>
    <x:row r="32" spans="1:9" s="3" customFormat="1"/>
    <x:row r="33" spans="1:9" s="1" customFormat="1"/>
    <x:row r="34" spans="1:9" s="4" customFormat="1"/>
    <x:row r="35" spans="1:9" s="3" customFormat="1"/>
    <x:row r="36" spans="1:9" s="1" customFormat="1"/>
    <x:row r="37" spans="1:9" s="4" customFormat="1"/>
    <x:row r="38" spans="1:9" s="3" customFormat="1"/>
    <x:row r="39" spans="1:9" s="1" customFormat="1"/>
    <x:row r="40" spans="1:9" s="4" customFormat="1"/>
    <x:row r="41" spans="1:9" s="3" customFormat="1"/>
    <x:row r="42" spans="1:9" s="1" customFormat="1"/>
    <x:row r="43" spans="1:9" s="4" customFormat="1"/>
    <x:row r="44" spans="1:9" s="3" customFormat="1"/>
    <x:row r="45" spans="1:9" s="1" customFormat="1"/>
    <x:row r="46" spans="1:9" s="4" customFormat="1"/>
    <x:row r="47" spans="1:9" s="3" customFormat="1"/>
    <x:row r="48" spans="1:9" s="1" customFormat="1"/>
    <x:row r="49" spans="1:9" s="4" customFormat="1"/>
    <x:row r="50" spans="1:9" s="3" customFormat="1"/>
    <x:row r="51" spans="1:9" s="1" customFormat="1"/>
    <x:row r="52" spans="1:9" s="4" customFormat="1"/>
    <x:row r="53" spans="1:9" s="3" customFormat="1"/>
    <x:row r="54" spans="1:9" s="1" customFormat="1"/>
    <x:row r="55" spans="1:9" s="4" customFormat="1"/>
    <x:row r="56" spans="1:9" s="3" customFormat="1"/>
    <x:row r="57" spans="1:9" s="1" customFormat="1"/>
    <x:row r="58" spans="1:9" s="4" customFormat="1"/>
    <x:row r="59" spans="1:9" s="3" customFormat="1"/>
    <x:row r="60" spans="1:9" s="1" customFormat="1"/>
    <x:row r="61" spans="1:9" s="4" customFormat="1"/>
    <x:row r="62" spans="1:9" s="3" customFormat="1"/>
    <x:row r="63" spans="1:9" s="1" customFormat="1"/>
    <x:row r="64" spans="1:9" s="4" customFormat="1"/>
    <x:row r="65" spans="1:9" s="3" customFormat="1"/>
    <x:row r="66" spans="1:9" s="1" customFormat="1"/>
    <x:row r="67" spans="1:9" s="4" customFormat="1"/>
    <x:row r="68" spans="1:9" s="3" customFormat="1"/>
    <x:row r="69" spans="1:9" s="1" customFormat="1"/>
    <x:row r="70" spans="1:9" s="4" customFormat="1"/>
    <x:row r="71" spans="1:9" s="3" customFormat="1"/>
    <x:row r="72" spans="1:9" s="1" customFormat="1"/>
    <x:row r="73" spans="1:9" s="4" customFormat="1"/>
    <x:row r="74" spans="1:9" s="3" customFormat="1"/>
    <x:row r="75" spans="1:9" s="1" customFormat="1"/>
    <x:row r="76" spans="1:9" s="4" customFormat="1"/>
    <x:row r="77" spans="1:9" s="3" customFormat="1"/>
    <x:row r="78" spans="1:9" s="1" customFormat="1"/>
    <x:row r="79" spans="1:9" s="4" customFormat="1"/>
    <x:row r="80" spans="1:9" s="3" customFormat="1"/>
    <x:row r="81" spans="1:9" s="1" customFormat="1"/>
    <x:row r="82" spans="1:9" s="4" customFormat="1"/>
    <x:row r="83" spans="1:9" s="3" customFormat="1"/>
    <x:row r="84" spans="1:9" s="1" customFormat="1"/>
    <x:row r="85" spans="1:9" s="4" customFormat="1"/>
    <x:row r="86" spans="1:9" s="3" customFormat="1"/>
    <x:row r="87" spans="1:9" s="1" customFormat="1"/>
    <x:row r="88" spans="1:9" s="4" customFormat="1"/>
    <x:row r="89" spans="1:9" s="3" customFormat="1"/>
    <x:row r="90" spans="1:9" s="1" customFormat="1"/>
    <x:row r="91" spans="1:9" s="4" customFormat="1"/>
    <x:row r="92" spans="1:9" s="3" customFormat="1"/>
    <x:row r="93" spans="1:9" s="1" customFormat="1"/>
    <x:row r="94" spans="1:9" s="4" customFormat="1"/>
    <x:row r="95" spans="1:9" s="3" customFormat="1"/>
    <x:row r="96" spans="1:9" s="1" customFormat="1"/>
    <x:row r="97" spans="1:9" s="4" customFormat="1"/>
    <x:row r="98" spans="1:9" s="3" customFormat="1"/>
    <x:row r="99" spans="1:9" s="1" customFormat="1"/>
    <x:row r="100" spans="1:9" s="4" customFormat="1"/>
    <x:row r="101" spans="1:9" s="3" customFormat="1"/>
    <x:row r="102" spans="1:9" s="1" customFormat="1"/>
    <x:row r="103" spans="1:9" s="4" customFormat="1"/>
    <x:row r="104" spans="1:9" s="3" customFormat="1"/>
    <x:row r="105" spans="1:9" s="1" customFormat="1"/>
    <x:row r="106" spans="1:9" s="4" customFormat="1"/>
    <x:row r="107" spans="1:9" s="3" customFormat="1"/>
    <x:row r="108" spans="1:9" s="1" customFormat="1"/>
    <x:row r="109" spans="1:9" s="4" customFormat="1"/>
    <x:row r="110" spans="1:9" s="3" customFormat="1"/>
    <x:row r="111" spans="1:9" s="1" customFormat="1"/>
    <x:row r="112" spans="1:9" s="4" customFormat="1"/>
    <x:row r="113" spans="1:9" s="3" customFormat="1"/>
    <x:row r="114" spans="1:9" s="1" customFormat="1"/>
    <x:row r="115" spans="1:9" s="4" customFormat="1"/>
    <x:row r="116" spans="1:9" s="3" customFormat="1"/>
    <x:row r="117" spans="1:9" s="1" customFormat="1"/>
    <x:row r="118" spans="1:9" s="4" customFormat="1"/>
    <x:row r="119" spans="1:9" s="3" customFormat="1"/>
    <x:row r="120" spans="1:9" s="1" customFormat="1"/>
    <x:row r="121" spans="1:9" s="4" customFormat="1"/>
    <x:row r="122" spans="1:9" s="3" customFormat="1"/>
    <x:row r="123" spans="1:9" s="1" customFormat="1"/>
    <x:row r="124" spans="1:9" s="4" customFormat="1"/>
    <x:row r="125" spans="1:9" s="3" customFormat="1"/>
    <x:row r="126" spans="1:9" s="1" customFormat="1"/>
    <x:row r="127" spans="1:9" s="4" customFormat="1"/>
    <x:row r="128" spans="1:9" s="3" customFormat="1"/>
    <x:row r="129" spans="1:9" s="1" customFormat="1"/>
    <x:row r="130" spans="1:9" s="4" customFormat="1"/>
    <x:row r="131" spans="1:9" s="3" customFormat="1"/>
    <x:row r="132" spans="1:9" s="1" customFormat="1"/>
    <x:row r="133" spans="1:9" s="4" customFormat="1"/>
    <x:row r="134" spans="1:9" s="3" customFormat="1"/>
    <x:row r="135" spans="1:9" s="1" customFormat="1"/>
    <x:row r="136" spans="1:9" s="4" customFormat="1"/>
    <x:row r="137" spans="1:9" s="3" customFormat="1"/>
    <x:row r="138" spans="1:9" s="1" customFormat="1"/>
    <x:row r="139" spans="1:9" s="4" customFormat="1"/>
    <x:row r="140" spans="1:9" s="3" customFormat="1"/>
    <x:row r="141" spans="1:9" s="1" customFormat="1"/>
    <x:row r="142" spans="1:9" s="4" customFormat="1"/>
    <x:row r="143" spans="1:9" s="3" customFormat="1"/>
    <x:row r="144" spans="1:9" s="1" customFormat="1"/>
    <x:row r="145" spans="1:9" s="4" customFormat="1"/>
    <x:row r="146" spans="1:9" s="3" customFormat="1"/>
    <x:row r="147" spans="1:9" s="1" customFormat="1"/>
    <x:row r="148" spans="1:9" s="4" customFormat="1"/>
    <x:row r="149" spans="1:9" s="3" customFormat="1"/>
    <x:row r="150" spans="1:9" s="1" customFormat="1"/>
    <x:row r="151" spans="1:9" s="4" customFormat="1"/>
    <x:row r="152" spans="1:9" s="3" customFormat="1"/>
    <x:row r="153" spans="1:9" s="1" customFormat="1"/>
    <x:row r="154" spans="1:9" s="4" customFormat="1"/>
    <x:row r="155" spans="1:9" s="3" customFormat="1"/>
    <x:row r="156" spans="1:9" s="1" customFormat="1"/>
    <x:row r="157" spans="1:9" s="4" customFormat="1"/>
    <x:row r="158" spans="1:9" s="3" customFormat="1"/>
    <x:row r="159" spans="1:9" s="1" customFormat="1"/>
    <x:row r="160" spans="1:9" s="4" customFormat="1"/>
    <x:row r="161" spans="1:9" s="3" customFormat="1"/>
    <x:row r="162" spans="1:9" s="1" customFormat="1"/>
    <x:row r="163" spans="1:9" s="4" customFormat="1"/>
    <x:row r="164" spans="1:9" s="3" customFormat="1"/>
    <x:row r="165" spans="1:9" s="1" customFormat="1"/>
    <x:row r="166" spans="1:9" s="4" customFormat="1"/>
    <x:row r="167" spans="1:9" s="3" customFormat="1"/>
    <x:row r="168" spans="1:9" s="1" customFormat="1"/>
    <x:row r="169" spans="1:9" s="4" customFormat="1"/>
    <x:row r="170" spans="1:9" s="3" customFormat="1"/>
  </x:sheetData>
  <x:hyperlinks>
    <x:hyperlink ref="C2" r:id="rId377" tooltip="Send a mail to nfo@doneo.com.mt"/>
    <x:hyperlink ref="C3" r:id="rId378" tooltip="Send a mail to website@astral.com.mt"/>
    <x:hyperlink ref="C4" r:id="rId379" tooltip="Send a mail to info@audiotech.mt"/>
    <x:hyperlink ref="C5" r:id="rId380" tooltip="Send a mail to nfo@powerhousemalta.com"/>
    <x:hyperlink ref="C6" r:id="rId381" tooltip="Send a mail to marketing@atoz.com.mt"/>
    <x:hyperlink ref="C7" r:id="rId382" tooltip="Send a mail to info@digitalzone.com.mt"/>
    <x:hyperlink ref="C8" r:id="rId383" tooltip="Send a mail to info@olimpusmusic.com"/>
    <x:hyperlink ref="C9" r:id="rId384" tooltip="Send a mail to info@audiomalta.com"/>
    <x:hyperlink ref="C10" r:id="rId385" tooltip="Send a mail to info@audiohub.mt"/>
    <x:hyperlink ref="C11" r:id="rId386" tooltip="Send a mail to info@futuretech-malta.com"/>
    <x:hyperlink ref="C12" r:id="rId387" tooltip="Send a mail to sales@ultimate.com.mt"/>
    <x:hyperlink ref="C13" r:id="rId388" tooltip="Send a mail to info@studioseven.com.mt"/>
    <x:hyperlink ref="C14" r:id="rId389" tooltip="Send a mail to info@soundsystem.com.mt"/>
    <x:hyperlink ref="C15" r:id="rId390" tooltip="Send a mail to info@megatekk.mt"/>
    <x:hyperlink ref="C16" r:id="rId391" tooltip="Send a mail to jc.audiophonic@gmail.com"/>
    <x:hyperlink ref="C18" r:id="rId392" tooltip="Send a mail to info@scanmalta.com"/>
    <x:hyperlink ref="C20" r:id="rId393" tooltip="Send a mail to joe@genaudiomalta.com"/>
    <x:hyperlink ref="E2" r:id="rId394" tooltip="Search Hamrun on Google Maps"/>
    <x:hyperlink ref="E3" r:id="rId395" tooltip="Search Ta' Xbiex on Google Maps"/>
    <x:hyperlink ref="E4" r:id="rId396" tooltip="Search Xghara, Gozo on Google Maps"/>
    <x:hyperlink ref="E5" r:id="rId397" tooltip="Search Marsa on Google Maps"/>
    <x:hyperlink ref="E6" r:id="rId398" tooltip="Search Attard, Qormi, Swatar, Birkirkara on Google Maps"/>
    <x:hyperlink ref="E7" r:id="rId399" tooltip="Search Swieqi on Google Maps"/>
    <x:hyperlink ref="E8" r:id="rId400" tooltip="Search sales division of Lito’s Place on Google Maps"/>
    <x:hyperlink ref="E9" r:id="rId401" tooltip="Search San Gwann on Google Maps"/>
    <x:hyperlink ref="E10" r:id="rId402" tooltip="Search San Gwann, Paola, Qormi on Google Maps"/>
    <x:hyperlink ref="E11" r:id="rId403" tooltip="Search Birkirkara on Google Maps"/>
    <x:hyperlink ref="E12" r:id="rId404" tooltip="Search Msida on Google Maps"/>
    <x:hyperlink ref="E13" r:id="rId405" tooltip="Search Birkirkara on Google Maps"/>
    <x:hyperlink ref="F2" location="'Wall Mounted Speakers'!https://Home page - Doneo" tooltip="Visit Home page - Doneo" display="Home page - Doneo"/>
    <x:hyperlink ref="F3" location="'Wall Mounted Speakers'!https://ASTRAL Enterprises LTD | TV | Hifi | Custom Installations" tooltip="Visit ASTRAL Enterprises LTD | TV | Hifi | Custom Installations" display="ASTRAL Enterprises LTD | TV | Hifi | Custom Installations"/>
    <x:hyperlink ref="F4" location="'Wall Mounted Speakers'!https://Audiotech Malta - your local electronics shop for Malta and Gozo - we deliver" tooltip="Visit Audiotech Malta - your local electronics shop for Malta and Gozo - we deliver" display="Audiotech Malta - your local electronics shop for Malta and Gozo - we deliver"/>
    <x:hyperlink ref="F5" location="'Wall Mounted Speakers'!https://Powerhouse Malta – AV (Audiovisuals) and Events Malta" tooltip="Visit Powerhouse Malta – AV (Audiovisuals) and Events Malta" display="Powerhouse Malta – AV (Audiovisuals) and Events Malta"/>
    <x:hyperlink ref="F6" location="'https://AtoZ Electronics | Malta''s Shop of Choice in 2026'!" tooltip="Visit AtoZ Electronics | Malta's Shop of Choice in 2026!" display="AtoZ Electronics | Malta's Shop of Choice in 2026!"/>
    <x:hyperlink ref="F7" location="'Wall Mounted Speakers'!https://Audio Malta – Shop Smart, Rent Easy" tooltip="Visit Audio Malta – Shop Smart, Rent Easy" display="Audio Malta – Shop Smart, Rent Easy"/>
    <x:hyperlink ref="F8" location="'Wall Mounted Speakers'!https://Audio Hub Malta – Acoustics &amp; Audio Equipment" tooltip="Visit Audio Hub Malta – Acoustics &amp; Audio Equipment" display="Audio Hub Malta – Acoustics &amp; Audio Equipment"/>
    <x:hyperlink ref="F9" location="'Wall Mounted Speakers'!https://Futuretech Pro Malta – Audio/Visual Specialists" tooltip="Visit Futuretech Pro Malta – Audio/Visual Specialists" display="Futuretech Pro Malta – Audio/Visual Specialists"/>
    <x:hyperlink ref="F10" location="'Wall Mounted Speakers'!https://Homepage - Ultimate | Electronics | Home Appliances | Deliveries in Malta &amp; Gozo" tooltip="Visit Homepage - Ultimate | Electronics | Home Appliances | Deliveries in Malta &amp; Gozo" display="Homepage - Ultimate | Electronics | Home Appliances | Deliveries in Malta &amp; Gozo"/>
    <x:hyperlink ref="F11" r:id="rId406" tooltip="Visit Studo7.com.mt"/>
    <x:hyperlink ref="F12" location="'Wall Mounted Speakers'!https://The sound system you need | The Sound System Malta" tooltip="Visit The sound system you need | The Sound System Malta" display="The sound system you need | The Sound System Malta"/>
    <x:hyperlink ref="F13" location="'Wall Mounted Speakers'!https://Contact – Genaudio Ltd" tooltip="Visit Contact – Genaudio Ltd" display="Contact – Genaudio Ltd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98"/>
  <x:sheetViews>
    <x:sheetView workbookViewId="0"/>
  </x:sheetViews>
  <x:sheetFormatPr defaultRowHeight="15"/>
  <x:cols>
    <x:col min="1" max="1" width="24.139196" style="0" customWidth="1"/>
    <x:col min="2" max="2" width="20.139196" style="0" customWidth="1"/>
    <x:col min="3" max="3" width="37.139196" style="0" customWidth="1"/>
    <x:col min="4" max="4" width="18.710625" style="0" customWidth="1"/>
    <x:col min="5" max="5" width="10.853482" style="0" customWidth="1"/>
    <x:col min="6" max="6" width="10.996339" style="0" customWidth="1"/>
    <x:col min="7" max="7" width="16.567768" style="0" customWidth="1"/>
    <x:col min="8" max="8" width="13.567768" style="0" customWidth="1"/>
    <x:col min="9" max="9" width="10.139196" style="0" customWidth="1"/>
    <x:col min="10" max="10" width="14.996339" style="0" customWidth="1"/>
    <x:col min="11" max="11" width="8.853482" style="0" customWidth="1"/>
    <x:col min="12" max="12" width="20.996339" style="0" customWidth="1"/>
  </x:cols>
  <x:sheetData>
    <x:row r="1" spans="1:12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1948</x:v>
      </x:c>
      <x:c r="H1" s="2" t="s">
        <x:v>1949</x:v>
      </x:c>
      <x:c r="I1" s="2" t="s">
        <x:v>1950</x:v>
      </x:c>
      <x:c r="J1" s="2" t="s">
        <x:v>1951</x:v>
      </x:c>
      <x:c r="K1" s="2" t="s">
        <x:v>5321</x:v>
      </x:c>
      <x:c r="L1" s="5">
        <x:f>HYPERLINK("#'Summary List'!A11", "Back to Summary")</x:f>
      </x:c>
    </x:row>
    <x:row r="2" spans="1:12" s="3" customFormat="1">
      <x:c r="A2" s="3" t="s">
        <x:v>549</x:v>
      </x:c>
      <x:c r="B2" s="3" t="s">
        <x:v>550</x:v>
      </x:c>
      <x:c r="C2" s="6" t="s">
        <x:v>519</x:v>
      </x:c>
      <x:c r="G2" s="3" t="s">
        <x:v>547</x:v>
      </x:c>
      <x:c r="H2" s="3" t="s">
        <x:v>547</x:v>
      </x:c>
      <x:c r="I2" s="3" t="s">
        <x:v>547</x:v>
      </x:c>
      <x:c r="J2" s="3" t="s">
        <x:v>547</x:v>
      </x:c>
      <x:c r="K2" s="3" t="s">
        <x:v>547</x:v>
      </x:c>
    </x:row>
    <x:row r="3" spans="1:12" s="1" customFormat="1">
      <x:c r="A3" s="1" t="s">
        <x:v>549</x:v>
      </x:c>
      <x:c r="B3" s="1" t="s">
        <x:v>551</x:v>
      </x:c>
      <x:c r="C3" s="8" t="s">
        <x:v>566</x:v>
      </x:c>
      <x:c r="G3" s="1" t="s">
        <x:v>547</x:v>
      </x:c>
      <x:c r="H3" s="1" t="s">
        <x:v>547</x:v>
      </x:c>
      <x:c r="I3" s="1" t="s">
        <x:v>547</x:v>
      </x:c>
      <x:c r="J3" s="1" t="s">
        <x:v>547</x:v>
      </x:c>
      <x:c r="K3" s="1" t="s">
        <x:v>547</x:v>
      </x:c>
    </x:row>
    <x:row r="4" spans="1:12" s="4" customFormat="1">
      <x:c r="A4" s="4" t="s">
        <x:v>549</x:v>
      </x:c>
      <x:c r="B4" s="4" t="s">
        <x:v>552</x:v>
      </x:c>
      <x:c r="C4" s="10" t="s">
        <x:v>567</x:v>
      </x:c>
      <x:c r="G4" s="4" t="s">
        <x:v>547</x:v>
      </x:c>
      <x:c r="H4" s="4" t="s">
        <x:v>548</x:v>
      </x:c>
      <x:c r="I4" s="4" t="s">
        <x:v>547</x:v>
      </x:c>
      <x:c r="J4" s="4" t="s">
        <x:v>547</x:v>
      </x:c>
      <x:c r="K4" s="4" t="s">
        <x:v>547</x:v>
      </x:c>
    </x:row>
    <x:row r="5" spans="1:12" s="3" customFormat="1">
      <x:c r="A5" s="3" t="s">
        <x:v>549</x:v>
      </x:c>
      <x:c r="B5" s="3" t="s">
        <x:v>553</x:v>
      </x:c>
      <x:c r="C5" s="6" t="s">
        <x:v>508</x:v>
      </x:c>
      <x:c r="G5" s="3" t="s">
        <x:v>547</x:v>
      </x:c>
      <x:c r="H5" s="3" t="s">
        <x:v>547</x:v>
      </x:c>
      <x:c r="I5" s="3" t="s">
        <x:v>547</x:v>
      </x:c>
      <x:c r="J5" s="3" t="s">
        <x:v>547</x:v>
      </x:c>
      <x:c r="K5" s="3" t="s">
        <x:v>547</x:v>
      </x:c>
    </x:row>
    <x:row r="6" spans="1:12" s="1" customFormat="1">
      <x:c r="A6" s="1" t="s">
        <x:v>549</x:v>
      </x:c>
      <x:c r="B6" s="1" t="s">
        <x:v>554</x:v>
      </x:c>
      <x:c r="C6" s="8" t="s">
        <x:v>568</x:v>
      </x:c>
      <x:c r="G6" s="1" t="s">
        <x:v>547</x:v>
      </x:c>
      <x:c r="H6" s="1" t="s">
        <x:v>548</x:v>
      </x:c>
      <x:c r="I6" s="1" t="s">
        <x:v>547</x:v>
      </x:c>
      <x:c r="J6" s="1" t="s">
        <x:v>547</x:v>
      </x:c>
      <x:c r="K6" s="1" t="s">
        <x:v>547</x:v>
      </x:c>
    </x:row>
    <x:row r="7" spans="1:12" s="4" customFormat="1">
      <x:c r="A7" s="4" t="s">
        <x:v>549</x:v>
      </x:c>
      <x:c r="B7" s="4" t="s">
        <x:v>555</x:v>
      </x:c>
      <x:c r="C7" s="10" t="s">
        <x:v>569</x:v>
      </x:c>
      <x:c r="G7" s="4" t="s">
        <x:v>547</x:v>
      </x:c>
      <x:c r="H7" s="4" t="s">
        <x:v>548</x:v>
      </x:c>
      <x:c r="I7" s="4" t="s">
        <x:v>547</x:v>
      </x:c>
      <x:c r="J7" s="4" t="s">
        <x:v>547</x:v>
      </x:c>
      <x:c r="K7" s="4" t="s">
        <x:v>547</x:v>
      </x:c>
    </x:row>
    <x:row r="8" spans="1:12" s="3" customFormat="1">
      <x:c r="A8" s="3" t="s">
        <x:v>549</x:v>
      </x:c>
      <x:c r="B8" s="3" t="s">
        <x:v>556</x:v>
      </x:c>
      <x:c r="C8" s="6" t="s">
        <x:v>570</x:v>
      </x:c>
      <x:c r="G8" s="3" t="s">
        <x:v>547</x:v>
      </x:c>
      <x:c r="H8" s="3" t="s">
        <x:v>547</x:v>
      </x:c>
      <x:c r="I8" s="3" t="s">
        <x:v>547</x:v>
      </x:c>
      <x:c r="J8" s="3" t="s">
        <x:v>547</x:v>
      </x:c>
      <x:c r="K8" s="3" t="s">
        <x:v>547</x:v>
      </x:c>
    </x:row>
    <x:row r="9" spans="1:12" s="1" customFormat="1">
      <x:c r="A9" s="1" t="s">
        <x:v>549</x:v>
      </x:c>
      <x:c r="B9" s="1" t="s">
        <x:v>557</x:v>
      </x:c>
      <x:c r="C9" s="8" t="s">
        <x:v>571</x:v>
      </x:c>
      <x:c r="G9" s="1" t="s">
        <x:v>547</x:v>
      </x:c>
      <x:c r="H9" s="1" t="s">
        <x:v>548</x:v>
      </x:c>
      <x:c r="I9" s="1" t="s">
        <x:v>547</x:v>
      </x:c>
      <x:c r="J9" s="1" t="s">
        <x:v>547</x:v>
      </x:c>
      <x:c r="K9" s="1" t="s">
        <x:v>547</x:v>
      </x:c>
    </x:row>
    <x:row r="10" spans="1:12" s="4" customFormat="1">
      <x:c r="A10" s="4" t="s">
        <x:v>549</x:v>
      </x:c>
      <x:c r="B10" s="4" t="s">
        <x:v>558</x:v>
      </x:c>
      <x:c r="C10" s="10" t="s">
        <x:v>572</x:v>
      </x:c>
      <x:c r="G10" s="4" t="s">
        <x:v>547</x:v>
      </x:c>
      <x:c r="H10" s="4" t="s">
        <x:v>547</x:v>
      </x:c>
      <x:c r="I10" s="4" t="s">
        <x:v>547</x:v>
      </x:c>
      <x:c r="J10" s="4" t="s">
        <x:v>547</x:v>
      </x:c>
      <x:c r="K10" s="4" t="s">
        <x:v>547</x:v>
      </x:c>
    </x:row>
    <x:row r="11" spans="1:12" s="3" customFormat="1">
      <x:c r="A11" s="3" t="s">
        <x:v>549</x:v>
      </x:c>
      <x:c r="B11" s="3" t="s">
        <x:v>559</x:v>
      </x:c>
      <x:c r="C11" s="6" t="s">
        <x:v>573</x:v>
      </x:c>
      <x:c r="G11" s="3" t="s">
        <x:v>547</x:v>
      </x:c>
      <x:c r="H11" s="3" t="s">
        <x:v>547</x:v>
      </x:c>
      <x:c r="I11" s="3" t="s">
        <x:v>547</x:v>
      </x:c>
      <x:c r="J11" s="3" t="s">
        <x:v>547</x:v>
      </x:c>
      <x:c r="K11" s="3" t="s">
        <x:v>547</x:v>
      </x:c>
    </x:row>
    <x:row r="12" spans="1:12" s="1" customFormat="1">
      <x:c r="A12" s="1" t="s">
        <x:v>549</x:v>
      </x:c>
      <x:c r="B12" s="1" t="s">
        <x:v>491</x:v>
      </x:c>
      <x:c r="C12" s="8" t="s">
        <x:v>509</x:v>
      </x:c>
      <x:c r="G12" s="1" t="s">
        <x:v>547</x:v>
      </x:c>
      <x:c r="H12" s="1" t="s">
        <x:v>548</x:v>
      </x:c>
      <x:c r="I12" s="1" t="s">
        <x:v>547</x:v>
      </x:c>
      <x:c r="J12" s="1" t="s">
        <x:v>547</x:v>
      </x:c>
      <x:c r="K12" s="1" t="s">
        <x:v>547</x:v>
      </x:c>
    </x:row>
    <x:row r="13" spans="1:12" s="4" customFormat="1">
      <x:c r="A13" s="4" t="s">
        <x:v>549</x:v>
      </x:c>
      <x:c r="B13" s="4" t="s">
        <x:v>560</x:v>
      </x:c>
      <x:c r="C13" s="10" t="s">
        <x:v>574</x:v>
      </x:c>
      <x:c r="G13" s="4" t="s">
        <x:v>547</x:v>
      </x:c>
      <x:c r="H13" s="4" t="s">
        <x:v>547</x:v>
      </x:c>
      <x:c r="I13" s="4" t="s">
        <x:v>547</x:v>
      </x:c>
      <x:c r="J13" s="4" t="s">
        <x:v>547</x:v>
      </x:c>
      <x:c r="K13" s="4" t="s">
        <x:v>547</x:v>
      </x:c>
    </x:row>
    <x:row r="14" spans="1:12" s="3" customFormat="1">
      <x:c r="A14" s="3" t="s">
        <x:v>549</x:v>
      </x:c>
      <x:c r="B14" s="3" t="s">
        <x:v>561</x:v>
      </x:c>
      <x:c r="C14" s="6" t="s">
        <x:v>505</x:v>
      </x:c>
      <x:c r="G14" s="3" t="s">
        <x:v>547</x:v>
      </x:c>
      <x:c r="H14" s="3" t="s">
        <x:v>547</x:v>
      </x:c>
      <x:c r="I14" s="3" t="s">
        <x:v>547</x:v>
      </x:c>
      <x:c r="J14" s="3" t="s">
        <x:v>547</x:v>
      </x:c>
      <x:c r="K14" s="3" t="s">
        <x:v>547</x:v>
      </x:c>
    </x:row>
    <x:row r="15" spans="1:12" s="1" customFormat="1">
      <x:c r="A15" s="1" t="s">
        <x:v>549</x:v>
      </x:c>
      <x:c r="B15" s="1" t="s">
        <x:v>562</x:v>
      </x:c>
      <x:c r="C15" s="8" t="s">
        <x:v>575</x:v>
      </x:c>
      <x:c r="G15" s="1" t="s">
        <x:v>548</x:v>
      </x:c>
      <x:c r="H15" s="1" t="s">
        <x:v>548</x:v>
      </x:c>
      <x:c r="I15" s="1" t="s">
        <x:v>547</x:v>
      </x:c>
      <x:c r="J15" s="1" t="s">
        <x:v>547</x:v>
      </x:c>
      <x:c r="K15" s="1" t="s">
        <x:v>547</x:v>
      </x:c>
    </x:row>
    <x:row r="16" spans="1:12" s="4" customFormat="1">
      <x:c r="A16" s="4" t="s">
        <x:v>549</x:v>
      </x:c>
      <x:c r="B16" s="4" t="s">
        <x:v>563</x:v>
      </x:c>
      <x:c r="C16" s="10" t="s">
        <x:v>514</x:v>
      </x:c>
      <x:c r="G16" s="4" t="s">
        <x:v>547</x:v>
      </x:c>
      <x:c r="H16" s="4" t="s">
        <x:v>547</x:v>
      </x:c>
      <x:c r="I16" s="4" t="s">
        <x:v>547</x:v>
      </x:c>
      <x:c r="J16" s="4" t="s">
        <x:v>547</x:v>
      </x:c>
      <x:c r="K16" s="4" t="s">
        <x:v>547</x:v>
      </x:c>
    </x:row>
    <x:row r="17" spans="1:12" s="3" customFormat="1">
      <x:c r="A17" s="3" t="s">
        <x:v>549</x:v>
      </x:c>
      <x:c r="B17" s="3" t="s">
        <x:v>564</x:v>
      </x:c>
      <x:c r="C17" s="6" t="s">
        <x:v>576</x:v>
      </x:c>
      <x:c r="G17" s="3" t="s">
        <x:v>547</x:v>
      </x:c>
      <x:c r="H17" s="3" t="s">
        <x:v>548</x:v>
      </x:c>
      <x:c r="I17" s="3" t="s">
        <x:v>547</x:v>
      </x:c>
      <x:c r="J17" s="3" t="s">
        <x:v>547</x:v>
      </x:c>
      <x:c r="K17" s="3" t="s">
        <x:v>547</x:v>
      </x:c>
    </x:row>
    <x:row r="18" spans="1:12" s="1" customFormat="1">
      <x:c r="A18" s="1" t="s">
        <x:v>549</x:v>
      </x:c>
      <x:c r="B18" s="1" t="s">
        <x:v>565</x:v>
      </x:c>
      <x:c r="C18" s="8" t="s">
        <x:v>577</x:v>
      </x:c>
      <x:c r="G18" s="1" t="s">
        <x:v>547</x:v>
      </x:c>
      <x:c r="H18" s="1" t="s">
        <x:v>548</x:v>
      </x:c>
      <x:c r="I18" s="1" t="s">
        <x:v>547</x:v>
      </x:c>
      <x:c r="J18" s="1" t="s">
        <x:v>547</x:v>
      </x:c>
      <x:c r="K18" s="1" t="s">
        <x:v>547</x:v>
      </x:c>
    </x:row>
    <x:row r="19" spans="1:12" s="4" customFormat="1"/>
    <x:row r="20" spans="1:12" s="3" customFormat="1"/>
    <x:row r="21" spans="1:12" s="1" customFormat="1"/>
    <x:row r="22" spans="1:12" s="4" customFormat="1"/>
    <x:row r="23" spans="1:12" s="3" customFormat="1"/>
    <x:row r="24" spans="1:12" s="1" customFormat="1"/>
    <x:row r="25" spans="1:12" s="4" customFormat="1"/>
    <x:row r="26" spans="1:12" s="3" customFormat="1"/>
    <x:row r="27" spans="1:12" s="1" customFormat="1"/>
    <x:row r="28" spans="1:12" s="4" customFormat="1"/>
    <x:row r="29" spans="1:12" s="3" customFormat="1"/>
    <x:row r="30" spans="1:12" s="1" customFormat="1"/>
    <x:row r="31" spans="1:12" s="4" customFormat="1"/>
    <x:row r="32" spans="1:12" s="3" customFormat="1"/>
    <x:row r="33" spans="1:12" s="1" customFormat="1"/>
    <x:row r="34" spans="1:12" s="4" customFormat="1"/>
    <x:row r="35" spans="1:12" s="3" customFormat="1"/>
    <x:row r="36" spans="1:12" s="1" customFormat="1"/>
    <x:row r="37" spans="1:12" s="4" customFormat="1"/>
    <x:row r="38" spans="1:12" s="3" customFormat="1"/>
    <x:row r="39" spans="1:12" s="1" customFormat="1"/>
    <x:row r="40" spans="1:12" s="4" customFormat="1"/>
    <x:row r="41" spans="1:12" s="3" customFormat="1"/>
    <x:row r="42" spans="1:12" s="1" customFormat="1"/>
    <x:row r="43" spans="1:12" s="4" customFormat="1"/>
    <x:row r="44" spans="1:12" s="3" customFormat="1"/>
    <x:row r="45" spans="1:12" s="1" customFormat="1"/>
    <x:row r="46" spans="1:12" s="4" customFormat="1"/>
    <x:row r="47" spans="1:12" s="3" customFormat="1"/>
    <x:row r="48" spans="1:12" s="1" customFormat="1"/>
    <x:row r="49" spans="1:12" s="4" customFormat="1"/>
    <x:row r="50" spans="1:12" s="3" customFormat="1"/>
    <x:row r="51" spans="1:12" s="1" customFormat="1"/>
    <x:row r="52" spans="1:12" s="4" customFormat="1"/>
    <x:row r="53" spans="1:12" s="3" customFormat="1"/>
    <x:row r="54" spans="1:12" s="1" customFormat="1"/>
    <x:row r="55" spans="1:12" s="4" customFormat="1"/>
    <x:row r="56" spans="1:12" s="3" customFormat="1"/>
    <x:row r="57" spans="1:12" s="1" customFormat="1"/>
    <x:row r="58" spans="1:12" s="4" customFormat="1"/>
    <x:row r="59" spans="1:12" s="3" customFormat="1"/>
    <x:row r="60" spans="1:12" s="1" customFormat="1"/>
    <x:row r="61" spans="1:12" s="4" customFormat="1"/>
    <x:row r="62" spans="1:12" s="3" customFormat="1"/>
    <x:row r="63" spans="1:12" s="1" customFormat="1"/>
    <x:row r="64" spans="1:12" s="4" customFormat="1"/>
    <x:row r="65" spans="1:12" s="3" customFormat="1"/>
    <x:row r="66" spans="1:12" s="1" customFormat="1"/>
    <x:row r="67" spans="1:12" s="4" customFormat="1"/>
    <x:row r="68" spans="1:12" s="3" customFormat="1"/>
    <x:row r="69" spans="1:12" s="1" customFormat="1"/>
    <x:row r="70" spans="1:12" s="4" customFormat="1"/>
    <x:row r="71" spans="1:12" s="3" customFormat="1"/>
    <x:row r="72" spans="1:12" s="1" customFormat="1"/>
    <x:row r="73" spans="1:12" s="4" customFormat="1"/>
    <x:row r="74" spans="1:12" s="3" customFormat="1"/>
    <x:row r="75" spans="1:12" s="1" customFormat="1"/>
    <x:row r="76" spans="1:12" s="4" customFormat="1"/>
    <x:row r="77" spans="1:12" s="3" customFormat="1"/>
    <x:row r="78" spans="1:12" s="1" customFormat="1"/>
    <x:row r="79" spans="1:12" s="4" customFormat="1"/>
    <x:row r="80" spans="1:12" s="3" customFormat="1"/>
    <x:row r="81" spans="1:12" s="1" customFormat="1"/>
    <x:row r="82" spans="1:12" s="4" customFormat="1"/>
    <x:row r="83" spans="1:12" s="3" customFormat="1"/>
    <x:row r="84" spans="1:12" s="1" customFormat="1"/>
    <x:row r="85" spans="1:12" s="4" customFormat="1"/>
    <x:row r="86" spans="1:12" s="3" customFormat="1"/>
    <x:row r="87" spans="1:12" s="1" customFormat="1"/>
    <x:row r="88" spans="1:12" s="4" customFormat="1"/>
    <x:row r="89" spans="1:12" s="3" customFormat="1"/>
    <x:row r="90" spans="1:12" s="1" customFormat="1"/>
    <x:row r="91" spans="1:12" s="4" customFormat="1"/>
    <x:row r="92" spans="1:12" s="3" customFormat="1"/>
    <x:row r="93" spans="1:12" s="1" customFormat="1"/>
    <x:row r="94" spans="1:12" s="4" customFormat="1"/>
    <x:row r="95" spans="1:12" s="3" customFormat="1"/>
    <x:row r="96" spans="1:12" s="1" customFormat="1"/>
    <x:row r="97" spans="1:12" s="4" customFormat="1"/>
    <x:row r="98" spans="1:12" s="3" customFormat="1"/>
    <x:row r="99" spans="1:12" s="1" customFormat="1"/>
    <x:row r="100" spans="1:12" s="4" customFormat="1"/>
    <x:row r="101" spans="1:12" s="3" customFormat="1"/>
    <x:row r="102" spans="1:12" s="1" customFormat="1"/>
    <x:row r="103" spans="1:12" s="4" customFormat="1"/>
    <x:row r="104" spans="1:12" s="3" customFormat="1"/>
    <x:row r="105" spans="1:12" s="1" customFormat="1"/>
    <x:row r="106" spans="1:12" s="4" customFormat="1"/>
    <x:row r="107" spans="1:12" s="3" customFormat="1"/>
    <x:row r="108" spans="1:12" s="1" customFormat="1"/>
    <x:row r="109" spans="1:12" s="4" customFormat="1"/>
    <x:row r="110" spans="1:12" s="3" customFormat="1"/>
    <x:row r="111" spans="1:12" s="1" customFormat="1"/>
    <x:row r="112" spans="1:12" s="4" customFormat="1"/>
    <x:row r="113" spans="1:12" s="3" customFormat="1"/>
    <x:row r="114" spans="1:12" s="1" customFormat="1"/>
    <x:row r="115" spans="1:12" s="4" customFormat="1"/>
    <x:row r="116" spans="1:12" s="3" customFormat="1"/>
    <x:row r="117" spans="1:12" s="1" customFormat="1"/>
    <x:row r="118" spans="1:12" s="4" customFormat="1"/>
    <x:row r="119" spans="1:12" s="3" customFormat="1"/>
    <x:row r="120" spans="1:12" s="1" customFormat="1"/>
    <x:row r="121" spans="1:12" s="4" customFormat="1"/>
    <x:row r="122" spans="1:12" s="3" customFormat="1"/>
    <x:row r="123" spans="1:12" s="1" customFormat="1"/>
    <x:row r="124" spans="1:12" s="4" customFormat="1"/>
    <x:row r="125" spans="1:12" s="3" customFormat="1"/>
    <x:row r="126" spans="1:12" s="1" customFormat="1"/>
    <x:row r="127" spans="1:12" s="4" customFormat="1"/>
    <x:row r="128" spans="1:12" s="3" customFormat="1"/>
    <x:row r="129" spans="1:12" s="1" customFormat="1"/>
    <x:row r="130" spans="1:12" s="4" customFormat="1"/>
    <x:row r="131" spans="1:12" s="3" customFormat="1"/>
    <x:row r="132" spans="1:12" s="1" customFormat="1"/>
    <x:row r="133" spans="1:12" s="4" customFormat="1"/>
    <x:row r="134" spans="1:12" s="3" customFormat="1"/>
    <x:row r="135" spans="1:12" s="1" customFormat="1"/>
    <x:row r="136" spans="1:12" s="4" customFormat="1"/>
    <x:row r="137" spans="1:12" s="3" customFormat="1"/>
    <x:row r="138" spans="1:12" s="1" customFormat="1"/>
    <x:row r="139" spans="1:12" s="4" customFormat="1"/>
    <x:row r="140" spans="1:12" s="3" customFormat="1"/>
    <x:row r="141" spans="1:12" s="1" customFormat="1"/>
    <x:row r="142" spans="1:12" s="4" customFormat="1"/>
    <x:row r="143" spans="1:12" s="3" customFormat="1"/>
    <x:row r="144" spans="1:12" s="1" customFormat="1"/>
    <x:row r="145" spans="1:12" s="4" customFormat="1"/>
    <x:row r="146" spans="1:12" s="3" customFormat="1"/>
    <x:row r="147" spans="1:12" s="1" customFormat="1"/>
    <x:row r="148" spans="1:12" s="4" customFormat="1"/>
    <x:row r="149" spans="1:12" s="3" customFormat="1"/>
    <x:row r="150" spans="1:12" s="1" customFormat="1"/>
    <x:row r="151" spans="1:12" s="4" customFormat="1"/>
    <x:row r="152" spans="1:12" s="3" customFormat="1"/>
    <x:row r="153" spans="1:12" s="1" customFormat="1"/>
    <x:row r="154" spans="1:12" s="4" customFormat="1"/>
    <x:row r="155" spans="1:12" s="3" customFormat="1"/>
    <x:row r="156" spans="1:12" s="1" customFormat="1"/>
    <x:row r="157" spans="1:12" s="4" customFormat="1"/>
    <x:row r="158" spans="1:12" s="3" customFormat="1"/>
    <x:row r="159" spans="1:12" s="1" customFormat="1"/>
    <x:row r="160" spans="1:12" s="4" customFormat="1"/>
    <x:row r="161" spans="1:12" s="3" customFormat="1"/>
    <x:row r="162" spans="1:12" s="1" customFormat="1"/>
    <x:row r="163" spans="1:12" s="4" customFormat="1"/>
    <x:row r="164" spans="1:12" s="3" customFormat="1"/>
    <x:row r="165" spans="1:12" s="1" customFormat="1"/>
    <x:row r="166" spans="1:12" s="4" customFormat="1"/>
    <x:row r="167" spans="1:12" s="3" customFormat="1"/>
    <x:row r="168" spans="1:12" s="1" customFormat="1"/>
    <x:row r="169" spans="1:12" s="4" customFormat="1"/>
    <x:row r="170" spans="1:12" s="3" customFormat="1"/>
    <x:row r="171" spans="1:12" s="1" customFormat="1"/>
    <x:row r="172" spans="1:12" s="4" customFormat="1"/>
    <x:row r="173" spans="1:12" s="3" customFormat="1"/>
    <x:row r="174" spans="1:12" s="1" customFormat="1"/>
    <x:row r="175" spans="1:12" s="4" customFormat="1"/>
    <x:row r="176" spans="1:12" s="3" customFormat="1"/>
    <x:row r="177" spans="1:12" s="1" customFormat="1"/>
    <x:row r="178" spans="1:12" s="4" customFormat="1"/>
    <x:row r="179" spans="1:12" s="3" customFormat="1"/>
    <x:row r="180" spans="1:12" s="1" customFormat="1"/>
    <x:row r="181" spans="1:12" s="4" customFormat="1"/>
    <x:row r="182" spans="1:12" s="3" customFormat="1"/>
    <x:row r="183" spans="1:12" s="1" customFormat="1"/>
    <x:row r="184" spans="1:12" s="4" customFormat="1"/>
    <x:row r="185" spans="1:12" s="3" customFormat="1"/>
    <x:row r="186" spans="1:12" s="1" customFormat="1"/>
    <x:row r="187" spans="1:12" s="4" customFormat="1"/>
    <x:row r="188" spans="1:12" s="3" customFormat="1"/>
    <x:row r="189" spans="1:12" s="1" customFormat="1"/>
    <x:row r="190" spans="1:12" s="4" customFormat="1"/>
    <x:row r="191" spans="1:12" s="3" customFormat="1"/>
    <x:row r="192" spans="1:12" s="1" customFormat="1"/>
    <x:row r="193" spans="1:12" s="4" customFormat="1"/>
    <x:row r="194" spans="1:12" s="3" customFormat="1"/>
    <x:row r="195" spans="1:12" s="1" customFormat="1"/>
    <x:row r="196" spans="1:12" s="4" customFormat="1"/>
    <x:row r="197" spans="1:12" s="3" customFormat="1"/>
    <x:row r="198" spans="1:12" s="1" customFormat="1"/>
  </x:sheetData>
  <x:hyperlinks>
    <x:hyperlink ref="C2" r:id="rId407" tooltip="Send a mail to info@scanmalta.com"/>
    <x:hyperlink ref="C3" r:id="rId408" tooltip="Send a mail to sales@klikk.com.mt"/>
    <x:hyperlink ref="C4" r:id="rId409" tooltip="Send a mail to info@gamebreakermalta.com"/>
    <x:hyperlink ref="C5" r:id="rId410" tooltip="Send a mail to marketing@atoz.com.mt"/>
    <x:hyperlink ref="C6" r:id="rId411" tooltip="Send a mail to sales@xpert.mt"/>
    <x:hyperlink ref="C7" r:id="rId412" tooltip="Send a mail to info@computerbargainsmalta.com"/>
    <x:hyperlink ref="C8" r:id="rId413" tooltip="Send a mail to customercare@homemate.com.mt"/>
    <x:hyperlink ref="C9" r:id="rId414" tooltip="Send a mail to info@maltazon.com"/>
    <x:hyperlink ref="C10" r:id="rId415" tooltip="Send a mail to info@forestals.com"/>
    <x:hyperlink ref="C11" r:id="rId416" tooltip="Send a mail to info@topchoice.com.mt"/>
    <x:hyperlink ref="C12" r:id="rId417" tooltip="Send a mail to info@digitalzone.com.mt"/>
    <x:hyperlink ref="C13" r:id="rId418" tooltip="Send a mail to infosales@intercomp.com.mt"/>
    <x:hyperlink ref="C14" r:id="rId419" tooltip="Send a mail to website@astral.com.mt"/>
    <x:hyperlink ref="C15" r:id="rId420" tooltip="Send a mail to info@digiline.mt"/>
    <x:hyperlink ref="C16" r:id="rId421" tooltip="Send a mail to sales@ultimate.com.mt"/>
    <x:hyperlink ref="C17" r:id="rId422" tooltip="Send a mail to tabletsandmoreelectronics@yahoo.com"/>
    <x:hyperlink ref="C18" r:id="rId423" tooltip="Send a mail to info@thenotebookcentre.com.m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1"/>
  <x:sheetViews>
    <x:sheetView workbookViewId="0"/>
  </x:sheetViews>
  <x:sheetFormatPr defaultRowHeight="15"/>
  <x:cols>
    <x:col min="1" max="1" width="6.282054" style="0" customWidth="1"/>
    <x:col min="2" max="2" width="14.996339" style="0" customWidth="1"/>
    <x:col min="3" max="3" width="24.567768" style="0" customWidth="1"/>
    <x:col min="4" max="4" width="18.710625" style="0" customWidth="1"/>
    <x:col min="5" max="5" width="19.424911" style="0" customWidth="1"/>
    <x:col min="6" max="6" width="65.710625" style="0" customWidth="1"/>
    <x:col min="7" max="7" width="17.139196" style="0" customWidth="1"/>
    <x:col min="8" max="8" width="10.139196" style="0" customWidth="1"/>
    <x:col min="9" max="9" width="14.996339" style="0" customWidth="1"/>
    <x:col min="10" max="10" width="9.424911" style="0" customWidth="1"/>
    <x:col min="11" max="11" width="20.996339" style="0" customWidth="1"/>
  </x:cols>
  <x:sheetData>
    <x:row r="1" spans="1:11" s="2" customFormat="1">
      <x:c r="A1" s="2" t="s">
        <x:v>915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545</x:v>
      </x:c>
      <x:c r="H1" s="2" t="s">
        <x:v>1950</x:v>
      </x:c>
      <x:c r="I1" s="2" t="s">
        <x:v>1951</x:v>
      </x:c>
      <x:c r="J1" s="2" t="s">
        <x:v>585</x:v>
      </x:c>
      <x:c r="K1" s="5">
        <x:f>HYPERLINK("#'Summary List'!A12", "Back to Summary")</x:f>
      </x:c>
    </x:row>
    <x:row r="2" spans="1:11" s="3" customFormat="1">
      <x:c r="A2" s="3" t="s">
        <x:v>580</x:v>
      </x:c>
      <x:c r="B2" s="3" t="s">
        <x:v>581</x:v>
      </x:c>
      <x:c r="C2" s="6" t="s">
        <x:v>582</x:v>
      </x:c>
      <x:c r="D2" s="7">
        <x:f>CONCATENATE(HYPERLINK("CALLTO:%2B356%202180%209426", "+356 2180 9426"))</x:f>
      </x:c>
      <x:c r="E2" s="6" t="s">
        <x:v>583</x:v>
      </x:c>
      <x:c r="F2" s="6" t="s">
        <x:v>417</x:v>
      </x:c>
      <x:c r="G2" s="3" t="s">
        <x:v>547</x:v>
      </x:c>
      <x:c r="H2" s="3" t="s">
        <x:v>547</x:v>
      </x:c>
      <x:c r="I2" s="3" t="s">
        <x:v>547</x:v>
      </x:c>
      <x:c r="J2" s="3" t="s">
        <x:v>548</x:v>
      </x:c>
    </x:row>
    <x:row r="3" spans="1:11" s="1" customFormat="1"/>
    <x:row r="4" spans="1:11" s="4" customFormat="1"/>
    <x:row r="5" spans="1:11" s="3" customFormat="1"/>
    <x:row r="6" spans="1:11" s="1" customFormat="1"/>
    <x:row r="7" spans="1:11" s="4" customFormat="1"/>
    <x:row r="8" spans="1:11" s="3" customFormat="1"/>
    <x:row r="9" spans="1:11" s="1" customFormat="1"/>
    <x:row r="10" spans="1:11" s="4" customFormat="1"/>
    <x:row r="11" spans="1:11" s="3" customFormat="1"/>
    <x:row r="12" spans="1:11" s="1" customFormat="1"/>
    <x:row r="13" spans="1:11" s="4" customFormat="1"/>
    <x:row r="14" spans="1:11" s="3" customFormat="1"/>
    <x:row r="15" spans="1:11" s="1" customFormat="1"/>
    <x:row r="16" spans="1:11" s="4" customFormat="1"/>
    <x:row r="17" spans="1:11" s="3" customFormat="1"/>
    <x:row r="18" spans="1:11" s="1" customFormat="1"/>
    <x:row r="19" spans="1:11" s="4" customFormat="1"/>
    <x:row r="20" spans="1:11" s="3" customFormat="1"/>
    <x:row r="21" spans="1:11" s="1" customFormat="1"/>
    <x:row r="22" spans="1:11" s="4" customFormat="1"/>
    <x:row r="23" spans="1:11" s="3" customFormat="1"/>
    <x:row r="24" spans="1:11" s="1" customFormat="1"/>
    <x:row r="25" spans="1:11" s="4" customFormat="1"/>
    <x:row r="26" spans="1:11" s="3" customFormat="1"/>
    <x:row r="27" spans="1:11" s="1" customFormat="1"/>
    <x:row r="28" spans="1:11" s="4" customFormat="1"/>
    <x:row r="29" spans="1:11" s="3" customFormat="1"/>
    <x:row r="30" spans="1:11" s="1" customFormat="1"/>
    <x:row r="31" spans="1:11" s="4" customFormat="1"/>
    <x:row r="32" spans="1:11" s="3" customFormat="1"/>
    <x:row r="33" spans="1:11" s="1" customFormat="1"/>
    <x:row r="34" spans="1:11" s="4" customFormat="1"/>
    <x:row r="35" spans="1:11" s="3" customFormat="1"/>
    <x:row r="36" spans="1:11" s="1" customFormat="1"/>
    <x:row r="37" spans="1:11" s="4" customFormat="1"/>
    <x:row r="38" spans="1:11" s="3" customFormat="1"/>
    <x:row r="39" spans="1:11" s="1" customFormat="1"/>
    <x:row r="40" spans="1:11" s="4" customFormat="1"/>
    <x:row r="41" spans="1:11" s="3" customFormat="1"/>
    <x:row r="42" spans="1:11" s="1" customFormat="1"/>
    <x:row r="43" spans="1:11" s="4" customFormat="1"/>
    <x:row r="44" spans="1:11" s="3" customFormat="1"/>
    <x:row r="45" spans="1:11" s="1" customFormat="1"/>
    <x:row r="46" spans="1:11" s="4" customFormat="1"/>
    <x:row r="47" spans="1:11" s="3" customFormat="1"/>
    <x:row r="48" spans="1:11" s="1" customFormat="1"/>
    <x:row r="49" spans="1:11" s="4" customFormat="1"/>
    <x:row r="50" spans="1:11" s="3" customFormat="1"/>
    <x:row r="51" spans="1:11" s="1" customFormat="1"/>
    <x:row r="52" spans="1:11" s="4" customFormat="1"/>
    <x:row r="53" spans="1:11" s="3" customFormat="1"/>
    <x:row r="54" spans="1:11" s="1" customFormat="1"/>
    <x:row r="55" spans="1:11" s="4" customFormat="1"/>
    <x:row r="56" spans="1:11" s="3" customFormat="1"/>
    <x:row r="57" spans="1:11" s="1" customFormat="1"/>
    <x:row r="58" spans="1:11" s="4" customFormat="1"/>
    <x:row r="59" spans="1:11" s="3" customFormat="1"/>
    <x:row r="60" spans="1:11" s="1" customFormat="1"/>
    <x:row r="61" spans="1:11" s="4" customFormat="1"/>
    <x:row r="62" spans="1:11" s="3" customFormat="1"/>
    <x:row r="63" spans="1:11" s="1" customFormat="1"/>
    <x:row r="64" spans="1:11" s="4" customFormat="1"/>
    <x:row r="65" spans="1:11" s="3" customFormat="1"/>
    <x:row r="66" spans="1:11" s="1" customFormat="1"/>
    <x:row r="67" spans="1:11" s="4" customFormat="1"/>
    <x:row r="68" spans="1:11" s="3" customFormat="1"/>
    <x:row r="69" spans="1:11" s="1" customFormat="1"/>
    <x:row r="70" spans="1:11" s="4" customFormat="1"/>
    <x:row r="71" spans="1:11" s="3" customFormat="1"/>
  </x:sheetData>
  <x:hyperlinks>
    <x:hyperlink ref="C2" r:id="rId424" tooltip="Send a mail to info@wjadistributors.com"/>
    <x:hyperlink ref="E2" r:id="rId425" tooltip="Search Dejma Road, Tarxien on Google Maps"/>
    <x:hyperlink ref="F2" r:id="rId426" tooltip="Visit wjadistributors.com/product/bosch-cross-line-laser-advancedlevel-360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27"/>
  <x:sheetViews>
    <x:sheetView workbookViewId="0"/>
  </x:sheetViews>
  <x:sheetFormatPr defaultRowHeight="15"/>
  <x:cols>
    <x:col min="1" max="1" width="8.853482" style="0" customWidth="1"/>
    <x:col min="2" max="2" width="30.282054" style="0" customWidth="1"/>
    <x:col min="3" max="3" width="27.996339" style="0" customWidth="1"/>
    <x:col min="4" max="4" width="29.853482" style="0" customWidth="1"/>
    <x:col min="5" max="5" width="60.996339" style="0" customWidth="1"/>
    <x:col min="6" max="6" width="120.567768" style="0" customWidth="1"/>
    <x:col min="7" max="7" width="49.996339" style="0" customWidth="1"/>
    <x:col min="8" max="8" width="20.996339" style="0" customWidth="1"/>
  </x:cols>
  <x:sheetData>
    <x:row r="1" spans="1:8" s="2" customFormat="1">
      <x:c r="A1" s="2" t="s">
        <x:v>915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5322</x:v>
      </x:c>
      <x:c r="H1" s="5">
        <x:f>HYPERLINK("#'Summary List'!A13", "Back to Summary")</x:f>
      </x:c>
    </x:row>
    <x:row r="2" spans="1:8" s="3" customFormat="1">
      <x:c r="A2" s="3" t="s">
        <x:v>587</x:v>
      </x:c>
      <x:c r="B2" s="3" t="s">
        <x:v>588</x:v>
      </x:c>
      <x:c r="C2" s="6" t="s">
        <x:v>601</x:v>
      </x:c>
      <x:c r="D2" s="7">
        <x:f>CONCATENATE(HYPERLINK("CALLTO:%2B356%202744%200103", "+356 2744 0103"), " / ", HYPERLINK("CALLTO:%2B356%207744%200103", "+356 7744 0103"))</x:f>
      </x:c>
      <x:c r="E2" s="6" t="s">
        <x:v>614</x:v>
      </x:c>
      <x:c r="F2" s="6" t="s">
        <x:v>623</x:v>
      </x:c>
      <x:c r="G2" s="3" t="s">
        <x:v>628</x:v>
      </x:c>
    </x:row>
    <x:row r="3" spans="1:8" s="1" customFormat="1">
      <x:c r="A3" s="1" t="s">
        <x:v>587</x:v>
      </x:c>
      <x:c r="B3" s="1" t="s">
        <x:v>589</x:v>
      </x:c>
      <x:c r="C3" s="8" t="s">
        <x:v>602</x:v>
      </x:c>
      <x:c r="D3" s="9">
        <x:f>CONCATENATE(HYPERLINK("CALLTO:%2B356%209905%207464", "+356 9905 7464"))</x:f>
      </x:c>
      <x:c r="E3" s="8" t="s">
        <x:v>615</x:v>
      </x:c>
      <x:c r="F3" s="8" t="s">
        <x:v>584</x:v>
      </x:c>
      <x:c r="G3" s="1" t="s">
        <x:v>629</x:v>
      </x:c>
    </x:row>
    <x:row r="4" spans="1:8" s="4" customFormat="1">
      <x:c r="A4" s="4" t="s">
        <x:v>587</x:v>
      </x:c>
      <x:c r="B4" s="4" t="s">
        <x:v>591</x:v>
      </x:c>
      <x:c r="C4" s="10" t="s">
        <x:v>603</x:v>
      </x:c>
      <x:c r="D4" s="11">
        <x:f>CONCATENATE(HYPERLINK("CALLTO:%2B356%209949%205407", "+356 9949 5407"))</x:f>
      </x:c>
      <x:c r="E4" s="10" t="s">
        <x:v>616</x:v>
      </x:c>
      <x:c r="F4" s="10" t="s">
        <x:v>624</x:v>
      </x:c>
      <x:c r="G4" s="4" t="s">
        <x:v>630</x:v>
      </x:c>
    </x:row>
    <x:row r="5" spans="1:8" s="3" customFormat="1">
      <x:c r="A5" s="3" t="s">
        <x:v>587</x:v>
      </x:c>
      <x:c r="B5" s="3" t="s">
        <x:v>590</x:v>
      </x:c>
      <x:c r="C5" s="6" t="s">
        <x:v>604</x:v>
      </x:c>
      <x:c r="D5" s="7">
        <x:f>CONCATENATE(HYPERLINK("CALLTO:%2B356%207713%201010", "+356 7713 1010"))</x:f>
      </x:c>
      <x:c r="E5" s="6" t="s">
        <x:v>617</x:v>
      </x:c>
      <x:c r="F5" s="6" t="s">
        <x:v>625</x:v>
      </x:c>
    </x:row>
    <x:row r="6" spans="1:8" s="1" customFormat="1">
      <x:c r="A6" s="1" t="s">
        <x:v>587</x:v>
      </x:c>
      <x:c r="B6" s="1" t="s">
        <x:v>592</x:v>
      </x:c>
      <x:c r="C6" s="8" t="s">
        <x:v>605</x:v>
      </x:c>
      <x:c r="D6" s="9">
        <x:f>CONCATENATE(HYPERLINK("CALLTO:%2B356%207970%207750", "+356 7970 7750"))</x:f>
      </x:c>
      <x:c r="E6" s="8" t="s">
        <x:v>618</x:v>
      </x:c>
      <x:c r="F6" s="8" t="s">
        <x:v>626</x:v>
      </x:c>
    </x:row>
    <x:row r="7" spans="1:8" s="4" customFormat="1">
      <x:c r="A7" s="4" t="s">
        <x:v>587</x:v>
      </x:c>
      <x:c r="B7" s="4" t="s">
        <x:v>593</x:v>
      </x:c>
      <x:c r="C7" s="10" t="s">
        <x:v>606</x:v>
      </x:c>
      <x:c r="D7" s="11">
        <x:f>CONCATENATE(HYPERLINK("CALLTO:%2B356%207941%201384", "+356 7941 1384"))</x:f>
      </x:c>
      <x:c r="E7" s="10" t="s">
        <x:v>619</x:v>
      </x:c>
      <x:c r="F7" s="10" t="s">
        <x:v>627</x:v>
      </x:c>
    </x:row>
    <x:row r="8" spans="1:8" s="3" customFormat="1">
      <x:c r="A8" s="3" t="s">
        <x:v>587</x:v>
      </x:c>
      <x:c r="B8" s="3" t="s">
        <x:v>594</x:v>
      </x:c>
      <x:c r="C8" s="6" t="s">
        <x:v>607</x:v>
      </x:c>
      <x:c r="D8" s="7">
        <x:f>CONCATENATE(HYPERLINK("CALLTO:%2B356%209998%207584", "+356 9998 7584"))</x:f>
      </x:c>
      <x:c r="E8" s="6" t="s">
        <x:v>620</x:v>
      </x:c>
    </x:row>
    <x:row r="9" spans="1:8" s="1" customFormat="1">
      <x:c r="A9" s="1" t="s">
        <x:v>587</x:v>
      </x:c>
      <x:c r="B9" s="1" t="s">
        <x:v>595</x:v>
      </x:c>
      <x:c r="C9" s="8" t="s">
        <x:v>608</x:v>
      </x:c>
      <x:c r="D9" s="9">
        <x:f>CONCATENATE(HYPERLINK("CALLTO:%2B356%207904%209031", "+356 7904 9031"))</x:f>
      </x:c>
      <x:c r="E9" s="8" t="s">
        <x:v>621</x:v>
      </x:c>
    </x:row>
    <x:row r="10" spans="1:8" s="4" customFormat="1">
      <x:c r="A10" s="4" t="s">
        <x:v>587</x:v>
      </x:c>
      <x:c r="B10" s="4" t="s">
        <x:v>596</x:v>
      </x:c>
      <x:c r="C10" s="10" t="s">
        <x:v>609</x:v>
      </x:c>
      <x:c r="D10" s="11">
        <x:f>CONCATENATE(HYPERLINK("CALLTO:%2B356%209949%206777", "+356 9949 6777"))</x:f>
      </x:c>
      <x:c r="E10" s="10" t="s">
        <x:v>622</x:v>
      </x:c>
    </x:row>
    <x:row r="11" spans="1:8" s="3" customFormat="1">
      <x:c r="A11" s="3" t="s">
        <x:v>587</x:v>
      </x:c>
      <x:c r="B11" s="3" t="s">
        <x:v>597</x:v>
      </x:c>
      <x:c r="C11" s="6" t="s">
        <x:v>610</x:v>
      </x:c>
      <x:c r="D11" s="7">
        <x:f>CONCATENATE(HYPERLINK("CALLTO:%2B356%209902%202336", "+356 9902 2336"))</x:f>
      </x:c>
    </x:row>
    <x:row r="12" spans="1:8" s="1" customFormat="1">
      <x:c r="A12" s="1" t="s">
        <x:v>587</x:v>
      </x:c>
      <x:c r="B12" s="1" t="s">
        <x:v>598</x:v>
      </x:c>
      <x:c r="C12" s="8" t="s">
        <x:v>611</x:v>
      </x:c>
      <x:c r="D12" s="9">
        <x:f>CONCATENATE(HYPERLINK("CALLTO:%2B356%209999%205037", "+356 9999 5037"))</x:f>
      </x:c>
    </x:row>
    <x:row r="13" spans="1:8" s="4" customFormat="1">
      <x:c r="A13" s="4" t="s">
        <x:v>587</x:v>
      </x:c>
      <x:c r="B13" s="4" t="s">
        <x:v>599</x:v>
      </x:c>
      <x:c r="C13" s="10" t="s">
        <x:v>612</x:v>
      </x:c>
      <x:c r="D13" s="11">
        <x:f>CONCATENATE(HYPERLINK("CALLTO:%2B356%209929%205479", "+356 9929 5479"))</x:f>
      </x:c>
    </x:row>
    <x:row r="14" spans="1:8" s="3" customFormat="1">
      <x:c r="A14" s="3" t="s">
        <x:v>587</x:v>
      </x:c>
      <x:c r="B14" s="3" t="s">
        <x:v>600</x:v>
      </x:c>
      <x:c r="C14" s="6" t="s">
        <x:v>613</x:v>
      </x:c>
    </x:row>
    <x:row r="15" spans="1:8" s="1" customFormat="1"/>
    <x:row r="16" spans="1:8" s="4" customFormat="1"/>
    <x:row r="17" spans="1:8" s="3" customFormat="1"/>
    <x:row r="18" spans="1:8" s="1" customFormat="1"/>
    <x:row r="19" spans="1:8" s="4" customFormat="1"/>
    <x:row r="20" spans="1:8" s="3" customFormat="1"/>
    <x:row r="21" spans="1:8" s="1" customFormat="1"/>
    <x:row r="22" spans="1:8" s="4" customFormat="1"/>
    <x:row r="23" spans="1:8" s="3" customFormat="1"/>
    <x:row r="24" spans="1:8" s="1" customFormat="1"/>
    <x:row r="25" spans="1:8" s="4" customFormat="1"/>
    <x:row r="26" spans="1:8" s="3" customFormat="1"/>
    <x:row r="27" spans="1:8" s="1" customFormat="1"/>
    <x:row r="28" spans="1:8" s="4" customFormat="1"/>
    <x:row r="29" spans="1:8" s="3" customFormat="1"/>
    <x:row r="30" spans="1:8" s="1" customFormat="1"/>
    <x:row r="31" spans="1:8" s="4" customFormat="1"/>
    <x:row r="32" spans="1:8" s="3" customFormat="1"/>
    <x:row r="33" spans="1:8" s="1" customFormat="1"/>
    <x:row r="34" spans="1:8" s="4" customFormat="1"/>
    <x:row r="35" spans="1:8" s="3" customFormat="1"/>
    <x:row r="36" spans="1:8" s="1" customFormat="1"/>
    <x:row r="37" spans="1:8" s="4" customFormat="1"/>
    <x:row r="38" spans="1:8" s="3" customFormat="1"/>
    <x:row r="39" spans="1:8" s="1" customFormat="1"/>
    <x:row r="40" spans="1:8" s="4" customFormat="1"/>
    <x:row r="41" spans="1:8" s="3" customFormat="1"/>
    <x:row r="42" spans="1:8" s="1" customFormat="1"/>
    <x:row r="43" spans="1:8" s="4" customFormat="1"/>
    <x:row r="44" spans="1:8" s="3" customFormat="1"/>
    <x:row r="45" spans="1:8" s="1" customFormat="1"/>
    <x:row r="46" spans="1:8" s="4" customFormat="1"/>
    <x:row r="47" spans="1:8" s="3" customFormat="1"/>
    <x:row r="48" spans="1:8" s="1" customFormat="1"/>
    <x:row r="49" spans="1:8" s="4" customFormat="1"/>
    <x:row r="50" spans="1:8" s="3" customFormat="1"/>
    <x:row r="51" spans="1:8" s="1" customFormat="1"/>
    <x:row r="52" spans="1:8" s="4" customFormat="1"/>
    <x:row r="53" spans="1:8" s="3" customFormat="1"/>
    <x:row r="54" spans="1:8" s="1" customFormat="1"/>
    <x:row r="55" spans="1:8" s="4" customFormat="1"/>
    <x:row r="56" spans="1:8" s="3" customFormat="1"/>
    <x:row r="57" spans="1:8" s="1" customFormat="1"/>
    <x:row r="58" spans="1:8" s="4" customFormat="1"/>
    <x:row r="59" spans="1:8" s="3" customFormat="1"/>
    <x:row r="60" spans="1:8" s="1" customFormat="1"/>
    <x:row r="61" spans="1:8" s="4" customFormat="1"/>
    <x:row r="62" spans="1:8" s="3" customFormat="1"/>
    <x:row r="63" spans="1:8" s="1" customFormat="1"/>
    <x:row r="64" spans="1:8" s="4" customFormat="1"/>
    <x:row r="65" spans="1:8" s="3" customFormat="1"/>
    <x:row r="66" spans="1:8" s="1" customFormat="1"/>
    <x:row r="67" spans="1:8" s="4" customFormat="1"/>
    <x:row r="68" spans="1:8" s="3" customFormat="1"/>
    <x:row r="69" spans="1:8" s="1" customFormat="1"/>
    <x:row r="70" spans="1:8" s="4" customFormat="1"/>
    <x:row r="71" spans="1:8" s="3" customFormat="1"/>
    <x:row r="72" spans="1:8" s="1" customFormat="1"/>
    <x:row r="73" spans="1:8" s="4" customFormat="1"/>
    <x:row r="74" spans="1:8" s="3" customFormat="1"/>
    <x:row r="75" spans="1:8" s="1" customFormat="1"/>
    <x:row r="76" spans="1:8" s="4" customFormat="1"/>
    <x:row r="77" spans="1:8" s="3" customFormat="1"/>
    <x:row r="78" spans="1:8" s="1" customFormat="1"/>
    <x:row r="79" spans="1:8" s="4" customFormat="1"/>
    <x:row r="80" spans="1:8" s="3" customFormat="1"/>
    <x:row r="81" spans="1:8" s="1" customFormat="1"/>
    <x:row r="82" spans="1:8" s="4" customFormat="1"/>
    <x:row r="83" spans="1:8" s="3" customFormat="1"/>
    <x:row r="84" spans="1:8" s="1" customFormat="1"/>
    <x:row r="85" spans="1:8" s="4" customFormat="1"/>
    <x:row r="86" spans="1:8" s="3" customFormat="1"/>
    <x:row r="87" spans="1:8" s="1" customFormat="1"/>
    <x:row r="88" spans="1:8" s="4" customFormat="1"/>
    <x:row r="89" spans="1:8" s="3" customFormat="1"/>
    <x:row r="90" spans="1:8" s="1" customFormat="1"/>
    <x:row r="91" spans="1:8" s="4" customFormat="1"/>
    <x:row r="92" spans="1:8" s="3" customFormat="1"/>
    <x:row r="93" spans="1:8" s="1" customFormat="1"/>
    <x:row r="94" spans="1:8" s="4" customFormat="1"/>
    <x:row r="95" spans="1:8" s="3" customFormat="1"/>
    <x:row r="96" spans="1:8" s="1" customFormat="1"/>
    <x:row r="97" spans="1:8" s="4" customFormat="1"/>
    <x:row r="98" spans="1:8" s="3" customFormat="1"/>
    <x:row r="99" spans="1:8" s="1" customFormat="1"/>
    <x:row r="100" spans="1:8" s="4" customFormat="1"/>
    <x:row r="101" spans="1:8" s="3" customFormat="1"/>
    <x:row r="102" spans="1:8" s="1" customFormat="1"/>
    <x:row r="103" spans="1:8" s="4" customFormat="1"/>
    <x:row r="104" spans="1:8" s="3" customFormat="1"/>
    <x:row r="105" spans="1:8" s="1" customFormat="1"/>
    <x:row r="106" spans="1:8" s="4" customFormat="1"/>
    <x:row r="107" spans="1:8" s="3" customFormat="1"/>
    <x:row r="108" spans="1:8" s="1" customFormat="1"/>
    <x:row r="109" spans="1:8" s="4" customFormat="1"/>
    <x:row r="110" spans="1:8" s="3" customFormat="1"/>
    <x:row r="111" spans="1:8" s="1" customFormat="1"/>
    <x:row r="112" spans="1:8" s="4" customFormat="1"/>
    <x:row r="113" spans="1:8" s="3" customFormat="1"/>
    <x:row r="114" spans="1:8" s="1" customFormat="1"/>
    <x:row r="115" spans="1:8" s="4" customFormat="1"/>
    <x:row r="116" spans="1:8" s="3" customFormat="1"/>
    <x:row r="117" spans="1:8" s="1" customFormat="1"/>
    <x:row r="118" spans="1:8" s="4" customFormat="1"/>
    <x:row r="119" spans="1:8" s="3" customFormat="1"/>
    <x:row r="120" spans="1:8" s="1" customFormat="1"/>
    <x:row r="121" spans="1:8" s="4" customFormat="1"/>
    <x:row r="122" spans="1:8" s="3" customFormat="1"/>
    <x:row r="123" spans="1:8" s="1" customFormat="1"/>
    <x:row r="124" spans="1:8" s="4" customFormat="1"/>
    <x:row r="125" spans="1:8" s="3" customFormat="1"/>
    <x:row r="126" spans="1:8" s="1" customFormat="1"/>
    <x:row r="127" spans="1:8" s="4" customFormat="1"/>
  </x:sheetData>
  <x:hyperlinks>
    <x:hyperlink ref="C2" r:id="rId427" tooltip="Send a mail to info@surveyingmalta.com"/>
    <x:hyperlink ref="C3" r:id="rId428" tooltip="Send a mail to chris@cmsurveying.com.mt"/>
    <x:hyperlink ref="C4" r:id="rId429" tooltip="Send a mail to info@matsurv.eu"/>
    <x:hyperlink ref="C5" r:id="rId430" tooltip="Send a mail to ncsurveying23@gmail.com"/>
    <x:hyperlink ref="C6" r:id="rId431" tooltip="Send a mail to alan@micallefsurveying.com"/>
    <x:hyperlink ref="C7" r:id="rId432" tooltip="Send a mail to arsurveyingmalta@gmail.com"/>
    <x:hyperlink ref="C8" r:id="rId433" tooltip="Send a mail to info@atlas-surveying.com"/>
    <x:hyperlink ref="C9" r:id="rId434" tooltip="Send a mail to impact.design.18@gmail.com"/>
    <x:hyperlink ref="C10" r:id="rId435" tooltip="Send a mail to lms@onvol.net"/>
    <x:hyperlink ref="C11" r:id="rId436" tooltip="Send a mail to surveying.da@gmail.com"/>
    <x:hyperlink ref="C12" r:id="rId437" tooltip="Send a mail to ellulsrv@gmail.com"/>
    <x:hyperlink ref="C13" r:id="rId438" tooltip="Send a mail to maltasurveys.rs@gmail.com"/>
    <x:hyperlink ref="C14" r:id="rId439" tooltip="Send a mail to chris@pss-dna.com"/>
    <x:hyperlink ref="E2" r:id="rId440" tooltip="Search 8, Triq il-Laring, Attard, ATD 2531 Malta on Google Maps"/>
    <x:hyperlink ref="E3" r:id="rId441" tooltip="Search No. 2, Triq Papa Piju XII, Birkirkara, Malta. on Google Maps"/>
    <x:hyperlink ref="E4" r:id="rId442" tooltip="Search 89, Suite 1, ATL Business Centre, Triq Il-Kanun, Santa Venera, Malta on Google Maps"/>
    <x:hyperlink ref="E5" r:id="rId443" tooltip="Search NC Surveying&#10;1 Joelle Triq Dun Guzepp Demicoli ,&#10;Ghaxaq, Malta on Google Maps"/>
    <x:hyperlink ref="E6" r:id="rId444" tooltip="Search Alan Micallef Surveying Services&#10;67 Flat 1 Triq Vince Dimech ,&#10;Zurrieq, Malta ZRQ 2402 on Google Maps"/>
    <x:hyperlink ref="E7" r:id="rId445" tooltip="Search AR Surveying&#10;Triq it-Tahhan ,&#10;B’Kara, Malta on Google Maps"/>
    <x:hyperlink ref="E8" r:id="rId446" tooltip="Search 182 Triq Bormla&#10;Paola, PLA 1905, MT, on Google Maps"/>
    <x:hyperlink ref="E9" r:id="rId447" tooltip="Search IMPACT design&#10;56 Triq il-Vittmi tal-Gwerra Swatar ,&#10;B’Kara, Malta on Google Maps"/>
    <x:hyperlink ref="E10" r:id="rId448" tooltip="Search Peter P Caruana&#10;Shamrock Triq ta’ Giorni ,&#10;San Giljan, Malta STJ 1615 on Google Maps"/>
    <x:hyperlink ref="F2" location="Surveyors!https://Geomatix Surveying" tooltip="Visit Geomatix Surveying" display="Geomatix Surveying"/>
    <x:hyperlink ref="F3" r:id="rId449" tooltip="Visit cmsurveying.com/"/>
    <x:hyperlink ref="F4" r:id="rId450" tooltip="Visit facebook.com/matsurv/"/>
    <x:hyperlink ref="F5" r:id="rId451" tooltip="Visit facebook.com/profile.php?id=100063536049877&amp;utm_source=Yellow&amp;utm_medium=Yellow-Website&amp;utm_campaign=Landing-Page"/>
    <x:hyperlink ref="F6" r:id="rId452" tooltip="Visit atlas-surveying.com/?utm_source=Yellow&amp;utm_medium=Yellow-Website&amp;utm_campaign=Landing-Page"/>
    <x:hyperlink ref="F7" r:id="rId453" tooltip="Visit checkyourtraders.com/listing/__trashed-19?fromCat=property-surveyor-surveying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2"/>
  <x:sheetViews>
    <x:sheetView workbookViewId="0"/>
  </x:sheetViews>
  <x:sheetFormatPr defaultRowHeight="15"/>
  <x:cols>
    <x:col min="1" max="1" width="136.424911" style="0" customWidth="1"/>
    <x:col min="2" max="2" width="29.424911" style="0" customWidth="1"/>
    <x:col min="3" max="3" width="26.567768" style="0" customWidth="1"/>
    <x:col min="4" max="4" width="31.282054" style="0" customWidth="1"/>
    <x:col min="5" max="5" width="30.853482" style="0" customWidth="1"/>
    <x:col min="6" max="6" width="10.996339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24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List'!A14", "Back to Summary")</x:f>
      </x:c>
    </x:row>
    <x:row r="2" spans="1:7" s="3" customFormat="1">
      <x:c r="A2" s="3" t="s">
        <x:v>631</x:v>
      </x:c>
      <x:c r="B2" s="3" t="s">
        <x:v>642</x:v>
      </x:c>
      <x:c r="C2" s="6" t="s">
        <x:v>649</x:v>
      </x:c>
      <x:c r="D2" s="7">
        <x:f>CONCATENATE(HYPERLINK("CALLTO:%2B356%202168%2035589945716299493311", "+356 2168 35589945716299493311"))</x:f>
      </x:c>
      <x:c r="E2" s="6" t="s">
        <x:v>656</x:v>
      </x:c>
    </x:row>
    <x:row r="3" spans="1:7" s="1" customFormat="1"/>
    <x:row r="4" spans="1:7" s="4" customFormat="1">
      <x:c r="A4" s="4" t="s">
        <x:v>632</x:v>
      </x:c>
      <x:c r="B4" s="4" t="s">
        <x:v>643</x:v>
      </x:c>
      <x:c r="C4" s="10" t="s">
        <x:v>650</x:v>
      </x:c>
      <x:c r="D4" s="11">
        <x:f>CONCATENATE(HYPERLINK("CALLTO:%2B356%202749%20222299490220", "+356 2749 222299490220"))</x:f>
      </x:c>
      <x:c r="E4" s="10" t="s">
        <x:v>657</x:v>
      </x:c>
    </x:row>
    <x:row r="5" spans="1:7" s="3" customFormat="1"/>
    <x:row r="6" spans="1:7" s="1" customFormat="1">
      <x:c r="A6" s="1" t="s">
        <x:v>633</x:v>
      </x:c>
      <x:c r="B6" s="1" t="s">
        <x:v>644</x:v>
      </x:c>
      <x:c r="C6" s="8" t="s">
        <x:v>651</x:v>
      </x:c>
      <x:c r="D6" s="9">
        <x:f>CONCATENATE(HYPERLINK("CALLTO:%2B356%202165%20147599495236", "+356 2165 147599495236"))</x:f>
      </x:c>
      <x:c r="E6" s="8" t="s">
        <x:v>658</x:v>
      </x:c>
    </x:row>
    <x:row r="7" spans="1:7" s="4" customFormat="1"/>
    <x:row r="8" spans="1:7" s="3" customFormat="1">
      <x:c r="A8" s="3" t="s">
        <x:v>634</x:v>
      </x:c>
      <x:c r="B8" s="3" t="s">
        <x:v>645</x:v>
      </x:c>
      <x:c r="C8" s="6" t="s">
        <x:v>652</x:v>
      </x:c>
      <x:c r="D8" s="7">
        <x:f>CONCATENATE(HYPERLINK("CALLTO:%2B356%202189%2060239949503599477294", "+356 2189 60239949503599477294"))</x:f>
      </x:c>
      <x:c r="E8" s="6" t="s">
        <x:v>659</x:v>
      </x:c>
    </x:row>
    <x:row r="9" spans="1:7" s="1" customFormat="1"/>
    <x:row r="10" spans="1:7" s="4" customFormat="1">
      <x:c r="A10" s="4" t="s">
        <x:v>635</x:v>
      </x:c>
      <x:c r="B10" s="4" t="s">
        <x:v>646</x:v>
      </x:c>
      <x:c r="C10" s="10" t="s">
        <x:v>653</x:v>
      </x:c>
      <x:c r="D10" s="11">
        <x:f>CONCATENATE(HYPERLINK("CALLTO:%2B356%202144%20444179444441", "+356 2144 444179444441"))</x:f>
      </x:c>
      <x:c r="E10" s="10" t="s">
        <x:v>660</x:v>
      </x:c>
    </x:row>
    <x:row r="11" spans="1:7" s="3" customFormat="1"/>
    <x:row r="12" spans="1:7" s="1" customFormat="1">
      <x:c r="A12" s="1" t="s">
        <x:v>636</x:v>
      </x:c>
      <x:c r="B12" s="1" t="s">
        <x:v>647</x:v>
      </x:c>
      <x:c r="C12" s="8" t="s">
        <x:v>654</x:v>
      </x:c>
      <x:c r="D12" s="9">
        <x:f>CONCATENATE(HYPERLINK("CALLTO:%2B356%202166%20785779442804", "+356 2166 785779442804"))</x:f>
      </x:c>
      <x:c r="E12" s="8" t="s">
        <x:v>661</x:v>
      </x:c>
    </x:row>
    <x:row r="13" spans="1:7" s="4" customFormat="1"/>
    <x:row r="14" spans="1:7" s="3" customFormat="1">
      <x:c r="A14" s="3" t="s">
        <x:v>637</x:v>
      </x:c>
      <x:c r="B14" s="3" t="s">
        <x:v>648</x:v>
      </x:c>
      <x:c r="C14" s="6" t="s">
        <x:v>655</x:v>
      </x:c>
      <x:c r="D14" s="7">
        <x:f>CONCATENATE(HYPERLINK("CALLTO:%2B356%202169%207766", "+356 2169 7766"))</x:f>
      </x:c>
      <x:c r="E14" s="6" t="s">
        <x:v>663</x:v>
      </x:c>
    </x:row>
    <x:row r="15" spans="1:7" s="1" customFormat="1"/>
    <x:row r="16" spans="1:7" s="4" customFormat="1">
      <x:c r="A16" s="4" t="s">
        <x:v>638</x:v>
      </x:c>
    </x:row>
    <x:row r="17" spans="1:7" s="3" customFormat="1">
      <x:c r="A17" s="3" t="s">
        <x:v>638</x:v>
      </x:c>
    </x:row>
    <x:row r="18" spans="1:7" s="1" customFormat="1">
      <x:c r="A18" s="1" t="s">
        <x:v>638</x:v>
      </x:c>
    </x:row>
    <x:row r="19" spans="1:7" s="4" customFormat="1">
      <x:c r="A19" s="4" t="s">
        <x:v>638</x:v>
      </x:c>
    </x:row>
    <x:row r="20" spans="1:7" s="3" customFormat="1">
      <x:c r="A20" s="3" t="s">
        <x:v>638</x:v>
      </x:c>
    </x:row>
    <x:row r="21" spans="1:7" s="1" customFormat="1">
      <x:c r="A21" s="1" t="s">
        <x:v>638</x:v>
      </x:c>
    </x:row>
    <x:row r="22" spans="1:7" s="4" customFormat="1">
      <x:c r="A22" s="4" t="s">
        <x:v>638</x:v>
      </x:c>
    </x:row>
    <x:row r="23" spans="1:7" s="3" customFormat="1"/>
    <x:row r="24" spans="1:7" s="1" customFormat="1">
      <x:c r="A24" s="1" t="s">
        <x:v>639</x:v>
      </x:c>
    </x:row>
    <x:row r="25" spans="1:7" s="4" customFormat="1"/>
    <x:row r="26" spans="1:7" s="3" customFormat="1">
      <x:c r="A26" s="3" t="s">
        <x:v>640</x:v>
      </x:c>
    </x:row>
    <x:row r="27" spans="1:7" s="1" customFormat="1"/>
    <x:row r="28" spans="1:7" s="4" customFormat="1">
      <x:c r="A28" s="4" t="s">
        <x:v>641</x:v>
      </x:c>
    </x:row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</x:sheetData>
  <x:hyperlinks>
    <x:hyperlink ref="C2" r:id="rId454" tooltip="Send a mail to johnghigo53@gmail.com"/>
    <x:hyperlink ref="C4" r:id="rId455" tooltip="Send a mail to freduautoparts@melita.com"/>
    <x:hyperlink ref="C6" r:id="rId456" tooltip="Send a mail to gasparell.b@gmail.com"/>
    <x:hyperlink ref="C8" r:id="rId457" tooltip="Send a mail to criszu75@gmail.com"/>
    <x:hyperlink ref="C10" r:id="rId458" tooltip="Send a mail to repairs@mile-end.mt"/>
    <x:hyperlink ref="C12" r:id="rId459" tooltip="Send a mail to info@ddeattard.com"/>
    <x:hyperlink ref="C14" r:id="rId460" tooltip="Send a mail to rocagoltd@gmail.com"/>
    <x:hyperlink ref="E2" r:id="rId461" tooltip="Search Limits of Kirkop on Google Maps"/>
    <x:hyperlink ref="E4" r:id="rId462" tooltip="Search Plot, 6/7, Nassab Street, Qormi on Google Maps"/>
    <x:hyperlink ref="E6" r:id="rId463" tooltip="Search Ħal Far Ind Estate, Birzebbuga on Google Maps"/>
    <x:hyperlink ref="E8" r:id="rId464" tooltip="Search 31, Wied Ghammieq Road&#10;Kalkara on Google Maps"/>
    <x:hyperlink ref="E10" r:id="rId465" tooltip="Search 19/20/47, Triq l-Inginerija ma’Triq&#10;l-Iskola Teknika, Mriehel,&#10;Birkirkara on Google Maps"/>
    <x:hyperlink ref="E12" r:id="rId466" tooltip="Search Scrap Lane, Valletta Road, Luqa,&#10;LQA 1764 on Google Maps"/>
    <x:hyperlink ref="E14" r:id="rId467" tooltip="Search Triq Tal-Barrani, Zejtun on Google Maps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81"/>
  <x:sheetViews>
    <x:sheetView workbookViewId="0"/>
  </x:sheetViews>
  <x:sheetFormatPr defaultRowHeight="15"/>
  <x:cols>
    <x:col min="1" max="1" width="11.424911" style="0" customWidth="1"/>
    <x:col min="2" max="2" width="39.996339" style="0" customWidth="1"/>
    <x:col min="3" max="3" width="33.853482" style="0" customWidth="1"/>
    <x:col min="4" max="4" width="18.710625" style="0" customWidth="1"/>
    <x:col min="5" max="5" width="48.567768" style="0" customWidth="1"/>
    <x:col min="6" max="6" width="21.853482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List'!A15", "Back to Summary")</x:f>
      </x:c>
    </x:row>
    <x:row r="2" spans="1:7" s="3" customFormat="1">
      <x:c r="A2" s="3" t="s">
        <x:v>664</x:v>
      </x:c>
      <x:c r="B2" s="3" t="s">
        <x:v>662</x:v>
      </x:c>
      <x:c r="C2" s="6" t="s">
        <x:v>693</x:v>
      </x:c>
      <x:c r="D2" s="7">
        <x:f>CONCATENATE(HYPERLINK("CALLTO:%2B356%209944%201703", "+356 9944 1703"))</x:f>
      </x:c>
      <x:c r="E2" s="6" t="s">
        <x:v>724</x:v>
      </x:c>
      <x:c r="F2" s="6" t="s">
        <x:v>733</x:v>
      </x:c>
    </x:row>
    <x:row r="3" spans="1:7" s="1" customFormat="1">
      <x:c r="A3" s="1" t="s">
        <x:v>664</x:v>
      </x:c>
      <x:c r="B3" s="1" t="s">
        <x:v>666</x:v>
      </x:c>
      <x:c r="C3" s="8" t="s">
        <x:v>695</x:v>
      </x:c>
      <x:c r="D3" s="9">
        <x:f>CONCATENATE(HYPERLINK("CALLTO:%2B356%202123%204567", "+356 2123 4567"))</x:f>
      </x:c>
      <x:c r="E3" s="8" t="s">
        <x:v>725</x:v>
      </x:c>
      <x:c r="F3" s="8" t="s">
        <x:v>738</x:v>
      </x:c>
    </x:row>
    <x:row r="4" spans="1:7" s="4" customFormat="1">
      <x:c r="A4" s="4" t="s">
        <x:v>664</x:v>
      </x:c>
      <x:c r="B4" s="4" t="s">
        <x:v>667</x:v>
      </x:c>
      <x:c r="C4" s="10" t="s">
        <x:v>694</x:v>
      </x:c>
      <x:c r="D4" s="11">
        <x:f>CONCATENATE(HYPERLINK("CALLTO:%2B356%202145%206789", "+356 2145 6789"))</x:f>
      </x:c>
      <x:c r="E4" s="10" t="s">
        <x:v>726</x:v>
      </x:c>
      <x:c r="F4" s="10" t="s">
        <x:v>737</x:v>
      </x:c>
    </x:row>
    <x:row r="5" spans="1:7" s="3" customFormat="1">
      <x:c r="A5" s="3" t="s">
        <x:v>664</x:v>
      </x:c>
      <x:c r="B5" s="3" t="s">
        <x:v>668</x:v>
      </x:c>
      <x:c r="C5" s="6" t="s">
        <x:v>696</x:v>
      </x:c>
      <x:c r="D5" s="7">
        <x:f>CONCATENATE(HYPERLINK("CALLTO:%2B356%202134%205678", "+356 2134 5678"))</x:f>
      </x:c>
      <x:c r="E5" s="6" t="s">
        <x:v>727</x:v>
      </x:c>
      <x:c r="F5" s="6" t="s">
        <x:v>739</x:v>
      </x:c>
    </x:row>
    <x:row r="6" spans="1:7" s="1" customFormat="1">
      <x:c r="A6" s="1" t="s">
        <x:v>664</x:v>
      </x:c>
      <x:c r="B6" s="1" t="s">
        <x:v>669</x:v>
      </x:c>
      <x:c r="C6" s="8" t="s">
        <x:v>697</x:v>
      </x:c>
      <x:c r="D6" s="9">
        <x:f>CONCATENATE(HYPERLINK("CALLTO:%2B356%202165%204321", "+356 2165 4321"))</x:f>
      </x:c>
      <x:c r="E6" s="8" t="s">
        <x:v>728</x:v>
      </x:c>
      <x:c r="F6" s="8" t="s">
        <x:v>740</x:v>
      </x:c>
    </x:row>
    <x:row r="7" spans="1:7" s="4" customFormat="1">
      <x:c r="A7" s="4" t="s">
        <x:v>664</x:v>
      </x:c>
      <x:c r="B7" s="4" t="s">
        <x:v>670</x:v>
      </x:c>
      <x:c r="C7" s="10" t="s">
        <x:v>698</x:v>
      </x:c>
      <x:c r="D7" s="11">
        <x:f>CONCATENATE(HYPERLINK("CALLTO:%2B356%202146%208789", "+356 2146 8789"))</x:f>
      </x:c>
      <x:c r="E7" s="10" t="s">
        <x:v>723</x:v>
      </x:c>
      <x:c r="F7" s="10" t="s">
        <x:v>741</x:v>
      </x:c>
    </x:row>
    <x:row r="8" spans="1:7" s="3" customFormat="1">
      <x:c r="A8" s="3" t="s">
        <x:v>664</x:v>
      </x:c>
      <x:c r="B8" s="3" t="s">
        <x:v>665</x:v>
      </x:c>
      <x:c r="C8" s="6" t="s">
        <x:v>699</x:v>
      </x:c>
      <x:c r="D8" s="7">
        <x:f>CONCATENATE(HYPERLINK("CALLTO:%2B356%202146%206668", "+356 2146 6668"))</x:f>
      </x:c>
      <x:c r="E8" s="6" t="s">
        <x:v>729</x:v>
      </x:c>
      <x:c r="F8" s="6" t="s">
        <x:v>743</x:v>
      </x:c>
    </x:row>
    <x:row r="9" spans="1:7" s="1" customFormat="1">
      <x:c r="A9" s="1" t="s">
        <x:v>664</x:v>
      </x:c>
      <x:c r="B9" s="1" t="s">
        <x:v>672</x:v>
      </x:c>
      <x:c r="C9" s="8" t="s">
        <x:v>700</x:v>
      </x:c>
      <x:c r="D9" s="9">
        <x:f>CONCATENATE(HYPERLINK("CALLTO:%2B356%209999%204120", "+356 9999 4120"))</x:f>
      </x:c>
      <x:c r="E9" s="8" t="s">
        <x:v>729</x:v>
      </x:c>
      <x:c r="F9" s="8" t="s">
        <x:v>744</x:v>
      </x:c>
    </x:row>
    <x:row r="10" spans="1:7" s="4" customFormat="1">
      <x:c r="A10" s="4" t="s">
        <x:v>664</x:v>
      </x:c>
      <x:c r="B10" s="4" t="s">
        <x:v>673</x:v>
      </x:c>
      <x:c r="C10" s="10" t="s">
        <x:v>702</x:v>
      </x:c>
      <x:c r="D10" s="11">
        <x:f>CONCATENATE(HYPERLINK("CALLTO:%2B356%202144%204348", "+356 2144 4348"))</x:f>
      </x:c>
      <x:c r="E10" s="10" t="s">
        <x:v>731</x:v>
      </x:c>
      <x:c r="F10" s="10" t="s">
        <x:v>745</x:v>
      </x:c>
    </x:row>
    <x:row r="11" spans="1:7" s="3" customFormat="1">
      <x:c r="A11" s="3" t="s">
        <x:v>664</x:v>
      </x:c>
      <x:c r="B11" s="3" t="s">
        <x:v>674</x:v>
      </x:c>
      <x:c r="C11" s="6" t="s">
        <x:v>701</x:v>
      </x:c>
      <x:c r="D11" s="7">
        <x:f>CONCATENATE(HYPERLINK("CALLTO:%2B356%202347%202994", "+356 2347 2994"))</x:f>
      </x:c>
      <x:c r="E11" s="6" t="s">
        <x:v>730</x:v>
      </x:c>
      <x:c r="F11" s="6" t="s">
        <x:v>746</x:v>
      </x:c>
    </x:row>
    <x:row r="12" spans="1:7" s="1" customFormat="1">
      <x:c r="A12" s="1" t="s">
        <x:v>664</x:v>
      </x:c>
      <x:c r="B12" s="1" t="s">
        <x:v>675</x:v>
      </x:c>
      <x:c r="C12" s="8" t="s">
        <x:v>704</x:v>
      </x:c>
      <x:c r="D12" s="9">
        <x:f>CONCATENATE(HYPERLINK("CALLTO:%2B356%202189%207912", "+356 2189 7912"))</x:f>
      </x:c>
      <x:c r="E12" s="8" t="s">
        <x:v>732</x:v>
      </x:c>
      <x:c r="F12" s="8" t="s">
        <x:v>742</x:v>
      </x:c>
    </x:row>
    <x:row r="13" spans="1:7" s="4" customFormat="1">
      <x:c r="A13" s="4" t="s">
        <x:v>664</x:v>
      </x:c>
      <x:c r="B13" s="4" t="s">
        <x:v>676</x:v>
      </x:c>
      <x:c r="C13" s="10" t="s">
        <x:v>703</x:v>
      </x:c>
      <x:c r="D13" s="11">
        <x:f>CONCATENATE(HYPERLINK("CALLTO:%2B356%202146%204761", "+356 2146 4761"))</x:f>
      </x:c>
      <x:c r="E13" s="10" t="s">
        <x:v>734</x:v>
      </x:c>
      <x:c r="F13" s="10" t="s">
        <x:v>747</x:v>
      </x:c>
    </x:row>
    <x:row r="14" spans="1:7" s="3" customFormat="1">
      <x:c r="A14" s="3" t="s">
        <x:v>664</x:v>
      </x:c>
      <x:c r="B14" s="3" t="s">
        <x:v>677</x:v>
      </x:c>
      <x:c r="C14" s="6" t="s">
        <x:v>705</x:v>
      </x:c>
      <x:c r="D14" s="7">
        <x:f>CONCATENATE(HYPERLINK("CALLTO:%2B356%209947%202191", "+356 9947 2191"))</x:f>
      </x:c>
      <x:c r="E14" s="6" t="s">
        <x:v>735</x:v>
      </x:c>
      <x:c r="F14" s="6" t="s">
        <x:v>748</x:v>
      </x:c>
    </x:row>
    <x:row r="15" spans="1:7" s="1" customFormat="1">
      <x:c r="A15" s="1" t="s">
        <x:v>664</x:v>
      </x:c>
      <x:c r="B15" s="1" t="s">
        <x:v>678</x:v>
      </x:c>
      <x:c r="C15" s="8" t="s">
        <x:v>706</x:v>
      </x:c>
      <x:c r="D15" s="9">
        <x:f>CONCATENATE(HYPERLINK("CALLTO:%2B356%202167%208608", "+356 2167 8608"))</x:f>
      </x:c>
      <x:c r="E15" s="8" t="s">
        <x:v>736</x:v>
      </x:c>
      <x:c r="F15" s="8" t="s">
        <x:v>749</x:v>
      </x:c>
    </x:row>
    <x:row r="16" spans="1:7" s="4" customFormat="1">
      <x:c r="A16" s="4" t="s">
        <x:v>664</x:v>
      </x:c>
      <x:c r="B16" s="4" t="s">
        <x:v>671</x:v>
      </x:c>
      <x:c r="C16" s="10" t="s">
        <x:v>707</x:v>
      </x:c>
      <x:c r="D16" s="11">
        <x:f>CONCATENATE(HYPERLINK("CALLTO:%2B356%209977%200099", "+356 9977 0099"))</x:f>
      </x:c>
    </x:row>
    <x:row r="17" spans="1:7" s="3" customFormat="1">
      <x:c r="A17" s="3" t="s">
        <x:v>664</x:v>
      </x:c>
      <x:c r="B17" s="3" t="s">
        <x:v>679</x:v>
      </x:c>
      <x:c r="C17" s="6" t="s">
        <x:v>708</x:v>
      </x:c>
    </x:row>
    <x:row r="18" spans="1:7" s="1" customFormat="1">
      <x:c r="A18" s="1" t="s">
        <x:v>664</x:v>
      </x:c>
      <x:c r="B18" s="1" t="s">
        <x:v>680</x:v>
      </x:c>
      <x:c r="C18" s="8" t="s">
        <x:v>709</x:v>
      </x:c>
    </x:row>
    <x:row r="19" spans="1:7" s="4" customFormat="1">
      <x:c r="A19" s="4" t="s">
        <x:v>664</x:v>
      </x:c>
      <x:c r="B19" s="4" t="s">
        <x:v>681</x:v>
      </x:c>
      <x:c r="C19" s="10" t="s">
        <x:v>710</x:v>
      </x:c>
    </x:row>
    <x:row r="20" spans="1:7" s="3" customFormat="1">
      <x:c r="A20" s="3" t="s">
        <x:v>664</x:v>
      </x:c>
      <x:c r="B20" s="3" t="s">
        <x:v>682</x:v>
      </x:c>
      <x:c r="C20" s="6" t="s">
        <x:v>711</x:v>
      </x:c>
    </x:row>
    <x:row r="21" spans="1:7" s="1" customFormat="1">
      <x:c r="A21" s="1" t="s">
        <x:v>664</x:v>
      </x:c>
      <x:c r="B21" s="1" t="s">
        <x:v>683</x:v>
      </x:c>
      <x:c r="C21" s="8" t="s">
        <x:v>712</x:v>
      </x:c>
    </x:row>
    <x:row r="22" spans="1:7" s="4" customFormat="1">
      <x:c r="A22" s="4" t="s">
        <x:v>664</x:v>
      </x:c>
      <x:c r="B22" s="4" t="s">
        <x:v>684</x:v>
      </x:c>
      <x:c r="C22" s="10" t="s">
        <x:v>713</x:v>
      </x:c>
    </x:row>
    <x:row r="23" spans="1:7" s="3" customFormat="1">
      <x:c r="A23" s="3" t="s">
        <x:v>664</x:v>
      </x:c>
      <x:c r="B23" s="3" t="s">
        <x:v>685</x:v>
      </x:c>
      <x:c r="C23" s="6" t="s">
        <x:v>714</x:v>
      </x:c>
    </x:row>
    <x:row r="24" spans="1:7" s="1" customFormat="1">
      <x:c r="A24" s="1" t="s">
        <x:v>664</x:v>
      </x:c>
      <x:c r="B24" s="1" t="s">
        <x:v>686</x:v>
      </x:c>
      <x:c r="C24" s="8" t="s">
        <x:v>715</x:v>
      </x:c>
    </x:row>
    <x:row r="25" spans="1:7" s="4" customFormat="1">
      <x:c r="A25" s="4" t="s">
        <x:v>664</x:v>
      </x:c>
      <x:c r="B25" s="4" t="s">
        <x:v>687</x:v>
      </x:c>
      <x:c r="C25" s="10" t="s">
        <x:v>716</x:v>
      </x:c>
    </x:row>
    <x:row r="26" spans="1:7" s="3" customFormat="1"/>
    <x:row r="27" spans="1:7" s="1" customFormat="1">
      <x:c r="B27" s="1" t="s">
        <x:v>688</x:v>
      </x:c>
      <x:c r="C27" s="8" t="s">
        <x:v>717</x:v>
      </x:c>
    </x:row>
    <x:row r="28" spans="1:7" s="4" customFormat="1">
      <x:c r="B28" s="4" t="s">
        <x:v>689</x:v>
      </x:c>
      <x:c r="C28" s="10" t="s">
        <x:v>718</x:v>
      </x:c>
    </x:row>
    <x:row r="29" spans="1:7" s="3" customFormat="1">
      <x:c r="B29" s="3" t="s">
        <x:v>690</x:v>
      </x:c>
      <x:c r="C29" s="6" t="s">
        <x:v>719</x:v>
      </x:c>
    </x:row>
    <x:row r="30" spans="1:7" s="1" customFormat="1">
      <x:c r="B30" s="1" t="s">
        <x:v>691</x:v>
      </x:c>
      <x:c r="C30" s="8" t="s">
        <x:v>720</x:v>
      </x:c>
    </x:row>
    <x:row r="31" spans="1:7" s="4" customFormat="1">
      <x:c r="B31" s="4" t="s">
        <x:v>692</x:v>
      </x:c>
    </x:row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</x:sheetData>
  <x:hyperlinks>
    <x:hyperlink ref="C2" r:id="rId468" tooltip="Send a mail to info@designhubmalta.com.mt"/>
    <x:hyperlink ref="C3" r:id="rId469" tooltip="Send a mail to info@soll.mt"/>
    <x:hyperlink ref="C4" r:id="rId470" tooltip="Send a mail to info@rabatmarbles.com"/>
    <x:hyperlink ref="C5" r:id="rId471" tooltip="Send a mail to info@lawrencefenech.com"/>
    <x:hyperlink ref="C6" r:id="rId472" tooltip="Send a mail to info@pvc.com.mt"/>
    <x:hyperlink ref="C7" r:id="rId473" tooltip="Send a mail to info@finestralmalta.com"/>
    <x:hyperlink ref="C8" r:id="rId474" tooltip="Send a mail to bmsltdmalta@gmail.com"/>
    <x:hyperlink ref="C9" r:id="rId475" tooltip="Send a mail to info@grahamaluminium.com"/>
    <x:hyperlink ref="C10" r:id="rId476" tooltip="Send a mail to info@melibugeja.com.mt"/>
    <x:hyperlink ref="C11" r:id="rId477" tooltip="Send a mail to info@windowworldinternational.net"/>
    <x:hyperlink ref="C12" r:id="rId478" tooltip="Send a mail to wilgastores@gmail.com"/>
    <x:hyperlink ref="C13" r:id="rId479" tooltip="Send a mail to info@nicholas.mt"/>
    <x:hyperlink ref="C14" r:id="rId480" tooltip="Send a mail to info@dinglialuminium.com"/>
    <x:hyperlink ref="C15" r:id="rId481" tooltip="Send a mail to schembrimarbles@yahoo.com"/>
    <x:hyperlink ref="C16" r:id="rId482" tooltip="Send a mail to info@attardbros.com"/>
    <x:hyperlink ref="C17" r:id="rId483" tooltip="Send a mail to info@rlautier.com"/>
    <x:hyperlink ref="C18" r:id="rId484" tooltip="Send a mail to sales@floorsofstone.com.mt"/>
    <x:hyperlink ref="C19" r:id="rId485" tooltip="Send a mail to info@desanamarbles.com"/>
    <x:hyperlink ref="C20" r:id="rId486" tooltip="Send a mail to info@cinimarbles.com"/>
    <x:hyperlink ref="C21" r:id="rId487" tooltip="Send a mail to sales@seamless.com.mt"/>
    <x:hyperlink ref="C22" r:id="rId488" tooltip="Send a mail to info@amaasurfaces.com"/>
    <x:hyperlink ref="C23" r:id="rId489" tooltip="Send a mail to portellirennie@hotmail.com"/>
    <x:hyperlink ref="C24" r:id="rId490" tooltip="Send a mail to tilesandmarbleinfo@gmail.com"/>
    <x:hyperlink ref="C25" r:id="rId491" tooltip="Send a mail to info@halmannvella.com"/>
    <x:hyperlink ref="C27" r:id="rId492" tooltip="Send a mail to info@qualitystonemalta.com"/>
    <x:hyperlink ref="C28" r:id="rId493" tooltip="Send a mail to sales@marbleinnovation.com"/>
    <x:hyperlink ref="C29" r:id="rId494" tooltip="Send a mail to frankvassallo22@gmail.com"/>
    <x:hyperlink ref="C30" r:id="rId495" tooltip="Send a mail to keithbugeja@hotmail.com"/>
    <x:hyperlink ref="E2" r:id="rId496" tooltip="Search 59 triq Domenico Cachia ,Birkirkara BKR 4019 ,MALTA on Google Maps"/>
    <x:hyperlink ref="E3" r:id="rId497" tooltip="Search triq il-Kalkara , Marsa , Malta on Google Maps"/>
    <x:hyperlink ref="E4" r:id="rId498" tooltip="Search triq-il-Kbira , Rabat ,Malta on Google Maps"/>
    <x:hyperlink ref="E5" r:id="rId499" tooltip="Search triq il-Labour ,Birkirkara, Malta on Google Maps"/>
    <x:hyperlink ref="E6" r:id="rId500" tooltip="Search triq il-Ferrovija, Ħamrun, Malta on Google Maps"/>
    <x:hyperlink ref="E7" r:id="rId501" tooltip="Search Triq il-Kostituzzjoni, Mosta, Malta on Google Maps"/>
    <x:hyperlink ref="E8" r:id="rId502" tooltip="Search Mdina Road, Qormi QRM 9011, Malta on Google Maps"/>
    <x:hyperlink ref="E9" r:id="rId503" tooltip="Search Mdina Road, Qormi QRM 9011, Malta on Google Maps"/>
    <x:hyperlink ref="E10" r:id="rId504" tooltip="Search Triq il-Mithna,Qormi on Google Maps"/>
    <x:hyperlink ref="E11" r:id="rId505" tooltip="Search Zircon Suites, Triq ta' Zejfa, Mosta, Malta on Google Maps"/>
    <x:hyperlink ref="E12" r:id="rId506" tooltip="Search Wilga Street, Luqa LQA 1530, Malta on Google Maps"/>
    <x:hyperlink ref="E13" r:id="rId507" tooltip="Search 33,Angelo A,Melilli ,HAz Zebugg ZBG 2802 on Google Maps"/>
    <x:hyperlink ref="E14" r:id="rId508" tooltip="Search triq Anthony John Coleiro , hAL Qormi on Google Maps"/>
    <x:hyperlink ref="E15" r:id="rId509" tooltip="Search Triq Dwardu Buttigieg ,Hal Ghaxaq,Malta  GXQ 1253 on Google Maps"/>
    <x:hyperlink ref="F2" r:id="rId510" tooltip="Visit designhubstores.com"/>
    <x:hyperlink ref="F3" r:id="rId511" tooltip="Visit soll.mt"/>
    <x:hyperlink ref="F4" r:id="rId512" tooltip="Visit rabatmarbles.com"/>
    <x:hyperlink ref="F5" r:id="rId513" tooltip="Visit lawrencefenech.com"/>
    <x:hyperlink ref="F6" r:id="rId514" tooltip="Visit pvc.com.mt"/>
    <x:hyperlink ref="F7" r:id="rId515" tooltip="Visit finestralmalta.com"/>
    <x:hyperlink ref="F8" r:id="rId516" tooltip="Visit bms-malta.com"/>
    <x:hyperlink ref="F9" r:id="rId517" tooltip="Visit grahamaluminium.com"/>
    <x:hyperlink ref="F10" r:id="rId518" tooltip="Visit meliobugeja.com.mt"/>
    <x:hyperlink ref="F11" r:id="rId519" tooltip="Visit windowworld.eu"/>
    <x:hyperlink ref="F12" r:id="rId520" tooltip="Visit wilgastores.com"/>
    <x:hyperlink ref="F13" r:id="rId521" tooltip="Visit nicholas.mt"/>
    <x:hyperlink ref="F14" r:id="rId522" tooltip="Visit dinglialuminium.com"/>
    <x:hyperlink ref="F15" r:id="rId523" tooltip="Visit findit.com.m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46"/>
  <x:sheetViews>
    <x:sheetView workbookViewId="0"/>
  </x:sheetViews>
  <x:sheetFormatPr defaultRowHeight="15"/>
  <x:cols>
    <x:col min="1" max="1" width="14.139196" style="0" customWidth="1"/>
    <x:col min="2" max="2" width="34.853482" style="0" customWidth="1"/>
    <x:col min="3" max="3" width="34.139196" style="0" customWidth="1"/>
    <x:col min="4" max="4" width="18.710625" style="0" customWidth="1"/>
    <x:col min="5" max="5" width="91.139196" style="0" customWidth="1"/>
    <x:col min="6" max="6" width="114.996339" style="0" customWidth="1"/>
    <x:col min="7" max="7" width="16.567768" style="0" customWidth="1"/>
    <x:col min="8" max="8" width="14.139196" style="0" customWidth="1"/>
    <x:col min="9" max="9" width="10.139196" style="0" customWidth="1"/>
    <x:col min="10" max="10" width="14.996339" style="0" customWidth="1"/>
    <x:col min="11" max="11" width="9.424911" style="0" customWidth="1"/>
    <x:col min="12" max="12" width="20.996339" style="0" customWidth="1"/>
  </x:cols>
  <x:sheetData>
    <x:row r="1" spans="1:12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1948</x:v>
      </x:c>
      <x:c r="H1" s="2" t="s">
        <x:v>92</x:v>
      </x:c>
      <x:c r="I1" s="2" t="s">
        <x:v>1950</x:v>
      </x:c>
      <x:c r="J1" s="2" t="s">
        <x:v>1951</x:v>
      </x:c>
      <x:c r="K1" s="2" t="s">
        <x:v>585</x:v>
      </x:c>
      <x:c r="L1" s="5">
        <x:f>HYPERLINK("#'Summary List'!A16", "Back to Summary")</x:f>
      </x:c>
    </x:row>
    <x:row r="2" spans="1:12" s="3" customFormat="1">
      <x:c r="A2" s="3" t="s">
        <x:v>750</x:v>
      </x:c>
      <x:c r="B2" s="3" t="s">
        <x:v>751</x:v>
      </x:c>
      <x:c r="C2" s="6" t="s">
        <x:v>780</x:v>
      </x:c>
      <x:c r="D2" s="7">
        <x:f>CONCATENATE(HYPERLINK("CALLTO:%2B356%202747%207647", "+356 2747 7647"))</x:f>
      </x:c>
      <x:c r="E2" s="6" t="s">
        <x:v>813</x:v>
      </x:c>
      <x:c r="F2" s="6" t="s">
        <x:v>5245</x:v>
      </x:c>
      <x:c r="G2" s="3" t="s">
        <x:v>547</x:v>
      </x:c>
      <x:c r="H2" s="3" t="s">
        <x:v>547</x:v>
      </x:c>
      <x:c r="I2" s="3" t="s">
        <x:v>547</x:v>
      </x:c>
      <x:c r="J2" s="3" t="s">
        <x:v>548</x:v>
      </x:c>
      <x:c r="K2" s="3" t="s">
        <x:v>547</x:v>
      </x:c>
    </x:row>
    <x:row r="3" spans="1:12" s="1" customFormat="1">
      <x:c r="A3" s="1" t="s">
        <x:v>750</x:v>
      </x:c>
      <x:c r="B3" s="1" t="s">
        <x:v>752</x:v>
      </x:c>
      <x:c r="C3" s="8" t="s">
        <x:v>782</x:v>
      </x:c>
      <x:c r="D3" s="9">
        <x:f>CONCATENATE(HYPERLINK("CALLTO:%2B356%207972%209967", "+356 7972 9967"))</x:f>
      </x:c>
      <x:c r="E3" s="8" t="s">
        <x:v>814</x:v>
      </x:c>
      <x:c r="F3" s="8" t="s">
        <x:v>827</x:v>
      </x:c>
      <x:c r="G3" s="1" t="s">
        <x:v>548</x:v>
      </x:c>
      <x:c r="H3" s="1" t="s">
        <x:v>547</x:v>
      </x:c>
      <x:c r="I3" s="1" t="s">
        <x:v>547</x:v>
      </x:c>
      <x:c r="J3" s="1" t="s">
        <x:v>547</x:v>
      </x:c>
      <x:c r="K3" s="1" t="s">
        <x:v>548</x:v>
      </x:c>
    </x:row>
    <x:row r="4" spans="1:12" s="4" customFormat="1">
      <x:c r="A4" s="4" t="s">
        <x:v>750</x:v>
      </x:c>
      <x:c r="B4" s="4" t="s">
        <x:v>753</x:v>
      </x:c>
      <x:c r="C4" s="10" t="s">
        <x:v>783</x:v>
      </x:c>
      <x:c r="D4" s="11">
        <x:f>CONCATENATE(HYPERLINK("CALLTO:%2B356%209987%209221", "+356 9987 9221"))</x:f>
      </x:c>
      <x:c r="E4" s="10" t="s">
        <x:v>815</x:v>
      </x:c>
      <x:c r="F4" s="10" t="s">
        <x:v>828</x:v>
      </x:c>
      <x:c r="G4" s="4" t="s">
        <x:v>548</x:v>
      </x:c>
      <x:c r="H4" s="4" t="s">
        <x:v>547</x:v>
      </x:c>
      <x:c r="I4" s="4" t="s">
        <x:v>547</x:v>
      </x:c>
      <x:c r="J4" s="4" t="s">
        <x:v>547</x:v>
      </x:c>
      <x:c r="K4" s="4" t="s">
        <x:v>548</x:v>
      </x:c>
    </x:row>
    <x:row r="5" spans="1:12" s="3" customFormat="1">
      <x:c r="A5" s="3" t="s">
        <x:v>750</x:v>
      </x:c>
      <x:c r="B5" s="3" t="s">
        <x:v>754</x:v>
      </x:c>
      <x:c r="C5" s="6" t="s">
        <x:v>784</x:v>
      </x:c>
      <x:c r="D5" s="7">
        <x:f>CONCATENATE(HYPERLINK("CALLTO:%2B356%209944%205181", "+356 9944 5181"))</x:f>
      </x:c>
      <x:c r="E5" s="6" t="s">
        <x:v>816</x:v>
      </x:c>
      <x:c r="F5" s="6" t="s">
        <x:v>829</x:v>
      </x:c>
      <x:c r="G5" s="3" t="s">
        <x:v>548</x:v>
      </x:c>
      <x:c r="H5" s="3" t="s">
        <x:v>547</x:v>
      </x:c>
      <x:c r="I5" s="3" t="s">
        <x:v>547</x:v>
      </x:c>
      <x:c r="J5" s="3" t="s">
        <x:v>547</x:v>
      </x:c>
      <x:c r="K5" s="3" t="s">
        <x:v>548</x:v>
      </x:c>
    </x:row>
    <x:row r="6" spans="1:12" s="1" customFormat="1">
      <x:c r="A6" s="1" t="s">
        <x:v>750</x:v>
      </x:c>
      <x:c r="B6" s="1" t="s">
        <x:v>755</x:v>
      </x:c>
      <x:c r="C6" s="8" t="s">
        <x:v>785</x:v>
      </x:c>
      <x:c r="D6" s="9">
        <x:f>CONCATENATE(HYPERLINK("CALLTO:%2B356%207777%205495", "+356 7777 5495"))</x:f>
      </x:c>
      <x:c r="E6" s="8" t="s">
        <x:v>817</x:v>
      </x:c>
      <x:c r="F6" s="8" t="s">
        <x:v>830</x:v>
      </x:c>
      <x:c r="G6" s="1" t="s">
        <x:v>548</x:v>
      </x:c>
      <x:c r="H6" s="1" t="s">
        <x:v>547</x:v>
      </x:c>
      <x:c r="I6" s="1" t="s">
        <x:v>547</x:v>
      </x:c>
      <x:c r="J6" s="1" t="s">
        <x:v>547</x:v>
      </x:c>
      <x:c r="K6" s="1" t="s">
        <x:v>548</x:v>
      </x:c>
    </x:row>
    <x:row r="7" spans="1:12" s="4" customFormat="1">
      <x:c r="A7" s="4" t="s">
        <x:v>750</x:v>
      </x:c>
      <x:c r="B7" s="4" t="s">
        <x:v>756</x:v>
      </x:c>
      <x:c r="C7" s="10" t="s">
        <x:v>786</x:v>
      </x:c>
      <x:c r="D7" s="11">
        <x:f>CONCATENATE(HYPERLINK("CALLTO:%2B356%209949%205864", "+356 9949 5864"))</x:f>
      </x:c>
      <x:c r="E7" s="10" t="s">
        <x:v>818</x:v>
      </x:c>
      <x:c r="F7" s="10" t="s">
        <x:v>5246</x:v>
      </x:c>
      <x:c r="G7" s="4" t="s">
        <x:v>548</x:v>
      </x:c>
      <x:c r="H7" s="4" t="s">
        <x:v>547</x:v>
      </x:c>
      <x:c r="I7" s="4" t="s">
        <x:v>547</x:v>
      </x:c>
      <x:c r="J7" s="4" t="s">
        <x:v>547</x:v>
      </x:c>
      <x:c r="K7" s="4" t="s">
        <x:v>548</x:v>
      </x:c>
    </x:row>
    <x:row r="8" spans="1:12" s="3" customFormat="1">
      <x:c r="A8" s="3" t="s">
        <x:v>750</x:v>
      </x:c>
      <x:c r="B8" s="3" t="s">
        <x:v>757</x:v>
      </x:c>
      <x:c r="C8" s="6" t="s">
        <x:v>787</x:v>
      </x:c>
      <x:c r="D8" s="7">
        <x:f>CONCATENATE(HYPERLINK("CALLTO:%2B356%209947%204204", "+356 9947 4204"))</x:f>
      </x:c>
      <x:c r="E8" s="6" t="s">
        <x:v>819</x:v>
      </x:c>
      <x:c r="F8" s="6" t="s">
        <x:v>831</x:v>
      </x:c>
      <x:c r="G8" s="3" t="s">
        <x:v>548</x:v>
      </x:c>
      <x:c r="H8" s="3" t="s">
        <x:v>547</x:v>
      </x:c>
      <x:c r="I8" s="3" t="s">
        <x:v>547</x:v>
      </x:c>
      <x:c r="J8" s="3" t="s">
        <x:v>548</x:v>
      </x:c>
      <x:c r="K8" s="3" t="s">
        <x:v>547</x:v>
      </x:c>
    </x:row>
    <x:row r="9" spans="1:12" s="1" customFormat="1">
      <x:c r="A9" s="1" t="s">
        <x:v>750</x:v>
      </x:c>
      <x:c r="B9" s="1" t="s">
        <x:v>758</x:v>
      </x:c>
      <x:c r="C9" s="8" t="s">
        <x:v>788</x:v>
      </x:c>
      <x:c r="D9" s="9">
        <x:f>CONCATENATE(HYPERLINK("CALLTO:%2B356%202149%201111", "+356 2149 1111"))</x:f>
      </x:c>
      <x:c r="E9" s="8" t="s">
        <x:v>820</x:v>
      </x:c>
      <x:c r="F9" s="8" t="s">
        <x:v>832</x:v>
      </x:c>
      <x:c r="G9" s="1" t="s">
        <x:v>547</x:v>
      </x:c>
      <x:c r="H9" s="1" t="s">
        <x:v>547</x:v>
      </x:c>
      <x:c r="I9" s="1" t="s">
        <x:v>547</x:v>
      </x:c>
      <x:c r="J9" s="1" t="s">
        <x:v>547</x:v>
      </x:c>
      <x:c r="K9" s="1" t="s">
        <x:v>548</x:v>
      </x:c>
    </x:row>
    <x:row r="10" spans="1:12" s="4" customFormat="1">
      <x:c r="A10" s="4" t="s">
        <x:v>750</x:v>
      </x:c>
      <x:c r="B10" s="4" t="s">
        <x:v>759</x:v>
      </x:c>
      <x:c r="C10" s="10" t="s">
        <x:v>789</x:v>
      </x:c>
      <x:c r="D10" s="11">
        <x:f>CONCATENATE(HYPERLINK("CALLTO:%2B356%209944%205527", "+356 9944 5527"))</x:f>
      </x:c>
      <x:c r="E10" s="10" t="s">
        <x:v>821</x:v>
      </x:c>
      <x:c r="F10" s="10" t="s">
        <x:v>833</x:v>
      </x:c>
      <x:c r="G10" s="4" t="s">
        <x:v>548</x:v>
      </x:c>
      <x:c r="H10" s="4" t="s">
        <x:v>547</x:v>
      </x:c>
      <x:c r="I10" s="4" t="s">
        <x:v>547</x:v>
      </x:c>
      <x:c r="J10" s="4" t="s">
        <x:v>548</x:v>
      </x:c>
      <x:c r="K10" s="4" t="s">
        <x:v>547</x:v>
      </x:c>
    </x:row>
    <x:row r="11" spans="1:12" s="3" customFormat="1">
      <x:c r="A11" s="3" t="s">
        <x:v>750</x:v>
      </x:c>
      <x:c r="B11" s="3" t="s">
        <x:v>760</x:v>
      </x:c>
      <x:c r="C11" s="6" t="s">
        <x:v>790</x:v>
      </x:c>
      <x:c r="D11" s="7">
        <x:f>CONCATENATE(HYPERLINK("CALLTO:%2B356%202144%205152", "+356 2144 5152"))</x:f>
      </x:c>
      <x:c r="E11" s="6" t="s">
        <x:v>822</x:v>
      </x:c>
      <x:c r="F11" s="6" t="s">
        <x:v>834</x:v>
      </x:c>
      <x:c r="G11" s="3" t="s">
        <x:v>547</x:v>
      </x:c>
      <x:c r="H11" s="3" t="s">
        <x:v>547</x:v>
      </x:c>
      <x:c r="I11" s="3" t="s">
        <x:v>547</x:v>
      </x:c>
      <x:c r="J11" s="3" t="s">
        <x:v>547</x:v>
      </x:c>
      <x:c r="K11" s="3" t="s">
        <x:v>548</x:v>
      </x:c>
    </x:row>
    <x:row r="12" spans="1:12" s="1" customFormat="1">
      <x:c r="A12" s="1" t="s">
        <x:v>750</x:v>
      </x:c>
      <x:c r="B12" s="1" t="s">
        <x:v>762</x:v>
      </x:c>
      <x:c r="C12" s="8" t="s">
        <x:v>791</x:v>
      </x:c>
      <x:c r="D12" s="9">
        <x:f>CONCATENATE(HYPERLINK("CALLTO:%2B356%207925%206240", "+356 7925 6240"))</x:f>
      </x:c>
      <x:c r="E12" s="8" t="s">
        <x:v>823</x:v>
      </x:c>
      <x:c r="F12" s="8" t="s">
        <x:v>835</x:v>
      </x:c>
      <x:c r="G12" s="1" t="s">
        <x:v>547</x:v>
      </x:c>
      <x:c r="H12" s="1" t="s">
        <x:v>547</x:v>
      </x:c>
      <x:c r="I12" s="1" t="s">
        <x:v>547</x:v>
      </x:c>
      <x:c r="J12" s="1" t="s">
        <x:v>547</x:v>
      </x:c>
      <x:c r="K12" s="1" t="s">
        <x:v>548</x:v>
      </x:c>
    </x:row>
    <x:row r="13" spans="1:12" s="4" customFormat="1">
      <x:c r="A13" s="4" t="s">
        <x:v>750</x:v>
      </x:c>
      <x:c r="B13" s="4" t="s">
        <x:v>761</x:v>
      </x:c>
      <x:c r="C13" s="10" t="s">
        <x:v>792</x:v>
      </x:c>
      <x:c r="D13" s="11">
        <x:f>CONCATENATE(HYPERLINK("CALLTO:%2B356%207700%203333", "+356 7700 3333"))</x:f>
      </x:c>
      <x:c r="E13" s="10" t="s">
        <x:v>824</x:v>
      </x:c>
      <x:c r="F13" s="10" t="s">
        <x:v>836</x:v>
      </x:c>
      <x:c r="G13" s="4" t="s">
        <x:v>548</x:v>
      </x:c>
      <x:c r="H13" s="4" t="s">
        <x:v>547</x:v>
      </x:c>
      <x:c r="I13" s="4" t="s">
        <x:v>547</x:v>
      </x:c>
      <x:c r="J13" s="4" t="s">
        <x:v>548</x:v>
      </x:c>
      <x:c r="K13" s="4" t="s">
        <x:v>547</x:v>
      </x:c>
    </x:row>
    <x:row r="14" spans="1:12" s="3" customFormat="1">
      <x:c r="A14" s="3" t="s">
        <x:v>750</x:v>
      </x:c>
      <x:c r="B14" s="3" t="s">
        <x:v>763</x:v>
      </x:c>
      <x:c r="C14" s="6" t="s">
        <x:v>793</x:v>
      </x:c>
      <x:c r="D14" s="7">
        <x:f>CONCATENATE(HYPERLINK("CALLTO:%2B356%207777%201522", "+356 7777 1522"))</x:f>
      </x:c>
      <x:c r="E14" s="6" t="s">
        <x:v>825</x:v>
      </x:c>
      <x:c r="F14" s="6" t="s">
        <x:v>837</x:v>
      </x:c>
      <x:c r="G14" s="3" t="s">
        <x:v>547</x:v>
      </x:c>
      <x:c r="H14" s="3" t="s">
        <x:v>547</x:v>
      </x:c>
      <x:c r="I14" s="3" t="s">
        <x:v>547</x:v>
      </x:c>
      <x:c r="J14" s="3" t="s">
        <x:v>547</x:v>
      </x:c>
      <x:c r="K14" s="3" t="s">
        <x:v>548</x:v>
      </x:c>
    </x:row>
    <x:row r="15" spans="1:12" s="1" customFormat="1">
      <x:c r="A15" s="1" t="s">
        <x:v>750</x:v>
      </x:c>
      <x:c r="B15" s="1" t="s">
        <x:v>765</x:v>
      </x:c>
      <x:c r="C15" s="8" t="s">
        <x:v>794</x:v>
      </x:c>
      <x:c r="D15" s="9">
        <x:f>CONCATENATE(HYPERLINK("CALLTO:%2B356%209949%202745", "+356 9949 2745"))</x:f>
      </x:c>
      <x:c r="E15" s="8" t="s">
        <x:v>826</x:v>
      </x:c>
      <x:c r="F15" s="8" t="s">
        <x:v>838</x:v>
      </x:c>
      <x:c r="G15" s="1" t="s">
        <x:v>548</x:v>
      </x:c>
      <x:c r="H15" s="1" t="s">
        <x:v>547</x:v>
      </x:c>
      <x:c r="I15" s="1" t="s">
        <x:v>547</x:v>
      </x:c>
      <x:c r="J15" s="1" t="s">
        <x:v>547</x:v>
      </x:c>
      <x:c r="K15" s="1" t="s">
        <x:v>548</x:v>
      </x:c>
    </x:row>
    <x:row r="16" spans="1:12" s="4" customFormat="1">
      <x:c r="A16" s="4" t="s">
        <x:v>750</x:v>
      </x:c>
      <x:c r="B16" s="4" t="s">
        <x:v>764</x:v>
      </x:c>
      <x:c r="C16" s="10" t="s">
        <x:v>795</x:v>
      </x:c>
      <x:c r="D16" s="11">
        <x:f>CONCATENATE(HYPERLINK("CALLTO:%2B356%207947%207777", "+356 7947 7777"))</x:f>
      </x:c>
      <x:c r="G16" s="4" t="s">
        <x:v>548</x:v>
      </x:c>
      <x:c r="H16" s="4" t="s">
        <x:v>547</x:v>
      </x:c>
      <x:c r="I16" s="4" t="s">
        <x:v>547</x:v>
      </x:c>
      <x:c r="J16" s="4" t="s">
        <x:v>547</x:v>
      </x:c>
      <x:c r="K16" s="4" t="s">
        <x:v>548</x:v>
      </x:c>
    </x:row>
    <x:row r="17" spans="1:12" s="3" customFormat="1">
      <x:c r="A17" s="3" t="s">
        <x:v>750</x:v>
      </x:c>
      <x:c r="B17" s="3" t="s">
        <x:v>766</x:v>
      </x:c>
      <x:c r="C17" s="6" t="s">
        <x:v>796</x:v>
      </x:c>
      <x:c r="D17" s="7">
        <x:f>CONCATENATE(HYPERLINK("CALLTO:%2B356%207900%203897", "+356 7900 3897"))</x:f>
      </x:c>
      <x:c r="G17" s="3" t="s">
        <x:v>548</x:v>
      </x:c>
      <x:c r="H17" s="3" t="s">
        <x:v>547</x:v>
      </x:c>
      <x:c r="I17" s="3" t="s">
        <x:v>547</x:v>
      </x:c>
      <x:c r="J17" s="3" t="s">
        <x:v>547</x:v>
      </x:c>
      <x:c r="K17" s="3" t="s">
        <x:v>548</x:v>
      </x:c>
    </x:row>
    <x:row r="18" spans="1:12" s="1" customFormat="1">
      <x:c r="A18" s="1" t="s">
        <x:v>750</x:v>
      </x:c>
      <x:c r="B18" s="1" t="s">
        <x:v>767</x:v>
      </x:c>
      <x:c r="C18" s="8" t="s">
        <x:v>797</x:v>
      </x:c>
      <x:c r="D18" s="9">
        <x:f>CONCATENATE(HYPERLINK("CALLTO:%2B356%209949%208925", "+356 9949 8925"))</x:f>
      </x:c>
      <x:c r="G18" s="1" t="s">
        <x:v>548</x:v>
      </x:c>
      <x:c r="H18" s="1" t="s">
        <x:v>547</x:v>
      </x:c>
      <x:c r="I18" s="1" t="s">
        <x:v>547</x:v>
      </x:c>
      <x:c r="J18" s="1" t="s">
        <x:v>548</x:v>
      </x:c>
      <x:c r="K18" s="1" t="s">
        <x:v>547</x:v>
      </x:c>
    </x:row>
    <x:row r="19" spans="1:12" s="4" customFormat="1">
      <x:c r="A19" s="4" t="s">
        <x:v>750</x:v>
      </x:c>
      <x:c r="B19" s="4" t="s">
        <x:v>768</x:v>
      </x:c>
      <x:c r="C19" s="10" t="s">
        <x:v>798</x:v>
      </x:c>
      <x:c r="G19" s="4" t="s">
        <x:v>547</x:v>
      </x:c>
      <x:c r="H19" s="4" t="s">
        <x:v>547</x:v>
      </x:c>
      <x:c r="I19" s="4" t="s">
        <x:v>547</x:v>
      </x:c>
      <x:c r="J19" s="4" t="s">
        <x:v>548</x:v>
      </x:c>
      <x:c r="K19" s="4" t="s">
        <x:v>547</x:v>
      </x:c>
    </x:row>
    <x:row r="20" spans="1:12" s="3" customFormat="1">
      <x:c r="A20" s="3" t="s">
        <x:v>750</x:v>
      </x:c>
      <x:c r="B20" s="3" t="s">
        <x:v>769</x:v>
      </x:c>
      <x:c r="C20" s="6" t="s">
        <x:v>799</x:v>
      </x:c>
      <x:c r="G20" s="3" t="s">
        <x:v>547</x:v>
      </x:c>
      <x:c r="H20" s="3" t="s">
        <x:v>547</x:v>
      </x:c>
      <x:c r="I20" s="3" t="s">
        <x:v>547</x:v>
      </x:c>
      <x:c r="J20" s="3" t="s">
        <x:v>547</x:v>
      </x:c>
      <x:c r="K20" s="3" t="s">
        <x:v>547</x:v>
      </x:c>
    </x:row>
    <x:row r="21" spans="1:12" s="1" customFormat="1">
      <x:c r="A21" s="1" t="s">
        <x:v>750</x:v>
      </x:c>
      <x:c r="B21" s="1" t="s">
        <x:v>770</x:v>
      </x:c>
      <x:c r="C21" s="8" t="s">
        <x:v>800</x:v>
      </x:c>
      <x:c r="G21" s="1" t="s">
        <x:v>547</x:v>
      </x:c>
      <x:c r="H21" s="1" t="s">
        <x:v>547</x:v>
      </x:c>
      <x:c r="I21" s="1" t="s">
        <x:v>547</x:v>
      </x:c>
      <x:c r="J21" s="1" t="s">
        <x:v>547</x:v>
      </x:c>
      <x:c r="K21" s="1" t="s">
        <x:v>548</x:v>
      </x:c>
    </x:row>
    <x:row r="22" spans="1:12" s="4" customFormat="1">
      <x:c r="A22" s="4" t="s">
        <x:v>750</x:v>
      </x:c>
      <x:c r="B22" s="4" t="s">
        <x:v>771</x:v>
      </x:c>
      <x:c r="C22" s="10" t="s">
        <x:v>801</x:v>
      </x:c>
      <x:c r="G22" s="4" t="s">
        <x:v>548</x:v>
      </x:c>
      <x:c r="H22" s="4" t="s">
        <x:v>547</x:v>
      </x:c>
      <x:c r="I22" s="4" t="s">
        <x:v>547</x:v>
      </x:c>
      <x:c r="J22" s="4" t="s">
        <x:v>547</x:v>
      </x:c>
      <x:c r="K22" s="4" t="s">
        <x:v>548</x:v>
      </x:c>
    </x:row>
    <x:row r="23" spans="1:12" s="3" customFormat="1">
      <x:c r="A23" s="3" t="s">
        <x:v>750</x:v>
      </x:c>
      <x:c r="B23" s="3" t="s">
        <x:v>772</x:v>
      </x:c>
      <x:c r="C23" s="6" t="s">
        <x:v>802</x:v>
      </x:c>
      <x:c r="G23" s="3" t="s">
        <x:v>548</x:v>
      </x:c>
      <x:c r="H23" s="3" t="s">
        <x:v>547</x:v>
      </x:c>
      <x:c r="I23" s="3" t="s">
        <x:v>547</x:v>
      </x:c>
      <x:c r="J23" s="3" t="s">
        <x:v>547</x:v>
      </x:c>
      <x:c r="K23" s="3" t="s">
        <x:v>548</x:v>
      </x:c>
    </x:row>
    <x:row r="24" spans="1:12" s="1" customFormat="1">
      <x:c r="A24" s="1" t="s">
        <x:v>750</x:v>
      </x:c>
      <x:c r="B24" s="1" t="s">
        <x:v>773</x:v>
      </x:c>
      <x:c r="C24" s="8" t="s">
        <x:v>803</x:v>
      </x:c>
      <x:c r="G24" s="1" t="s">
        <x:v>548</x:v>
      </x:c>
      <x:c r="H24" s="1" t="s">
        <x:v>547</x:v>
      </x:c>
      <x:c r="I24" s="1" t="s">
        <x:v>547</x:v>
      </x:c>
      <x:c r="J24" s="1" t="s">
        <x:v>547</x:v>
      </x:c>
      <x:c r="K24" s="1" t="s">
        <x:v>548</x:v>
      </x:c>
    </x:row>
    <x:row r="25" spans="1:12" s="4" customFormat="1">
      <x:c r="A25" s="4" t="s">
        <x:v>750</x:v>
      </x:c>
      <x:c r="B25" s="4" t="s">
        <x:v>774</x:v>
      </x:c>
      <x:c r="C25" s="10" t="s">
        <x:v>804</x:v>
      </x:c>
      <x:c r="G25" s="4" t="s">
        <x:v>548</x:v>
      </x:c>
      <x:c r="H25" s="4" t="s">
        <x:v>547</x:v>
      </x:c>
      <x:c r="I25" s="4" t="s">
        <x:v>547</x:v>
      </x:c>
      <x:c r="J25" s="4" t="s">
        <x:v>547</x:v>
      </x:c>
      <x:c r="K25" s="4" t="s">
        <x:v>548</x:v>
      </x:c>
    </x:row>
    <x:row r="26" spans="1:12" s="3" customFormat="1">
      <x:c r="A26" s="3" t="s">
        <x:v>750</x:v>
      </x:c>
      <x:c r="B26" s="3" t="s">
        <x:v>775</x:v>
      </x:c>
      <x:c r="C26" s="6" t="s">
        <x:v>805</x:v>
      </x:c>
      <x:c r="G26" s="3" t="s">
        <x:v>548</x:v>
      </x:c>
      <x:c r="H26" s="3" t="s">
        <x:v>547</x:v>
      </x:c>
      <x:c r="I26" s="3" t="s">
        <x:v>547</x:v>
      </x:c>
      <x:c r="J26" s="3" t="s">
        <x:v>548</x:v>
      </x:c>
      <x:c r="K26" s="3" t="s">
        <x:v>547</x:v>
      </x:c>
    </x:row>
    <x:row r="27" spans="1:12" s="1" customFormat="1">
      <x:c r="A27" s="1" t="s">
        <x:v>750</x:v>
      </x:c>
      <x:c r="B27" s="1" t="s">
        <x:v>776</x:v>
      </x:c>
      <x:c r="C27" s="8" t="s">
        <x:v>806</x:v>
      </x:c>
      <x:c r="G27" s="1" t="s">
        <x:v>548</x:v>
      </x:c>
      <x:c r="H27" s="1" t="s">
        <x:v>547</x:v>
      </x:c>
      <x:c r="I27" s="1" t="s">
        <x:v>547</x:v>
      </x:c>
      <x:c r="J27" s="1" t="s">
        <x:v>547</x:v>
      </x:c>
      <x:c r="K27" s="1" t="s">
        <x:v>548</x:v>
      </x:c>
    </x:row>
    <x:row r="28" spans="1:12" s="4" customFormat="1">
      <x:c r="A28" s="4" t="s">
        <x:v>750</x:v>
      </x:c>
      <x:c r="B28" s="4" t="s">
        <x:v>777</x:v>
      </x:c>
      <x:c r="C28" s="10" t="s">
        <x:v>807</x:v>
      </x:c>
      <x:c r="G28" s="4" t="s">
        <x:v>548</x:v>
      </x:c>
      <x:c r="H28" s="4" t="s">
        <x:v>547</x:v>
      </x:c>
      <x:c r="I28" s="4" t="s">
        <x:v>547</x:v>
      </x:c>
      <x:c r="J28" s="4" t="s">
        <x:v>547</x:v>
      </x:c>
      <x:c r="K28" s="4" t="s">
        <x:v>548</x:v>
      </x:c>
    </x:row>
    <x:row r="29" spans="1:12" s="3" customFormat="1">
      <x:c r="A29" s="3" t="s">
        <x:v>750</x:v>
      </x:c>
      <x:c r="B29" s="3" t="s">
        <x:v>778</x:v>
      </x:c>
      <x:c r="C29" s="6" t="s">
        <x:v>808</x:v>
      </x:c>
      <x:c r="G29" s="3" t="s">
        <x:v>548</x:v>
      </x:c>
      <x:c r="H29" s="3" t="s">
        <x:v>547</x:v>
      </x:c>
      <x:c r="I29" s="3" t="s">
        <x:v>547</x:v>
      </x:c>
      <x:c r="J29" s="3" t="s">
        <x:v>547</x:v>
      </x:c>
      <x:c r="K29" s="3" t="s">
        <x:v>548</x:v>
      </x:c>
    </x:row>
    <x:row r="30" spans="1:12" s="1" customFormat="1">
      <x:c r="A30" s="1" t="s">
        <x:v>750</x:v>
      </x:c>
      <x:c r="B30" s="1" t="s">
        <x:v>779</x:v>
      </x:c>
      <x:c r="C30" s="8" t="s">
        <x:v>809</x:v>
      </x:c>
      <x:c r="G30" s="1" t="s">
        <x:v>548</x:v>
      </x:c>
      <x:c r="H30" s="1" t="s">
        <x:v>547</x:v>
      </x:c>
      <x:c r="I30" s="1" t="s">
        <x:v>547</x:v>
      </x:c>
      <x:c r="J30" s="1" t="s">
        <x:v>547</x:v>
      </x:c>
      <x:c r="K30" s="1" t="s">
        <x:v>548</x:v>
      </x:c>
    </x:row>
    <x:row r="31" spans="1:12" s="4" customFormat="1">
      <x:c r="A31" s="4" t="s">
        <x:v>750</x:v>
      </x:c>
      <x:c r="B31" s="4" t="s">
        <x:v>781</x:v>
      </x:c>
      <x:c r="C31" s="10" t="s">
        <x:v>810</x:v>
      </x:c>
      <x:c r="G31" s="4" t="s">
        <x:v>548</x:v>
      </x:c>
      <x:c r="H31" s="4" t="s">
        <x:v>547</x:v>
      </x:c>
      <x:c r="I31" s="4" t="s">
        <x:v>547</x:v>
      </x:c>
    </x:row>
    <x:row r="32" spans="1:12" s="3" customFormat="1">
      <x:c r="A32" s="3" t="s">
        <x:v>750</x:v>
      </x:c>
    </x:row>
    <x:row r="33" spans="1:12" s="1" customFormat="1"/>
    <x:row r="34" spans="1:12" s="4" customFormat="1"/>
    <x:row r="35" spans="1:12" s="3" customFormat="1"/>
    <x:row r="36" spans="1:12" s="1" customFormat="1"/>
    <x:row r="37" spans="1:12" s="4" customFormat="1"/>
    <x:row r="38" spans="1:12" s="3" customFormat="1"/>
    <x:row r="39" spans="1:12" s="1" customFormat="1"/>
    <x:row r="40" spans="1:12" s="4" customFormat="1"/>
    <x:row r="41" spans="1:12" s="3" customFormat="1"/>
    <x:row r="42" spans="1:12" s="1" customFormat="1"/>
    <x:row r="43" spans="1:12" s="4" customFormat="1"/>
    <x:row r="44" spans="1:12" s="3" customFormat="1"/>
    <x:row r="45" spans="1:12" s="1" customFormat="1"/>
    <x:row r="46" spans="1:12" s="4" customFormat="1"/>
    <x:row r="47" spans="1:12" s="3" customFormat="1"/>
    <x:row r="48" spans="1:12" s="1" customFormat="1"/>
    <x:row r="49" spans="1:12" s="4" customFormat="1"/>
    <x:row r="50" spans="1:12" s="3" customFormat="1"/>
    <x:row r="51" spans="1:12" s="1" customFormat="1"/>
    <x:row r="52" spans="1:12" s="4" customFormat="1"/>
    <x:row r="53" spans="1:12" s="3" customFormat="1"/>
    <x:row r="54" spans="1:12" s="1" customFormat="1"/>
    <x:row r="55" spans="1:12" s="4" customFormat="1"/>
    <x:row r="56" spans="1:12" s="3" customFormat="1"/>
    <x:row r="57" spans="1:12" s="1" customFormat="1"/>
    <x:row r="58" spans="1:12" s="4" customFormat="1"/>
    <x:row r="59" spans="1:12" s="3" customFormat="1"/>
    <x:row r="60" spans="1:12" s="1" customFormat="1"/>
    <x:row r="61" spans="1:12" s="4" customFormat="1"/>
    <x:row r="62" spans="1:12" s="3" customFormat="1"/>
    <x:row r="63" spans="1:12" s="1" customFormat="1"/>
    <x:row r="64" spans="1:12" s="4" customFormat="1"/>
    <x:row r="65" spans="1:12" s="3" customFormat="1"/>
    <x:row r="66" spans="1:12" s="1" customFormat="1"/>
    <x:row r="67" spans="1:12" s="4" customFormat="1"/>
    <x:row r="68" spans="1:12" s="3" customFormat="1"/>
    <x:row r="69" spans="1:12" s="1" customFormat="1"/>
    <x:row r="70" spans="1:12" s="4" customFormat="1"/>
    <x:row r="71" spans="1:12" s="3" customFormat="1"/>
    <x:row r="72" spans="1:12" s="1" customFormat="1"/>
    <x:row r="73" spans="1:12" s="4" customFormat="1"/>
    <x:row r="74" spans="1:12" s="3" customFormat="1"/>
    <x:row r="75" spans="1:12" s="1" customFormat="1"/>
    <x:row r="76" spans="1:12" s="4" customFormat="1"/>
    <x:row r="77" spans="1:12" s="3" customFormat="1"/>
    <x:row r="78" spans="1:12" s="1" customFormat="1"/>
    <x:row r="79" spans="1:12" s="4" customFormat="1"/>
    <x:row r="80" spans="1:12" s="3" customFormat="1"/>
    <x:row r="81" spans="1:12" s="1" customFormat="1"/>
    <x:row r="82" spans="1:12" s="4" customFormat="1"/>
    <x:row r="83" spans="1:12" s="3" customFormat="1"/>
    <x:row r="84" spans="1:12" s="1" customFormat="1"/>
    <x:row r="85" spans="1:12" s="4" customFormat="1"/>
    <x:row r="86" spans="1:12" s="3" customFormat="1"/>
    <x:row r="87" spans="1:12" s="1" customFormat="1"/>
    <x:row r="88" spans="1:12" s="4" customFormat="1"/>
    <x:row r="89" spans="1:12" s="3" customFormat="1"/>
    <x:row r="90" spans="1:12" s="1" customFormat="1"/>
    <x:row r="91" spans="1:12" s="4" customFormat="1"/>
    <x:row r="92" spans="1:12" s="3" customFormat="1"/>
    <x:row r="93" spans="1:12" s="1" customFormat="1"/>
    <x:row r="94" spans="1:12" s="4" customFormat="1"/>
    <x:row r="95" spans="1:12" s="3" customFormat="1"/>
    <x:row r="96" spans="1:12" s="1" customFormat="1"/>
    <x:row r="97" spans="1:12" s="4" customFormat="1"/>
    <x:row r="98" spans="1:12" s="3" customFormat="1"/>
    <x:row r="99" spans="1:12" s="1" customFormat="1"/>
    <x:row r="100" spans="1:12" s="4" customFormat="1"/>
    <x:row r="101" spans="1:12" s="3" customFormat="1"/>
    <x:row r="102" spans="1:12" s="1" customFormat="1"/>
    <x:row r="103" spans="1:12" s="4" customFormat="1"/>
    <x:row r="104" spans="1:12" s="3" customFormat="1"/>
    <x:row r="105" spans="1:12" s="1" customFormat="1"/>
    <x:row r="106" spans="1:12" s="4" customFormat="1"/>
    <x:row r="107" spans="1:12" s="3" customFormat="1"/>
    <x:row r="108" spans="1:12" s="1" customFormat="1"/>
    <x:row r="109" spans="1:12" s="4" customFormat="1"/>
    <x:row r="110" spans="1:12" s="3" customFormat="1"/>
    <x:row r="111" spans="1:12" s="1" customFormat="1"/>
    <x:row r="112" spans="1:12" s="4" customFormat="1"/>
    <x:row r="113" spans="1:12" s="3" customFormat="1"/>
    <x:row r="114" spans="1:12" s="1" customFormat="1"/>
    <x:row r="115" spans="1:12" s="4" customFormat="1"/>
    <x:row r="116" spans="1:12" s="3" customFormat="1"/>
    <x:row r="117" spans="1:12" s="1" customFormat="1"/>
    <x:row r="118" spans="1:12" s="4" customFormat="1"/>
    <x:row r="119" spans="1:12" s="3" customFormat="1"/>
    <x:row r="120" spans="1:12" s="1" customFormat="1"/>
    <x:row r="121" spans="1:12" s="4" customFormat="1"/>
    <x:row r="122" spans="1:12" s="3" customFormat="1"/>
    <x:row r="123" spans="1:12" s="1" customFormat="1"/>
    <x:row r="124" spans="1:12" s="4" customFormat="1"/>
    <x:row r="125" spans="1:12" s="3" customFormat="1"/>
    <x:row r="126" spans="1:12" s="1" customFormat="1"/>
    <x:row r="127" spans="1:12" s="4" customFormat="1"/>
    <x:row r="128" spans="1:12" s="3" customFormat="1"/>
    <x:row r="129" spans="1:12" s="1" customFormat="1"/>
    <x:row r="130" spans="1:12" s="4" customFormat="1"/>
    <x:row r="131" spans="1:12" s="3" customFormat="1"/>
    <x:row r="132" spans="1:12" s="1" customFormat="1"/>
    <x:row r="133" spans="1:12" s="4" customFormat="1"/>
    <x:row r="134" spans="1:12" s="3" customFormat="1"/>
    <x:row r="135" spans="1:12" s="1" customFormat="1"/>
    <x:row r="136" spans="1:12" s="4" customFormat="1"/>
    <x:row r="137" spans="1:12" s="3" customFormat="1"/>
    <x:row r="138" spans="1:12" s="1" customFormat="1"/>
    <x:row r="139" spans="1:12" s="4" customFormat="1"/>
    <x:row r="140" spans="1:12" s="3" customFormat="1"/>
    <x:row r="141" spans="1:12" s="1" customFormat="1"/>
    <x:row r="142" spans="1:12" s="4" customFormat="1"/>
    <x:row r="143" spans="1:12" s="3" customFormat="1"/>
    <x:row r="144" spans="1:12" s="1" customFormat="1"/>
    <x:row r="145" spans="1:12" s="4" customFormat="1"/>
    <x:row r="146" spans="1:12" s="3" customFormat="1"/>
    <x:row r="147" spans="1:12" s="1" customFormat="1"/>
    <x:row r="148" spans="1:12" s="4" customFormat="1"/>
    <x:row r="149" spans="1:12" s="3" customFormat="1"/>
    <x:row r="150" spans="1:12" s="1" customFormat="1"/>
    <x:row r="151" spans="1:12" s="4" customFormat="1"/>
    <x:row r="152" spans="1:12" s="3" customFormat="1"/>
    <x:row r="153" spans="1:12" s="1" customFormat="1"/>
    <x:row r="154" spans="1:12" s="4" customFormat="1"/>
    <x:row r="155" spans="1:12" s="3" customFormat="1"/>
    <x:row r="156" spans="1:12" s="1" customFormat="1"/>
    <x:row r="157" spans="1:12" s="4" customFormat="1"/>
    <x:row r="158" spans="1:12" s="3" customFormat="1"/>
    <x:row r="159" spans="1:12" s="1" customFormat="1"/>
    <x:row r="160" spans="1:12" s="4" customFormat="1"/>
    <x:row r="161" spans="1:12" s="3" customFormat="1"/>
    <x:row r="162" spans="1:12" s="1" customFormat="1"/>
    <x:row r="163" spans="1:12" s="4" customFormat="1"/>
    <x:row r="164" spans="1:12" s="3" customFormat="1"/>
    <x:row r="165" spans="1:12" s="1" customFormat="1"/>
    <x:row r="166" spans="1:12" s="4" customFormat="1"/>
    <x:row r="167" spans="1:12" s="3" customFormat="1"/>
    <x:row r="168" spans="1:12" s="1" customFormat="1"/>
    <x:row r="169" spans="1:12" s="4" customFormat="1"/>
    <x:row r="170" spans="1:12" s="3" customFormat="1"/>
    <x:row r="171" spans="1:12" s="1" customFormat="1"/>
    <x:row r="172" spans="1:12" s="4" customFormat="1"/>
    <x:row r="173" spans="1:12" s="3" customFormat="1"/>
    <x:row r="174" spans="1:12" s="1" customFormat="1"/>
    <x:row r="175" spans="1:12" s="4" customFormat="1"/>
    <x:row r="176" spans="1:12" s="3" customFormat="1"/>
    <x:row r="177" spans="1:12" s="1" customFormat="1"/>
    <x:row r="178" spans="1:12" s="4" customFormat="1"/>
    <x:row r="179" spans="1:12" s="3" customFormat="1"/>
    <x:row r="180" spans="1:12" s="1" customFormat="1"/>
    <x:row r="181" spans="1:12" s="4" customFormat="1"/>
    <x:row r="182" spans="1:12" s="3" customFormat="1"/>
    <x:row r="183" spans="1:12" s="1" customFormat="1"/>
    <x:row r="184" spans="1:12" s="4" customFormat="1"/>
    <x:row r="185" spans="1:12" s="3" customFormat="1"/>
    <x:row r="186" spans="1:12" s="1" customFormat="1"/>
    <x:row r="187" spans="1:12" s="4" customFormat="1"/>
    <x:row r="188" spans="1:12" s="3" customFormat="1"/>
    <x:row r="189" spans="1:12" s="1" customFormat="1"/>
    <x:row r="190" spans="1:12" s="4" customFormat="1"/>
    <x:row r="191" spans="1:12" s="3" customFormat="1"/>
    <x:row r="192" spans="1:12" s="1" customFormat="1"/>
    <x:row r="193" spans="1:12" s="4" customFormat="1"/>
    <x:row r="194" spans="1:12" s="3" customFormat="1"/>
    <x:row r="195" spans="1:12" s="1" customFormat="1"/>
    <x:row r="196" spans="1:12" s="4" customFormat="1"/>
    <x:row r="197" spans="1:12" s="3" customFormat="1"/>
    <x:row r="198" spans="1:12" s="1" customFormat="1"/>
    <x:row r="199" spans="1:12" s="4" customFormat="1"/>
    <x:row r="200" spans="1:12" s="3" customFormat="1"/>
    <x:row r="201" spans="1:12" s="1" customFormat="1"/>
    <x:row r="202" spans="1:12" s="4" customFormat="1"/>
    <x:row r="203" spans="1:12" s="3" customFormat="1"/>
    <x:row r="204" spans="1:12" s="1" customFormat="1"/>
    <x:row r="205" spans="1:12" s="4" customFormat="1"/>
    <x:row r="206" spans="1:12" s="3" customFormat="1"/>
    <x:row r="207" spans="1:12" s="1" customFormat="1"/>
    <x:row r="208" spans="1:12" s="4" customFormat="1"/>
    <x:row r="209" spans="1:12" s="3" customFormat="1"/>
    <x:row r="210" spans="1:12" s="1" customFormat="1"/>
    <x:row r="211" spans="1:12" s="4" customFormat="1"/>
    <x:row r="212" spans="1:12" s="3" customFormat="1"/>
    <x:row r="213" spans="1:12" s="1" customFormat="1"/>
    <x:row r="214" spans="1:12" s="4" customFormat="1"/>
    <x:row r="215" spans="1:12" s="3" customFormat="1"/>
    <x:row r="216" spans="1:12" s="1" customFormat="1"/>
    <x:row r="217" spans="1:12" s="4" customFormat="1"/>
    <x:row r="218" spans="1:12" s="3" customFormat="1"/>
    <x:row r="219" spans="1:12" s="1" customFormat="1"/>
    <x:row r="220" spans="1:12" s="4" customFormat="1"/>
    <x:row r="221" spans="1:12" s="3" customFormat="1"/>
    <x:row r="222" spans="1:12" s="1" customFormat="1"/>
    <x:row r="223" spans="1:12" s="4" customFormat="1"/>
    <x:row r="224" spans="1:12" s="3" customFormat="1"/>
    <x:row r="225" spans="1:12" s="1" customFormat="1"/>
    <x:row r="226" spans="1:12" s="4" customFormat="1"/>
    <x:row r="227" spans="1:12" s="3" customFormat="1"/>
    <x:row r="228" spans="1:12" s="1" customFormat="1"/>
    <x:row r="229" spans="1:12" s="4" customFormat="1"/>
    <x:row r="230" spans="1:12" s="3" customFormat="1"/>
    <x:row r="231" spans="1:12" s="1" customFormat="1"/>
    <x:row r="232" spans="1:12" s="4" customFormat="1"/>
    <x:row r="233" spans="1:12" s="3" customFormat="1"/>
    <x:row r="234" spans="1:12" s="1" customFormat="1"/>
    <x:row r="235" spans="1:12" s="4" customFormat="1"/>
    <x:row r="236" spans="1:12" s="3" customFormat="1"/>
    <x:row r="237" spans="1:12" s="1" customFormat="1"/>
    <x:row r="238" spans="1:12" s="4" customFormat="1"/>
    <x:row r="239" spans="1:12" s="3" customFormat="1"/>
    <x:row r="240" spans="1:12" s="1" customFormat="1"/>
    <x:row r="241" spans="1:12" s="4" customFormat="1"/>
    <x:row r="242" spans="1:12" s="3" customFormat="1"/>
    <x:row r="243" spans="1:12" s="1" customFormat="1"/>
    <x:row r="244" spans="1:12" s="4" customFormat="1"/>
    <x:row r="245" spans="1:12" s="3" customFormat="1"/>
    <x:row r="246" spans="1:12" s="1" customFormat="1"/>
    <x:row r="247" spans="1:12" s="4" customFormat="1"/>
    <x:row r="248" spans="1:12" s="3" customFormat="1"/>
    <x:row r="249" spans="1:12" s="1" customFormat="1"/>
    <x:row r="250" spans="1:12" s="4" customFormat="1"/>
    <x:row r="251" spans="1:12" s="3" customFormat="1"/>
    <x:row r="252" spans="1:12" s="1" customFormat="1"/>
    <x:row r="253" spans="1:12" s="4" customFormat="1"/>
    <x:row r="254" spans="1:12" s="3" customFormat="1"/>
    <x:row r="255" spans="1:12" s="1" customFormat="1"/>
    <x:row r="256" spans="1:12" s="4" customFormat="1"/>
    <x:row r="257" spans="1:12" s="3" customFormat="1"/>
    <x:row r="258" spans="1:12" s="1" customFormat="1"/>
    <x:row r="259" spans="1:12" s="4" customFormat="1"/>
    <x:row r="260" spans="1:12" s="3" customFormat="1"/>
    <x:row r="261" spans="1:12" s="1" customFormat="1"/>
    <x:row r="262" spans="1:12" s="4" customFormat="1"/>
    <x:row r="263" spans="1:12" s="3" customFormat="1"/>
    <x:row r="264" spans="1:12" s="1" customFormat="1"/>
    <x:row r="265" spans="1:12" s="4" customFormat="1"/>
    <x:row r="266" spans="1:12" s="3" customFormat="1"/>
    <x:row r="267" spans="1:12" s="1" customFormat="1"/>
    <x:row r="268" spans="1:12" s="4" customFormat="1"/>
    <x:row r="269" spans="1:12" s="3" customFormat="1"/>
    <x:row r="270" spans="1:12" s="1" customFormat="1"/>
    <x:row r="271" spans="1:12" s="4" customFormat="1"/>
    <x:row r="272" spans="1:12" s="3" customFormat="1"/>
    <x:row r="273" spans="1:12" s="1" customFormat="1"/>
    <x:row r="274" spans="1:12" s="4" customFormat="1"/>
    <x:row r="275" spans="1:12" s="3" customFormat="1"/>
    <x:row r="276" spans="1:12" s="1" customFormat="1"/>
    <x:row r="277" spans="1:12" s="4" customFormat="1"/>
    <x:row r="278" spans="1:12" s="3" customFormat="1"/>
    <x:row r="279" spans="1:12" s="1" customFormat="1"/>
    <x:row r="280" spans="1:12" s="4" customFormat="1"/>
    <x:row r="281" spans="1:12" s="3" customFormat="1"/>
    <x:row r="282" spans="1:12" s="1" customFormat="1"/>
    <x:row r="283" spans="1:12" s="4" customFormat="1"/>
    <x:row r="284" spans="1:12" s="3" customFormat="1"/>
    <x:row r="285" spans="1:12" s="1" customFormat="1"/>
    <x:row r="286" spans="1:12" s="4" customFormat="1"/>
    <x:row r="287" spans="1:12" s="3" customFormat="1"/>
    <x:row r="288" spans="1:12" s="1" customFormat="1"/>
    <x:row r="289" spans="1:12" s="4" customFormat="1"/>
    <x:row r="290" spans="1:12" s="3" customFormat="1"/>
    <x:row r="291" spans="1:12" s="1" customFormat="1"/>
    <x:row r="292" spans="1:12" s="4" customFormat="1"/>
    <x:row r="293" spans="1:12" s="3" customFormat="1"/>
    <x:row r="294" spans="1:12" s="1" customFormat="1"/>
    <x:row r="295" spans="1:12" s="4" customFormat="1"/>
    <x:row r="296" spans="1:12" s="3" customFormat="1"/>
    <x:row r="297" spans="1:12" s="1" customFormat="1"/>
    <x:row r="298" spans="1:12" s="4" customFormat="1"/>
    <x:row r="299" spans="1:12" s="3" customFormat="1"/>
    <x:row r="300" spans="1:12" s="1" customFormat="1"/>
    <x:row r="301" spans="1:12" s="4" customFormat="1"/>
    <x:row r="302" spans="1:12" s="3" customFormat="1"/>
    <x:row r="303" spans="1:12" s="1" customFormat="1"/>
    <x:row r="304" spans="1:12" s="4" customFormat="1"/>
    <x:row r="305" spans="1:12" s="3" customFormat="1"/>
    <x:row r="306" spans="1:12" s="1" customFormat="1"/>
    <x:row r="307" spans="1:12" s="4" customFormat="1"/>
    <x:row r="308" spans="1:12" s="3" customFormat="1"/>
    <x:row r="309" spans="1:12" s="1" customFormat="1"/>
    <x:row r="310" spans="1:12" s="4" customFormat="1"/>
    <x:row r="311" spans="1:12" s="3" customFormat="1"/>
    <x:row r="312" spans="1:12" s="1" customFormat="1"/>
    <x:row r="313" spans="1:12" s="4" customFormat="1"/>
    <x:row r="314" spans="1:12" s="3" customFormat="1"/>
    <x:row r="315" spans="1:12" s="1" customFormat="1"/>
    <x:row r="316" spans="1:12" s="4" customFormat="1"/>
    <x:row r="317" spans="1:12" s="3" customFormat="1"/>
    <x:row r="318" spans="1:12" s="1" customFormat="1"/>
    <x:row r="319" spans="1:12" s="4" customFormat="1"/>
    <x:row r="320" spans="1:12" s="3" customFormat="1"/>
    <x:row r="321" spans="1:12" s="1" customFormat="1"/>
    <x:row r="322" spans="1:12" s="4" customFormat="1"/>
    <x:row r="323" spans="1:12" s="3" customFormat="1"/>
    <x:row r="324" spans="1:12" s="1" customFormat="1"/>
    <x:row r="325" spans="1:12" s="4" customFormat="1"/>
    <x:row r="326" spans="1:12" s="3" customFormat="1"/>
    <x:row r="327" spans="1:12" s="1" customFormat="1"/>
    <x:row r="328" spans="1:12" s="4" customFormat="1"/>
    <x:row r="329" spans="1:12" s="3" customFormat="1"/>
    <x:row r="330" spans="1:12" s="1" customFormat="1"/>
    <x:row r="331" spans="1:12" s="4" customFormat="1"/>
    <x:row r="332" spans="1:12" s="3" customFormat="1"/>
    <x:row r="333" spans="1:12" s="1" customFormat="1"/>
    <x:row r="334" spans="1:12" s="4" customFormat="1"/>
    <x:row r="335" spans="1:12" s="3" customFormat="1"/>
    <x:row r="336" spans="1:12" s="1" customFormat="1"/>
    <x:row r="337" spans="1:12" s="4" customFormat="1"/>
    <x:row r="338" spans="1:12" s="3" customFormat="1"/>
    <x:row r="339" spans="1:12" s="1" customFormat="1"/>
    <x:row r="340" spans="1:12" s="4" customFormat="1"/>
    <x:row r="341" spans="1:12" s="3" customFormat="1"/>
    <x:row r="342" spans="1:12" s="1" customFormat="1"/>
    <x:row r="343" spans="1:12" s="4" customFormat="1"/>
    <x:row r="344" spans="1:12" s="3" customFormat="1"/>
    <x:row r="345" spans="1:12" s="1" customFormat="1"/>
    <x:row r="346" spans="1:12" s="4" customFormat="1"/>
  </x:sheetData>
  <x:hyperlinks>
    <x:hyperlink ref="C2" r:id="rId524" tooltip="Send a mail to info@theresincentre.com"/>
    <x:hyperlink ref="C3" r:id="rId525" tooltip="Send a mail to kwaterproofing@melita.com"/>
    <x:hyperlink ref="C4" r:id="rId526" tooltip="Send a mail to alexgrech.waterproofing@gmail.com"/>
    <x:hyperlink ref="C5" r:id="rId527" tooltip="Send a mail to colin@cpwaterproofing.com"/>
    <x:hyperlink ref="C6" r:id="rId528" tooltip="Send a mail to airsolutions@ezee.mt"/>
    <x:hyperlink ref="C7" r:id="rId529" tooltip="Send a mail to tnwaterproof@gmail.com"/>
    <x:hyperlink ref="C8" r:id="rId530" tooltip="Send a mail to danielschembri71@gmail.com"/>
    <x:hyperlink ref="C9" r:id="rId531" tooltip="Send a mail to info@devalier.com.mt"/>
    <x:hyperlink ref="C10" r:id="rId532" tooltip="Send a mail to wp.ltd123@gmail.com"/>
    <x:hyperlink ref="C11" r:id="rId533" tooltip="Send a mail to info@389.com.mt"/>
    <x:hyperlink ref="C12" r:id="rId534" tooltip="Send a mail to clintsaliba3@gmail.com"/>
    <x:hyperlink ref="C13" r:id="rId535" tooltip="Send a mail to mrleewaterproofing26@gmail.com"/>
    <x:hyperlink ref="C14" r:id="rId536" tooltip="Send a mail to contact@kibitec.com"/>
    <x:hyperlink ref="C15" r:id="rId537" tooltip="Send a mail to azzopardiwp@gmail.com"/>
    <x:hyperlink ref="C16" r:id="rId538" tooltip="Send a mail to caruana.chris@hotmail.com"/>
    <x:hyperlink ref="C17" r:id="rId539" tooltip="Send a mail to jasonmartin777@hotmail.com"/>
    <x:hyperlink ref="C18" r:id="rId540" tooltip="Send a mail to jurgendalli@gmail.com"/>
    <x:hyperlink ref="C19" r:id="rId541" tooltip="Send a mail to sales@jmvibro.com"/>
    <x:hyperlink ref="C20" r:id="rId542" tooltip="Send a mail to info@andrewvassallo.com"/>
    <x:hyperlink ref="C21" r:id="rId543" tooltip="Send a mail to norob@onvol.net"/>
    <x:hyperlink ref="C22" r:id="rId544" tooltip="Send a mail to forever.waterproofing@gmail.com"/>
    <x:hyperlink ref="C23" r:id="rId545" tooltip="Send a mail to ludvic1979@gmail.com"/>
    <x:hyperlink ref="C24" r:id="rId546" tooltip="Send a mail to vmhome@go.net.mt"/>
    <x:hyperlink ref="C25" r:id="rId547" tooltip="Send a mail to matuelwaterproofing@gmail.com"/>
    <x:hyperlink ref="C26" r:id="rId548" tooltip="Send a mail to michael.portelli81@gmail.com"/>
    <x:hyperlink ref="C27" r:id="rId549" tooltip="Send a mail to admin@thermasealmalta.com"/>
    <x:hyperlink ref="C28" r:id="rId550" tooltip="Send a mail to rosmanwaterproofing@hotmail.com"/>
    <x:hyperlink ref="C29" r:id="rId551" tooltip="Send a mail to jostiv@live.com"/>
    <x:hyperlink ref="C30" r:id="rId552" tooltip="Send a mail to bcf_solutions@outlook.com"/>
    <x:hyperlink ref="C31" r:id="rId553" tooltip="Send a mail to oijwatermaintenance@gmail.com"/>
    <x:hyperlink ref="E2" r:id="rId554" tooltip="Search 264, Old Railway Track Santa Venera on Google Maps"/>
    <x:hyperlink ref="E3" r:id="rId555" tooltip="Search 24, Triq Indri Micallef,Luqa, Malta on Google Maps"/>
    <x:hyperlink ref="E4" r:id="rId556" tooltip="Search 2, Triq tal-Habaq, Luqa, Malta on Google Maps"/>
    <x:hyperlink ref="E5" r:id="rId557" tooltip="Search Garage No 3, Pjazza l-Eroj,Swatar B'Kara BKR 4250 on Google Maps"/>
    <x:hyperlink ref="E6" r:id="rId558" tooltip="Search 58, Donato del Piano Street, Zurrieq,ZRQ 2240 on Google Maps"/>
    <x:hyperlink ref="E7" r:id="rId559" tooltip="Search Cherry Blossom Triq Lorenzo Manche’, Attard, ATD 2906 on Google Maps"/>
    <x:hyperlink ref="E8" r:id="rId560" tooltip="Search 102 Block A Flat 2 Triq Lapsi,&#10;Siggiewi on Google Maps"/>
    <x:hyperlink ref="E9" r:id="rId561" tooltip="Search The Old Factory, San Gwakkin Str, Zone 3, Central Business District, Mriehel, B’kara, CBD 3030, Malta on Google Maps"/>
    <x:hyperlink ref="E10" r:id="rId562" tooltip="Search WP Ltd&#10;Marcelle Triq ix-Xitwa ,&#10;Qormi, Malta QRM 5234 on Google Maps"/>
    <x:hyperlink ref="E11" r:id="rId563" tooltip="Search Three eight nine Co ltd (389 co Ltd)&#10;22, 26 Triq Dun Xand Cortis ,&#10;B’Kara, Malta BKR 1531 on Google Maps"/>
    <x:hyperlink ref="E12" r:id="rId564" tooltip="Search C &amp; R Plastering&#10;Trejqet il-Barrieri ,&#10;Zurrieq, Malta ZRQ 3602 on Google Maps"/>
    <x:hyperlink ref="E13" r:id="rId565" tooltip="Search Azzopardi Waterproofing Ltd&#10;67 Triq il-Belt Valletta ,&#10;Attard, Malta ATD 9056 on Google Maps"/>
    <x:hyperlink ref="E14" r:id="rId566" tooltip="Search CHR home improvements&#10;Triq Mikielang Sapiano ,&#10;Luqa, Malta LQA 1803 on Google Maps"/>
    <x:hyperlink ref="E15" r:id="rId567" tooltip="Search Coverite Waterproofing&#10;3 Pretty Lodge Pjazza San Leonardu ,&#10;Mosta, Malta MST 1061 on Google Maps"/>
    <x:hyperlink ref="F2" r:id="rId568" tooltip="Visit theresincentre.com/contact-us/"/>
    <x:hyperlink ref="F3" r:id="rId569" tooltip="Visit kendawaterproofing.com/contactV3.html#"/>
    <x:hyperlink ref="F4" r:id="rId570" tooltip="Visit agwaterproofingmalta.com/"/>
    <x:hyperlink ref="F5" r:id="rId571" tooltip="Visit cpwaterproofing.com/"/>
    <x:hyperlink ref="F6" r:id="rId572" tooltip="Visit airsolutionslimited.com/"/>
    <x:hyperlink ref="F7" r:id="rId573" tooltip="Visit fb.com/maximumwaterproofingmalta/"/>
    <x:hyperlink ref="F8" r:id="rId574" tooltip="Visit dv.mt/de-valtech-category/waterproofing/"/>
    <x:hyperlink ref="F9" r:id="rId575" tooltip="Visit wpmalta.com/?utm_source=Yellow&amp;utm_medium=Yellow-Website&amp;utm_campaign=Landing-Page"/>
    <x:hyperlink ref="F10" r:id="rId576" tooltip="Visit yellow.com.mt/c-r-plastering/waterproofing-contractors/"/>
    <x:hyperlink ref="F11" r:id="rId577" tooltip="Visit facebook.com/mrleewaterproofing/"/>
    <x:hyperlink ref="F12" r:id="rId578" tooltip="Visit kibitec.com/waterproof-membrane-malta/"/>
    <x:hyperlink ref="F13" r:id="rId579" tooltip="Visit yellow.com.mt/azzopardi-waterproofing-ltd_waterproofing-contractors+attard/"/>
    <x:hyperlink ref="F14" r:id="rId580" tooltip="Visit facebook.com/CHR.home.improvements/?utm_source=Yellow&amp;utm_medium=Yellow-Website&amp;utm_campaign=Landing-Page"/>
    <x:hyperlink ref="F15" r:id="rId581" tooltip="Visit yellow.com.mt/coverite-waterproofing_waterproofing-contractors+mosta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7"/>
  <x:sheetViews>
    <x:sheetView workbookViewId="0"/>
  </x:sheetViews>
  <x:sheetFormatPr defaultRowHeight="15"/>
  <x:cols>
    <x:col min="1" max="1" width="6.853482" style="0" customWidth="1"/>
    <x:col min="2" max="2" width="11.139196" style="0" customWidth="1"/>
    <x:col min="3" max="3" width="7.139196" style="0" customWidth="1"/>
    <x:col min="4" max="4" width="18.710625" style="0" customWidth="1"/>
    <x:col min="5" max="5" width="10.853482" style="0" customWidth="1"/>
    <x:col min="6" max="6" width="10.996339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List'!A17", "Back to Summary")</x:f>
      </x:c>
    </x:row>
    <x:row r="2" spans="1:7" s="3" customFormat="1"/>
    <x:row r="3" spans="1:7" s="1" customFormat="1"/>
    <x:row r="4" spans="1:7" s="4" customFormat="1"/>
    <x:row r="5" spans="1:7" s="3" customFormat="1"/>
    <x:row r="6" spans="1:7" s="1" customFormat="1"/>
    <x:row r="7" spans="1:7" s="4" customFormat="1"/>
    <x:row r="8" spans="1:7" s="3" customFormat="1"/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2"/>
  <x:sheetViews>
    <x:sheetView workbookViewId="0"/>
  </x:sheetViews>
  <x:sheetFormatPr defaultRowHeight="15"/>
  <x:cols>
    <x:col min="1" max="1" width="12.853482" style="0" customWidth="1"/>
    <x:col min="2" max="2" width="17.853482" style="0" customWidth="1"/>
    <x:col min="3" max="3" width="29.139196" style="0" customWidth="1"/>
    <x:col min="4" max="4" width="18.710625" style="0" customWidth="1"/>
    <x:col min="5" max="5" width="10.853482" style="0" customWidth="1"/>
    <x:col min="6" max="6" width="44.853482" style="0" customWidth="1"/>
    <x:col min="7" max="7" width="16.567768" style="0" customWidth="1"/>
    <x:col min="8" max="8" width="12.567768" style="0" customWidth="1"/>
    <x:col min="9" max="9" width="10.139196" style="0" customWidth="1"/>
    <x:col min="10" max="10" width="14.996339" style="0" customWidth="1"/>
    <x:col min="11" max="11" width="8.853482" style="0" customWidth="1"/>
    <x:col min="12" max="12" width="20.996339" style="0" customWidth="1"/>
  </x:cols>
  <x:sheetData>
    <x:row r="1" spans="1:12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1948</x:v>
      </x:c>
      <x:c r="H1" s="2" t="s">
        <x:v>586</x:v>
      </x:c>
      <x:c r="I1" s="2" t="s">
        <x:v>1950</x:v>
      </x:c>
      <x:c r="J1" s="2" t="s">
        <x:v>1951</x:v>
      </x:c>
      <x:c r="K1" s="2" t="s">
        <x:v>5321</x:v>
      </x:c>
      <x:c r="L1" s="5">
        <x:f>HYPERLINK("#'Summary List'!A18", "Back to Summary")</x:f>
      </x:c>
    </x:row>
    <x:row r="2" spans="1:12" s="3" customFormat="1">
      <x:c r="A2" s="3" t="s">
        <x:v>840</x:v>
      </x:c>
      <x:c r="B2" s="3" t="s">
        <x:v>687</x:v>
      </x:c>
      <x:c r="C2" s="6" t="s">
        <x:v>716</x:v>
      </x:c>
      <x:c r="D2" s="7">
        <x:f>CONCATENATE(HYPERLINK("CALLTO:%2B356%202143%203636", "+356 2143 3636"))</x:f>
      </x:c>
      <x:c r="F2" s="6" t="s">
        <x:v>5247</x:v>
      </x:c>
      <x:c r="G2" s="3" t="s">
        <x:v>547</x:v>
      </x:c>
      <x:c r="H2" s="3" t="s">
        <x:v>547</x:v>
      </x:c>
      <x:c r="I2" s="3" t="s">
        <x:v>547</x:v>
      </x:c>
      <x:c r="J2" s="3" t="s">
        <x:v>547</x:v>
      </x:c>
      <x:c r="K2" s="3" t="s">
        <x:v>547</x:v>
      </x:c>
    </x:row>
    <x:row r="3" spans="1:12" s="1" customFormat="1">
      <x:c r="A3" s="1" t="s">
        <x:v>840</x:v>
      </x:c>
      <x:c r="B3" s="1" t="s">
        <x:v>681</x:v>
      </x:c>
      <x:c r="C3" s="8" t="s">
        <x:v>710</x:v>
      </x:c>
      <x:c r="D3" s="9">
        <x:f>CONCATENATE(HYPERLINK("CALLTO:%2B356%202145%201350", "+356 2145 1350"))</x:f>
      </x:c>
      <x:c r="F3" s="8" t="s">
        <x:v>863</x:v>
      </x:c>
      <x:c r="G3" s="1" t="s">
        <x:v>547</x:v>
      </x:c>
      <x:c r="H3" s="1" t="s">
        <x:v>547</x:v>
      </x:c>
      <x:c r="I3" s="1" t="s">
        <x:v>547</x:v>
      </x:c>
      <x:c r="J3" s="1" t="s">
        <x:v>547</x:v>
      </x:c>
      <x:c r="K3" s="1" t="s">
        <x:v>547</x:v>
      </x:c>
    </x:row>
    <x:row r="4" spans="1:12" s="4" customFormat="1"/>
    <x:row r="5" spans="1:12" s="3" customFormat="1">
      <x:c r="A5" s="3" t="s">
        <x:v>841</x:v>
      </x:c>
      <x:c r="B5" s="3" t="s">
        <x:v>842</x:v>
      </x:c>
      <x:c r="C5" s="6" t="s">
        <x:v>851</x:v>
      </x:c>
      <x:c r="D5" s="7">
        <x:f>CONCATENATE(HYPERLINK("CALLTO:%2B356%207712%202494", "+356 7712 2494"))</x:f>
      </x:c>
      <x:c r="F5" s="6" t="s">
        <x:v>864</x:v>
      </x:c>
      <x:c r="G5" s="3" t="s">
        <x:v>548</x:v>
      </x:c>
      <x:c r="H5" s="3" t="s">
        <x:v>547</x:v>
      </x:c>
      <x:c r="I5" s="3" t="s">
        <x:v>547</x:v>
      </x:c>
      <x:c r="J5" s="3" t="s">
        <x:v>547</x:v>
      </x:c>
      <x:c r="K5" s="3" t="s">
        <x:v>548</x:v>
      </x:c>
    </x:row>
    <x:row r="6" spans="1:12" s="1" customFormat="1">
      <x:c r="A6" s="1" t="s">
        <x:v>841</x:v>
      </x:c>
      <x:c r="B6" s="1" t="s">
        <x:v>843</x:v>
      </x:c>
      <x:c r="C6" s="8" t="s">
        <x:v>852</x:v>
      </x:c>
      <x:c r="D6" s="9">
        <x:f>CONCATENATE(HYPERLINK("CALLTO:%2B356%202141%207596", "+356 2141 7596"))</x:f>
      </x:c>
      <x:c r="F6" s="8" t="s">
        <x:v>865</x:v>
      </x:c>
      <x:c r="G6" s="1" t="s">
        <x:v>547</x:v>
      </x:c>
      <x:c r="H6" s="1" t="s">
        <x:v>547</x:v>
      </x:c>
      <x:c r="I6" s="1" t="s">
        <x:v>547</x:v>
      </x:c>
      <x:c r="J6" s="1" t="s">
        <x:v>547</x:v>
      </x:c>
      <x:c r="K6" s="1" t="s">
        <x:v>548</x:v>
      </x:c>
    </x:row>
    <x:row r="7" spans="1:12" s="4" customFormat="1"/>
    <x:row r="8" spans="1:12" s="3" customFormat="1">
      <x:c r="B8" s="3" t="s">
        <x:v>689</x:v>
      </x:c>
      <x:c r="C8" s="6" t="s">
        <x:v>718</x:v>
      </x:c>
      <x:c r="D8" s="7">
        <x:f>CONCATENATE(HYPERLINK("CALLTO:%2B356%202146%203335", "+356 2146 3335"))</x:f>
      </x:c>
      <x:c r="F8" s="6" t="s">
        <x:v>866</x:v>
      </x:c>
      <x:c r="G8" s="3" t="s">
        <x:v>547</x:v>
      </x:c>
      <x:c r="H8" s="3" t="s">
        <x:v>547</x:v>
      </x:c>
      <x:c r="I8" s="3" t="s">
        <x:v>547</x:v>
      </x:c>
      <x:c r="J8" s="3" t="s">
        <x:v>547</x:v>
      </x:c>
      <x:c r="K8" s="3" t="s">
        <x:v>547</x:v>
      </x:c>
    </x:row>
    <x:row r="9" spans="1:12" s="1" customFormat="1">
      <x:c r="B9" s="1" t="s">
        <x:v>844</x:v>
      </x:c>
      <x:c r="C9" s="8" t="s">
        <x:v>853</x:v>
      </x:c>
      <x:c r="F9" s="8" t="s">
        <x:v>867</x:v>
      </x:c>
      <x:c r="G9" s="1" t="s">
        <x:v>547</x:v>
      </x:c>
      <x:c r="H9" s="1" t="s">
        <x:v>548</x:v>
      </x:c>
      <x:c r="I9" s="1" t="s">
        <x:v>547</x:v>
      </x:c>
      <x:c r="J9" s="1" t="s">
        <x:v>547</x:v>
      </x:c>
      <x:c r="K9" s="1" t="s">
        <x:v>548</x:v>
      </x:c>
    </x:row>
    <x:row r="10" spans="1:12" s="4" customFormat="1">
      <x:c r="B10" s="4" t="s">
        <x:v>845</x:v>
      </x:c>
      <x:c r="C10" s="10" t="s">
        <x:v>854</x:v>
      </x:c>
      <x:c r="F10" s="10" t="s">
        <x:v>868</x:v>
      </x:c>
      <x:c r="G10" s="4" t="s">
        <x:v>547</x:v>
      </x:c>
      <x:c r="H10" s="4" t="s">
        <x:v>548</x:v>
      </x:c>
      <x:c r="I10" s="4" t="s">
        <x:v>547</x:v>
      </x:c>
      <x:c r="J10" s="4" t="s">
        <x:v>548</x:v>
      </x:c>
      <x:c r="K10" s="4" t="s">
        <x:v>547</x:v>
      </x:c>
    </x:row>
    <x:row r="11" spans="1:12" s="3" customFormat="1">
      <x:c r="B11" s="3" t="s">
        <x:v>846</x:v>
      </x:c>
      <x:c r="C11" s="6" t="s">
        <x:v>855</x:v>
      </x:c>
      <x:c r="F11" s="6" t="s">
        <x:v>5248</x:v>
      </x:c>
      <x:c r="G11" s="3" t="s">
        <x:v>548</x:v>
      </x:c>
      <x:c r="H11" s="3" t="s">
        <x:v>547</x:v>
      </x:c>
      <x:c r="I11" s="3" t="s">
        <x:v>547</x:v>
      </x:c>
      <x:c r="J11" s="3" t="s">
        <x:v>547</x:v>
      </x:c>
      <x:c r="K11" s="3" t="s">
        <x:v>548</x:v>
      </x:c>
    </x:row>
    <x:row r="12" spans="1:12" s="1" customFormat="1">
      <x:c r="B12" s="1" t="s">
        <x:v>847</x:v>
      </x:c>
      <x:c r="C12" s="8" t="s">
        <x:v>856</x:v>
      </x:c>
      <x:c r="F12" s="8" t="s">
        <x:v>870</x:v>
      </x:c>
      <x:c r="G12" s="1" t="s">
        <x:v>548</x:v>
      </x:c>
      <x:c r="H12" s="1" t="s">
        <x:v>547</x:v>
      </x:c>
      <x:c r="I12" s="1" t="s">
        <x:v>547</x:v>
      </x:c>
      <x:c r="J12" s="1" t="s">
        <x:v>547</x:v>
      </x:c>
      <x:c r="K12" s="1" t="s">
        <x:v>548</x:v>
      </x:c>
    </x:row>
    <x:row r="13" spans="1:12" s="4" customFormat="1">
      <x:c r="B13" s="4" t="s">
        <x:v>848</x:v>
      </x:c>
      <x:c r="C13" s="10" t="s">
        <x:v>857</x:v>
      </x:c>
      <x:c r="F13" s="10" t="s">
        <x:v>5249</x:v>
      </x:c>
      <x:c r="G13" s="4" t="s">
        <x:v>547</x:v>
      </x:c>
      <x:c r="H13" s="4" t="s">
        <x:v>548</x:v>
      </x:c>
      <x:c r="I13" s="4" t="s">
        <x:v>547</x:v>
      </x:c>
      <x:c r="J13" s="4" t="s">
        <x:v>548</x:v>
      </x:c>
      <x:c r="K13" s="4" t="s">
        <x:v>547</x:v>
      </x:c>
    </x:row>
    <x:row r="14" spans="1:12" s="3" customFormat="1">
      <x:c r="B14" s="3" t="s">
        <x:v>849</x:v>
      </x:c>
      <x:c r="C14" s="6" t="s">
        <x:v>858</x:v>
      </x:c>
      <x:c r="F14" s="6" t="s">
        <x:v>871</x:v>
      </x:c>
      <x:c r="G14" s="3" t="s">
        <x:v>547</x:v>
      </x:c>
      <x:c r="H14" s="3" t="s">
        <x:v>547</x:v>
      </x:c>
      <x:c r="I14" s="3" t="s">
        <x:v>547</x:v>
      </x:c>
      <x:c r="J14" s="3" t="s">
        <x:v>547</x:v>
      </x:c>
      <x:c r="K14" s="3" t="s">
        <x:v>547</x:v>
      </x:c>
    </x:row>
    <x:row r="15" spans="1:12" s="1" customFormat="1">
      <x:c r="B15" s="1" t="s">
        <x:v>850</x:v>
      </x:c>
      <x:c r="C15" s="8" t="s">
        <x:v>712</x:v>
      </x:c>
      <x:c r="G15" s="1" t="s">
        <x:v>547</x:v>
      </x:c>
      <x:c r="H15" s="1" t="s">
        <x:v>547</x:v>
      </x:c>
      <x:c r="I15" s="1" t="s">
        <x:v>547</x:v>
      </x:c>
      <x:c r="J15" s="1" t="s">
        <x:v>547</x:v>
      </x:c>
      <x:c r="K15" s="1" t="s">
        <x:v>547</x:v>
      </x:c>
    </x:row>
    <x:row r="16" spans="1:12" s="4" customFormat="1">
      <x:c r="C16" s="10" t="s">
        <x:v>709</x:v>
      </x:c>
    </x:row>
    <x:row r="17" spans="1:12" s="3" customFormat="1">
      <x:c r="C17" s="6" t="s">
        <x:v>859</x:v>
      </x:c>
    </x:row>
    <x:row r="18" spans="1:12" s="1" customFormat="1">
      <x:c r="C18" s="8" t="s">
        <x:v>860</x:v>
      </x:c>
    </x:row>
    <x:row r="19" spans="1:12" s="4" customFormat="1">
      <x:c r="C19" s="10" t="s">
        <x:v>861</x:v>
      </x:c>
    </x:row>
    <x:row r="20" spans="1:12" s="3" customFormat="1">
      <x:c r="C20" s="6" t="s">
        <x:v>862</x:v>
      </x:c>
    </x:row>
    <x:row r="21" spans="1:12" s="1" customFormat="1">
      <x:c r="C21" s="8" t="s">
        <x:v>695</x:v>
      </x:c>
    </x:row>
    <x:row r="22" spans="1:12" s="4" customFormat="1"/>
    <x:row r="23" spans="1:12" s="3" customFormat="1"/>
    <x:row r="24" spans="1:12" s="1" customFormat="1"/>
    <x:row r="25" spans="1:12" s="4" customFormat="1"/>
    <x:row r="26" spans="1:12" s="3" customFormat="1"/>
    <x:row r="27" spans="1:12" s="1" customFormat="1"/>
    <x:row r="28" spans="1:12" s="4" customFormat="1"/>
    <x:row r="29" spans="1:12" s="3" customFormat="1"/>
    <x:row r="30" spans="1:12" s="1" customFormat="1"/>
    <x:row r="31" spans="1:12" s="4" customFormat="1"/>
    <x:row r="32" spans="1:12" s="3" customFormat="1"/>
    <x:row r="33" spans="1:12" s="1" customFormat="1"/>
    <x:row r="34" spans="1:12" s="4" customFormat="1"/>
    <x:row r="35" spans="1:12" s="3" customFormat="1"/>
    <x:row r="36" spans="1:12" s="1" customFormat="1"/>
    <x:row r="37" spans="1:12" s="4" customFormat="1"/>
    <x:row r="38" spans="1:12" s="3" customFormat="1"/>
    <x:row r="39" spans="1:12" s="1" customFormat="1"/>
    <x:row r="40" spans="1:12" s="4" customFormat="1"/>
    <x:row r="41" spans="1:12" s="3" customFormat="1"/>
    <x:row r="42" spans="1:12" s="1" customFormat="1"/>
    <x:row r="43" spans="1:12" s="4" customFormat="1"/>
    <x:row r="44" spans="1:12" s="3" customFormat="1"/>
    <x:row r="45" spans="1:12" s="1" customFormat="1"/>
    <x:row r="46" spans="1:12" s="4" customFormat="1"/>
    <x:row r="47" spans="1:12" s="3" customFormat="1"/>
    <x:row r="48" spans="1:12" s="1" customFormat="1"/>
    <x:row r="49" spans="1:12" s="4" customFormat="1"/>
    <x:row r="50" spans="1:12" s="3" customFormat="1"/>
    <x:row r="51" spans="1:12" s="1" customFormat="1"/>
    <x:row r="52" spans="1:12" s="4" customFormat="1"/>
    <x:row r="53" spans="1:12" s="3" customFormat="1"/>
    <x:row r="54" spans="1:12" s="1" customFormat="1"/>
    <x:row r="55" spans="1:12" s="4" customFormat="1"/>
    <x:row r="56" spans="1:12" s="3" customFormat="1"/>
    <x:row r="57" spans="1:12" s="1" customFormat="1"/>
    <x:row r="58" spans="1:12" s="4" customFormat="1"/>
    <x:row r="59" spans="1:12" s="3" customFormat="1"/>
    <x:row r="60" spans="1:12" s="1" customFormat="1"/>
    <x:row r="61" spans="1:12" s="4" customFormat="1"/>
    <x:row r="62" spans="1:12" s="3" customFormat="1"/>
    <x:row r="63" spans="1:12" s="1" customFormat="1"/>
    <x:row r="64" spans="1:12" s="4" customFormat="1"/>
    <x:row r="65" spans="1:12" s="3" customFormat="1"/>
    <x:row r="66" spans="1:12" s="1" customFormat="1"/>
    <x:row r="67" spans="1:12" s="4" customFormat="1"/>
    <x:row r="68" spans="1:12" s="3" customFormat="1"/>
    <x:row r="69" spans="1:12" s="1" customFormat="1"/>
    <x:row r="70" spans="1:12" s="4" customFormat="1"/>
    <x:row r="71" spans="1:12" s="3" customFormat="1"/>
    <x:row r="72" spans="1:12" s="1" customFormat="1"/>
    <x:row r="73" spans="1:12" s="4" customFormat="1"/>
    <x:row r="74" spans="1:12" s="3" customFormat="1"/>
    <x:row r="75" spans="1:12" s="1" customFormat="1"/>
    <x:row r="76" spans="1:12" s="4" customFormat="1"/>
    <x:row r="77" spans="1:12" s="3" customFormat="1"/>
    <x:row r="78" spans="1:12" s="1" customFormat="1"/>
    <x:row r="79" spans="1:12" s="4" customFormat="1"/>
    <x:row r="80" spans="1:12" s="3" customFormat="1"/>
    <x:row r="81" spans="1:12" s="1" customFormat="1"/>
    <x:row r="82" spans="1:12" s="4" customFormat="1"/>
    <x:row r="83" spans="1:12" s="3" customFormat="1"/>
    <x:row r="84" spans="1:12" s="1" customFormat="1"/>
    <x:row r="85" spans="1:12" s="4" customFormat="1"/>
    <x:row r="86" spans="1:12" s="3" customFormat="1"/>
    <x:row r="87" spans="1:12" s="1" customFormat="1"/>
    <x:row r="88" spans="1:12" s="4" customFormat="1"/>
    <x:row r="89" spans="1:12" s="3" customFormat="1"/>
    <x:row r="90" spans="1:12" s="1" customFormat="1"/>
    <x:row r="91" spans="1:12" s="4" customFormat="1"/>
    <x:row r="92" spans="1:12" s="3" customFormat="1"/>
    <x:row r="93" spans="1:12" s="1" customFormat="1"/>
    <x:row r="94" spans="1:12" s="4" customFormat="1"/>
    <x:row r="95" spans="1:12" s="3" customFormat="1"/>
    <x:row r="96" spans="1:12" s="1" customFormat="1"/>
    <x:row r="97" spans="1:12" s="4" customFormat="1"/>
    <x:row r="98" spans="1:12" s="3" customFormat="1"/>
    <x:row r="99" spans="1:12" s="1" customFormat="1"/>
    <x:row r="100" spans="1:12" s="4" customFormat="1"/>
    <x:row r="101" spans="1:12" s="3" customFormat="1"/>
    <x:row r="102" spans="1:12" s="1" customFormat="1"/>
    <x:row r="103" spans="1:12" s="4" customFormat="1"/>
    <x:row r="104" spans="1:12" s="3" customFormat="1"/>
    <x:row r="105" spans="1:12" s="1" customFormat="1"/>
    <x:row r="106" spans="1:12" s="4" customFormat="1"/>
    <x:row r="107" spans="1:12" s="3" customFormat="1"/>
    <x:row r="108" spans="1:12" s="1" customFormat="1"/>
    <x:row r="109" spans="1:12" s="4" customFormat="1"/>
    <x:row r="110" spans="1:12" s="3" customFormat="1"/>
    <x:row r="111" spans="1:12" s="1" customFormat="1"/>
    <x:row r="112" spans="1:12" s="4" customFormat="1"/>
    <x:row r="113" spans="1:12" s="3" customFormat="1"/>
    <x:row r="114" spans="1:12" s="1" customFormat="1"/>
    <x:row r="115" spans="1:12" s="4" customFormat="1"/>
    <x:row r="116" spans="1:12" s="3" customFormat="1"/>
    <x:row r="117" spans="1:12" s="1" customFormat="1"/>
    <x:row r="118" spans="1:12" s="4" customFormat="1"/>
    <x:row r="119" spans="1:12" s="3" customFormat="1"/>
    <x:row r="120" spans="1:12" s="1" customFormat="1"/>
    <x:row r="121" spans="1:12" s="4" customFormat="1"/>
    <x:row r="122" spans="1:12" s="3" customFormat="1"/>
    <x:row r="123" spans="1:12" s="1" customFormat="1"/>
    <x:row r="124" spans="1:12" s="4" customFormat="1"/>
    <x:row r="125" spans="1:12" s="3" customFormat="1"/>
    <x:row r="126" spans="1:12" s="1" customFormat="1"/>
    <x:row r="127" spans="1:12" s="4" customFormat="1"/>
    <x:row r="128" spans="1:12" s="3" customFormat="1"/>
    <x:row r="129" spans="1:12" s="1" customFormat="1"/>
    <x:row r="130" spans="1:12" s="4" customFormat="1"/>
    <x:row r="131" spans="1:12" s="3" customFormat="1"/>
    <x:row r="132" spans="1:12" s="1" customFormat="1"/>
    <x:row r="133" spans="1:12" s="4" customFormat="1"/>
    <x:row r="134" spans="1:12" s="3" customFormat="1"/>
    <x:row r="135" spans="1:12" s="1" customFormat="1"/>
    <x:row r="136" spans="1:12" s="4" customFormat="1"/>
    <x:row r="137" spans="1:12" s="3" customFormat="1"/>
    <x:row r="138" spans="1:12" s="1" customFormat="1"/>
    <x:row r="139" spans="1:12" s="4" customFormat="1"/>
    <x:row r="140" spans="1:12" s="3" customFormat="1"/>
    <x:row r="141" spans="1:12" s="1" customFormat="1"/>
    <x:row r="142" spans="1:12" s="4" customFormat="1"/>
    <x:row r="143" spans="1:12" s="3" customFormat="1"/>
    <x:row r="144" spans="1:12" s="1" customFormat="1"/>
    <x:row r="145" spans="1:12" s="4" customFormat="1"/>
    <x:row r="146" spans="1:12" s="3" customFormat="1"/>
    <x:row r="147" spans="1:12" s="1" customFormat="1"/>
    <x:row r="148" spans="1:12" s="4" customFormat="1"/>
    <x:row r="149" spans="1:12" s="3" customFormat="1"/>
    <x:row r="150" spans="1:12" s="1" customFormat="1"/>
    <x:row r="151" spans="1:12" s="4" customFormat="1"/>
    <x:row r="152" spans="1:12" s="3" customFormat="1"/>
    <x:row r="153" spans="1:12" s="1" customFormat="1"/>
    <x:row r="154" spans="1:12" s="4" customFormat="1"/>
    <x:row r="155" spans="1:12" s="3" customFormat="1"/>
    <x:row r="156" spans="1:12" s="1" customFormat="1"/>
    <x:row r="157" spans="1:12" s="4" customFormat="1"/>
    <x:row r="158" spans="1:12" s="3" customFormat="1"/>
    <x:row r="159" spans="1:12" s="1" customFormat="1"/>
    <x:row r="160" spans="1:12" s="4" customFormat="1"/>
    <x:row r="161" spans="1:12" s="3" customFormat="1"/>
    <x:row r="162" spans="1:12" s="1" customFormat="1"/>
    <x:row r="163" spans="1:12" s="4" customFormat="1"/>
    <x:row r="164" spans="1:12" s="3" customFormat="1"/>
    <x:row r="165" spans="1:12" s="1" customFormat="1"/>
    <x:row r="166" spans="1:12" s="4" customFormat="1"/>
    <x:row r="167" spans="1:12" s="3" customFormat="1"/>
    <x:row r="168" spans="1:12" s="1" customFormat="1"/>
    <x:row r="169" spans="1:12" s="4" customFormat="1"/>
    <x:row r="170" spans="1:12" s="3" customFormat="1"/>
    <x:row r="171" spans="1:12" s="1" customFormat="1"/>
    <x:row r="172" spans="1:12" s="4" customFormat="1"/>
  </x:sheetData>
  <x:hyperlinks>
    <x:hyperlink ref="C2" r:id="rId582" tooltip="Send a mail to info@halmannvella.com"/>
    <x:hyperlink ref="C3" r:id="rId583" tooltip="Send a mail to info@desanamarbles.com"/>
    <x:hyperlink ref="C5" r:id="rId584" tooltip="Send a mail to c.demirkiran@carradesign.com"/>
    <x:hyperlink ref="C6" r:id="rId585" tooltip="Send a mail to info@absolute.com.mt"/>
    <x:hyperlink ref="C8" r:id="rId586" tooltip="Send a mail to sales@marbleinnovation.com"/>
    <x:hyperlink ref="C9" r:id="rId587" tooltip="Send a mail to info@jpitre.com"/>
    <x:hyperlink ref="C10" r:id="rId588" tooltip="Send a mail to msida@iperceramica.mt"/>
    <x:hyperlink ref="C11" r:id="rId589" tooltip="Send a mail to info@radosystems.eu"/>
    <x:hyperlink ref="C12" r:id="rId590" tooltip="Send a mail to steve@cordina.eu"/>
    <x:hyperlink ref="C13" r:id="rId591" tooltip="Send a mail to info@mrcd.com.mt"/>
    <x:hyperlink ref="C14" r:id="rId592" tooltip="Send a mail to cpcamilleripatrick@gmail.com"/>
    <x:hyperlink ref="C15" r:id="rId593" tooltip="Send a mail to sales@seamless.com.mt"/>
    <x:hyperlink ref="C16" r:id="rId594" tooltip="Send a mail to sales@floorsofstone.com.mt"/>
    <x:hyperlink ref="C17" r:id="rId595" tooltip="Send a mail to info@cgaleamarble.com"/>
    <x:hyperlink ref="C18" r:id="rId596" tooltip="Send a mail to info@chicliving.com.mt"/>
    <x:hyperlink ref="C19" r:id="rId597" tooltip="Send a mail to info@distincthomes.com.mt"/>
    <x:hyperlink ref="C20" r:id="rId598" tooltip="Send a mail to info@bfmarbles.com"/>
    <x:hyperlink ref="C21" r:id="rId599" tooltip="Send a mail to info@soll.mt"/>
    <x:hyperlink ref="F2" r:id="rId600" tooltip="Visit halmannvella.com/"/>
    <x:hyperlink ref="F3" r:id="rId601" tooltip="Visit desanamarbles.com/materials/terrazzo"/>
    <x:hyperlink ref="F5" r:id="rId602" tooltip="Visit facebook.com/p/Carradesign-100086413076922/"/>
    <x:hyperlink ref="F6" r:id="rId603" tooltip="Visit absolute.com.mt/terrazzo/"/>
    <x:hyperlink ref="F8" r:id="rId604" tooltip="Visit marbleinnovation.com/contact"/>
    <x:hyperlink ref="F9" r:id="rId605" tooltip="Visit pitrebathrooms.com/contact-us"/>
    <x:hyperlink ref="F10" r:id="rId606" tooltip="Visit facebook.com/radoflooring/"/>
    <x:hyperlink ref="F11" r:id="rId607" tooltip="Visit facebook.com/cordinamt/"/>
    <x:hyperlink ref="F12" r:id="rId608" tooltip="Visit mrcd.com.mt/en/home.htm"/>
    <x:hyperlink ref="F13" r:id="rId609" tooltip="Visit facebook.com/profile.php?id=100054506707941"/>
    <x:hyperlink ref="F14" r:id="rId610" tooltip="Visit facebook.com/seamlessmalta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07"/>
  <x:sheetViews>
    <x:sheetView workbookViewId="0"/>
  </x:sheetViews>
  <x:sheetFormatPr defaultRowHeight="15"/>
  <x:cols>
    <x:col min="1" max="1" width="17.424911" style="0" customWidth="1"/>
    <x:col min="2" max="2" width="23.282054" style="0" customWidth="1"/>
    <x:col min="3" max="3" width="37.139196" style="0" customWidth="1"/>
    <x:col min="4" max="4" width="18.710625" style="0" customWidth="1"/>
    <x:col min="5" max="5" width="58.710625" style="0" customWidth="1"/>
    <x:col min="6" max="6" width="26.424911" style="0" customWidth="1"/>
    <x:col min="7" max="7" width="16.567768" style="0" customWidth="1"/>
    <x:col min="8" max="8" width="13.567768" style="0" customWidth="1"/>
    <x:col min="9" max="9" width="10.139196" style="0" customWidth="1"/>
    <x:col min="10" max="10" width="14.996339" style="0" customWidth="1"/>
    <x:col min="11" max="11" width="8.853482" style="0" customWidth="1"/>
    <x:col min="12" max="12" width="20.996339" style="0" customWidth="1"/>
  </x:cols>
  <x:sheetData>
    <x:row r="1" spans="1:12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1948</x:v>
      </x:c>
      <x:c r="H1" s="2" t="s">
        <x:v>1949</x:v>
      </x:c>
      <x:c r="I1" s="2" t="s">
        <x:v>1950</x:v>
      </x:c>
      <x:c r="J1" s="2" t="s">
        <x:v>1951</x:v>
      </x:c>
      <x:c r="K1" s="2" t="s">
        <x:v>5321</x:v>
      </x:c>
      <x:c r="L1" s="5">
        <x:f>HYPERLINK("#'Summary List'!A19", "Back to Summary")</x:f>
      </x:c>
    </x:row>
    <x:row r="2" spans="1:12" s="3" customFormat="1">
      <x:c r="A2" s="3" t="s">
        <x:v>874</x:v>
      </x:c>
      <x:c r="B2" s="3" t="s">
        <x:v>875</x:v>
      </x:c>
      <x:c r="C2" s="6" t="s">
        <x:v>894</x:v>
      </x:c>
      <x:c r="D2" s="7">
        <x:f>CONCATENATE(HYPERLINK("CALLTO:%2B356%202144%203333", "+356 2144 3333"))</x:f>
      </x:c>
      <x:c r="E2" s="6" t="s">
        <x:v>917</x:v>
      </x:c>
      <x:c r="F2" s="6" t="s">
        <x:v>939</x:v>
      </x:c>
      <x:c r="G2" s="3" t="s">
        <x:v>547</x:v>
      </x:c>
      <x:c r="H2" s="3" t="s">
        <x:v>547</x:v>
      </x:c>
      <x:c r="I2" s="3" t="s">
        <x:v>547</x:v>
      </x:c>
      <x:c r="J2" s="3" t="s">
        <x:v>547</x:v>
      </x:c>
      <x:c r="K2" s="3" t="s">
        <x:v>547</x:v>
      </x:c>
    </x:row>
    <x:row r="3" spans="1:12" s="1" customFormat="1">
      <x:c r="A3" s="1" t="s">
        <x:v>874</x:v>
      </x:c>
      <x:c r="B3" s="1" t="s">
        <x:v>873</x:v>
      </x:c>
      <x:c r="C3" s="8" t="s">
        <x:v>893</x:v>
      </x:c>
      <x:c r="D3" s="9">
        <x:f>CONCATENATE(HYPERLINK("CALLTO:%2B356%202732%200796", "+356 2732 0796"))</x:f>
      </x:c>
      <x:c r="E3" s="8" t="s">
        <x:v>916</x:v>
      </x:c>
      <x:c r="F3" s="8" t="s">
        <x:v>940</x:v>
      </x:c>
      <x:c r="G3" s="1" t="s">
        <x:v>548</x:v>
      </x:c>
      <x:c r="H3" s="1" t="s">
        <x:v>547</x:v>
      </x:c>
      <x:c r="I3" s="1" t="s">
        <x:v>547</x:v>
      </x:c>
      <x:c r="J3" s="1" t="s">
        <x:v>547</x:v>
      </x:c>
      <x:c r="K3" s="1" t="s">
        <x:v>547</x:v>
      </x:c>
    </x:row>
    <x:row r="4" spans="1:12" s="4" customFormat="1">
      <x:c r="A4" s="4" t="s">
        <x:v>874</x:v>
      </x:c>
      <x:c r="B4" s="4" t="s">
        <x:v>559</x:v>
      </x:c>
      <x:c r="C4" s="10" t="s">
        <x:v>573</x:v>
      </x:c>
      <x:c r="D4" s="11">
        <x:f>CONCATENATE(HYPERLINK("CALLTO:%2B356%202123%204567", "+356 2123 4567"))</x:f>
      </x:c>
      <x:c r="E4" s="10" t="s">
        <x:v>918</x:v>
      </x:c>
      <x:c r="F4" s="10" t="s">
        <x:v>941</x:v>
      </x:c>
      <x:c r="G4" s="4" t="s">
        <x:v>547</x:v>
      </x:c>
      <x:c r="H4" s="4" t="s">
        <x:v>547</x:v>
      </x:c>
      <x:c r="I4" s="4" t="s">
        <x:v>547</x:v>
      </x:c>
      <x:c r="J4" s="4" t="s">
        <x:v>547</x:v>
      </x:c>
      <x:c r="K4" s="4" t="s">
        <x:v>547</x:v>
      </x:c>
    </x:row>
    <x:row r="5" spans="1:12" s="3" customFormat="1">
      <x:c r="A5" s="3" t="s">
        <x:v>874</x:v>
      </x:c>
      <x:c r="B5" s="3" t="s">
        <x:v>876</x:v>
      </x:c>
      <x:c r="C5" s="6" t="s">
        <x:v>895</x:v>
      </x:c>
      <x:c r="D5" s="7">
        <x:f>CONCATENATE(HYPERLINK("CALLTO:%2B356%202133%202233", "+356 2133 2233"))</x:f>
      </x:c>
      <x:c r="E5" s="6" t="s">
        <x:v>919</x:v>
      </x:c>
      <x:c r="F5" s="6" t="s">
        <x:v>942</x:v>
      </x:c>
      <x:c r="G5" s="3" t="s">
        <x:v>547</x:v>
      </x:c>
      <x:c r="H5" s="3" t="s">
        <x:v>547</x:v>
      </x:c>
      <x:c r="I5" s="3" t="s">
        <x:v>547</x:v>
      </x:c>
      <x:c r="J5" s="3" t="s">
        <x:v>547</x:v>
      </x:c>
      <x:c r="K5" s="3" t="s">
        <x:v>547</x:v>
      </x:c>
    </x:row>
    <x:row r="6" spans="1:12" s="1" customFormat="1">
      <x:c r="A6" s="1" t="s">
        <x:v>874</x:v>
      </x:c>
      <x:c r="B6" s="1" t="s">
        <x:v>877</x:v>
      </x:c>
      <x:c r="C6" s="8" t="s">
        <x:v>896</x:v>
      </x:c>
      <x:c r="D6" s="9">
        <x:f>CONCATENATE(HYPERLINK("CALLTO:%2B356%202124%205678", "+356 2124 5678"))</x:f>
      </x:c>
      <x:c r="E6" s="8" t="s">
        <x:v>920</x:v>
      </x:c>
      <x:c r="F6" s="8" t="s">
        <x:v>943</x:v>
      </x:c>
      <x:c r="G6" s="1" t="s">
        <x:v>547</x:v>
      </x:c>
      <x:c r="H6" s="1" t="s">
        <x:v>547</x:v>
      </x:c>
      <x:c r="I6" s="1" t="s">
        <x:v>547</x:v>
      </x:c>
      <x:c r="J6" s="1" t="s">
        <x:v>547</x:v>
      </x:c>
      <x:c r="K6" s="1" t="s">
        <x:v>547</x:v>
      </x:c>
    </x:row>
    <x:row r="7" spans="1:12" s="4" customFormat="1">
      <x:c r="A7" s="4" t="s">
        <x:v>874</x:v>
      </x:c>
      <x:c r="B7" s="4" t="s">
        <x:v>878</x:v>
      </x:c>
      <x:c r="C7" s="10" t="s">
        <x:v>897</x:v>
      </x:c>
      <x:c r="D7" s="11">
        <x:f>CONCATENATE(HYPERLINK("CALLTO:%2B356%202149%207111", "+356 2149 7111"))</x:f>
      </x:c>
      <x:c r="E7" s="10" t="s">
        <x:v>921</x:v>
      </x:c>
      <x:c r="F7" s="10" t="s">
        <x:v>944</x:v>
      </x:c>
      <x:c r="G7" s="4" t="s">
        <x:v>547</x:v>
      </x:c>
      <x:c r="H7" s="4" t="s">
        <x:v>547</x:v>
      </x:c>
      <x:c r="I7" s="4" t="s">
        <x:v>547</x:v>
      </x:c>
      <x:c r="J7" s="4" t="s">
        <x:v>547</x:v>
      </x:c>
      <x:c r="K7" s="4" t="s">
        <x:v>547</x:v>
      </x:c>
    </x:row>
    <x:row r="8" spans="1:12" s="3" customFormat="1">
      <x:c r="A8" s="3" t="s">
        <x:v>874</x:v>
      </x:c>
      <x:c r="B8" s="3" t="s">
        <x:v>879</x:v>
      </x:c>
      <x:c r="C8" s="6" t="s">
        <x:v>898</x:v>
      </x:c>
      <x:c r="D8" s="7">
        <x:f>CONCATENATE(HYPERLINK("CALLTO:%2B356%202149%203285", "+356 2149 3285"))</x:f>
      </x:c>
      <x:c r="E8" s="6" t="s">
        <x:v>922</x:v>
      </x:c>
      <x:c r="F8" s="6" t="s">
        <x:v>5250</x:v>
      </x:c>
      <x:c r="G8" s="3" t="s">
        <x:v>547</x:v>
      </x:c>
      <x:c r="H8" s="3" t="s">
        <x:v>547</x:v>
      </x:c>
      <x:c r="I8" s="3" t="s">
        <x:v>547</x:v>
      </x:c>
      <x:c r="J8" s="3" t="s">
        <x:v>547</x:v>
      </x:c>
      <x:c r="K8" s="3" t="s">
        <x:v>547</x:v>
      </x:c>
    </x:row>
    <x:row r="9" spans="1:12" s="1" customFormat="1">
      <x:c r="A9" s="1" t="s">
        <x:v>874</x:v>
      </x:c>
      <x:c r="B9" s="1" t="s">
        <x:v>881</x:v>
      </x:c>
      <x:c r="C9" s="8" t="s">
        <x:v>899</x:v>
      </x:c>
      <x:c r="D9" s="9">
        <x:f>CONCATENATE(HYPERLINK("CALLTO:%2B356%202169%201334", "+356 2169 1334"))</x:f>
      </x:c>
      <x:c r="E9" s="8" t="s">
        <x:v>923</x:v>
      </x:c>
      <x:c r="F9" s="8" t="s">
        <x:v>946</x:v>
      </x:c>
      <x:c r="G9" s="1" t="s">
        <x:v>547</x:v>
      </x:c>
      <x:c r="H9" s="1" t="s">
        <x:v>547</x:v>
      </x:c>
      <x:c r="I9" s="1" t="s">
        <x:v>547</x:v>
      </x:c>
      <x:c r="J9" s="1" t="s">
        <x:v>547</x:v>
      </x:c>
      <x:c r="K9" s="1" t="s">
        <x:v>547</x:v>
      </x:c>
    </x:row>
    <x:row r="10" spans="1:12" s="4" customFormat="1">
      <x:c r="A10" s="4" t="s">
        <x:v>874</x:v>
      </x:c>
      <x:c r="B10" s="4" t="s">
        <x:v>880</x:v>
      </x:c>
      <x:c r="C10" s="10" t="s">
        <x:v>900</x:v>
      </x:c>
      <x:c r="D10" s="11">
        <x:f>CONCATENATE(HYPERLINK("CALLTO:%2B356%202343%206345", "+356 2343 6345"))</x:f>
      </x:c>
      <x:c r="E10" s="10" t="s">
        <x:v>924</x:v>
      </x:c>
      <x:c r="F10" s="10" t="s">
        <x:v>947</x:v>
      </x:c>
      <x:c r="G10" s="4" t="s">
        <x:v>547</x:v>
      </x:c>
      <x:c r="H10" s="4" t="s">
        <x:v>547</x:v>
      </x:c>
      <x:c r="I10" s="4" t="s">
        <x:v>547</x:v>
      </x:c>
      <x:c r="J10" s="4" t="s">
        <x:v>547</x:v>
      </x:c>
      <x:c r="K10" s="4" t="s">
        <x:v>547</x:v>
      </x:c>
    </x:row>
    <x:row r="11" spans="1:12" s="3" customFormat="1">
      <x:c r="A11" s="3" t="s">
        <x:v>874</x:v>
      </x:c>
      <x:c r="B11" s="3" t="s">
        <x:v>882</x:v>
      </x:c>
      <x:c r="C11" s="6" t="s">
        <x:v>901</x:v>
      </x:c>
      <x:c r="D11" s="3" t="s">
        <x:v>144</x:v>
      </x:c>
      <x:c r="E11" s="6" t="s">
        <x:v>925</x:v>
      </x:c>
      <x:c r="F11" s="6" t="s">
        <x:v>948</x:v>
      </x:c>
      <x:c r="G11" s="3" t="s">
        <x:v>548</x:v>
      </x:c>
      <x:c r="H11" s="3" t="s">
        <x:v>547</x:v>
      </x:c>
      <x:c r="I11" s="3" t="s">
        <x:v>547</x:v>
      </x:c>
      <x:c r="J11" s="3" t="s">
        <x:v>547</x:v>
      </x:c>
      <x:c r="K11" s="3" t="s">
        <x:v>547</x:v>
      </x:c>
    </x:row>
    <x:row r="12" spans="1:12" s="1" customFormat="1">
      <x:c r="A12" s="1" t="s">
        <x:v>874</x:v>
      </x:c>
      <x:c r="B12" s="1" t="s">
        <x:v>883</x:v>
      </x:c>
      <x:c r="C12" s="8" t="s">
        <x:v>902</x:v>
      </x:c>
      <x:c r="D12" s="9">
        <x:f>CONCATENATE(HYPERLINK("CALLTO:%2B356%202180%205805", "+356 2180 5805"))</x:f>
      </x:c>
      <x:c r="E12" s="8" t="s">
        <x:v>926</x:v>
      </x:c>
      <x:c r="F12" s="8" t="s">
        <x:v>949</x:v>
      </x:c>
      <x:c r="G12" s="1" t="s">
        <x:v>547</x:v>
      </x:c>
      <x:c r="H12" s="1" t="s">
        <x:v>547</x:v>
      </x:c>
      <x:c r="I12" s="1" t="s">
        <x:v>547</x:v>
      </x:c>
      <x:c r="J12" s="1" t="s">
        <x:v>547</x:v>
      </x:c>
      <x:c r="K12" s="1" t="s">
        <x:v>547</x:v>
      </x:c>
    </x:row>
    <x:row r="13" spans="1:12" s="4" customFormat="1">
      <x:c r="A13" s="4" t="s">
        <x:v>874</x:v>
      </x:c>
      <x:c r="B13" s="4" t="s">
        <x:v>884</x:v>
      </x:c>
      <x:c r="C13" s="10" t="s">
        <x:v>511</x:v>
      </x:c>
      <x:c r="D13" s="11">
        <x:f>CONCATENATE(HYPERLINK("CALLTO:%2B356%202138%202876", "+356 2138 2876"))</x:f>
      </x:c>
      <x:c r="E13" s="10" t="s">
        <x:v>927</x:v>
      </x:c>
      <x:c r="F13" s="10" t="s">
        <x:v>950</x:v>
      </x:c>
      <x:c r="G13" s="4" t="s">
        <x:v>547</x:v>
      </x:c>
      <x:c r="H13" s="4" t="s">
        <x:v>548</x:v>
      </x:c>
      <x:c r="I13" s="4" t="s">
        <x:v>547</x:v>
      </x:c>
      <x:c r="J13" s="4" t="s">
        <x:v>547</x:v>
      </x:c>
      <x:c r="K13" s="4" t="s">
        <x:v>547</x:v>
      </x:c>
    </x:row>
    <x:row r="14" spans="1:12" s="3" customFormat="1">
      <x:c r="A14" s="3" t="s">
        <x:v>874</x:v>
      </x:c>
      <x:c r="B14" s="3" t="s">
        <x:v>885</x:v>
      </x:c>
      <x:c r="C14" s="6" t="s">
        <x:v>903</x:v>
      </x:c>
      <x:c r="D14" s="7">
        <x:f>CONCATENATE(HYPERLINK("CALLTO:%2B356%202144%205555", "+356 2144 5555"))</x:f>
      </x:c>
      <x:c r="E14" s="6" t="s">
        <x:v>928</x:v>
      </x:c>
      <x:c r="F14" s="6" t="s">
        <x:v>5251</x:v>
      </x:c>
      <x:c r="G14" s="3" t="s">
        <x:v>547</x:v>
      </x:c>
      <x:c r="H14" s="3" t="s">
        <x:v>548</x:v>
      </x:c>
      <x:c r="I14" s="3" t="s">
        <x:v>547</x:v>
      </x:c>
      <x:c r="J14" s="3" t="s">
        <x:v>547</x:v>
      </x:c>
      <x:c r="K14" s="3" t="s">
        <x:v>547</x:v>
      </x:c>
    </x:row>
    <x:row r="15" spans="1:12" s="1" customFormat="1">
      <x:c r="A15" s="1" t="s">
        <x:v>874</x:v>
      </x:c>
      <x:c r="B15" s="1" t="s">
        <x:v>887</x:v>
      </x:c>
      <x:c r="C15" s="8" t="s">
        <x:v>904</x:v>
      </x:c>
      <x:c r="D15" s="9">
        <x:f>CONCATENATE(HYPERLINK("CALLTO:%2B356%202133%206600", "+356 2133 6600"))</x:f>
      </x:c>
      <x:c r="E15" s="8" t="s">
        <x:v>930</x:v>
      </x:c>
      <x:c r="F15" s="8" t="s">
        <x:v>952</x:v>
      </x:c>
      <x:c r="G15" s="1" t="s">
        <x:v>547</x:v>
      </x:c>
      <x:c r="H15" s="1" t="s">
        <x:v>547</x:v>
      </x:c>
      <x:c r="I15" s="1" t="s">
        <x:v>547</x:v>
      </x:c>
      <x:c r="J15" s="1" t="s">
        <x:v>547</x:v>
      </x:c>
      <x:c r="K15" s="1" t="s">
        <x:v>547</x:v>
      </x:c>
    </x:row>
    <x:row r="16" spans="1:12" s="4" customFormat="1">
      <x:c r="A16" s="4" t="s">
        <x:v>874</x:v>
      </x:c>
      <x:c r="B16" s="4" t="s">
        <x:v>558</x:v>
      </x:c>
      <x:c r="C16" s="10" t="s">
        <x:v>572</x:v>
      </x:c>
      <x:c r="D16" s="11">
        <x:f>CONCATENATE(HYPERLINK("CALLTO:%2B356%202549%203000", "+356 2549 3000"))</x:f>
      </x:c>
      <x:c r="E16" s="10" t="s">
        <x:v>929</x:v>
      </x:c>
      <x:c r="F16" s="10" t="s">
        <x:v>953</x:v>
      </x:c>
      <x:c r="G16" s="4" t="s">
        <x:v>547</x:v>
      </x:c>
      <x:c r="H16" s="4" t="s">
        <x:v>547</x:v>
      </x:c>
      <x:c r="I16" s="4" t="s">
        <x:v>547</x:v>
      </x:c>
      <x:c r="J16" s="4" t="s">
        <x:v>547</x:v>
      </x:c>
      <x:c r="K16" s="4" t="s">
        <x:v>547</x:v>
      </x:c>
    </x:row>
    <x:row r="17" spans="1:12" s="3" customFormat="1">
      <x:c r="A17" s="3" t="s">
        <x:v>874</x:v>
      </x:c>
      <x:c r="B17" s="3" t="s">
        <x:v>886</x:v>
      </x:c>
      <x:c r="C17" s="6" t="s">
        <x:v>905</x:v>
      </x:c>
      <x:c r="D17" s="7">
        <x:f>CONCATENATE(HYPERLINK("CALLTO:%2B356%202167%207798", "+356 2167 7798"))</x:f>
      </x:c>
      <x:c r="E17" s="6" t="s">
        <x:v>931</x:v>
      </x:c>
      <x:c r="F17" s="6" t="s">
        <x:v>951</x:v>
      </x:c>
      <x:c r="G17" s="3" t="s">
        <x:v>547</x:v>
      </x:c>
      <x:c r="H17" s="3" t="s">
        <x:v>547</x:v>
      </x:c>
      <x:c r="I17" s="3" t="s">
        <x:v>547</x:v>
      </x:c>
      <x:c r="J17" s="3" t="s">
        <x:v>547</x:v>
      </x:c>
      <x:c r="K17" s="3" t="s">
        <x:v>547</x:v>
      </x:c>
    </x:row>
    <x:row r="18" spans="1:12" s="1" customFormat="1">
      <x:c r="A18" s="1" t="s">
        <x:v>874</x:v>
      </x:c>
      <x:c r="B18" s="1" t="s">
        <x:v>888</x:v>
      </x:c>
      <x:c r="C18" s="8" t="s">
        <x:v>898</x:v>
      </x:c>
      <x:c r="D18" s="9">
        <x:f>CONCATENATE(HYPERLINK("CALLTO:%2B356%207988%204497", "+356 7988 4497"))</x:f>
      </x:c>
      <x:c r="E18" s="8" t="s">
        <x:v>932</x:v>
      </x:c>
      <x:c r="F18" s="1" t="s">
        <x:v>144</x:v>
      </x:c>
      <x:c r="G18" s="1" t="s">
        <x:v>548</x:v>
      </x:c>
      <x:c r="H18" s="1" t="s">
        <x:v>547</x:v>
      </x:c>
      <x:c r="I18" s="1" t="s">
        <x:v>548</x:v>
      </x:c>
      <x:c r="J18" s="1" t="s">
        <x:v>547</x:v>
      </x:c>
      <x:c r="K18" s="1" t="s">
        <x:v>547</x:v>
      </x:c>
    </x:row>
    <x:row r="19" spans="1:12" s="4" customFormat="1">
      <x:c r="A19" s="4" t="s">
        <x:v>874</x:v>
      </x:c>
      <x:c r="B19" s="4" t="s">
        <x:v>879</x:v>
      </x:c>
      <x:c r="C19" s="10" t="s">
        <x:v>898</x:v>
      </x:c>
      <x:c r="D19" s="11">
        <x:f>CONCATENATE(HYPERLINK("CALLTO:%2B356%202149%203285", "+356 2149 3285"))</x:f>
      </x:c>
      <x:c r="E19" s="10" t="s">
        <x:v>933</x:v>
      </x:c>
      <x:c r="F19" s="4" t="s">
        <x:v>144</x:v>
      </x:c>
      <x:c r="G19" s="4" t="s">
        <x:v>547</x:v>
      </x:c>
      <x:c r="H19" s="4" t="s">
        <x:v>547</x:v>
      </x:c>
      <x:c r="I19" s="4" t="s">
        <x:v>547</x:v>
      </x:c>
      <x:c r="J19" s="4" t="s">
        <x:v>547</x:v>
      </x:c>
      <x:c r="K19" s="4" t="s">
        <x:v>547</x:v>
      </x:c>
    </x:row>
    <x:row r="20" spans="1:12" s="3" customFormat="1">
      <x:c r="A20" s="3" t="s">
        <x:v>874</x:v>
      </x:c>
      <x:c r="B20" s="3" t="s">
        <x:v>564</x:v>
      </x:c>
      <x:c r="C20" s="6" t="s">
        <x:v>576</x:v>
      </x:c>
      <x:c r="D20" s="7">
        <x:f>CONCATENATE(HYPERLINK("CALLTO:%2B356%202736%206601", "+356 2736 6601"))</x:f>
      </x:c>
      <x:c r="E20" s="6" t="s">
        <x:v>934</x:v>
      </x:c>
      <x:c r="F20" s="3" t="s">
        <x:v>144</x:v>
      </x:c>
      <x:c r="G20" s="3" t="s">
        <x:v>547</x:v>
      </x:c>
      <x:c r="H20" s="3" t="s">
        <x:v>548</x:v>
      </x:c>
      <x:c r="I20" s="3" t="s">
        <x:v>547</x:v>
      </x:c>
      <x:c r="J20" s="3" t="s">
        <x:v>547</x:v>
      </x:c>
      <x:c r="K20" s="3" t="s">
        <x:v>547</x:v>
      </x:c>
    </x:row>
    <x:row r="21" spans="1:12" s="1" customFormat="1">
      <x:c r="A21" s="1" t="s">
        <x:v>874</x:v>
      </x:c>
      <x:c r="B21" s="1" t="s">
        <x:v>889</x:v>
      </x:c>
      <x:c r="C21" s="8" t="s">
        <x:v>906</x:v>
      </x:c>
      <x:c r="D21" s="9">
        <x:f>CONCATENATE(HYPERLINK("CALLTO:%2B356%202143%200569", "+356 2143 0569"))</x:f>
      </x:c>
      <x:c r="E21" s="8" t="s">
        <x:v>935</x:v>
      </x:c>
      <x:c r="F21" s="1" t="s">
        <x:v>144</x:v>
      </x:c>
      <x:c r="G21" s="1" t="s">
        <x:v>547</x:v>
      </x:c>
      <x:c r="H21" s="1" t="s">
        <x:v>547</x:v>
      </x:c>
      <x:c r="I21" s="1" t="s">
        <x:v>547</x:v>
      </x:c>
      <x:c r="J21" s="1" t="s">
        <x:v>547</x:v>
      </x:c>
      <x:c r="K21" s="1" t="s">
        <x:v>547</x:v>
      </x:c>
    </x:row>
    <x:row r="22" spans="1:12" s="4" customFormat="1">
      <x:c r="A22" s="4" t="s">
        <x:v>874</x:v>
      </x:c>
      <x:c r="B22" s="4" t="s">
        <x:v>890</x:v>
      </x:c>
      <x:c r="C22" s="10" t="s">
        <x:v>907</x:v>
      </x:c>
      <x:c r="D22" s="11">
        <x:f>CONCATENATE(HYPERLINK("CALLTO:%2B356%202137%207181", "+356 2137 7181"))</x:f>
      </x:c>
      <x:c r="E22" s="10" t="s">
        <x:v>936</x:v>
      </x:c>
      <x:c r="F22" s="4" t="s">
        <x:v>144</x:v>
      </x:c>
      <x:c r="G22" s="4" t="s">
        <x:v>547</x:v>
      </x:c>
      <x:c r="H22" s="4" t="s">
        <x:v>547</x:v>
      </x:c>
      <x:c r="I22" s="4" t="s">
        <x:v>547</x:v>
      </x:c>
      <x:c r="J22" s="4" t="s">
        <x:v>547</x:v>
      </x:c>
      <x:c r="K22" s="4" t="s">
        <x:v>547</x:v>
      </x:c>
    </x:row>
    <x:row r="23" spans="1:12" s="3" customFormat="1">
      <x:c r="A23" s="3" t="s">
        <x:v>874</x:v>
      </x:c>
      <x:c r="B23" s="3" t="s">
        <x:v>891</x:v>
      </x:c>
      <x:c r="C23" s="6" t="s">
        <x:v>908</x:v>
      </x:c>
      <x:c r="D23" s="7">
        <x:f>CONCATENATE(HYPERLINK("CALLTO:%2B356%209982%208875", "+356 9982 8875"))</x:f>
      </x:c>
      <x:c r="E23" s="6" t="s">
        <x:v>937</x:v>
      </x:c>
      <x:c r="F23" s="3" t="s">
        <x:v>144</x:v>
      </x:c>
      <x:c r="G23" s="3" t="s">
        <x:v>548</x:v>
      </x:c>
      <x:c r="H23" s="3" t="s">
        <x:v>548</x:v>
      </x:c>
      <x:c r="I23" s="3" t="s">
        <x:v>548</x:v>
      </x:c>
      <x:c r="J23" s="3" t="s">
        <x:v>547</x:v>
      </x:c>
      <x:c r="K23" s="3" t="s">
        <x:v>547</x:v>
      </x:c>
    </x:row>
    <x:row r="24" spans="1:12" s="1" customFormat="1">
      <x:c r="A24" s="1" t="s">
        <x:v>874</x:v>
      </x:c>
      <x:c r="B24" s="1" t="s">
        <x:v>892</x:v>
      </x:c>
      <x:c r="C24" s="8" t="s">
        <x:v>909</x:v>
      </x:c>
      <x:c r="D24" s="9">
        <x:f>CONCATENATE(HYPERLINK("CALLTO:%2B356%202143%202863", "+356 2143 2863"))</x:f>
      </x:c>
      <x:c r="E24" s="8" t="s">
        <x:v>938</x:v>
      </x:c>
      <x:c r="F24" s="1" t="s">
        <x:v>144</x:v>
      </x:c>
      <x:c r="G24" s="1" t="s">
        <x:v>547</x:v>
      </x:c>
      <x:c r="H24" s="1" t="s">
        <x:v>547</x:v>
      </x:c>
      <x:c r="I24" s="1" t="s">
        <x:v>547</x:v>
      </x:c>
      <x:c r="J24" s="1" t="s">
        <x:v>547</x:v>
      </x:c>
      <x:c r="K24" s="1" t="s">
        <x:v>547</x:v>
      </x:c>
    </x:row>
    <x:row r="25" spans="1:12" s="4" customFormat="1"/>
    <x:row r="26" spans="1:12" s="3" customFormat="1"/>
    <x:row r="27" spans="1:12" s="1" customFormat="1"/>
    <x:row r="28" spans="1:12" s="4" customFormat="1"/>
    <x:row r="29" spans="1:12" s="3" customFormat="1"/>
    <x:row r="30" spans="1:12" s="1" customFormat="1"/>
    <x:row r="31" spans="1:12" s="4" customFormat="1"/>
    <x:row r="32" spans="1:12" s="3" customFormat="1"/>
    <x:row r="33" spans="1:12" s="1" customFormat="1"/>
    <x:row r="34" spans="1:12" s="4" customFormat="1"/>
    <x:row r="35" spans="1:12" s="3" customFormat="1"/>
    <x:row r="36" spans="1:12" s="1" customFormat="1"/>
    <x:row r="37" spans="1:12" s="4" customFormat="1"/>
    <x:row r="38" spans="1:12" s="3" customFormat="1"/>
    <x:row r="39" spans="1:12" s="1" customFormat="1"/>
    <x:row r="40" spans="1:12" s="4" customFormat="1"/>
    <x:row r="41" spans="1:12" s="3" customFormat="1"/>
    <x:row r="42" spans="1:12" s="1" customFormat="1"/>
    <x:row r="43" spans="1:12" s="4" customFormat="1"/>
    <x:row r="44" spans="1:12" s="3" customFormat="1"/>
    <x:row r="45" spans="1:12" s="1" customFormat="1"/>
    <x:row r="46" spans="1:12" s="4" customFormat="1"/>
    <x:row r="47" spans="1:12" s="3" customFormat="1"/>
    <x:row r="48" spans="1:12" s="1" customFormat="1"/>
    <x:row r="49" spans="1:12" s="4" customFormat="1"/>
    <x:row r="50" spans="1:12" s="3" customFormat="1"/>
    <x:row r="51" spans="1:12" s="1" customFormat="1"/>
    <x:row r="52" spans="1:12" s="4" customFormat="1"/>
    <x:row r="53" spans="1:12" s="3" customFormat="1"/>
    <x:row r="54" spans="1:12" s="1" customFormat="1"/>
    <x:row r="55" spans="1:12" s="4" customFormat="1"/>
    <x:row r="56" spans="1:12" s="3" customFormat="1"/>
    <x:row r="57" spans="1:12" s="1" customFormat="1"/>
    <x:row r="58" spans="1:12" s="4" customFormat="1"/>
    <x:row r="59" spans="1:12" s="3" customFormat="1"/>
    <x:row r="60" spans="1:12" s="1" customFormat="1"/>
    <x:row r="61" spans="1:12" s="4" customFormat="1"/>
    <x:row r="62" spans="1:12" s="3" customFormat="1"/>
    <x:row r="63" spans="1:12" s="1" customFormat="1"/>
    <x:row r="64" spans="1:12" s="4" customFormat="1"/>
    <x:row r="65" spans="1:12" s="3" customFormat="1"/>
    <x:row r="66" spans="1:12" s="1" customFormat="1"/>
    <x:row r="67" spans="1:12" s="4" customFormat="1"/>
    <x:row r="68" spans="1:12" s="3" customFormat="1"/>
    <x:row r="69" spans="1:12" s="1" customFormat="1"/>
    <x:row r="70" spans="1:12" s="4" customFormat="1"/>
    <x:row r="71" spans="1:12" s="3" customFormat="1"/>
    <x:row r="72" spans="1:12" s="1" customFormat="1"/>
    <x:row r="73" spans="1:12" s="4" customFormat="1"/>
    <x:row r="74" spans="1:12" s="3" customFormat="1"/>
    <x:row r="75" spans="1:12" s="1" customFormat="1"/>
    <x:row r="76" spans="1:12" s="4" customFormat="1"/>
    <x:row r="77" spans="1:12" s="3" customFormat="1"/>
    <x:row r="78" spans="1:12" s="1" customFormat="1"/>
    <x:row r="79" spans="1:12" s="4" customFormat="1"/>
    <x:row r="80" spans="1:12" s="3" customFormat="1"/>
    <x:row r="81" spans="1:12" s="1" customFormat="1"/>
    <x:row r="82" spans="1:12" s="4" customFormat="1"/>
    <x:row r="83" spans="1:12" s="3" customFormat="1"/>
    <x:row r="84" spans="1:12" s="1" customFormat="1"/>
    <x:row r="85" spans="1:12" s="4" customFormat="1"/>
    <x:row r="86" spans="1:12" s="3" customFormat="1"/>
    <x:row r="87" spans="1:12" s="1" customFormat="1"/>
    <x:row r="88" spans="1:12" s="4" customFormat="1"/>
    <x:row r="89" spans="1:12" s="3" customFormat="1"/>
    <x:row r="90" spans="1:12" s="1" customFormat="1"/>
    <x:row r="91" spans="1:12" s="4" customFormat="1"/>
    <x:row r="92" spans="1:12" s="3" customFormat="1"/>
    <x:row r="93" spans="1:12" s="1" customFormat="1"/>
    <x:row r="94" spans="1:12" s="4" customFormat="1"/>
    <x:row r="95" spans="1:12" s="3" customFormat="1"/>
    <x:row r="96" spans="1:12" s="1" customFormat="1"/>
    <x:row r="97" spans="1:12" s="4" customFormat="1"/>
    <x:row r="98" spans="1:12" s="3" customFormat="1"/>
    <x:row r="99" spans="1:12" s="1" customFormat="1"/>
    <x:row r="100" spans="1:12" s="4" customFormat="1"/>
    <x:row r="101" spans="1:12" s="3" customFormat="1"/>
    <x:row r="102" spans="1:12" s="1" customFormat="1"/>
    <x:row r="103" spans="1:12" s="4" customFormat="1"/>
    <x:row r="104" spans="1:12" s="3" customFormat="1"/>
    <x:row r="105" spans="1:12" s="1" customFormat="1"/>
    <x:row r="106" spans="1:12" s="4" customFormat="1"/>
    <x:row r="107" spans="1:12" s="3" customFormat="1"/>
    <x:row r="108" spans="1:12" s="1" customFormat="1"/>
    <x:row r="109" spans="1:12" s="4" customFormat="1"/>
    <x:row r="110" spans="1:12" s="3" customFormat="1"/>
    <x:row r="111" spans="1:12" s="1" customFormat="1"/>
    <x:row r="112" spans="1:12" s="4" customFormat="1"/>
    <x:row r="113" spans="1:12" s="3" customFormat="1"/>
    <x:row r="114" spans="1:12" s="1" customFormat="1"/>
    <x:row r="115" spans="1:12" s="4" customFormat="1"/>
    <x:row r="116" spans="1:12" s="3" customFormat="1"/>
    <x:row r="117" spans="1:12" s="1" customFormat="1"/>
    <x:row r="118" spans="1:12" s="4" customFormat="1"/>
    <x:row r="119" spans="1:12" s="3" customFormat="1"/>
    <x:row r="120" spans="1:12" s="1" customFormat="1"/>
    <x:row r="121" spans="1:12" s="4" customFormat="1"/>
    <x:row r="122" spans="1:12" s="3" customFormat="1"/>
    <x:row r="123" spans="1:12" s="1" customFormat="1"/>
    <x:row r="124" spans="1:12" s="4" customFormat="1"/>
    <x:row r="125" spans="1:12" s="3" customFormat="1"/>
    <x:row r="126" spans="1:12" s="1" customFormat="1"/>
    <x:row r="127" spans="1:12" s="4" customFormat="1"/>
    <x:row r="128" spans="1:12" s="3" customFormat="1"/>
    <x:row r="129" spans="1:12" s="1" customFormat="1"/>
    <x:row r="130" spans="1:12" s="4" customFormat="1"/>
    <x:row r="131" spans="1:12" s="3" customFormat="1"/>
    <x:row r="132" spans="1:12" s="1" customFormat="1"/>
    <x:row r="133" spans="1:12" s="4" customFormat="1"/>
    <x:row r="134" spans="1:12" s="3" customFormat="1"/>
    <x:row r="135" spans="1:12" s="1" customFormat="1"/>
    <x:row r="136" spans="1:12" s="4" customFormat="1"/>
    <x:row r="137" spans="1:12" s="3" customFormat="1"/>
    <x:row r="138" spans="1:12" s="1" customFormat="1"/>
    <x:row r="139" spans="1:12" s="4" customFormat="1"/>
    <x:row r="140" spans="1:12" s="3" customFormat="1"/>
    <x:row r="141" spans="1:12" s="1" customFormat="1"/>
    <x:row r="142" spans="1:12" s="4" customFormat="1"/>
    <x:row r="143" spans="1:12" s="3" customFormat="1"/>
    <x:row r="144" spans="1:12" s="1" customFormat="1"/>
    <x:row r="145" spans="1:12" s="4" customFormat="1"/>
    <x:row r="146" spans="1:12" s="3" customFormat="1"/>
    <x:row r="147" spans="1:12" s="1" customFormat="1"/>
    <x:row r="148" spans="1:12" s="4" customFormat="1"/>
    <x:row r="149" spans="1:12" s="3" customFormat="1"/>
    <x:row r="150" spans="1:12" s="1" customFormat="1"/>
    <x:row r="151" spans="1:12" s="4" customFormat="1"/>
    <x:row r="152" spans="1:12" s="3" customFormat="1"/>
    <x:row r="153" spans="1:12" s="1" customFormat="1"/>
    <x:row r="154" spans="1:12" s="4" customFormat="1"/>
    <x:row r="155" spans="1:12" s="3" customFormat="1"/>
    <x:row r="156" spans="1:12" s="1" customFormat="1"/>
    <x:row r="157" spans="1:12" s="4" customFormat="1"/>
    <x:row r="158" spans="1:12" s="3" customFormat="1"/>
    <x:row r="159" spans="1:12" s="1" customFormat="1"/>
    <x:row r="160" spans="1:12" s="4" customFormat="1"/>
    <x:row r="161" spans="1:12" s="3" customFormat="1"/>
    <x:row r="162" spans="1:12" s="1" customFormat="1"/>
    <x:row r="163" spans="1:12" s="4" customFormat="1"/>
    <x:row r="164" spans="1:12" s="3" customFormat="1"/>
    <x:row r="165" spans="1:12" s="1" customFormat="1"/>
    <x:row r="166" spans="1:12" s="4" customFormat="1"/>
    <x:row r="167" spans="1:12" s="3" customFormat="1"/>
    <x:row r="168" spans="1:12" s="1" customFormat="1"/>
    <x:row r="169" spans="1:12" s="4" customFormat="1"/>
    <x:row r="170" spans="1:12" s="3" customFormat="1"/>
    <x:row r="171" spans="1:12" s="1" customFormat="1"/>
    <x:row r="172" spans="1:12" s="4" customFormat="1"/>
    <x:row r="173" spans="1:12" s="3" customFormat="1"/>
    <x:row r="174" spans="1:12" s="1" customFormat="1"/>
    <x:row r="175" spans="1:12" s="4" customFormat="1"/>
    <x:row r="176" spans="1:12" s="3" customFormat="1"/>
    <x:row r="177" spans="1:12" s="1" customFormat="1"/>
    <x:row r="178" spans="1:12" s="4" customFormat="1"/>
    <x:row r="179" spans="1:12" s="3" customFormat="1"/>
    <x:row r="180" spans="1:12" s="1" customFormat="1"/>
    <x:row r="181" spans="1:12" s="4" customFormat="1"/>
    <x:row r="182" spans="1:12" s="3" customFormat="1"/>
    <x:row r="183" spans="1:12" s="1" customFormat="1"/>
    <x:row r="184" spans="1:12" s="4" customFormat="1"/>
    <x:row r="185" spans="1:12" s="3" customFormat="1"/>
    <x:row r="186" spans="1:12" s="1" customFormat="1"/>
    <x:row r="187" spans="1:12" s="4" customFormat="1"/>
    <x:row r="188" spans="1:12" s="3" customFormat="1"/>
    <x:row r="189" spans="1:12" s="1" customFormat="1"/>
    <x:row r="190" spans="1:12" s="4" customFormat="1"/>
    <x:row r="191" spans="1:12" s="3" customFormat="1"/>
    <x:row r="192" spans="1:12" s="1" customFormat="1"/>
    <x:row r="193" spans="1:12" s="4" customFormat="1"/>
    <x:row r="194" spans="1:12" s="3" customFormat="1"/>
    <x:row r="195" spans="1:12" s="1" customFormat="1"/>
    <x:row r="196" spans="1:12" s="4" customFormat="1"/>
    <x:row r="197" spans="1:12" s="3" customFormat="1"/>
    <x:row r="198" spans="1:12" s="1" customFormat="1"/>
    <x:row r="199" spans="1:12" s="4" customFormat="1"/>
    <x:row r="200" spans="1:12" s="3" customFormat="1"/>
    <x:row r="201" spans="1:12" s="1" customFormat="1"/>
    <x:row r="202" spans="1:12" s="4" customFormat="1"/>
    <x:row r="203" spans="1:12" s="3" customFormat="1"/>
    <x:row r="204" spans="1:12" s="1" customFormat="1"/>
    <x:row r="205" spans="1:12" s="4" customFormat="1"/>
    <x:row r="206" spans="1:12" s="3" customFormat="1"/>
    <x:row r="207" spans="1:12" s="1" customFormat="1"/>
    <x:row r="208" spans="1:12" s="4" customFormat="1"/>
    <x:row r="209" spans="1:12" s="3" customFormat="1"/>
    <x:row r="210" spans="1:12" s="1" customFormat="1"/>
    <x:row r="211" spans="1:12" s="4" customFormat="1"/>
    <x:row r="212" spans="1:12" s="3" customFormat="1"/>
    <x:row r="213" spans="1:12" s="1" customFormat="1"/>
    <x:row r="214" spans="1:12" s="4" customFormat="1"/>
    <x:row r="215" spans="1:12" s="3" customFormat="1"/>
    <x:row r="216" spans="1:12" s="1" customFormat="1"/>
    <x:row r="217" spans="1:12" s="4" customFormat="1"/>
    <x:row r="218" spans="1:12" s="3" customFormat="1"/>
    <x:row r="219" spans="1:12" s="1" customFormat="1"/>
    <x:row r="220" spans="1:12" s="4" customFormat="1"/>
    <x:row r="221" spans="1:12" s="3" customFormat="1"/>
    <x:row r="222" spans="1:12" s="1" customFormat="1"/>
    <x:row r="223" spans="1:12" s="4" customFormat="1"/>
    <x:row r="224" spans="1:12" s="3" customFormat="1"/>
    <x:row r="225" spans="1:12" s="1" customFormat="1"/>
    <x:row r="226" spans="1:12" s="4" customFormat="1"/>
    <x:row r="227" spans="1:12" s="3" customFormat="1"/>
    <x:row r="228" spans="1:12" s="1" customFormat="1"/>
    <x:row r="229" spans="1:12" s="4" customFormat="1"/>
    <x:row r="230" spans="1:12" s="3" customFormat="1"/>
    <x:row r="231" spans="1:12" s="1" customFormat="1"/>
    <x:row r="232" spans="1:12" s="4" customFormat="1"/>
    <x:row r="233" spans="1:12" s="3" customFormat="1"/>
    <x:row r="234" spans="1:12" s="1" customFormat="1"/>
    <x:row r="235" spans="1:12" s="4" customFormat="1"/>
    <x:row r="236" spans="1:12" s="3" customFormat="1"/>
    <x:row r="237" spans="1:12" s="1" customFormat="1"/>
    <x:row r="238" spans="1:12" s="4" customFormat="1"/>
    <x:row r="239" spans="1:12" s="3" customFormat="1"/>
    <x:row r="240" spans="1:12" s="1" customFormat="1"/>
    <x:row r="241" spans="1:12" s="4" customFormat="1"/>
    <x:row r="242" spans="1:12" s="3" customFormat="1"/>
    <x:row r="243" spans="1:12" s="1" customFormat="1"/>
    <x:row r="244" spans="1:12" s="4" customFormat="1"/>
    <x:row r="245" spans="1:12" s="3" customFormat="1"/>
    <x:row r="246" spans="1:12" s="1" customFormat="1"/>
    <x:row r="247" spans="1:12" s="4" customFormat="1"/>
    <x:row r="248" spans="1:12" s="3" customFormat="1"/>
    <x:row r="249" spans="1:12" s="1" customFormat="1"/>
    <x:row r="250" spans="1:12" s="4" customFormat="1"/>
    <x:row r="251" spans="1:12" s="3" customFormat="1"/>
    <x:row r="252" spans="1:12" s="1" customFormat="1"/>
    <x:row r="253" spans="1:12" s="4" customFormat="1"/>
    <x:row r="254" spans="1:12" s="3" customFormat="1"/>
    <x:row r="255" spans="1:12" s="1" customFormat="1"/>
    <x:row r="256" spans="1:12" s="4" customFormat="1"/>
    <x:row r="257" spans="1:12" s="3" customFormat="1"/>
    <x:row r="258" spans="1:12" s="1" customFormat="1"/>
    <x:row r="259" spans="1:12" s="4" customFormat="1"/>
    <x:row r="260" spans="1:12" s="3" customFormat="1"/>
    <x:row r="261" spans="1:12" s="1" customFormat="1"/>
    <x:row r="262" spans="1:12" s="4" customFormat="1"/>
    <x:row r="263" spans="1:12" s="3" customFormat="1"/>
    <x:row r="264" spans="1:12" s="1" customFormat="1"/>
    <x:row r="265" spans="1:12" s="4" customFormat="1"/>
    <x:row r="266" spans="1:12" s="3" customFormat="1"/>
    <x:row r="267" spans="1:12" s="1" customFormat="1"/>
    <x:row r="268" spans="1:12" s="4" customFormat="1"/>
    <x:row r="269" spans="1:12" s="3" customFormat="1"/>
    <x:row r="270" spans="1:12" s="1" customFormat="1"/>
    <x:row r="271" spans="1:12" s="4" customFormat="1"/>
    <x:row r="272" spans="1:12" s="3" customFormat="1"/>
    <x:row r="273" spans="1:12" s="1" customFormat="1"/>
    <x:row r="274" spans="1:12" s="4" customFormat="1"/>
    <x:row r="275" spans="1:12" s="3" customFormat="1"/>
    <x:row r="276" spans="1:12" s="1" customFormat="1"/>
    <x:row r="277" spans="1:12" s="4" customFormat="1"/>
    <x:row r="278" spans="1:12" s="3" customFormat="1"/>
    <x:row r="279" spans="1:12" s="1" customFormat="1"/>
    <x:row r="280" spans="1:12" s="4" customFormat="1"/>
    <x:row r="281" spans="1:12" s="3" customFormat="1"/>
    <x:row r="282" spans="1:12" s="1" customFormat="1"/>
    <x:row r="283" spans="1:12" s="4" customFormat="1"/>
    <x:row r="284" spans="1:12" s="3" customFormat="1"/>
    <x:row r="285" spans="1:12" s="1" customFormat="1"/>
    <x:row r="286" spans="1:12" s="4" customFormat="1"/>
    <x:row r="287" spans="1:12" s="3" customFormat="1"/>
    <x:row r="288" spans="1:12" s="1" customFormat="1"/>
    <x:row r="289" spans="1:12" s="4" customFormat="1"/>
    <x:row r="290" spans="1:12" s="3" customFormat="1"/>
    <x:row r="291" spans="1:12" s="1" customFormat="1"/>
    <x:row r="292" spans="1:12" s="4" customFormat="1"/>
    <x:row r="293" spans="1:12" s="3" customFormat="1"/>
    <x:row r="294" spans="1:12" s="1" customFormat="1"/>
    <x:row r="295" spans="1:12" s="4" customFormat="1"/>
    <x:row r="296" spans="1:12" s="3" customFormat="1"/>
    <x:row r="297" spans="1:12" s="1" customFormat="1"/>
    <x:row r="298" spans="1:12" s="4" customFormat="1"/>
    <x:row r="299" spans="1:12" s="3" customFormat="1"/>
    <x:row r="300" spans="1:12" s="1" customFormat="1"/>
    <x:row r="301" spans="1:12" s="4" customFormat="1"/>
    <x:row r="302" spans="1:12" s="3" customFormat="1"/>
    <x:row r="303" spans="1:12" s="1" customFormat="1"/>
    <x:row r="304" spans="1:12" s="4" customFormat="1"/>
    <x:row r="305" spans="1:12" s="3" customFormat="1"/>
    <x:row r="306" spans="1:12" s="1" customFormat="1"/>
    <x:row r="307" spans="1:12" s="4" customFormat="1"/>
  </x:sheetData>
  <x:hyperlinks>
    <x:hyperlink ref="C2" r:id="rId611" tooltip="Send a mail to info@flamingo.com.mt"/>
    <x:hyperlink ref="C3" r:id="rId612" tooltip="Send a mail to info@washingmachinesmalta.com"/>
    <x:hyperlink ref="C4" r:id="rId613" tooltip="Send a mail to info@topchoice.com.mt"/>
    <x:hyperlink ref="C5" r:id="rId614" tooltip="Send a mail to info@petroni.com.mt"/>
    <x:hyperlink ref="C6" r:id="rId615" tooltip="Send a mail to info@teckline.com.mt"/>
    <x:hyperlink ref="C7" r:id="rId616" tooltip="Send a mail to info@soundmachine.com.mt"/>
    <x:hyperlink ref="C8" r:id="rId617" tooltip="Send a mail to info@kcl.com.mt"/>
    <x:hyperlink ref="C9" r:id="rId618" tooltip="Send a mail to info@jshousehold.com"/>
    <x:hyperlink ref="C10" r:id="rId619" tooltip="Send a mail to info@hotpointmalta.com"/>
    <x:hyperlink ref="C11" r:id="rId620" tooltip="Send a mail to info@lava.mt"/>
    <x:hyperlink ref="C12" r:id="rId621" tooltip="Send a mail to info@crosscraft.com.mt"/>
    <x:hyperlink ref="C13" r:id="rId622" tooltip="Send a mail to info@audiomalta.com"/>
    <x:hyperlink ref="C14" r:id="rId623" tooltip="Send a mail to info@electrofix.com.mt"/>
    <x:hyperlink ref="C15" r:id="rId624" tooltip="Send a mail to info@atoz.com.mt"/>
    <x:hyperlink ref="C16" r:id="rId625" tooltip="Send a mail to info@forestals.com"/>
    <x:hyperlink ref="C17" r:id="rId626" tooltip="Send a mail to adriangrech@venturamalta.com"/>
    <x:hyperlink ref="C18" r:id="rId627" tooltip="Send a mail to info@kcl.com.mt"/>
    <x:hyperlink ref="C19" r:id="rId628" tooltip="Send a mail to info@kcl.com.mt"/>
    <x:hyperlink ref="C20" r:id="rId629" tooltip="Send a mail to tabletsandmoreelectronics@yahoo.com"/>
    <x:hyperlink ref="C21" r:id="rId630" tooltip="Send a mail to info@soundsmart.com.mt"/>
    <x:hyperlink ref="C22" r:id="rId631" tooltip="Send a mail to futurahomeappliances@gmail.com"/>
    <x:hyperlink ref="C23" r:id="rId632" tooltip="Send a mail to lorrainevassallofabri@gmail.com"/>
    <x:hyperlink ref="C24" r:id="rId633" tooltip="Send a mail to freddies@onvol.net"/>
    <x:hyperlink ref="E2" r:id="rId634" tooltip="Search Mrieħel, Malta on Google Maps"/>
    <x:hyperlink ref="E3" r:id="rId635" tooltip="Search Distribution Warehouse Center, Qormi, Malta on Google Maps"/>
    <x:hyperlink ref="E4" r:id="rId636" tooltip="Search Il-Ħamrun y San Pawl il-Baħar, Malta on Google Maps"/>
    <x:hyperlink ref="E5" r:id="rId637" tooltip="Search Msida, Malta on Google Maps"/>
    <x:hyperlink ref="E6" r:id="rId638" tooltip="Search Il-Ħamrun, Malta on Google Maps"/>
    <x:hyperlink ref="E7" r:id="rId639" tooltip="Search Psaila Street, Birkirkara, Malta on Google Maps"/>
    <x:hyperlink ref="E8" r:id="rId640" tooltip="Search 22, Triq Sant' Elija, Birkirkara, Fleur-De-Lys, Malta BKR 4942 on Google Maps"/>
    <x:hyperlink ref="E9" r:id="rId641" tooltip="Search 71, Triq Il-Buqexrem, Il-Fgura, Malta on Google Maps"/>
    <x:hyperlink ref="E10" r:id="rId642" tooltip="Search Valley Road, Birkirkara BKR9010, Malta on Google Maps"/>
    <x:hyperlink ref="E11" r:id="rId643" tooltip="Search Zachary House, Marsa Industrial Estate, Marsa MRS 3000, Malta on Google Maps"/>
    <x:hyperlink ref="E12" r:id="rId644" tooltip="Search Mriehel Bypass, Qormi, Malta on Google Maps"/>
    <x:hyperlink ref="E13" r:id="rId645" tooltip="Search 26C Triq Lispiera, Swieqi, Malta on Google Maps"/>
    <x:hyperlink ref="E14" r:id="rId646" tooltip="Search Triq il-Kanun, Qormi, Malta on Google Maps"/>
    <x:hyperlink ref="E15" r:id="rId647" tooltip="Search Valley Road, Msida, Malta on Google Maps"/>
    <x:hyperlink ref="E16" r:id="rId648" tooltip="Search Mrieħel Bypass, Birkirkara, Malta on Google Maps"/>
    <x:hyperlink ref="E17" r:id="rId649" tooltip="Search BLB 021 Qasam Industrijali, Bulebel ,&#10;Zejtun, Malta ZTN 3000 on Google Maps"/>
    <x:hyperlink ref="E18" r:id="rId650" tooltip="Search 6 Triq Alessju Xuereb ,&#10;San Gwann, Malta SGN 3057 on Google Maps"/>
    <x:hyperlink ref="E19" r:id="rId651" tooltip="Search 22, Triq Sant’ Elija ,&#10;B’Kara, Malta BKR 2064 on Google Maps"/>
    <x:hyperlink ref="E20" r:id="rId652" tooltip="Search 12 Triq il-Hammieri ,&#10;Qormi, Malta on Google Maps"/>
    <x:hyperlink ref="E21" r:id="rId653" tooltip="Search Triq il-Kostituzzjoni ,&#10;Mosta, Malta MST 9050 on Google Maps"/>
    <x:hyperlink ref="E22" r:id="rId654" tooltip="Search 220 Triq in-Naxxar ,&#10;San Gwann, Malta SGN 9030 on Google Maps"/>
    <x:hyperlink ref="E23" r:id="rId655" tooltip="Search 60, Triq Dun Filippo Calleja ,&#10;Zebbug, Malta on Google Maps"/>
    <x:hyperlink ref="E24" r:id="rId656" tooltip="Search Eucharistic Congress Road, Mosta, Malta on Google Maps"/>
    <x:hyperlink ref="F2" r:id="rId657" tooltip="Visit flamingo.com.mt"/>
    <x:hyperlink ref="F3" r:id="rId658" tooltip="Visit washingmachinesmalta.com"/>
    <x:hyperlink ref="F4" r:id="rId659" tooltip="Visit topchoice.com.mt"/>
    <x:hyperlink ref="F5" r:id="rId660" tooltip="Visit petroni.com.mt"/>
    <x:hyperlink ref="F6" r:id="rId661" tooltip="Visit teckline.com.mt"/>
    <x:hyperlink ref="F7" r:id="rId662" tooltip="Visit soundmachine.com.mt"/>
    <x:hyperlink ref="F8" r:id="rId663" tooltip="Visit kcl.com.m"/>
    <x:hyperlink ref="F9" r:id="rId664" tooltip="Visit jshousehold.com"/>
    <x:hyperlink ref="F10" r:id="rId665" tooltip="Visit hotpointmalta.com"/>
    <x:hyperlink ref="F11" r:id="rId666" tooltip="Visit lava.mt"/>
    <x:hyperlink ref="F12" r:id="rId667" tooltip="Visit crosscraft.com.mt"/>
    <x:hyperlink ref="F13" r:id="rId668" tooltip="Visit audiomalta.com"/>
    <x:hyperlink ref="F14" r:id="rId669" tooltip="Visit electrofixgroup.com/"/>
    <x:hyperlink ref="F15" r:id="rId670" tooltip="Visit atoz.com.mt"/>
    <x:hyperlink ref="F16" r:id="rId671" tooltip="Visit forestals.com"/>
    <x:hyperlink ref="F17" r:id="rId672" tooltip="Visit venturamalta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41"/>
  <x:sheetViews>
    <x:sheetView workbookViewId="0"/>
  </x:sheetViews>
  <x:sheetFormatPr defaultRowHeight="15"/>
  <x:cols>
    <x:col min="1" max="1" width="13.139196" style="0" customWidth="1"/>
    <x:col min="2" max="2" width="22.710625" style="0" customWidth="1"/>
    <x:col min="3" max="3" width="32.996339" style="0" customWidth="1"/>
    <x:col min="4" max="4" width="18.710625" style="0" customWidth="1"/>
    <x:col min="5" max="5" width="53.567768" style="0" customWidth="1"/>
    <x:col min="6" max="6" width="105.282054" style="0" customWidth="1"/>
    <x:col min="7" max="7" width="16.567768" style="0" customWidth="1"/>
    <x:col min="8" max="8" width="13.567768" style="0" customWidth="1"/>
    <x:col min="9" max="9" width="10.139196" style="0" customWidth="1"/>
    <x:col min="10" max="10" width="14.996339" style="0" customWidth="1"/>
    <x:col min="11" max="11" width="8.853482" style="0" customWidth="1"/>
    <x:col min="12" max="12" width="20.996339" style="0" customWidth="1"/>
  </x:cols>
  <x:sheetData>
    <x:row r="1" spans="1:12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1948</x:v>
      </x:c>
      <x:c r="H1" s="2" t="s">
        <x:v>1949</x:v>
      </x:c>
      <x:c r="I1" s="2" t="s">
        <x:v>1950</x:v>
      </x:c>
      <x:c r="J1" s="2" t="s">
        <x:v>1951</x:v>
      </x:c>
      <x:c r="K1" s="2" t="s">
        <x:v>5321</x:v>
      </x:c>
      <x:c r="L1" s="5">
        <x:f>HYPERLINK("#'Summary List'!A20", "Back to Summary")</x:f>
      </x:c>
    </x:row>
    <x:row r="2" spans="1:12" s="3" customFormat="1">
      <x:c r="A2" s="3" t="s">
        <x:v>954</x:v>
      </x:c>
      <x:c r="B2" s="3" t="s">
        <x:v>886</x:v>
      </x:c>
      <x:c r="C2" s="6" t="s">
        <x:v>905</x:v>
      </x:c>
      <x:c r="D2" s="7">
        <x:f>CONCATENATE(HYPERLINK("CALLTO:%2B356%202167%207798", "+356 2167 7798"))</x:f>
      </x:c>
      <x:c r="E2" s="6" t="s">
        <x:v>931</x:v>
      </x:c>
      <x:c r="F2" s="6" t="s">
        <x:v>951</x:v>
      </x:c>
      <x:c r="G2" s="3" t="s">
        <x:v>547</x:v>
      </x:c>
      <x:c r="H2" s="3" t="s">
        <x:v>547</x:v>
      </x:c>
      <x:c r="I2" s="3" t="s">
        <x:v>547</x:v>
      </x:c>
      <x:c r="J2" s="3" t="s">
        <x:v>547</x:v>
      </x:c>
      <x:c r="K2" s="3" t="s">
        <x:v>547</x:v>
      </x:c>
    </x:row>
    <x:row r="3" spans="1:12" s="1" customFormat="1">
      <x:c r="A3" s="1" t="s">
        <x:v>954</x:v>
      </x:c>
      <x:c r="B3" s="1" t="s">
        <x:v>558</x:v>
      </x:c>
      <x:c r="C3" s="8" t="s">
        <x:v>572</x:v>
      </x:c>
      <x:c r="D3" s="9">
        <x:f>CONCATENATE(HYPERLINK("CALLTO:%2B356%202549%203000", "+356 2549 3000"))</x:f>
      </x:c>
      <x:c r="E3" s="8" t="s">
        <x:v>929</x:v>
      </x:c>
      <x:c r="F3" s="8" t="s">
        <x:v>953</x:v>
      </x:c>
      <x:c r="G3" s="1" t="s">
        <x:v>547</x:v>
      </x:c>
      <x:c r="H3" s="1" t="s">
        <x:v>547</x:v>
      </x:c>
      <x:c r="I3" s="1" t="s">
        <x:v>547</x:v>
      </x:c>
      <x:c r="J3" s="1" t="s">
        <x:v>547</x:v>
      </x:c>
      <x:c r="K3" s="1" t="s">
        <x:v>547</x:v>
      </x:c>
    </x:row>
    <x:row r="4" spans="1:12" s="4" customFormat="1">
      <x:c r="A4" s="4" t="s">
        <x:v>954</x:v>
      </x:c>
      <x:c r="B4" s="4" t="s">
        <x:v>887</x:v>
      </x:c>
      <x:c r="C4" s="10" t="s">
        <x:v>904</x:v>
      </x:c>
      <x:c r="D4" s="11">
        <x:f>CONCATENATE(HYPERLINK("CALLTO:%2B356%202133%206600", "+356 2133 6600"))</x:f>
      </x:c>
      <x:c r="E4" s="10" t="s">
        <x:v>930</x:v>
      </x:c>
      <x:c r="F4" s="10" t="s">
        <x:v>952</x:v>
      </x:c>
      <x:c r="G4" s="4" t="s">
        <x:v>547</x:v>
      </x:c>
      <x:c r="H4" s="4" t="s">
        <x:v>547</x:v>
      </x:c>
      <x:c r="I4" s="4" t="s">
        <x:v>547</x:v>
      </x:c>
      <x:c r="J4" s="4" t="s">
        <x:v>547</x:v>
      </x:c>
      <x:c r="K4" s="4" t="s">
        <x:v>547</x:v>
      </x:c>
    </x:row>
    <x:row r="5" spans="1:12" s="3" customFormat="1">
      <x:c r="A5" s="3" t="s">
        <x:v>954</x:v>
      </x:c>
      <x:c r="B5" s="3" t="s">
        <x:v>883</x:v>
      </x:c>
      <x:c r="C5" s="6" t="s">
        <x:v>902</x:v>
      </x:c>
      <x:c r="D5" s="7">
        <x:f>CONCATENATE(HYPERLINK("CALLTO:%2B356%202180%205805", "+356 2180 5805"))</x:f>
      </x:c>
      <x:c r="E5" s="6" t="s">
        <x:v>926</x:v>
      </x:c>
      <x:c r="F5" s="6" t="s">
        <x:v>949</x:v>
      </x:c>
      <x:c r="G5" s="3" t="s">
        <x:v>547</x:v>
      </x:c>
      <x:c r="H5" s="3" t="s">
        <x:v>547</x:v>
      </x:c>
      <x:c r="I5" s="3" t="s">
        <x:v>547</x:v>
      </x:c>
      <x:c r="J5" s="3" t="s">
        <x:v>547</x:v>
      </x:c>
      <x:c r="K5" s="3" t="s">
        <x:v>547</x:v>
      </x:c>
    </x:row>
    <x:row r="6" spans="1:12" s="1" customFormat="1">
      <x:c r="A6" s="1" t="s">
        <x:v>954</x:v>
      </x:c>
      <x:c r="B6" s="1" t="s">
        <x:v>955</x:v>
      </x:c>
      <x:c r="C6" s="8" t="s">
        <x:v>570</x:v>
      </x:c>
      <x:c r="D6" s="9">
        <x:f>CONCATENATE(HYPERLINK("CALLTO:%2B356%202326%202000", "+356 2326 2000"))</x:f>
      </x:c>
      <x:c r="E6" s="8" t="s">
        <x:v>966</x:v>
      </x:c>
      <x:c r="F6" s="8" t="s">
        <x:v>910</x:v>
      </x:c>
      <x:c r="G6" s="1" t="s">
        <x:v>547</x:v>
      </x:c>
      <x:c r="H6" s="1" t="s">
        <x:v>548</x:v>
      </x:c>
      <x:c r="I6" s="1" t="s">
        <x:v>547</x:v>
      </x:c>
      <x:c r="J6" s="1" t="s">
        <x:v>547</x:v>
      </x:c>
      <x:c r="K6" s="1" t="s">
        <x:v>547</x:v>
      </x:c>
    </x:row>
    <x:row r="7" spans="1:12" s="4" customFormat="1">
      <x:c r="A7" s="4" t="s">
        <x:v>954</x:v>
      </x:c>
      <x:c r="B7" s="4" t="s">
        <x:v>880</x:v>
      </x:c>
      <x:c r="C7" s="10" t="s">
        <x:v>900</x:v>
      </x:c>
      <x:c r="D7" s="11">
        <x:f>CONCATENATE(HYPERLINK("CALLTO:%2B356%202343%206345", "+356 2343 6345"))</x:f>
      </x:c>
      <x:c r="E7" s="10" t="s">
        <x:v>924</x:v>
      </x:c>
      <x:c r="F7" s="10" t="s">
        <x:v>947</x:v>
      </x:c>
      <x:c r="G7" s="4" t="s">
        <x:v>547</x:v>
      </x:c>
      <x:c r="H7" s="4" t="s">
        <x:v>547</x:v>
      </x:c>
      <x:c r="I7" s="4" t="s">
        <x:v>547</x:v>
      </x:c>
      <x:c r="J7" s="4" t="s">
        <x:v>547</x:v>
      </x:c>
      <x:c r="K7" s="4" t="s">
        <x:v>547</x:v>
      </x:c>
    </x:row>
    <x:row r="8" spans="1:12" s="3" customFormat="1">
      <x:c r="A8" s="3" t="s">
        <x:v>954</x:v>
      </x:c>
      <x:c r="B8" s="3" t="s">
        <x:v>879</x:v>
      </x:c>
      <x:c r="C8" s="6" t="s">
        <x:v>898</x:v>
      </x:c>
      <x:c r="D8" s="7">
        <x:f>CONCATENATE(HYPERLINK("CALLTO:%2B356%202149%203285", "+356 2149 3285"))</x:f>
      </x:c>
      <x:c r="E8" s="6" t="s">
        <x:v>922</x:v>
      </x:c>
      <x:c r="F8" s="6" t="s">
        <x:v>5250</x:v>
      </x:c>
      <x:c r="G8" s="3" t="s">
        <x:v>547</x:v>
      </x:c>
      <x:c r="H8" s="3" t="s">
        <x:v>547</x:v>
      </x:c>
      <x:c r="I8" s="3" t="s">
        <x:v>547</x:v>
      </x:c>
      <x:c r="J8" s="3" t="s">
        <x:v>547</x:v>
      </x:c>
      <x:c r="K8" s="3" t="s">
        <x:v>547</x:v>
      </x:c>
    </x:row>
    <x:row r="9" spans="1:12" s="1" customFormat="1">
      <x:c r="A9" s="1" t="s">
        <x:v>954</x:v>
      </x:c>
      <x:c r="B9" s="1" t="s">
        <x:v>956</x:v>
      </x:c>
      <x:c r="C9" s="8" t="s">
        <x:v>897</x:v>
      </x:c>
      <x:c r="D9" s="9">
        <x:f>CONCATENATE(HYPERLINK("CALLTO:%2B356%202149%207111", "+356 2149 7111"))</x:f>
      </x:c>
      <x:c r="E9" s="8" t="s">
        <x:v>921</x:v>
      </x:c>
      <x:c r="F9" s="8" t="s">
        <x:v>944</x:v>
      </x:c>
      <x:c r="G9" s="1" t="s">
        <x:v>547</x:v>
      </x:c>
      <x:c r="H9" s="1" t="s">
        <x:v>547</x:v>
      </x:c>
      <x:c r="I9" s="1" t="s">
        <x:v>547</x:v>
      </x:c>
      <x:c r="J9" s="1" t="s">
        <x:v>547</x:v>
      </x:c>
      <x:c r="K9" s="1" t="s">
        <x:v>547</x:v>
      </x:c>
    </x:row>
    <x:row r="10" spans="1:12" s="4" customFormat="1">
      <x:c r="A10" s="4" t="s">
        <x:v>954</x:v>
      </x:c>
      <x:c r="B10" s="4" t="s">
        <x:v>876</x:v>
      </x:c>
      <x:c r="C10" s="10" t="s">
        <x:v>895</x:v>
      </x:c>
      <x:c r="D10" s="11">
        <x:f>CONCATENATE(HYPERLINK("CALLTO:%2B356%202133%202233", "+356 2133 2233"))</x:f>
      </x:c>
      <x:c r="E10" s="10" t="s">
        <x:v>919</x:v>
      </x:c>
      <x:c r="F10" s="10" t="s">
        <x:v>942</x:v>
      </x:c>
      <x:c r="G10" s="4" t="s">
        <x:v>547</x:v>
      </x:c>
      <x:c r="H10" s="4" t="s">
        <x:v>547</x:v>
      </x:c>
      <x:c r="I10" s="4" t="s">
        <x:v>547</x:v>
      </x:c>
      <x:c r="J10" s="4" t="s">
        <x:v>547</x:v>
      </x:c>
      <x:c r="K10" s="4" t="s">
        <x:v>547</x:v>
      </x:c>
    </x:row>
    <x:row r="11" spans="1:12" s="3" customFormat="1">
      <x:c r="A11" s="3" t="s">
        <x:v>954</x:v>
      </x:c>
      <x:c r="B11" s="3" t="s">
        <x:v>559</x:v>
      </x:c>
      <x:c r="C11" s="6" t="s">
        <x:v>573</x:v>
      </x:c>
      <x:c r="D11" s="7">
        <x:f>CONCATENATE(HYPERLINK("CALLTO:%2B356%202123%204567", "+356 2123 4567"))</x:f>
      </x:c>
      <x:c r="E11" s="6" t="s">
        <x:v>918</x:v>
      </x:c>
      <x:c r="F11" s="6" t="s">
        <x:v>941</x:v>
      </x:c>
      <x:c r="G11" s="3" t="s">
        <x:v>547</x:v>
      </x:c>
      <x:c r="H11" s="3" t="s">
        <x:v>547</x:v>
      </x:c>
      <x:c r="I11" s="3" t="s">
        <x:v>547</x:v>
      </x:c>
      <x:c r="J11" s="3" t="s">
        <x:v>547</x:v>
      </x:c>
      <x:c r="K11" s="3" t="s">
        <x:v>547</x:v>
      </x:c>
    </x:row>
    <x:row r="12" spans="1:12" s="1" customFormat="1">
      <x:c r="A12" s="1" t="s">
        <x:v>954</x:v>
      </x:c>
      <x:c r="B12" s="1" t="s">
        <x:v>875</x:v>
      </x:c>
      <x:c r="C12" s="8" t="s">
        <x:v>894</x:v>
      </x:c>
      <x:c r="D12" s="9">
        <x:f>CONCATENATE(HYPERLINK("CALLTO:%2B356%202144%203333", "+356 2144 3333"))</x:f>
      </x:c>
      <x:c r="E12" s="8" t="s">
        <x:v>917</x:v>
      </x:c>
      <x:c r="F12" s="8" t="s">
        <x:v>939</x:v>
      </x:c>
      <x:c r="G12" s="1" t="s">
        <x:v>547</x:v>
      </x:c>
      <x:c r="H12" s="1" t="s">
        <x:v>547</x:v>
      </x:c>
      <x:c r="I12" s="1" t="s">
        <x:v>547</x:v>
      </x:c>
      <x:c r="J12" s="1" t="s">
        <x:v>547</x:v>
      </x:c>
      <x:c r="K12" s="1" t="s">
        <x:v>547</x:v>
      </x:c>
    </x:row>
    <x:row r="13" spans="1:12" s="4" customFormat="1">
      <x:c r="A13" s="4" t="s">
        <x:v>954</x:v>
      </x:c>
      <x:c r="B13" s="4" t="s">
        <x:v>957</x:v>
      </x:c>
      <x:c r="C13" s="10" t="s">
        <x:v>962</x:v>
      </x:c>
      <x:c r="D13" s="11">
        <x:f>CONCATENATE(HYPERLINK("CALLTO:%2B356%202137%207172", "+356 2137 7172"))</x:f>
      </x:c>
      <x:c r="E13" s="10" t="s">
        <x:v>967</x:v>
      </x:c>
      <x:c r="F13" s="10" t="s">
        <x:v>945</x:v>
      </x:c>
      <x:c r="G13" s="4" t="s">
        <x:v>547</x:v>
      </x:c>
      <x:c r="H13" s="4" t="s">
        <x:v>547</x:v>
      </x:c>
      <x:c r="I13" s="4" t="s">
        <x:v>547</x:v>
      </x:c>
      <x:c r="J13" s="4" t="s">
        <x:v>547</x:v>
      </x:c>
      <x:c r="K13" s="4" t="s">
        <x:v>547</x:v>
      </x:c>
    </x:row>
    <x:row r="14" spans="1:12" s="3" customFormat="1">
      <x:c r="A14" s="3" t="s">
        <x:v>954</x:v>
      </x:c>
      <x:c r="B14" s="3" t="s">
        <x:v>958</x:v>
      </x:c>
      <x:c r="C14" s="6" t="s">
        <x:v>963</x:v>
      </x:c>
      <x:c r="D14" s="7">
        <x:f>CONCATENATE(HYPERLINK("CALLTO:%2B356%202125%207346", "+356 2125 7346"))</x:f>
      </x:c>
      <x:c r="E14" s="6" t="s">
        <x:v>968</x:v>
      </x:c>
      <x:c r="F14" s="6" t="s">
        <x:v>971</x:v>
      </x:c>
      <x:c r="G14" s="3" t="s">
        <x:v>547</x:v>
      </x:c>
      <x:c r="H14" s="3" t="s">
        <x:v>547</x:v>
      </x:c>
      <x:c r="I14" s="3" t="s">
        <x:v>547</x:v>
      </x:c>
      <x:c r="J14" s="3" t="s">
        <x:v>547</x:v>
      </x:c>
      <x:c r="K14" s="3" t="s">
        <x:v>547</x:v>
      </x:c>
    </x:row>
    <x:row r="15" spans="1:12" s="1" customFormat="1">
      <x:c r="A15" s="1" t="s">
        <x:v>954</x:v>
      </x:c>
      <x:c r="B15" s="1" t="s">
        <x:v>959</x:v>
      </x:c>
      <x:c r="C15" s="8" t="s">
        <x:v>964</x:v>
      </x:c>
      <x:c r="D15" s="9">
        <x:f>CONCATENATE(HYPERLINK("CALLTO:%2B356%202166%203329", "+356 2166 3329"))</x:f>
      </x:c>
      <x:c r="E15" s="8" t="s">
        <x:v>969</x:v>
      </x:c>
      <x:c r="F15" s="8" t="s">
        <x:v>972</x:v>
      </x:c>
      <x:c r="G15" s="1" t="s">
        <x:v>547</x:v>
      </x:c>
      <x:c r="H15" s="1" t="s">
        <x:v>547</x:v>
      </x:c>
      <x:c r="I15" s="1" t="s">
        <x:v>547</x:v>
      </x:c>
      <x:c r="J15" s="1" t="s">
        <x:v>547</x:v>
      </x:c>
      <x:c r="K15" s="1" t="s">
        <x:v>547</x:v>
      </x:c>
    </x:row>
    <x:row r="16" spans="1:12" s="4" customFormat="1">
      <x:c r="A16" s="4" t="s">
        <x:v>954</x:v>
      </x:c>
      <x:c r="B16" s="4" t="s">
        <x:v>960</x:v>
      </x:c>
      <x:c r="C16" s="10" t="s">
        <x:v>965</x:v>
      </x:c>
      <x:c r="D16" s="11">
        <x:f>CONCATENATE(HYPERLINK("CALLTO:%2B356%209978%205765", "+356 9978 5765"))</x:f>
      </x:c>
      <x:c r="E16" s="10" t="s">
        <x:v>970</x:v>
      </x:c>
      <x:c r="F16" s="10" t="s">
        <x:v>973</x:v>
      </x:c>
      <x:c r="G16" s="4" t="s">
        <x:v>547</x:v>
      </x:c>
      <x:c r="H16" s="4" t="s">
        <x:v>547</x:v>
      </x:c>
      <x:c r="I16" s="4" t="s">
        <x:v>547</x:v>
      </x:c>
      <x:c r="J16" s="4" t="s">
        <x:v>547</x:v>
      </x:c>
      <x:c r="K16" s="4" t="s">
        <x:v>547</x:v>
      </x:c>
    </x:row>
    <x:row r="17" spans="1:12" s="3" customFormat="1">
      <x:c r="A17" s="3" t="s">
        <x:v>954</x:v>
      </x:c>
      <x:c r="B17" s="3" t="s">
        <x:v>961</x:v>
      </x:c>
      <x:c r="G17" s="3" t="s">
        <x:v>547</x:v>
      </x:c>
      <x:c r="H17" s="3" t="s">
        <x:v>547</x:v>
      </x:c>
      <x:c r="I17" s="3" t="s">
        <x:v>547</x:v>
      </x:c>
      <x:c r="J17" s="3" t="s">
        <x:v>547</x:v>
      </x:c>
      <x:c r="K17" s="3" t="s">
        <x:v>547</x:v>
      </x:c>
    </x:row>
    <x:row r="18" spans="1:12" s="1" customFormat="1">
      <x:c r="A18" s="1" t="s">
        <x:v>954</x:v>
      </x:c>
      <x:c r="B18" s="1" t="s">
        <x:v>959</x:v>
      </x:c>
      <x:c r="G18" s="1" t="s">
        <x:v>547</x:v>
      </x:c>
      <x:c r="H18" s="1" t="s">
        <x:v>547</x:v>
      </x:c>
      <x:c r="I18" s="1" t="s">
        <x:v>547</x:v>
      </x:c>
      <x:c r="J18" s="1" t="s">
        <x:v>547</x:v>
      </x:c>
      <x:c r="K18" s="1" t="s">
        <x:v>547</x:v>
      </x:c>
    </x:row>
    <x:row r="19" spans="1:12" s="4" customFormat="1"/>
    <x:row r="20" spans="1:12" s="3" customFormat="1"/>
    <x:row r="21" spans="1:12" s="1" customFormat="1"/>
    <x:row r="22" spans="1:12" s="4" customFormat="1"/>
    <x:row r="23" spans="1:12" s="3" customFormat="1"/>
    <x:row r="24" spans="1:12" s="1" customFormat="1"/>
    <x:row r="25" spans="1:12" s="4" customFormat="1"/>
    <x:row r="26" spans="1:12" s="3" customFormat="1"/>
    <x:row r="27" spans="1:12" s="1" customFormat="1"/>
    <x:row r="28" spans="1:12" s="4" customFormat="1"/>
    <x:row r="29" spans="1:12" s="3" customFormat="1"/>
    <x:row r="30" spans="1:12" s="1" customFormat="1"/>
    <x:row r="31" spans="1:12" s="4" customFormat="1"/>
    <x:row r="32" spans="1:12" s="3" customFormat="1"/>
    <x:row r="33" spans="1:12" s="1" customFormat="1"/>
    <x:row r="34" spans="1:12" s="4" customFormat="1"/>
    <x:row r="35" spans="1:12" s="3" customFormat="1"/>
    <x:row r="36" spans="1:12" s="1" customFormat="1"/>
    <x:row r="37" spans="1:12" s="4" customFormat="1"/>
    <x:row r="38" spans="1:12" s="3" customFormat="1"/>
    <x:row r="39" spans="1:12" s="1" customFormat="1"/>
    <x:row r="40" spans="1:12" s="4" customFormat="1"/>
    <x:row r="41" spans="1:12" s="3" customFormat="1"/>
    <x:row r="42" spans="1:12" s="1" customFormat="1"/>
    <x:row r="43" spans="1:12" s="4" customFormat="1"/>
    <x:row r="44" spans="1:12" s="3" customFormat="1"/>
    <x:row r="45" spans="1:12" s="1" customFormat="1"/>
    <x:row r="46" spans="1:12" s="4" customFormat="1"/>
    <x:row r="47" spans="1:12" s="3" customFormat="1"/>
    <x:row r="48" spans="1:12" s="1" customFormat="1"/>
    <x:row r="49" spans="1:12" s="4" customFormat="1"/>
    <x:row r="50" spans="1:12" s="3" customFormat="1"/>
    <x:row r="51" spans="1:12" s="1" customFormat="1"/>
    <x:row r="52" spans="1:12" s="4" customFormat="1"/>
    <x:row r="53" spans="1:12" s="3" customFormat="1"/>
    <x:row r="54" spans="1:12" s="1" customFormat="1"/>
    <x:row r="55" spans="1:12" s="4" customFormat="1"/>
    <x:row r="56" spans="1:12" s="3" customFormat="1"/>
    <x:row r="57" spans="1:12" s="1" customFormat="1"/>
    <x:row r="58" spans="1:12" s="4" customFormat="1"/>
    <x:row r="59" spans="1:12" s="3" customFormat="1"/>
    <x:row r="60" spans="1:12" s="1" customFormat="1"/>
    <x:row r="61" spans="1:12" s="4" customFormat="1"/>
    <x:row r="62" spans="1:12" s="3" customFormat="1"/>
    <x:row r="63" spans="1:12" s="1" customFormat="1"/>
    <x:row r="64" spans="1:12" s="4" customFormat="1"/>
    <x:row r="65" spans="1:12" s="3" customFormat="1"/>
    <x:row r="66" spans="1:12" s="1" customFormat="1"/>
    <x:row r="67" spans="1:12" s="4" customFormat="1"/>
    <x:row r="68" spans="1:12" s="3" customFormat="1"/>
    <x:row r="69" spans="1:12" s="1" customFormat="1"/>
    <x:row r="70" spans="1:12" s="4" customFormat="1"/>
    <x:row r="71" spans="1:12" s="3" customFormat="1"/>
    <x:row r="72" spans="1:12" s="1" customFormat="1"/>
    <x:row r="73" spans="1:12" s="4" customFormat="1"/>
    <x:row r="74" spans="1:12" s="3" customFormat="1"/>
    <x:row r="75" spans="1:12" s="1" customFormat="1"/>
    <x:row r="76" spans="1:12" s="4" customFormat="1"/>
    <x:row r="77" spans="1:12" s="3" customFormat="1"/>
    <x:row r="78" spans="1:12" s="1" customFormat="1"/>
    <x:row r="79" spans="1:12" s="4" customFormat="1"/>
    <x:row r="80" spans="1:12" s="3" customFormat="1"/>
    <x:row r="81" spans="1:12" s="1" customFormat="1"/>
    <x:row r="82" spans="1:12" s="4" customFormat="1"/>
    <x:row r="83" spans="1:12" s="3" customFormat="1"/>
    <x:row r="84" spans="1:12" s="1" customFormat="1"/>
    <x:row r="85" spans="1:12" s="4" customFormat="1"/>
    <x:row r="86" spans="1:12" s="3" customFormat="1"/>
    <x:row r="87" spans="1:12" s="1" customFormat="1"/>
    <x:row r="88" spans="1:12" s="4" customFormat="1"/>
    <x:row r="89" spans="1:12" s="3" customFormat="1"/>
    <x:row r="90" spans="1:12" s="1" customFormat="1"/>
    <x:row r="91" spans="1:12" s="4" customFormat="1"/>
    <x:row r="92" spans="1:12" s="3" customFormat="1"/>
    <x:row r="93" spans="1:12" s="1" customFormat="1"/>
    <x:row r="94" spans="1:12" s="4" customFormat="1"/>
    <x:row r="95" spans="1:12" s="3" customFormat="1"/>
    <x:row r="96" spans="1:12" s="1" customFormat="1"/>
    <x:row r="97" spans="1:12" s="4" customFormat="1"/>
    <x:row r="98" spans="1:12" s="3" customFormat="1"/>
    <x:row r="99" spans="1:12" s="1" customFormat="1"/>
    <x:row r="100" spans="1:12" s="4" customFormat="1"/>
    <x:row r="101" spans="1:12" s="3" customFormat="1"/>
    <x:row r="102" spans="1:12" s="1" customFormat="1"/>
    <x:row r="103" spans="1:12" s="4" customFormat="1"/>
    <x:row r="104" spans="1:12" s="3" customFormat="1"/>
    <x:row r="105" spans="1:12" s="1" customFormat="1"/>
    <x:row r="106" spans="1:12" s="4" customFormat="1"/>
    <x:row r="107" spans="1:12" s="3" customFormat="1"/>
    <x:row r="108" spans="1:12" s="1" customFormat="1"/>
    <x:row r="109" spans="1:12" s="4" customFormat="1"/>
    <x:row r="110" spans="1:12" s="3" customFormat="1"/>
    <x:row r="111" spans="1:12" s="1" customFormat="1"/>
    <x:row r="112" spans="1:12" s="4" customFormat="1"/>
    <x:row r="113" spans="1:12" s="3" customFormat="1"/>
    <x:row r="114" spans="1:12" s="1" customFormat="1"/>
    <x:row r="115" spans="1:12" s="4" customFormat="1"/>
    <x:row r="116" spans="1:12" s="3" customFormat="1"/>
    <x:row r="117" spans="1:12" s="1" customFormat="1"/>
    <x:row r="118" spans="1:12" s="4" customFormat="1"/>
    <x:row r="119" spans="1:12" s="3" customFormat="1"/>
    <x:row r="120" spans="1:12" s="1" customFormat="1"/>
    <x:row r="121" spans="1:12" s="4" customFormat="1"/>
    <x:row r="122" spans="1:12" s="3" customFormat="1"/>
    <x:row r="123" spans="1:12" s="1" customFormat="1"/>
    <x:row r="124" spans="1:12" s="4" customFormat="1"/>
    <x:row r="125" spans="1:12" s="3" customFormat="1"/>
    <x:row r="126" spans="1:12" s="1" customFormat="1"/>
    <x:row r="127" spans="1:12" s="4" customFormat="1"/>
    <x:row r="128" spans="1:12" s="3" customFormat="1"/>
    <x:row r="129" spans="1:12" s="1" customFormat="1"/>
    <x:row r="130" spans="1:12" s="4" customFormat="1"/>
    <x:row r="131" spans="1:12" s="3" customFormat="1"/>
    <x:row r="132" spans="1:12" s="1" customFormat="1"/>
    <x:row r="133" spans="1:12" s="4" customFormat="1"/>
    <x:row r="134" spans="1:12" s="3" customFormat="1"/>
    <x:row r="135" spans="1:12" s="1" customFormat="1"/>
    <x:row r="136" spans="1:12" s="4" customFormat="1"/>
    <x:row r="137" spans="1:12" s="3" customFormat="1"/>
    <x:row r="138" spans="1:12" s="1" customFormat="1"/>
    <x:row r="139" spans="1:12" s="4" customFormat="1"/>
    <x:row r="140" spans="1:12" s="3" customFormat="1"/>
    <x:row r="141" spans="1:12" s="1" customFormat="1"/>
    <x:row r="142" spans="1:12" s="4" customFormat="1"/>
    <x:row r="143" spans="1:12" s="3" customFormat="1"/>
    <x:row r="144" spans="1:12" s="1" customFormat="1"/>
    <x:row r="145" spans="1:12" s="4" customFormat="1"/>
    <x:row r="146" spans="1:12" s="3" customFormat="1"/>
    <x:row r="147" spans="1:12" s="1" customFormat="1"/>
    <x:row r="148" spans="1:12" s="4" customFormat="1"/>
    <x:row r="149" spans="1:12" s="3" customFormat="1"/>
    <x:row r="150" spans="1:12" s="1" customFormat="1"/>
    <x:row r="151" spans="1:12" s="4" customFormat="1"/>
    <x:row r="152" spans="1:12" s="3" customFormat="1"/>
    <x:row r="153" spans="1:12" s="1" customFormat="1"/>
    <x:row r="154" spans="1:12" s="4" customFormat="1"/>
    <x:row r="155" spans="1:12" s="3" customFormat="1"/>
    <x:row r="156" spans="1:12" s="1" customFormat="1"/>
    <x:row r="157" spans="1:12" s="4" customFormat="1"/>
    <x:row r="158" spans="1:12" s="3" customFormat="1"/>
    <x:row r="159" spans="1:12" s="1" customFormat="1"/>
    <x:row r="160" spans="1:12" s="4" customFormat="1"/>
    <x:row r="161" spans="1:12" s="3" customFormat="1"/>
    <x:row r="162" spans="1:12" s="1" customFormat="1"/>
    <x:row r="163" spans="1:12" s="4" customFormat="1"/>
    <x:row r="164" spans="1:12" s="3" customFormat="1"/>
    <x:row r="165" spans="1:12" s="1" customFormat="1"/>
    <x:row r="166" spans="1:12" s="4" customFormat="1"/>
    <x:row r="167" spans="1:12" s="3" customFormat="1"/>
    <x:row r="168" spans="1:12" s="1" customFormat="1"/>
    <x:row r="169" spans="1:12" s="4" customFormat="1"/>
    <x:row r="170" spans="1:12" s="3" customFormat="1"/>
    <x:row r="171" spans="1:12" s="1" customFormat="1"/>
    <x:row r="172" spans="1:12" s="4" customFormat="1"/>
    <x:row r="173" spans="1:12" s="3" customFormat="1"/>
    <x:row r="174" spans="1:12" s="1" customFormat="1"/>
    <x:row r="175" spans="1:12" s="4" customFormat="1"/>
    <x:row r="176" spans="1:12" s="3" customFormat="1"/>
    <x:row r="177" spans="1:12" s="1" customFormat="1"/>
    <x:row r="178" spans="1:12" s="4" customFormat="1"/>
    <x:row r="179" spans="1:12" s="3" customFormat="1"/>
    <x:row r="180" spans="1:12" s="1" customFormat="1"/>
    <x:row r="181" spans="1:12" s="4" customFormat="1"/>
    <x:row r="182" spans="1:12" s="3" customFormat="1"/>
    <x:row r="183" spans="1:12" s="1" customFormat="1"/>
    <x:row r="184" spans="1:12" s="4" customFormat="1"/>
    <x:row r="185" spans="1:12" s="3" customFormat="1"/>
    <x:row r="186" spans="1:12" s="1" customFormat="1"/>
    <x:row r="187" spans="1:12" s="4" customFormat="1"/>
    <x:row r="188" spans="1:12" s="3" customFormat="1"/>
    <x:row r="189" spans="1:12" s="1" customFormat="1"/>
    <x:row r="190" spans="1:12" s="4" customFormat="1"/>
    <x:row r="191" spans="1:12" s="3" customFormat="1"/>
    <x:row r="192" spans="1:12" s="1" customFormat="1"/>
    <x:row r="193" spans="1:12" s="4" customFormat="1"/>
    <x:row r="194" spans="1:12" s="3" customFormat="1"/>
    <x:row r="195" spans="1:12" s="1" customFormat="1"/>
    <x:row r="196" spans="1:12" s="4" customFormat="1"/>
    <x:row r="197" spans="1:12" s="3" customFormat="1"/>
    <x:row r="198" spans="1:12" s="1" customFormat="1"/>
    <x:row r="199" spans="1:12" s="4" customFormat="1"/>
    <x:row r="200" spans="1:12" s="3" customFormat="1"/>
    <x:row r="201" spans="1:12" s="1" customFormat="1"/>
    <x:row r="202" spans="1:12" s="4" customFormat="1"/>
    <x:row r="203" spans="1:12" s="3" customFormat="1"/>
    <x:row r="204" spans="1:12" s="1" customFormat="1"/>
    <x:row r="205" spans="1:12" s="4" customFormat="1"/>
    <x:row r="206" spans="1:12" s="3" customFormat="1"/>
    <x:row r="207" spans="1:12" s="1" customFormat="1"/>
    <x:row r="208" spans="1:12" s="4" customFormat="1"/>
    <x:row r="209" spans="1:12" s="3" customFormat="1"/>
    <x:row r="210" spans="1:12" s="1" customFormat="1"/>
    <x:row r="211" spans="1:12" s="4" customFormat="1"/>
    <x:row r="212" spans="1:12" s="3" customFormat="1"/>
    <x:row r="213" spans="1:12" s="1" customFormat="1"/>
    <x:row r="214" spans="1:12" s="4" customFormat="1"/>
    <x:row r="215" spans="1:12" s="3" customFormat="1"/>
    <x:row r="216" spans="1:12" s="1" customFormat="1"/>
    <x:row r="217" spans="1:12" s="4" customFormat="1"/>
    <x:row r="218" spans="1:12" s="3" customFormat="1"/>
    <x:row r="219" spans="1:12" s="1" customFormat="1"/>
    <x:row r="220" spans="1:12" s="4" customFormat="1"/>
    <x:row r="221" spans="1:12" s="3" customFormat="1"/>
    <x:row r="222" spans="1:12" s="1" customFormat="1"/>
    <x:row r="223" spans="1:12" s="4" customFormat="1"/>
    <x:row r="224" spans="1:12" s="3" customFormat="1"/>
    <x:row r="225" spans="1:12" s="1" customFormat="1"/>
    <x:row r="226" spans="1:12" s="4" customFormat="1"/>
    <x:row r="227" spans="1:12" s="3" customFormat="1"/>
    <x:row r="228" spans="1:12" s="1" customFormat="1"/>
    <x:row r="229" spans="1:12" s="4" customFormat="1"/>
    <x:row r="230" spans="1:12" s="3" customFormat="1"/>
    <x:row r="231" spans="1:12" s="1" customFormat="1"/>
    <x:row r="232" spans="1:12" s="4" customFormat="1"/>
    <x:row r="233" spans="1:12" s="3" customFormat="1"/>
    <x:row r="234" spans="1:12" s="1" customFormat="1"/>
    <x:row r="235" spans="1:12" s="4" customFormat="1"/>
    <x:row r="236" spans="1:12" s="3" customFormat="1"/>
    <x:row r="237" spans="1:12" s="1" customFormat="1"/>
    <x:row r="238" spans="1:12" s="4" customFormat="1"/>
    <x:row r="239" spans="1:12" s="3" customFormat="1"/>
    <x:row r="240" spans="1:12" s="1" customFormat="1"/>
    <x:row r="241" spans="1:12" s="4" customFormat="1"/>
  </x:sheetData>
  <x:hyperlinks>
    <x:hyperlink ref="C2" r:id="rId673" tooltip="Send a mail to adriangrech@venturamalta.com"/>
    <x:hyperlink ref="C3" r:id="rId674" tooltip="Send a mail to info@forestals.com"/>
    <x:hyperlink ref="C4" r:id="rId675" tooltip="Send a mail to info@atoz.com.mt"/>
    <x:hyperlink ref="C5" r:id="rId676" tooltip="Send a mail to info@crosscraft.com.mt"/>
    <x:hyperlink ref="C6" r:id="rId677" tooltip="Send a mail to customercare@homemate.com.mt"/>
    <x:hyperlink ref="C7" r:id="rId678" tooltip="Send a mail to info@hotpointmalta.com"/>
    <x:hyperlink ref="C8" r:id="rId679" tooltip="Send a mail to info@kcl.com.mt"/>
    <x:hyperlink ref="C9" r:id="rId680" tooltip="Send a mail to info@soundmachine.com.mt"/>
    <x:hyperlink ref="C10" r:id="rId681" tooltip="Send a mail to info@petroni.com.mt"/>
    <x:hyperlink ref="C11" r:id="rId682" tooltip="Send a mail to info@topchoice.com.mt"/>
    <x:hyperlink ref="C12" r:id="rId683" tooltip="Send a mail to info@flamingo.com.mt"/>
    <x:hyperlink ref="C13" r:id="rId684" tooltip="Send a mail to info@vitelmalta.com"/>
    <x:hyperlink ref="C14" r:id="rId685" tooltip="Send a mail to info@triplea.mt"/>
    <x:hyperlink ref="C15" r:id="rId686" tooltip="Send a mail to paulsonmalta@gmail.com"/>
    <x:hyperlink ref="C16" r:id="rId687" tooltip="Send a mail to info@prochimps.com"/>
    <x:hyperlink ref="E2" r:id="rId688" tooltip="Search BLB 021 Qasam Industrijali, Bulebel ,&#10;Zejtun, Malta ZTN 3000 on Google Maps"/>
    <x:hyperlink ref="E3" r:id="rId689" tooltip="Search Mrieħel Bypass, Birkirkara, Malta on Google Maps"/>
    <x:hyperlink ref="E4" r:id="rId690" tooltip="Search Valley Road, Msida, Malta on Google Maps"/>
    <x:hyperlink ref="E5" r:id="rId691" tooltip="Search Mriehel Bypass, Qormi, Malta on Google Maps"/>
    <x:hyperlink ref="E6" r:id="rId692" tooltip="Search Mriehel on Google Maps"/>
    <x:hyperlink ref="E7" r:id="rId693" tooltip="Search Valley Road, Birkirkara BKR9010, Malta on Google Maps"/>
    <x:hyperlink ref="E8" r:id="rId694" tooltip="Search 22, Triq Sant' Elija, Birkirkara, Fleur-De-Lys, Malta BKR 4942 on Google Maps"/>
    <x:hyperlink ref="E9" r:id="rId695" tooltip="Search Psaila Street, Birkirkara, Malta on Google Maps"/>
    <x:hyperlink ref="E10" r:id="rId696" tooltip="Search Msida, Malta on Google Maps"/>
    <x:hyperlink ref="E11" r:id="rId697" tooltip="Search Il-Ħamrun y San Pawl il-Baħar, Malta on Google Maps"/>
    <x:hyperlink ref="E12" r:id="rId698" tooltip="Search Mrieħel, Malta on Google Maps"/>
    <x:hyperlink ref="E13" r:id="rId699" tooltip="Search Triq R. Caruana Dingli San Gwann, SGN 1035 Malta. on Google Maps"/>
    <x:hyperlink ref="E14" r:id="rId700" tooltip="Search Triple A Luqa&#10;1, St. Thomas Street,, Ħal Luqa LQA 9031 on Google Maps"/>
    <x:hyperlink ref="E15" r:id="rId701" tooltip="Search Paulson Home &amp; Hi-Fi Centre,&#10;Bir Deheb Road, Zejtun,&#10;Malta on Google Maps"/>
    <x:hyperlink ref="E16" r:id="rId702" tooltip="Search Santa Venera, Canon Road, Malta on Google Maps"/>
    <x:hyperlink ref="F2" r:id="rId703" tooltip="Visit venturamalta.com"/>
    <x:hyperlink ref="F3" r:id="rId704" tooltip="Visit forestals.com"/>
    <x:hyperlink ref="F4" r:id="rId705" tooltip="Visit atoz.com.mt"/>
    <x:hyperlink ref="F5" r:id="rId706" tooltip="Visit crosscraft.com.mt"/>
    <x:hyperlink ref="F6" r:id="rId707" tooltip="Visit homemate.com.mt/product/midea-free-standing-tumble-dryer-white-10kg-a-class"/>
    <x:hyperlink ref="F7" r:id="rId708" tooltip="Visit hotpointmalta.com"/>
    <x:hyperlink ref="F8" r:id="rId709" tooltip="Visit kcl.com.m"/>
    <x:hyperlink ref="F9" r:id="rId710" tooltip="Visit soundmachine.com.mt"/>
    <x:hyperlink ref="F10" r:id="rId711" tooltip="Visit petroni.com.mt"/>
    <x:hyperlink ref="F11" r:id="rId712" tooltip="Visit topchoice.com.mt"/>
    <x:hyperlink ref="F12" r:id="rId713" tooltip="Visit flamingo.com.mt"/>
    <x:hyperlink ref="F13" r:id="rId714" tooltip="Visit vitelmalta.com/shop/domestic-appliances/laundry-appliances/tumble-dryers/keen-tumble-dryer-10kg-dhb1053ba/"/>
    <x:hyperlink ref="F14" r:id="rId715" tooltip="Visit triplea.mt/contactus"/>
    <x:hyperlink ref="F15" r:id="rId716" tooltip="Visit paulson.com.mt/en/shop/webshop/683/concorde-10kg-tumble-dryer---condenser"/>
    <x:hyperlink ref="F16" r:id="rId717" tooltip="Visit prochimps.com/collections/tumble-drye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00"/>
  <x:sheetViews>
    <x:sheetView workbookViewId="0"/>
  </x:sheetViews>
  <x:sheetFormatPr defaultRowHeight="15"/>
  <x:cols>
    <x:col min="1" max="1" width="14.710625" style="0" customWidth="1"/>
    <x:col min="2" max="2" width="33.282054" style="0" customWidth="1"/>
    <x:col min="3" max="3" width="31.567768" style="0" customWidth="1"/>
    <x:col min="4" max="4" width="18.710625" style="0" customWidth="1"/>
    <x:col min="5" max="5" width="58.424911" style="0" customWidth="1"/>
    <x:col min="6" max="6" width="66.139196" style="0" customWidth="1"/>
    <x:col min="7" max="7" width="16.567768" style="0" customWidth="1"/>
    <x:col min="8" max="8" width="13.567768" style="0" customWidth="1"/>
    <x:col min="9" max="9" width="10.139196" style="0" customWidth="1"/>
    <x:col min="10" max="10" width="14.996339" style="0" customWidth="1"/>
    <x:col min="11" max="11" width="8.853482" style="0" customWidth="1"/>
    <x:col min="12" max="12" width="20.996339" style="0" customWidth="1"/>
  </x:cols>
  <x:sheetData>
    <x:row r="1" spans="1:12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1948</x:v>
      </x:c>
      <x:c r="H1" s="2" t="s">
        <x:v>1949</x:v>
      </x:c>
      <x:c r="I1" s="2" t="s">
        <x:v>1950</x:v>
      </x:c>
      <x:c r="J1" s="2" t="s">
        <x:v>1951</x:v>
      </x:c>
      <x:c r="K1" s="2" t="s">
        <x:v>5321</x:v>
      </x:c>
      <x:c r="L1" s="5">
        <x:f>HYPERLINK("#'Summary List'!A21", "Back to Summary")</x:f>
      </x:c>
    </x:row>
    <x:row r="2" spans="1:12" s="3" customFormat="1">
      <x:c r="A2" s="3" t="s">
        <x:v>974</x:v>
      </x:c>
      <x:c r="B2" s="3" t="s">
        <x:v>977</x:v>
      </x:c>
      <x:c r="C2" s="6" t="s">
        <x:v>702</x:v>
      </x:c>
      <x:c r="D2" s="7">
        <x:f>CONCATENATE(HYPERLINK("CALLTO:%2B356%207908%207476", "+356 7908 7476"))</x:f>
      </x:c>
      <x:c r="E2" s="6" t="s">
        <x:v>1021</x:v>
      </x:c>
      <x:c r="F2" s="6" t="s">
        <x:v>1041</x:v>
      </x:c>
      <x:c r="G2" s="3" t="s">
        <x:v>547</x:v>
      </x:c>
      <x:c r="H2" s="3" t="s">
        <x:v>548</x:v>
      </x:c>
      <x:c r="I2" s="3" t="s">
        <x:v>547</x:v>
      </x:c>
      <x:c r="J2" s="3" t="s">
        <x:v>548</x:v>
      </x:c>
      <x:c r="K2" s="3" t="s">
        <x:v>547</x:v>
      </x:c>
    </x:row>
    <x:row r="3" spans="1:12" s="1" customFormat="1"/>
    <x:row r="4" spans="1:12" s="4" customFormat="1">
      <x:c r="A4" s="4" t="s">
        <x:v>975</x:v>
      </x:c>
      <x:c r="B4" s="4" t="s">
        <x:v>978</x:v>
      </x:c>
      <x:c r="C4" s="10" t="s">
        <x:v>999</x:v>
      </x:c>
      <x:c r="D4" s="11">
        <x:f>CONCATENATE(HYPERLINK("CALLTO:%2B356%202141%201206", "+356 2141 1206"))</x:f>
      </x:c>
      <x:c r="E4" s="10" t="s">
        <x:v>1022</x:v>
      </x:c>
      <x:c r="F4" s="10" t="s">
        <x:v>911</x:v>
      </x:c>
      <x:c r="G4" s="4" t="s">
        <x:v>547</x:v>
      </x:c>
      <x:c r="H4" s="4" t="s">
        <x:v>548</x:v>
      </x:c>
      <x:c r="I4" s="4" t="s">
        <x:v>547</x:v>
      </x:c>
      <x:c r="J4" s="4" t="s">
        <x:v>548</x:v>
      </x:c>
      <x:c r="K4" s="4" t="s">
        <x:v>547</x:v>
      </x:c>
    </x:row>
    <x:row r="5" spans="1:12" s="3" customFormat="1">
      <x:c r="A5" s="3" t="s">
        <x:v>975</x:v>
      </x:c>
      <x:c r="B5" s="3" t="s">
        <x:v>979</x:v>
      </x:c>
      <x:c r="C5" s="6" t="s">
        <x:v>1000</x:v>
      </x:c>
      <x:c r="D5" s="7">
        <x:f>CONCATENATE(HYPERLINK("CALLTO:%2B356%202741%208713", "+356 2741 8713"))</x:f>
      </x:c>
      <x:c r="E5" s="6" t="s">
        <x:v>1023</x:v>
      </x:c>
      <x:c r="F5" s="6" t="s">
        <x:v>912</x:v>
      </x:c>
      <x:c r="G5" s="3" t="s">
        <x:v>548</x:v>
      </x:c>
      <x:c r="H5" s="3" t="s">
        <x:v>547</x:v>
      </x:c>
      <x:c r="I5" s="3" t="s">
        <x:v>547</x:v>
      </x:c>
      <x:c r="J5" s="3" t="s">
        <x:v>547</x:v>
      </x:c>
      <x:c r="K5" s="3" t="s">
        <x:v>548</x:v>
      </x:c>
    </x:row>
    <x:row r="6" spans="1:12" s="1" customFormat="1">
      <x:c r="A6" s="1" t="s">
        <x:v>975</x:v>
      </x:c>
      <x:c r="B6" s="1" t="s">
        <x:v>980</x:v>
      </x:c>
      <x:c r="C6" s="8" t="s">
        <x:v>1001</x:v>
      </x:c>
      <x:c r="D6" s="9">
        <x:f>CONCATENATE(HYPERLINK("CALLTO:%2B356%202705%202100", "+356 2705 2100"))</x:f>
      </x:c>
      <x:c r="E6" s="8" t="s">
        <x:v>1024</x:v>
      </x:c>
      <x:c r="F6" s="8" t="s">
        <x:v>1043</x:v>
      </x:c>
      <x:c r="G6" s="1" t="s">
        <x:v>548</x:v>
      </x:c>
      <x:c r="H6" s="1" t="s">
        <x:v>547</x:v>
      </x:c>
      <x:c r="I6" s="1" t="s">
        <x:v>547</x:v>
      </x:c>
      <x:c r="J6" s="1" t="s">
        <x:v>547</x:v>
      </x:c>
      <x:c r="K6" s="1" t="s">
        <x:v>548</x:v>
      </x:c>
    </x:row>
    <x:row r="7" spans="1:12" s="4" customFormat="1">
      <x:c r="A7" s="4" t="s">
        <x:v>975</x:v>
      </x:c>
      <x:c r="B7" s="4" t="s">
        <x:v>981</x:v>
      </x:c>
      <x:c r="C7" s="10" t="s">
        <x:v>1002</x:v>
      </x:c>
      <x:c r="D7" s="11">
        <x:f>CONCATENATE(HYPERLINK("CALLTO:%2B356%207945%200373", "+356 7945 0373"))</x:f>
      </x:c>
      <x:c r="E7" s="10" t="s">
        <x:v>1025</x:v>
      </x:c>
      <x:c r="F7" s="10" t="s">
        <x:v>1044</x:v>
      </x:c>
      <x:c r="G7" s="4" t="s">
        <x:v>548</x:v>
      </x:c>
      <x:c r="H7" s="4" t="s">
        <x:v>547</x:v>
      </x:c>
      <x:c r="I7" s="4" t="s">
        <x:v>547</x:v>
      </x:c>
      <x:c r="J7" s="4" t="s">
        <x:v>547</x:v>
      </x:c>
      <x:c r="K7" s="4" t="s">
        <x:v>548</x:v>
      </x:c>
    </x:row>
    <x:row r="8" spans="1:12" s="3" customFormat="1">
      <x:c r="A8" s="3" t="s">
        <x:v>975</x:v>
      </x:c>
      <x:c r="B8" s="3" t="s">
        <x:v>982</x:v>
      </x:c>
      <x:c r="C8" s="6" t="s">
        <x:v>1003</x:v>
      </x:c>
      <x:c r="D8" s="7">
        <x:f>CONCATENATE(HYPERLINK("CALLTO:%2B356%209980%204706", "+356 9980 4706"))</x:f>
      </x:c>
      <x:c r="E8" s="6" t="s">
        <x:v>1026</x:v>
      </x:c>
      <x:c r="F8" s="3" t="s">
        <x:v>144</x:v>
      </x:c>
      <x:c r="G8" s="3" t="s">
        <x:v>548</x:v>
      </x:c>
      <x:c r="H8" s="3" t="s">
        <x:v>547</x:v>
      </x:c>
      <x:c r="I8" s="3" t="s">
        <x:v>547</x:v>
      </x:c>
      <x:c r="J8" s="3" t="s">
        <x:v>547</x:v>
      </x:c>
      <x:c r="K8" s="3" t="s">
        <x:v>548</x:v>
      </x:c>
    </x:row>
    <x:row r="9" spans="1:12" s="1" customFormat="1">
      <x:c r="A9" s="1" t="s">
        <x:v>975</x:v>
      </x:c>
      <x:c r="B9" s="1" t="s">
        <x:v>983</x:v>
      </x:c>
      <x:c r="C9" s="8" t="s">
        <x:v>1004</x:v>
      </x:c>
      <x:c r="D9" s="9">
        <x:f>CONCATENATE(HYPERLINK("CALLTO:%2B356%202148%205629", "+356 2148 5629"))</x:f>
      </x:c>
      <x:c r="E9" s="8" t="s">
        <x:v>1027</x:v>
      </x:c>
      <x:c r="F9" s="1" t="s">
        <x:v>144</x:v>
      </x:c>
      <x:c r="G9" s="1" t="s">
        <x:v>547</x:v>
      </x:c>
      <x:c r="H9" s="1" t="s">
        <x:v>548</x:v>
      </x:c>
      <x:c r="I9" s="1" t="s">
        <x:v>547</x:v>
      </x:c>
      <x:c r="J9" s="1" t="s">
        <x:v>548</x:v>
      </x:c>
      <x:c r="K9" s="1" t="s">
        <x:v>547</x:v>
      </x:c>
    </x:row>
    <x:row r="10" spans="1:12" s="4" customFormat="1">
      <x:c r="A10" s="4" t="s">
        <x:v>975</x:v>
      </x:c>
      <x:c r="B10" s="4" t="s">
        <x:v>984</x:v>
      </x:c>
      <x:c r="C10" s="10" t="s">
        <x:v>1005</x:v>
      </x:c>
      <x:c r="D10" s="11">
        <x:f>CONCATENATE(HYPERLINK("CALLTO:%2B356%209982%206705", "+356 9982 6705"))</x:f>
      </x:c>
      <x:c r="E10" s="10" t="s">
        <x:v>1028</x:v>
      </x:c>
      <x:c r="F10" s="10" t="s">
        <x:v>1045</x:v>
      </x:c>
      <x:c r="G10" s="4" t="s">
        <x:v>548</x:v>
      </x:c>
      <x:c r="H10" s="4" t="s">
        <x:v>547</x:v>
      </x:c>
      <x:c r="I10" s="4" t="s">
        <x:v>547</x:v>
      </x:c>
      <x:c r="J10" s="4" t="s">
        <x:v>547</x:v>
      </x:c>
      <x:c r="K10" s="4" t="s">
        <x:v>548</x:v>
      </x:c>
    </x:row>
    <x:row r="11" spans="1:12" s="3" customFormat="1">
      <x:c r="A11" s="3" t="s">
        <x:v>975</x:v>
      </x:c>
      <x:c r="B11" s="3" t="s">
        <x:v>985</x:v>
      </x:c>
      <x:c r="C11" s="6" t="s">
        <x:v>1006</x:v>
      </x:c>
      <x:c r="D11" s="7">
        <x:f>CONCATENATE(HYPERLINK("CALLTO:%2B356%207944%208833", "+356 7944 8833"))</x:f>
      </x:c>
      <x:c r="E11" s="6" t="s">
        <x:v>1029</x:v>
      </x:c>
      <x:c r="F11" s="6" t="s">
        <x:v>911</x:v>
      </x:c>
      <x:c r="G11" s="3" t="s">
        <x:v>548</x:v>
      </x:c>
      <x:c r="H11" s="3" t="s">
        <x:v>547</x:v>
      </x:c>
      <x:c r="I11" s="3" t="s">
        <x:v>547</x:v>
      </x:c>
      <x:c r="J11" s="3" t="s">
        <x:v>547</x:v>
      </x:c>
      <x:c r="K11" s="3" t="s">
        <x:v>548</x:v>
      </x:c>
    </x:row>
    <x:row r="12" spans="1:12" s="1" customFormat="1">
      <x:c r="A12" s="1" t="s">
        <x:v>975</x:v>
      </x:c>
      <x:c r="B12" s="1" t="s">
        <x:v>986</x:v>
      </x:c>
      <x:c r="C12" s="8" t="s">
        <x:v>1007</x:v>
      </x:c>
      <x:c r="D12" s="9">
        <x:f>CONCATENATE(HYPERLINK("CALLTO:%2B356%209988%208272", "+356 9988 8272"))</x:f>
      </x:c>
      <x:c r="E12" s="8" t="s">
        <x:v>1030</x:v>
      </x:c>
      <x:c r="F12" s="8" t="s">
        <x:v>1042</x:v>
      </x:c>
      <x:c r="G12" s="1" t="s">
        <x:v>548</x:v>
      </x:c>
      <x:c r="H12" s="1" t="s">
        <x:v>547</x:v>
      </x:c>
      <x:c r="I12" s="1" t="s">
        <x:v>547</x:v>
      </x:c>
      <x:c r="J12" s="1" t="s">
        <x:v>547</x:v>
      </x:c>
      <x:c r="K12" s="1" t="s">
        <x:v>548</x:v>
      </x:c>
    </x:row>
    <x:row r="13" spans="1:12" s="4" customFormat="1">
      <x:c r="A13" s="4" t="s">
        <x:v>975</x:v>
      </x:c>
      <x:c r="B13" s="4" t="s">
        <x:v>987</x:v>
      </x:c>
      <x:c r="C13" s="10" t="s">
        <x:v>1008</x:v>
      </x:c>
      <x:c r="D13" s="11">
        <x:f>CONCATENATE(HYPERLINK("CALLTO:%2B356%207727%200833", "+356 7727 0833"))</x:f>
      </x:c>
      <x:c r="E13" s="10" t="s">
        <x:v>1031</x:v>
      </x:c>
      <x:c r="F13" s="10" t="s">
        <x:v>1047</x:v>
      </x:c>
      <x:c r="G13" s="4" t="s">
        <x:v>548</x:v>
      </x:c>
      <x:c r="H13" s="4" t="s">
        <x:v>547</x:v>
      </x:c>
      <x:c r="I13" s="4" t="s">
        <x:v>547</x:v>
      </x:c>
      <x:c r="J13" s="4" t="s">
        <x:v>547</x:v>
      </x:c>
      <x:c r="K13" s="4" t="s">
        <x:v>548</x:v>
      </x:c>
    </x:row>
    <x:row r="14" spans="1:12" s="3" customFormat="1">
      <x:c r="A14" s="3" t="s">
        <x:v>975</x:v>
      </x:c>
      <x:c r="B14" s="3" t="s">
        <x:v>989</x:v>
      </x:c>
      <x:c r="C14" s="6" t="s">
        <x:v>1009</x:v>
      </x:c>
      <x:c r="D14" s="7">
        <x:f>CONCATENATE(HYPERLINK("CALLTO:%2B356%202144%202466", "+356 2144 2466"))</x:f>
      </x:c>
      <x:c r="E14" s="6" t="s">
        <x:v>1032</x:v>
      </x:c>
      <x:c r="F14" s="6" t="s">
        <x:v>1048</x:v>
      </x:c>
      <x:c r="G14" s="3" t="s">
        <x:v>547</x:v>
      </x:c>
      <x:c r="H14" s="3" t="s">
        <x:v>548</x:v>
      </x:c>
      <x:c r="I14" s="3" t="s">
        <x:v>547</x:v>
      </x:c>
      <x:c r="J14" s="3" t="s">
        <x:v>548</x:v>
      </x:c>
      <x:c r="K14" s="3" t="s">
        <x:v>547</x:v>
      </x:c>
    </x:row>
    <x:row r="15" spans="1:12" s="1" customFormat="1">
      <x:c r="A15" s="1" t="s">
        <x:v>975</x:v>
      </x:c>
      <x:c r="B15" s="1" t="s">
        <x:v>990</x:v>
      </x:c>
      <x:c r="C15" s="8" t="s">
        <x:v>1010</x:v>
      </x:c>
      <x:c r="D15" s="9">
        <x:f>CONCATENATE(HYPERLINK("CALLTO:%2B356%202169%201461", "+356 2169 1461"))</x:f>
      </x:c>
      <x:c r="E15" s="8" t="s">
        <x:v>1033</x:v>
      </x:c>
      <x:c r="F15" s="8" t="s">
        <x:v>1049</x:v>
      </x:c>
      <x:c r="G15" s="1" t="s">
        <x:v>548</x:v>
      </x:c>
      <x:c r="H15" s="1" t="s">
        <x:v>547</x:v>
      </x:c>
      <x:c r="I15" s="1" t="s">
        <x:v>547</x:v>
      </x:c>
      <x:c r="J15" s="1" t="s">
        <x:v>547</x:v>
      </x:c>
      <x:c r="K15" s="1" t="s">
        <x:v>548</x:v>
      </x:c>
    </x:row>
    <x:row r="16" spans="1:12" s="4" customFormat="1">
      <x:c r="A16" s="4" t="s">
        <x:v>975</x:v>
      </x:c>
      <x:c r="B16" s="4" t="s">
        <x:v>988</x:v>
      </x:c>
      <x:c r="C16" s="10" t="s">
        <x:v>1011</x:v>
      </x:c>
      <x:c r="D16" s="11">
        <x:f>CONCATENATE(HYPERLINK("CALLTO:%2B356%202141%208411", "+356 2141 8411"))</x:f>
      </x:c>
      <x:c r="E16" s="10" t="s">
        <x:v>1034</x:v>
      </x:c>
      <x:c r="F16" s="10" t="s">
        <x:v>1050</x:v>
      </x:c>
      <x:c r="G16" s="4" t="s">
        <x:v>547</x:v>
      </x:c>
      <x:c r="H16" s="4" t="s">
        <x:v>548</x:v>
      </x:c>
      <x:c r="I16" s="4" t="s">
        <x:v>547</x:v>
      </x:c>
      <x:c r="J16" s="4" t="s">
        <x:v>548</x:v>
      </x:c>
      <x:c r="K16" s="4" t="s">
        <x:v>547</x:v>
      </x:c>
    </x:row>
    <x:row r="17" spans="1:12" s="3" customFormat="1">
      <x:c r="A17" s="3" t="s">
        <x:v>975</x:v>
      </x:c>
      <x:c r="B17" s="3" t="s">
        <x:v>991</x:v>
      </x:c>
      <x:c r="C17" s="6" t="s">
        <x:v>1012</x:v>
      </x:c>
      <x:c r="D17" s="7">
        <x:f>CONCATENATE(HYPERLINK("CALLTO:%2B356%202137%204454", "+356 2137 4454"))</x:f>
      </x:c>
      <x:c r="E17" s="6" t="s">
        <x:v>1035</x:v>
      </x:c>
      <x:c r="F17" s="6" t="s">
        <x:v>4496</x:v>
      </x:c>
      <x:c r="G17" s="3" t="s">
        <x:v>548</x:v>
      </x:c>
      <x:c r="H17" s="3" t="s">
        <x:v>547</x:v>
      </x:c>
      <x:c r="I17" s="3" t="s">
        <x:v>547</x:v>
      </x:c>
      <x:c r="J17" s="3" t="s">
        <x:v>547</x:v>
      </x:c>
      <x:c r="K17" s="3" t="s">
        <x:v>548</x:v>
      </x:c>
    </x:row>
    <x:row r="18" spans="1:12" s="1" customFormat="1">
      <x:c r="A18" s="1" t="s">
        <x:v>976</x:v>
      </x:c>
      <x:c r="B18" s="1" t="s">
        <x:v>992</x:v>
      </x:c>
      <x:c r="C18" s="8" t="s">
        <x:v>1013</x:v>
      </x:c>
      <x:c r="D18" s="9">
        <x:f>CONCATENATE(HYPERLINK("CALLTO:%2B356%202137%207378", "+356 2137 7378"))</x:f>
      </x:c>
      <x:c r="E18" s="8" t="s">
        <x:v>1036</x:v>
      </x:c>
      <x:c r="F18" s="8" t="s">
        <x:v>1051</x:v>
      </x:c>
      <x:c r="G18" s="1" t="s">
        <x:v>548</x:v>
      </x:c>
      <x:c r="H18" s="1" t="s">
        <x:v>547</x:v>
      </x:c>
      <x:c r="I18" s="1" t="s">
        <x:v>547</x:v>
      </x:c>
      <x:c r="J18" s="1" t="s">
        <x:v>547</x:v>
      </x:c>
      <x:c r="K18" s="1" t="s">
        <x:v>548</x:v>
      </x:c>
    </x:row>
    <x:row r="19" spans="1:12" s="4" customFormat="1">
      <x:c r="A19" s="4" t="s">
        <x:v>976</x:v>
      </x:c>
      <x:c r="B19" s="4" t="s">
        <x:v>993</x:v>
      </x:c>
      <x:c r="C19" s="10" t="s">
        <x:v>1014</x:v>
      </x:c>
      <x:c r="D19" s="11">
        <x:f>CONCATENATE(HYPERLINK("CALLTO:%2B356%202149%202920", "+356 2149 2920"))</x:f>
      </x:c>
      <x:c r="E19" s="10" t="s">
        <x:v>1037</x:v>
      </x:c>
      <x:c r="F19" s="10" t="s">
        <x:v>1046</x:v>
      </x:c>
      <x:c r="G19" s="4" t="s">
        <x:v>548</x:v>
      </x:c>
      <x:c r="H19" s="4" t="s">
        <x:v>547</x:v>
      </x:c>
      <x:c r="I19" s="4" t="s">
        <x:v>547</x:v>
      </x:c>
      <x:c r="J19" s="4" t="s">
        <x:v>547</x:v>
      </x:c>
      <x:c r="K19" s="4" t="s">
        <x:v>548</x:v>
      </x:c>
    </x:row>
    <x:row r="20" spans="1:12" s="3" customFormat="1">
      <x:c r="A20" s="3" t="s">
        <x:v>976</x:v>
      </x:c>
      <x:c r="B20" s="3" t="s">
        <x:v>994</x:v>
      </x:c>
      <x:c r="C20" s="6" t="s">
        <x:v>1015</x:v>
      </x:c>
      <x:c r="D20" s="7">
        <x:f>CONCATENATE(HYPERLINK("CALLTO:%2B356%209921%205215", "+356 9921 5215"))</x:f>
      </x:c>
      <x:c r="E20" s="6" t="s">
        <x:v>1039</x:v>
      </x:c>
      <x:c r="F20" s="6" t="s">
        <x:v>1052</x:v>
      </x:c>
      <x:c r="G20" s="3" t="s">
        <x:v>548</x:v>
      </x:c>
      <x:c r="H20" s="3" t="s">
        <x:v>547</x:v>
      </x:c>
      <x:c r="I20" s="3" t="s">
        <x:v>547</x:v>
      </x:c>
      <x:c r="J20" s="3" t="s">
        <x:v>547</x:v>
      </x:c>
      <x:c r="K20" s="3" t="s">
        <x:v>548</x:v>
      </x:c>
    </x:row>
    <x:row r="21" spans="1:12" s="1" customFormat="1">
      <x:c r="A21" s="1" t="s">
        <x:v>976</x:v>
      </x:c>
      <x:c r="B21" s="1" t="s">
        <x:v>995</x:v>
      </x:c>
      <x:c r="C21" s="8" t="s">
        <x:v>1016</x:v>
      </x:c>
      <x:c r="D21" s="9">
        <x:f>CONCATENATE(HYPERLINK("CALLTO:%2B356%209947%202226", "+356 9947 2226"))</x:f>
      </x:c>
      <x:c r="E21" s="8" t="s">
        <x:v>1040</x:v>
      </x:c>
      <x:c r="F21" s="8" t="s">
        <x:v>913</x:v>
      </x:c>
      <x:c r="G21" s="1" t="s">
        <x:v>548</x:v>
      </x:c>
      <x:c r="H21" s="1" t="s">
        <x:v>547</x:v>
      </x:c>
      <x:c r="I21" s="1" t="s">
        <x:v>547</x:v>
      </x:c>
      <x:c r="J21" s="1" t="s">
        <x:v>547</x:v>
      </x:c>
      <x:c r="K21" s="1" t="s">
        <x:v>548</x:v>
      </x:c>
    </x:row>
    <x:row r="22" spans="1:12" s="4" customFormat="1">
      <x:c r="A22" s="4" t="s">
        <x:v>976</x:v>
      </x:c>
      <x:c r="B22" s="4" t="s">
        <x:v>997</x:v>
      </x:c>
      <x:c r="C22" s="10" t="s">
        <x:v>1017</x:v>
      </x:c>
      <x:c r="D22" s="11">
        <x:f>CONCATENATE(HYPERLINK("CALLTO:%2B356%209949%202278", "+356 9949 2278"))</x:f>
      </x:c>
      <x:c r="E22" s="10" t="s">
        <x:v>1038</x:v>
      </x:c>
      <x:c r="F22" s="10" t="s">
        <x:v>5252</x:v>
      </x:c>
      <x:c r="G22" s="4" t="s">
        <x:v>548</x:v>
      </x:c>
      <x:c r="H22" s="4" t="s">
        <x:v>547</x:v>
      </x:c>
      <x:c r="I22" s="4" t="s">
        <x:v>547</x:v>
      </x:c>
      <x:c r="J22" s="4" t="s">
        <x:v>547</x:v>
      </x:c>
      <x:c r="K22" s="4" t="s">
        <x:v>548</x:v>
      </x:c>
    </x:row>
    <x:row r="23" spans="1:12" s="3" customFormat="1">
      <x:c r="A23" s="3" t="s">
        <x:v>976</x:v>
      </x:c>
      <x:c r="B23" s="3" t="s">
        <x:v>996</x:v>
      </x:c>
      <x:c r="C23" s="6" t="s">
        <x:v>1018</x:v>
      </x:c>
      <x:c r="D23" s="7">
        <x:f>CONCATENATE(HYPERLINK("CALLTO:%2B356%207993%209898", "+356 7993 9898"))</x:f>
      </x:c>
      <x:c r="F23" s="6" t="s">
        <x:v>5253</x:v>
      </x:c>
      <x:c r="G23" s="3" t="s">
        <x:v>548</x:v>
      </x:c>
      <x:c r="H23" s="3" t="s">
        <x:v>547</x:v>
      </x:c>
      <x:c r="I23" s="3" t="s">
        <x:v>547</x:v>
      </x:c>
      <x:c r="J23" s="3" t="s">
        <x:v>547</x:v>
      </x:c>
      <x:c r="K23" s="3" t="s">
        <x:v>548</x:v>
      </x:c>
    </x:row>
    <x:row r="24" spans="1:12" s="1" customFormat="1">
      <x:c r="A24" s="1" t="s">
        <x:v>976</x:v>
      </x:c>
      <x:c r="B24" s="1" t="s">
        <x:v>998</x:v>
      </x:c>
      <x:c r="C24" s="8" t="s">
        <x:v>1019</x:v>
      </x:c>
      <x:c r="D24" s="9">
        <x:f>CONCATENATE(HYPERLINK("CALLTO:%2B356%209988%207158", "+356 9988 7158"))</x:f>
      </x:c>
      <x:c r="F24" s="8" t="s">
        <x:v>1053</x:v>
      </x:c>
      <x:c r="G24" s="1" t="s">
        <x:v>548</x:v>
      </x:c>
      <x:c r="H24" s="1" t="s">
        <x:v>547</x:v>
      </x:c>
      <x:c r="I24" s="1" t="s">
        <x:v>547</x:v>
      </x:c>
      <x:c r="J24" s="1" t="s">
        <x:v>547</x:v>
      </x:c>
      <x:c r="K24" s="1" t="s">
        <x:v>548</x:v>
      </x:c>
    </x:row>
    <x:row r="25" spans="1:12" s="4" customFormat="1"/>
    <x:row r="26" spans="1:12" s="3" customFormat="1"/>
    <x:row r="27" spans="1:12" s="1" customFormat="1"/>
    <x:row r="28" spans="1:12" s="4" customFormat="1"/>
    <x:row r="29" spans="1:12" s="3" customFormat="1"/>
    <x:row r="30" spans="1:12" s="1" customFormat="1"/>
    <x:row r="31" spans="1:12" s="4" customFormat="1"/>
    <x:row r="32" spans="1:12" s="3" customFormat="1"/>
    <x:row r="33" spans="1:12" s="1" customFormat="1"/>
    <x:row r="34" spans="1:12" s="4" customFormat="1"/>
    <x:row r="35" spans="1:12" s="3" customFormat="1"/>
    <x:row r="36" spans="1:12" s="1" customFormat="1"/>
    <x:row r="37" spans="1:12" s="4" customFormat="1"/>
    <x:row r="38" spans="1:12" s="3" customFormat="1"/>
    <x:row r="39" spans="1:12" s="1" customFormat="1"/>
    <x:row r="40" spans="1:12" s="4" customFormat="1"/>
    <x:row r="41" spans="1:12" s="3" customFormat="1"/>
    <x:row r="42" spans="1:12" s="1" customFormat="1"/>
    <x:row r="43" spans="1:12" s="4" customFormat="1"/>
    <x:row r="44" spans="1:12" s="3" customFormat="1"/>
    <x:row r="45" spans="1:12" s="1" customFormat="1"/>
    <x:row r="46" spans="1:12" s="4" customFormat="1"/>
    <x:row r="47" spans="1:12" s="3" customFormat="1"/>
    <x:row r="48" spans="1:12" s="1" customFormat="1"/>
    <x:row r="49" spans="1:12" s="4" customFormat="1"/>
    <x:row r="50" spans="1:12" s="3" customFormat="1"/>
    <x:row r="51" spans="1:12" s="1" customFormat="1"/>
    <x:row r="52" spans="1:12" s="4" customFormat="1"/>
    <x:row r="53" spans="1:12" s="3" customFormat="1"/>
    <x:row r="54" spans="1:12" s="1" customFormat="1"/>
    <x:row r="55" spans="1:12" s="4" customFormat="1"/>
    <x:row r="56" spans="1:12" s="3" customFormat="1"/>
    <x:row r="57" spans="1:12" s="1" customFormat="1"/>
    <x:row r="58" spans="1:12" s="4" customFormat="1"/>
    <x:row r="59" spans="1:12" s="3" customFormat="1"/>
    <x:row r="60" spans="1:12" s="1" customFormat="1"/>
    <x:row r="61" spans="1:12" s="4" customFormat="1"/>
    <x:row r="62" spans="1:12" s="3" customFormat="1"/>
    <x:row r="63" spans="1:12" s="1" customFormat="1"/>
    <x:row r="64" spans="1:12" s="4" customFormat="1"/>
    <x:row r="65" spans="1:12" s="3" customFormat="1"/>
    <x:row r="66" spans="1:12" s="1" customFormat="1"/>
    <x:row r="67" spans="1:12" s="4" customFormat="1"/>
    <x:row r="68" spans="1:12" s="3" customFormat="1"/>
    <x:row r="69" spans="1:12" s="1" customFormat="1"/>
    <x:row r="70" spans="1:12" s="4" customFormat="1"/>
    <x:row r="71" spans="1:12" s="3" customFormat="1"/>
    <x:row r="72" spans="1:12" s="1" customFormat="1"/>
    <x:row r="73" spans="1:12" s="4" customFormat="1"/>
    <x:row r="74" spans="1:12" s="3" customFormat="1"/>
    <x:row r="75" spans="1:12" s="1" customFormat="1"/>
    <x:row r="76" spans="1:12" s="4" customFormat="1"/>
    <x:row r="77" spans="1:12" s="3" customFormat="1"/>
    <x:row r="78" spans="1:12" s="1" customFormat="1"/>
    <x:row r="79" spans="1:12" s="4" customFormat="1"/>
    <x:row r="80" spans="1:12" s="3" customFormat="1"/>
    <x:row r="81" spans="1:12" s="1" customFormat="1"/>
    <x:row r="82" spans="1:12" s="4" customFormat="1"/>
    <x:row r="83" spans="1:12" s="3" customFormat="1"/>
    <x:row r="84" spans="1:12" s="1" customFormat="1"/>
    <x:row r="85" spans="1:12" s="4" customFormat="1"/>
    <x:row r="86" spans="1:12" s="3" customFormat="1"/>
    <x:row r="87" spans="1:12" s="1" customFormat="1"/>
    <x:row r="88" spans="1:12" s="4" customFormat="1"/>
    <x:row r="89" spans="1:12" s="3" customFormat="1"/>
    <x:row r="90" spans="1:12" s="1" customFormat="1"/>
    <x:row r="91" spans="1:12" s="4" customFormat="1"/>
    <x:row r="92" spans="1:12" s="3" customFormat="1"/>
    <x:row r="93" spans="1:12" s="1" customFormat="1"/>
    <x:row r="94" spans="1:12" s="4" customFormat="1"/>
    <x:row r="95" spans="1:12" s="3" customFormat="1"/>
    <x:row r="96" spans="1:12" s="1" customFormat="1"/>
    <x:row r="97" spans="1:12" s="4" customFormat="1"/>
    <x:row r="98" spans="1:12" s="3" customFormat="1"/>
    <x:row r="99" spans="1:12" s="1" customFormat="1"/>
    <x:row r="100" spans="1:12" s="4" customFormat="1"/>
    <x:row r="101" spans="1:12" s="3" customFormat="1"/>
    <x:row r="102" spans="1:12" s="1" customFormat="1"/>
    <x:row r="103" spans="1:12" s="4" customFormat="1"/>
    <x:row r="104" spans="1:12" s="3" customFormat="1"/>
    <x:row r="105" spans="1:12" s="1" customFormat="1"/>
    <x:row r="106" spans="1:12" s="4" customFormat="1"/>
    <x:row r="107" spans="1:12" s="3" customFormat="1"/>
    <x:row r="108" spans="1:12" s="1" customFormat="1"/>
    <x:row r="109" spans="1:12" s="4" customFormat="1"/>
    <x:row r="110" spans="1:12" s="3" customFormat="1"/>
    <x:row r="111" spans="1:12" s="1" customFormat="1"/>
    <x:row r="112" spans="1:12" s="4" customFormat="1"/>
    <x:row r="113" spans="1:12" s="3" customFormat="1"/>
    <x:row r="114" spans="1:12" s="1" customFormat="1"/>
    <x:row r="115" spans="1:12" s="4" customFormat="1"/>
    <x:row r="116" spans="1:12" s="3" customFormat="1"/>
    <x:row r="117" spans="1:12" s="1" customFormat="1"/>
    <x:row r="118" spans="1:12" s="4" customFormat="1"/>
    <x:row r="119" spans="1:12" s="3" customFormat="1"/>
    <x:row r="120" spans="1:12" s="1" customFormat="1"/>
    <x:row r="121" spans="1:12" s="4" customFormat="1"/>
    <x:row r="122" spans="1:12" s="3" customFormat="1"/>
    <x:row r="123" spans="1:12" s="1" customFormat="1"/>
    <x:row r="124" spans="1:12" s="4" customFormat="1"/>
    <x:row r="125" spans="1:12" s="3" customFormat="1"/>
    <x:row r="126" spans="1:12" s="1" customFormat="1"/>
    <x:row r="127" spans="1:12" s="4" customFormat="1"/>
    <x:row r="128" spans="1:12" s="3" customFormat="1"/>
    <x:row r="129" spans="1:12" s="1" customFormat="1"/>
    <x:row r="130" spans="1:12" s="4" customFormat="1"/>
    <x:row r="131" spans="1:12" s="3" customFormat="1"/>
    <x:row r="132" spans="1:12" s="1" customFormat="1"/>
    <x:row r="133" spans="1:12" s="4" customFormat="1"/>
    <x:row r="134" spans="1:12" s="3" customFormat="1"/>
    <x:row r="135" spans="1:12" s="1" customFormat="1"/>
    <x:row r="136" spans="1:12" s="4" customFormat="1"/>
    <x:row r="137" spans="1:12" s="3" customFormat="1"/>
    <x:row r="138" spans="1:12" s="1" customFormat="1"/>
    <x:row r="139" spans="1:12" s="4" customFormat="1"/>
    <x:row r="140" spans="1:12" s="3" customFormat="1"/>
    <x:row r="141" spans="1:12" s="1" customFormat="1"/>
    <x:row r="142" spans="1:12" s="4" customFormat="1"/>
    <x:row r="143" spans="1:12" s="3" customFormat="1"/>
    <x:row r="144" spans="1:12" s="1" customFormat="1"/>
    <x:row r="145" spans="1:12" s="4" customFormat="1"/>
    <x:row r="146" spans="1:12" s="3" customFormat="1"/>
    <x:row r="147" spans="1:12" s="1" customFormat="1"/>
    <x:row r="148" spans="1:12" s="4" customFormat="1"/>
    <x:row r="149" spans="1:12" s="3" customFormat="1"/>
    <x:row r="150" spans="1:12" s="1" customFormat="1"/>
    <x:row r="151" spans="1:12" s="4" customFormat="1"/>
    <x:row r="152" spans="1:12" s="3" customFormat="1"/>
    <x:row r="153" spans="1:12" s="1" customFormat="1"/>
    <x:row r="154" spans="1:12" s="4" customFormat="1"/>
    <x:row r="155" spans="1:12" s="3" customFormat="1"/>
    <x:row r="156" spans="1:12" s="1" customFormat="1"/>
    <x:row r="157" spans="1:12" s="4" customFormat="1"/>
    <x:row r="158" spans="1:12" s="3" customFormat="1"/>
    <x:row r="159" spans="1:12" s="1" customFormat="1"/>
    <x:row r="160" spans="1:12" s="4" customFormat="1"/>
    <x:row r="161" spans="1:12" s="3" customFormat="1"/>
    <x:row r="162" spans="1:12" s="1" customFormat="1"/>
    <x:row r="163" spans="1:12" s="4" customFormat="1"/>
    <x:row r="164" spans="1:12" s="3" customFormat="1"/>
    <x:row r="165" spans="1:12" s="1" customFormat="1"/>
    <x:row r="166" spans="1:12" s="4" customFormat="1"/>
    <x:row r="167" spans="1:12" s="3" customFormat="1"/>
    <x:row r="168" spans="1:12" s="1" customFormat="1"/>
    <x:row r="169" spans="1:12" s="4" customFormat="1"/>
    <x:row r="170" spans="1:12" s="3" customFormat="1"/>
    <x:row r="171" spans="1:12" s="1" customFormat="1"/>
    <x:row r="172" spans="1:12" s="4" customFormat="1"/>
    <x:row r="173" spans="1:12" s="3" customFormat="1"/>
    <x:row r="174" spans="1:12" s="1" customFormat="1"/>
    <x:row r="175" spans="1:12" s="4" customFormat="1"/>
    <x:row r="176" spans="1:12" s="3" customFormat="1"/>
    <x:row r="177" spans="1:12" s="1" customFormat="1"/>
    <x:row r="178" spans="1:12" s="4" customFormat="1"/>
    <x:row r="179" spans="1:12" s="3" customFormat="1"/>
    <x:row r="180" spans="1:12" s="1" customFormat="1"/>
    <x:row r="181" spans="1:12" s="4" customFormat="1"/>
    <x:row r="182" spans="1:12" s="3" customFormat="1"/>
    <x:row r="183" spans="1:12" s="1" customFormat="1"/>
    <x:row r="184" spans="1:12" s="4" customFormat="1"/>
    <x:row r="185" spans="1:12" s="3" customFormat="1"/>
    <x:row r="186" spans="1:12" s="1" customFormat="1"/>
    <x:row r="187" spans="1:12" s="4" customFormat="1"/>
    <x:row r="188" spans="1:12" s="3" customFormat="1"/>
    <x:row r="189" spans="1:12" s="1" customFormat="1"/>
    <x:row r="190" spans="1:12" s="4" customFormat="1"/>
    <x:row r="191" spans="1:12" s="3" customFormat="1"/>
    <x:row r="192" spans="1:12" s="1" customFormat="1"/>
    <x:row r="193" spans="1:12" s="4" customFormat="1"/>
    <x:row r="194" spans="1:12" s="3" customFormat="1"/>
    <x:row r="195" spans="1:12" s="1" customFormat="1"/>
    <x:row r="196" spans="1:12" s="4" customFormat="1"/>
    <x:row r="197" spans="1:12" s="3" customFormat="1"/>
    <x:row r="198" spans="1:12" s="1" customFormat="1"/>
    <x:row r="199" spans="1:12" s="4" customFormat="1"/>
    <x:row r="200" spans="1:12" s="3" customFormat="1"/>
    <x:row r="201" spans="1:12" s="1" customFormat="1"/>
    <x:row r="202" spans="1:12" s="4" customFormat="1"/>
    <x:row r="203" spans="1:12" s="3" customFormat="1"/>
    <x:row r="204" spans="1:12" s="1" customFormat="1"/>
    <x:row r="205" spans="1:12" s="4" customFormat="1"/>
    <x:row r="206" spans="1:12" s="3" customFormat="1"/>
    <x:row r="207" spans="1:12" s="1" customFormat="1"/>
    <x:row r="208" spans="1:12" s="4" customFormat="1"/>
    <x:row r="209" spans="1:12" s="3" customFormat="1"/>
    <x:row r="210" spans="1:12" s="1" customFormat="1"/>
    <x:row r="211" spans="1:12" s="4" customFormat="1"/>
    <x:row r="212" spans="1:12" s="3" customFormat="1"/>
    <x:row r="213" spans="1:12" s="1" customFormat="1"/>
    <x:row r="214" spans="1:12" s="4" customFormat="1"/>
    <x:row r="215" spans="1:12" s="3" customFormat="1"/>
    <x:row r="216" spans="1:12" s="1" customFormat="1"/>
    <x:row r="217" spans="1:12" s="4" customFormat="1"/>
    <x:row r="218" spans="1:12" s="3" customFormat="1"/>
    <x:row r="219" spans="1:12" s="1" customFormat="1"/>
    <x:row r="220" spans="1:12" s="4" customFormat="1"/>
    <x:row r="221" spans="1:12" s="3" customFormat="1"/>
    <x:row r="222" spans="1:12" s="1" customFormat="1"/>
    <x:row r="223" spans="1:12" s="4" customFormat="1"/>
    <x:row r="224" spans="1:12" s="3" customFormat="1"/>
    <x:row r="225" spans="1:12" s="1" customFormat="1"/>
    <x:row r="226" spans="1:12" s="4" customFormat="1"/>
    <x:row r="227" spans="1:12" s="3" customFormat="1"/>
    <x:row r="228" spans="1:12" s="1" customFormat="1"/>
    <x:row r="229" spans="1:12" s="4" customFormat="1"/>
    <x:row r="230" spans="1:12" s="3" customFormat="1"/>
    <x:row r="231" spans="1:12" s="1" customFormat="1"/>
    <x:row r="232" spans="1:12" s="4" customFormat="1"/>
    <x:row r="233" spans="1:12" s="3" customFormat="1"/>
    <x:row r="234" spans="1:12" s="1" customFormat="1"/>
    <x:row r="235" spans="1:12" s="4" customFormat="1"/>
    <x:row r="236" spans="1:12" s="3" customFormat="1"/>
    <x:row r="237" spans="1:12" s="1" customFormat="1"/>
    <x:row r="238" spans="1:12" s="4" customFormat="1"/>
    <x:row r="239" spans="1:12" s="3" customFormat="1"/>
    <x:row r="240" spans="1:12" s="1" customFormat="1"/>
    <x:row r="241" spans="1:12" s="4" customFormat="1"/>
    <x:row r="242" spans="1:12" s="3" customFormat="1"/>
    <x:row r="243" spans="1:12" s="1" customFormat="1"/>
    <x:row r="244" spans="1:12" s="4" customFormat="1"/>
    <x:row r="245" spans="1:12" s="3" customFormat="1"/>
    <x:row r="246" spans="1:12" s="1" customFormat="1"/>
    <x:row r="247" spans="1:12" s="4" customFormat="1"/>
    <x:row r="248" spans="1:12" s="3" customFormat="1"/>
    <x:row r="249" spans="1:12" s="1" customFormat="1"/>
    <x:row r="250" spans="1:12" s="4" customFormat="1"/>
    <x:row r="251" spans="1:12" s="3" customFormat="1"/>
    <x:row r="252" spans="1:12" s="1" customFormat="1"/>
    <x:row r="253" spans="1:12" s="4" customFormat="1"/>
    <x:row r="254" spans="1:12" s="3" customFormat="1"/>
    <x:row r="255" spans="1:12" s="1" customFormat="1"/>
    <x:row r="256" spans="1:12" s="4" customFormat="1"/>
    <x:row r="257" spans="1:12" s="3" customFormat="1"/>
    <x:row r="258" spans="1:12" s="1" customFormat="1"/>
    <x:row r="259" spans="1:12" s="4" customFormat="1"/>
    <x:row r="260" spans="1:12" s="3" customFormat="1"/>
    <x:row r="261" spans="1:12" s="1" customFormat="1"/>
    <x:row r="262" spans="1:12" s="4" customFormat="1"/>
    <x:row r="263" spans="1:12" s="3" customFormat="1"/>
    <x:row r="264" spans="1:12" s="1" customFormat="1"/>
    <x:row r="265" spans="1:12" s="4" customFormat="1"/>
    <x:row r="266" spans="1:12" s="3" customFormat="1"/>
    <x:row r="267" spans="1:12" s="1" customFormat="1"/>
    <x:row r="268" spans="1:12" s="4" customFormat="1"/>
    <x:row r="269" spans="1:12" s="3" customFormat="1"/>
    <x:row r="270" spans="1:12" s="1" customFormat="1"/>
    <x:row r="271" spans="1:12" s="4" customFormat="1"/>
    <x:row r="272" spans="1:12" s="3" customFormat="1"/>
    <x:row r="273" spans="1:12" s="1" customFormat="1"/>
    <x:row r="274" spans="1:12" s="4" customFormat="1"/>
    <x:row r="275" spans="1:12" s="3" customFormat="1"/>
    <x:row r="276" spans="1:12" s="1" customFormat="1"/>
    <x:row r="277" spans="1:12" s="4" customFormat="1"/>
    <x:row r="278" spans="1:12" s="3" customFormat="1"/>
    <x:row r="279" spans="1:12" s="1" customFormat="1"/>
    <x:row r="280" spans="1:12" s="4" customFormat="1"/>
    <x:row r="281" spans="1:12" s="3" customFormat="1"/>
    <x:row r="282" spans="1:12" s="1" customFormat="1"/>
    <x:row r="283" spans="1:12" s="4" customFormat="1"/>
    <x:row r="284" spans="1:12" s="3" customFormat="1"/>
    <x:row r="285" spans="1:12" s="1" customFormat="1"/>
    <x:row r="286" spans="1:12" s="4" customFormat="1"/>
    <x:row r="287" spans="1:12" s="3" customFormat="1"/>
    <x:row r="288" spans="1:12" s="1" customFormat="1"/>
    <x:row r="289" spans="1:12" s="4" customFormat="1"/>
    <x:row r="290" spans="1:12" s="3" customFormat="1"/>
    <x:row r="291" spans="1:12" s="1" customFormat="1"/>
    <x:row r="292" spans="1:12" s="4" customFormat="1"/>
    <x:row r="293" spans="1:12" s="3" customFormat="1"/>
    <x:row r="294" spans="1:12" s="1" customFormat="1"/>
    <x:row r="295" spans="1:12" s="4" customFormat="1"/>
    <x:row r="296" spans="1:12" s="3" customFormat="1"/>
    <x:row r="297" spans="1:12" s="1" customFormat="1"/>
    <x:row r="298" spans="1:12" s="4" customFormat="1"/>
    <x:row r="299" spans="1:12" s="3" customFormat="1"/>
    <x:row r="300" spans="1:12" s="1" customFormat="1"/>
  </x:sheetData>
  <x:hyperlinks>
    <x:hyperlink ref="C2" r:id="rId718" tooltip="Send a mail to info@melibugeja.com.mt"/>
    <x:hyperlink ref="C4" r:id="rId719" tooltip="Send a mail to sales@summit.com.mt"/>
    <x:hyperlink ref="C5" r:id="rId720" tooltip="Send a mail to cagypsum@onvol.net"/>
    <x:hyperlink ref="C6" r:id="rId721" tooltip="Send a mail to dgypsumandlights@gmail.com"/>
    <x:hyperlink ref="C7" r:id="rId722" tooltip="Send a mail to grantgypsumwork@gmail.com"/>
    <x:hyperlink ref="C8" r:id="rId723" tooltip="Send a mail to gplusgypsum@gmail.com"/>
    <x:hyperlink ref="C9" r:id="rId724" tooltip="Send a mail to buffamalta@t4bservices.com"/>
    <x:hyperlink ref="C10" r:id="rId725" tooltip="Send a mail to pjgypsumworks@gmail.com"/>
    <x:hyperlink ref="C11" r:id="rId726" tooltip="Send a mail to pchircop76@gmail.com"/>
    <x:hyperlink ref="C12" r:id="rId727" tooltip="Send a mail to grimainteriors@hotmail.com"/>
    <x:hyperlink ref="C13" r:id="rId728" tooltip="Send a mail to donovanplastermalta@gmail.com"/>
    <x:hyperlink ref="C14" r:id="rId729" tooltip="Send a mail to jattard@jcrimports.com.mt"/>
    <x:hyperlink ref="C15" r:id="rId730" tooltip="Send a mail to info@ceilingsandwalls.com.mt"/>
    <x:hyperlink ref="C16" r:id="rId731" tooltip="Send a mail to info@bitmacltd.com"/>
    <x:hyperlink ref="C17" r:id="rId732" tooltip="Send a mail to info@mbfmalta.com"/>
    <x:hyperlink ref="C18" r:id="rId733" tooltip="Send a mail to info@grfmalta.com"/>
    <x:hyperlink ref="C19" r:id="rId734" tooltip="Send a mail to oandmgypsum.com@gmail.com"/>
    <x:hyperlink ref="C20" r:id="rId735" tooltip="Send a mail to Info@perfectum.mt"/>
    <x:hyperlink ref="C21" r:id="rId736" tooltip="Send a mail to alex@gad.com.mt"/>
    <x:hyperlink ref="C22" r:id="rId737" tooltip="Send a mail to xil@xuerebinstall.com"/>
    <x:hyperlink ref="C23" r:id="rId738" tooltip="Send a mail to josephgiordano54@gmail.com"/>
    <x:hyperlink ref="C24" r:id="rId739" tooltip="Send a mail to lukeattard89@gmail.com"/>
    <x:hyperlink ref="E2" r:id="rId740" tooltip="Search Xwieki Road, Triq Tal-Balal, Tal-Balal, Iklin, IKL 9013, Malta on Google Maps"/>
    <x:hyperlink ref="E4" r:id="rId741" tooltip="Search 107, Triq L-Istadju, Gzira, GZR 1301, Malta on Google Maps"/>
    <x:hyperlink ref="E5" r:id="rId742" tooltip="Search Triq Hal Tarxien, Il-Gudja, Malta on Google Maps"/>
    <x:hyperlink ref="E6" r:id="rId743" tooltip="Search 13, Triq Ignazio Saverio Mifsud, Birkirkara, BKR1017, Malta on Google Maps"/>
    <x:hyperlink ref="E7" r:id="rId744" tooltip="Search 43, Triq Qrajten, Tal-Pieta', Malta on Google Maps"/>
    <x:hyperlink ref="E8" r:id="rId745" tooltip="Search Valletta Road, Qormi (frente a Maltapost), Malta on Google Maps"/>
    <x:hyperlink ref="E9" r:id="rId746" tooltip="Search 94, Emmant, Triq Salvu Aquilina, Mosta, MST 3162, Malta on Google Maps"/>
    <x:hyperlink ref="E10" r:id="rId747" tooltip="Search Marsaxlokk, Malta on Google Maps"/>
    <x:hyperlink ref="E11" r:id="rId748" tooltip="Search Triq Luret Cutajar, Ħaż-Żebbuġ ZBG 273, Malta on Google Maps"/>
    <x:hyperlink ref="E12" r:id="rId749" tooltip="Search 49 Triq Spadaro, Ħaż-Żabbar, Malta on Google Maps"/>
    <x:hyperlink ref="E13" r:id="rId750" tooltip="Search Triq In-Negozju, Mrieħel, Birkirkara BKR 3000, Malta on Google Maps"/>
    <x:hyperlink ref="E14" r:id="rId751" tooltip="Search 27 Triq Il-Vittmi Tax-Xogħol, Paola, Malta on Google Maps"/>
    <x:hyperlink ref="E15" r:id="rId752" tooltip="Search Triq Tal-Balal, San Ġwann, Malta on Google Maps"/>
    <x:hyperlink ref="E16" r:id="rId753" tooltip="Search Riviera Court/2, Triq Forrest, San Ġiljan, Malta on Google Maps"/>
    <x:hyperlink ref="E17" r:id="rId754" tooltip="Search 117 Triq L-Assemblea Nazzjonali,&#10;San Gwann SGN 3034, Malta on Google Maps"/>
    <x:hyperlink ref="E18" r:id="rId755" tooltip="Search 69, Triq John Borg, Birkirkara, Malta BKR 1284 on Google Maps"/>
    <x:hyperlink ref="E19" r:id="rId756" tooltip="Search Valletta, Malta on Google Maps"/>
    <x:hyperlink ref="E20" r:id="rId757" tooltip="Search 21, Triq Gellewza Sewda,&#10;Midland Park, D7&#10;Burmarrad Road, Burmarrad LO Naxxar&#10;Malta on Google Maps"/>
    <x:hyperlink ref="E21" r:id="rId758" tooltip="Search Xuereb Installations Ltd. Tal-Hlas Road, Qormi QRM 5011. Malta on Google Maps"/>
    <x:hyperlink ref="E22" r:id="rId759" tooltip="Search Hal Mula Street, Garage number 5. on Google Maps"/>
    <x:hyperlink ref="F2" r:id="rId760" tooltip="Visit melibugeja.com.mt"/>
    <x:hyperlink ref="F4" r:id="rId761" tooltip="Visit summit.com.mt"/>
    <x:hyperlink ref="F5" r:id="rId762" tooltip="Visit cagypsummalta.com"/>
    <x:hyperlink ref="F6" r:id="rId763" tooltip="Visit dgypsumworks.com"/>
    <x:hyperlink ref="F7" r:id="rId764" tooltip="Visit grantsgypsumwork.com"/>
    <x:hyperlink ref="F10" r:id="rId765" tooltip="Visit pjgypsumworks.com"/>
    <x:hyperlink ref="F11" r:id="rId766" tooltip="Visit summit.com.mt"/>
    <x:hyperlink ref="F12" r:id="rId767" tooltip="Visit grimainteriors.com"/>
    <x:hyperlink ref="F13" r:id="rId768" tooltip="Visit donovan-plastering.com"/>
    <x:hyperlink ref="F14" r:id="rId769" tooltip="Visit jcrimports.com.mt"/>
    <x:hyperlink ref="F15" r:id="rId770" tooltip="Visit ceilingsandwalls.com.mt"/>
    <x:hyperlink ref="F16" r:id="rId771" tooltip="Visit bitmacltd.com/"/>
    <x:hyperlink ref="F17" r:id="rId772" tooltip="Visit mbfmalta.com"/>
    <x:hyperlink ref="F18" r:id="rId773" tooltip="Visit grfmalta.com/"/>
    <x:hyperlink ref="F19" r:id="rId774" tooltip="Visit findit.com.mt/en/directory/listings/441/oandampm-gypsum-malta.htm"/>
    <x:hyperlink ref="F20" r:id="rId775" tooltip="Visit facebook.com/perfectummt/"/>
    <x:hyperlink ref="F21" r:id="rId776" tooltip="Visit gad.com.mt/"/>
    <x:hyperlink ref="F22" r:id="rId777" tooltip="Visit xuerebinstall.com/"/>
    <x:hyperlink ref="F23" r:id="rId778" tooltip="Visit josephgiordano54.wixsite.com/josephgiordano"/>
    <x:hyperlink ref="F24" r:id="rId779" tooltip="Visit facebook.com/profile.php?id=61560664902130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0"/>
  <x:sheetViews>
    <x:sheetView workbookViewId="0"/>
  </x:sheetViews>
  <x:sheetFormatPr defaultRowHeight="15"/>
  <x:cols>
    <x:col min="1" max="1" width="8.710625" style="0" customWidth="1"/>
    <x:col min="2" max="2" width="18.853482" style="0" customWidth="1"/>
    <x:col min="3" max="3" width="26.710625" style="0" customWidth="1"/>
    <x:col min="4" max="4" width="18.710625" style="0" customWidth="1"/>
    <x:col min="5" max="5" width="11.424911" style="0" customWidth="1"/>
    <x:col min="6" max="6" width="72.996339" style="0" customWidth="1"/>
    <x:col min="7" max="7" width="7.567768" style="0" customWidth="1"/>
    <x:col min="8" max="8" width="20.996339" style="0" customWidth="1"/>
  </x:cols>
  <x:sheetData>
    <x:row r="1" spans="1:8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2" t="s">
        <x:v>872</x:v>
      </x:c>
      <x:c r="H1" s="5">
        <x:f>HYPERLINK("#'Summary List'!A22", "Back to Summary")</x:f>
      </x:c>
    </x:row>
    <x:row r="2" spans="1:8" s="3" customFormat="1">
      <x:c r="A2" s="3" t="s">
        <x:v>1055</x:v>
      </x:c>
      <x:c r="B2" s="3" t="s">
        <x:v>1056</x:v>
      </x:c>
      <x:c r="C2" s="6" t="s">
        <x:v>1067</x:v>
      </x:c>
      <x:c r="D2" s="7">
        <x:f>CONCATENATE(HYPERLINK("CALLTO:%2B356%207741%209400", "+356 7741 9400"))</x:f>
      </x:c>
      <x:c r="F2" s="6" t="s">
        <x:v>1054</x:v>
      </x:c>
    </x:row>
    <x:row r="3" spans="1:8" s="1" customFormat="1">
      <x:c r="A3" s="1" t="s">
        <x:v>1055</x:v>
      </x:c>
      <x:c r="B3" s="1" t="s">
        <x:v>1057</x:v>
      </x:c>
      <x:c r="C3" s="8" t="s">
        <x:v>1068</x:v>
      </x:c>
      <x:c r="D3" s="9">
        <x:f>CONCATENATE(HYPERLINK("CALLTO:%2B356%202123%208054", "+356 2123 8054"))</x:f>
      </x:c>
      <x:c r="F3" s="8" t="s">
        <x:v>1075</x:v>
      </x:c>
    </x:row>
    <x:row r="4" spans="1:8" s="4" customFormat="1">
      <x:c r="A4" s="4" t="s">
        <x:v>1055</x:v>
      </x:c>
      <x:c r="B4" s="4" t="s">
        <x:v>1058</x:v>
      </x:c>
      <x:c r="C4" s="10" t="s">
        <x:v>1069</x:v>
      </x:c>
      <x:c r="D4" s="11">
        <x:f>CONCATENATE(HYPERLINK("CALLTO:%2B356%207741%209500", "+356 7741 9500"))</x:f>
      </x:c>
      <x:c r="F4" s="10" t="s">
        <x:v>1076</x:v>
      </x:c>
    </x:row>
    <x:row r="5" spans="1:8" s="3" customFormat="1">
      <x:c r="A5" s="3" t="s">
        <x:v>1055</x:v>
      </x:c>
      <x:c r="B5" s="3" t="s">
        <x:v>1059</x:v>
      </x:c>
      <x:c r="C5" s="6" t="s">
        <x:v>1070</x:v>
      </x:c>
      <x:c r="D5" s="7">
        <x:f>CONCATENATE(HYPERLINK("CALLTO:%2B356%209914%208332", "+356 9914 8332"))</x:f>
      </x:c>
      <x:c r="F5" s="6" t="s">
        <x:v>1077</x:v>
      </x:c>
    </x:row>
    <x:row r="6" spans="1:8" s="1" customFormat="1">
      <x:c r="A6" s="1" t="s">
        <x:v>1055</x:v>
      </x:c>
      <x:c r="B6" s="1" t="s">
        <x:v>1060</x:v>
      </x:c>
      <x:c r="C6" s="8" t="s">
        <x:v>788</x:v>
      </x:c>
      <x:c r="F6" s="8" t="s">
        <x:v>1078</x:v>
      </x:c>
    </x:row>
    <x:row r="7" spans="1:8" s="4" customFormat="1">
      <x:c r="A7" s="4" t="s">
        <x:v>1055</x:v>
      </x:c>
      <x:c r="B7" s="4" t="s">
        <x:v>1061</x:v>
      </x:c>
      <x:c r="C7" s="10" t="s">
        <x:v>1017</x:v>
      </x:c>
      <x:c r="F7" s="10" t="s">
        <x:v>1079</x:v>
      </x:c>
    </x:row>
    <x:row r="8" spans="1:8" s="3" customFormat="1">
      <x:c r="A8" s="3" t="s">
        <x:v>1055</x:v>
      </x:c>
      <x:c r="B8" s="3" t="s">
        <x:v>1062</x:v>
      </x:c>
      <x:c r="C8" s="6" t="s">
        <x:v>1071</x:v>
      </x:c>
      <x:c r="F8" s="6" t="s">
        <x:v>1080</x:v>
      </x:c>
    </x:row>
    <x:row r="9" spans="1:8" s="1" customFormat="1">
      <x:c r="A9" s="1" t="s">
        <x:v>1055</x:v>
      </x:c>
      <x:c r="B9" s="1" t="s">
        <x:v>1063</x:v>
      </x:c>
      <x:c r="C9" s="8" t="s">
        <x:v>1073</x:v>
      </x:c>
      <x:c r="F9" s="8" t="s">
        <x:v>1081</x:v>
      </x:c>
    </x:row>
    <x:row r="10" spans="1:8" s="4" customFormat="1"/>
    <x:row r="11" spans="1:8" s="3" customFormat="1">
      <x:c r="B11" s="3" t="s">
        <x:v>1064</x:v>
      </x:c>
      <x:c r="C11" s="6" t="s">
        <x:v>1072</x:v>
      </x:c>
      <x:c r="F11" s="6" t="s">
        <x:v>5254</x:v>
      </x:c>
    </x:row>
    <x:row r="12" spans="1:8" s="1" customFormat="1">
      <x:c r="B12" s="1" t="s">
        <x:v>1065</x:v>
      </x:c>
      <x:c r="C12" s="8" t="s">
        <x:v>1074</x:v>
      </x:c>
    </x:row>
    <x:row r="13" spans="1:8" s="4" customFormat="1">
      <x:c r="B13" s="4" t="s">
        <x:v>1066</x:v>
      </x:c>
    </x:row>
    <x:row r="14" spans="1:8" s="3" customFormat="1"/>
    <x:row r="15" spans="1:8" s="1" customFormat="1"/>
    <x:row r="16" spans="1:8" s="4" customFormat="1"/>
    <x:row r="17" spans="1:8" s="3" customFormat="1"/>
    <x:row r="18" spans="1:8" s="1" customFormat="1"/>
    <x:row r="19" spans="1:8" s="4" customFormat="1"/>
    <x:row r="20" spans="1:8" s="3" customFormat="1"/>
    <x:row r="21" spans="1:8" s="1" customFormat="1"/>
    <x:row r="22" spans="1:8" s="4" customFormat="1"/>
    <x:row r="23" spans="1:8" s="3" customFormat="1"/>
    <x:row r="24" spans="1:8" s="1" customFormat="1"/>
    <x:row r="25" spans="1:8" s="4" customFormat="1"/>
    <x:row r="26" spans="1:8" s="3" customFormat="1"/>
    <x:row r="27" spans="1:8" s="1" customFormat="1"/>
    <x:row r="28" spans="1:8" s="4" customFormat="1"/>
    <x:row r="29" spans="1:8" s="3" customFormat="1"/>
    <x:row r="30" spans="1:8" s="1" customFormat="1"/>
    <x:row r="31" spans="1:8" s="4" customFormat="1"/>
    <x:row r="32" spans="1:8" s="3" customFormat="1"/>
    <x:row r="33" spans="1:8" s="1" customFormat="1"/>
    <x:row r="34" spans="1:8" s="4" customFormat="1"/>
    <x:row r="35" spans="1:8" s="3" customFormat="1"/>
    <x:row r="36" spans="1:8" s="1" customFormat="1"/>
    <x:row r="37" spans="1:8" s="4" customFormat="1"/>
    <x:row r="38" spans="1:8" s="3" customFormat="1"/>
    <x:row r="39" spans="1:8" s="1" customFormat="1"/>
    <x:row r="40" spans="1:8" s="4" customFormat="1"/>
    <x:row r="41" spans="1:8" s="3" customFormat="1"/>
    <x:row r="42" spans="1:8" s="1" customFormat="1"/>
    <x:row r="43" spans="1:8" s="4" customFormat="1"/>
    <x:row r="44" spans="1:8" s="3" customFormat="1"/>
    <x:row r="45" spans="1:8" s="1" customFormat="1"/>
    <x:row r="46" spans="1:8" s="4" customFormat="1"/>
    <x:row r="47" spans="1:8" s="3" customFormat="1"/>
    <x:row r="48" spans="1:8" s="1" customFormat="1"/>
    <x:row r="49" spans="1:8" s="4" customFormat="1"/>
    <x:row r="50" spans="1:8" s="3" customFormat="1"/>
    <x:row r="51" spans="1:8" s="1" customFormat="1"/>
    <x:row r="52" spans="1:8" s="4" customFormat="1"/>
    <x:row r="53" spans="1:8" s="3" customFormat="1"/>
    <x:row r="54" spans="1:8" s="1" customFormat="1"/>
    <x:row r="55" spans="1:8" s="4" customFormat="1"/>
    <x:row r="56" spans="1:8" s="3" customFormat="1"/>
    <x:row r="57" spans="1:8" s="1" customFormat="1"/>
    <x:row r="58" spans="1:8" s="4" customFormat="1"/>
    <x:row r="59" spans="1:8" s="3" customFormat="1"/>
    <x:row r="60" spans="1:8" s="1" customFormat="1"/>
    <x:row r="61" spans="1:8" s="4" customFormat="1"/>
    <x:row r="62" spans="1:8" s="3" customFormat="1"/>
    <x:row r="63" spans="1:8" s="1" customFormat="1"/>
    <x:row r="64" spans="1:8" s="4" customFormat="1"/>
    <x:row r="65" spans="1:8" s="3" customFormat="1"/>
    <x:row r="66" spans="1:8" s="1" customFormat="1"/>
    <x:row r="67" spans="1:8" s="4" customFormat="1"/>
    <x:row r="68" spans="1:8" s="3" customFormat="1"/>
    <x:row r="69" spans="1:8" s="1" customFormat="1"/>
    <x:row r="70" spans="1:8" s="4" customFormat="1"/>
    <x:row r="71" spans="1:8" s="3" customFormat="1"/>
    <x:row r="72" spans="1:8" s="1" customFormat="1"/>
    <x:row r="73" spans="1:8" s="4" customFormat="1"/>
    <x:row r="74" spans="1:8" s="3" customFormat="1"/>
    <x:row r="75" spans="1:8" s="1" customFormat="1"/>
    <x:row r="76" spans="1:8" s="4" customFormat="1"/>
    <x:row r="77" spans="1:8" s="3" customFormat="1"/>
    <x:row r="78" spans="1:8" s="1" customFormat="1"/>
    <x:row r="79" spans="1:8" s="4" customFormat="1"/>
    <x:row r="80" spans="1:8" s="3" customFormat="1"/>
    <x:row r="81" spans="1:8" s="1" customFormat="1"/>
    <x:row r="82" spans="1:8" s="4" customFormat="1"/>
    <x:row r="83" spans="1:8" s="3" customFormat="1"/>
    <x:row r="84" spans="1:8" s="1" customFormat="1"/>
    <x:row r="85" spans="1:8" s="4" customFormat="1"/>
    <x:row r="86" spans="1:8" s="3" customFormat="1"/>
    <x:row r="87" spans="1:8" s="1" customFormat="1"/>
    <x:row r="88" spans="1:8" s="4" customFormat="1"/>
    <x:row r="89" spans="1:8" s="3" customFormat="1"/>
    <x:row r="90" spans="1:8" s="1" customFormat="1"/>
    <x:row r="91" spans="1:8" s="4" customFormat="1"/>
    <x:row r="92" spans="1:8" s="3" customFormat="1"/>
    <x:row r="93" spans="1:8" s="1" customFormat="1"/>
    <x:row r="94" spans="1:8" s="4" customFormat="1"/>
    <x:row r="95" spans="1:8" s="3" customFormat="1"/>
    <x:row r="96" spans="1:8" s="1" customFormat="1"/>
    <x:row r="97" spans="1:8" s="4" customFormat="1"/>
    <x:row r="98" spans="1:8" s="3" customFormat="1"/>
    <x:row r="99" spans="1:8" s="1" customFormat="1"/>
    <x:row r="100" spans="1:8" s="4" customFormat="1"/>
  </x:sheetData>
  <x:hyperlinks>
    <x:hyperlink ref="C2" r:id="rId780" tooltip="Send a mail to marketing@crcmalta.com"/>
    <x:hyperlink ref="C3" r:id="rId781" tooltip="Send a mail to qualitypostform@gmail.com"/>
    <x:hyperlink ref="C4" r:id="rId782" tooltip="Send a mail to sales@probuildmalta.com"/>
    <x:hyperlink ref="C5" r:id="rId783" tooltip="Send a mail to sales@bsl-lifestyles.com"/>
    <x:hyperlink ref="C6" r:id="rId784" tooltip="Send a mail to info@devalier.com.mt"/>
    <x:hyperlink ref="C7" r:id="rId785" tooltip="Send a mail to xil@xuerebinstall.com"/>
    <x:hyperlink ref="C8" r:id="rId786" tooltip="Send a mail to info@trendsltdmalta.com"/>
    <x:hyperlink ref="C9" r:id="rId787" tooltip="Send a mail to sales@dimech-ent.com"/>
    <x:hyperlink ref="C11" r:id="rId788" tooltip="Send a mail to sales@shaker.com.mt"/>
    <x:hyperlink ref="C12" r:id="rId789" tooltip="Send a mail to sales@jialifucn.com"/>
    <x:hyperlink ref="F2" r:id="rId790" tooltip="Visit crcmalta.com/shop/category/partitions-cubicles-for-showers-or-w-cs-656"/>
    <x:hyperlink ref="F3" r:id="rId791" tooltip="Visit qualitypostform.com/en/products/products/21/algonquin-anti-vandal-cubicles"/>
    <x:hyperlink ref="F4" r:id="rId792" tooltip="Visit probuildmalta.com/"/>
    <x:hyperlink ref="F5" r:id="rId793" tooltip="Visit bsl-lifestyles.com/product-category/partitions-panels/?offset=4"/>
    <x:hyperlink ref="F6" r:id="rId794" tooltip="Visit dv.mt/showroom-category/office-partitions/"/>
    <x:hyperlink ref="F7" r:id="rId795" tooltip="Visit xuerebinstall.com/our-service/demountable-partitions/"/>
    <x:hyperlink ref="F8" r:id="rId796" tooltip="Visit trendsltdmalta.com/products/commercial-bathrooms/cubicles/"/>
    <x:hyperlink ref="F9" r:id="rId797" tooltip="Visit dimech-ent.com/"/>
    <x:hyperlink ref="F11" r:id="rId798" tooltip="Visit jialifucn.com/compact-laminate-toilet-partitions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9"/>
  <x:sheetViews>
    <x:sheetView workbookViewId="0"/>
  </x:sheetViews>
  <x:sheetFormatPr defaultRowHeight="15"/>
  <x:cols>
    <x:col min="1" max="1" width="41.567768" style="0" customWidth="1"/>
    <x:col min="2" max="2" width="25.139196" style="0" customWidth="1"/>
    <x:col min="3" max="3" width="30.424911" style="0" customWidth="1"/>
    <x:col min="4" max="4" width="29.853482" style="0" customWidth="1"/>
    <x:col min="5" max="5" width="35.996339" style="0" customWidth="1"/>
    <x:col min="6" max="6" width="41.710625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List'!A23", "Back to Summary")</x:f>
      </x:c>
    </x:row>
    <x:row r="2" spans="1:7" s="3" customFormat="1">
      <x:c r="A2" s="3" t="s">
        <x:v>1084</x:v>
      </x:c>
      <x:c r="B2" s="3" t="s">
        <x:v>1086</x:v>
      </x:c>
      <x:c r="C2" s="6" t="s">
        <x:v>1088</x:v>
      </x:c>
      <x:c r="D2" s="7">
        <x:f>CONCATENATE(HYPERLINK("CALLTO:%2B356%202145%205674", "+356 2145 5674"), " / ", HYPERLINK("CALLTO:%2B356%207945%205674", "+356 7945 5674"))</x:f>
      </x:c>
      <x:c r="E2" s="6" t="s">
        <x:v>1090</x:v>
      </x:c>
      <x:c r="F2" s="6" t="s">
        <x:v>1083</x:v>
      </x:c>
    </x:row>
    <x:row r="3" spans="1:7" s="1" customFormat="1"/>
    <x:row r="4" spans="1:7" s="4" customFormat="1">
      <x:c r="A4" s="4" t="s">
        <x:v>1085</x:v>
      </x:c>
      <x:c r="B4" s="4" t="s">
        <x:v>1087</x:v>
      </x:c>
      <x:c r="C4" s="10" t="s">
        <x:v>1089</x:v>
      </x:c>
      <x:c r="D4" s="11">
        <x:f>CONCATENATE(HYPERLINK("CALLTO:%2B356%209968%205377", "+356 9968 5377"))</x:f>
      </x:c>
      <x:c r="E4" s="10" t="s">
        <x:v>1091</x:v>
      </x:c>
      <x:c r="F4" s="10" t="s">
        <x:v>1092</x:v>
      </x:c>
    </x:row>
    <x:row r="5" spans="1:7" s="3" customFormat="1"/>
    <x:row r="6" spans="1:7" s="1" customFormat="1"/>
    <x:row r="7" spans="1:7" s="4" customFormat="1"/>
    <x:row r="8" spans="1:7" s="3" customFormat="1"/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</x:sheetData>
  <x:hyperlinks>
    <x:hyperlink ref="C2" r:id="rId799" tooltip="Send a mail to info@vellabrothersandsons.com"/>
    <x:hyperlink ref="C4" r:id="rId800" tooltip="Send a mail to fardellhonda@gmail.com"/>
    <x:hyperlink ref="E2" r:id="rId801" tooltip="Search TA' DMIEREK QUARRY&#10;c/o Maghlaq Quarry - Panoramic Road,&#10;Qrendi on Google Maps"/>
    <x:hyperlink ref="E4" r:id="rId802" tooltip="Search 111-113 Hompesch Road, Fgura on Google Maps"/>
    <x:hyperlink ref="F2" r:id="rId803" tooltip="Visit vellabrothersandsons.com/index.html"/>
    <x:hyperlink ref="F4" r:id="rId804" tooltip="Visit fardellhonda.wixsite.com/fardellmaintenance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27"/>
  <x:sheetViews>
    <x:sheetView workbookViewId="0"/>
  </x:sheetViews>
  <x:sheetFormatPr defaultRowHeight="15"/>
  <x:cols>
    <x:col min="1" max="1" width="16.996339" style="0" customWidth="1"/>
    <x:col min="2" max="2" width="36.710625" style="0" customWidth="1"/>
    <x:col min="3" max="3" width="27.139196" style="0" customWidth="1"/>
    <x:col min="4" max="4" width="29.853482" style="0" customWidth="1"/>
    <x:col min="5" max="5" width="98.853482" style="0" customWidth="1"/>
    <x:col min="6" max="6" width="22.853482" style="0" customWidth="1"/>
    <x:col min="7" max="7" width="16.567768" style="0" customWidth="1"/>
    <x:col min="8" max="8" width="13.567768" style="0" customWidth="1"/>
    <x:col min="9" max="9" width="10.139196" style="0" customWidth="1"/>
    <x:col min="10" max="10" width="14.996339" style="0" customWidth="1"/>
    <x:col min="11" max="11" width="8.853482" style="0" customWidth="1"/>
    <x:col min="12" max="12" width="20.996339" style="0" customWidth="1"/>
  </x:cols>
  <x:sheetData>
    <x:row r="1" spans="1:12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1948</x:v>
      </x:c>
      <x:c r="H1" s="2" t="s">
        <x:v>1949</x:v>
      </x:c>
      <x:c r="I1" s="2" t="s">
        <x:v>1950</x:v>
      </x:c>
      <x:c r="J1" s="2" t="s">
        <x:v>1951</x:v>
      </x:c>
      <x:c r="K1" s="2" t="s">
        <x:v>5321</x:v>
      </x:c>
      <x:c r="L1" s="5">
        <x:f>HYPERLINK("#'Summary List'!A24", "Back to Summary")</x:f>
      </x:c>
    </x:row>
    <x:row r="2" spans="1:12" s="3" customFormat="1">
      <x:c r="A2" s="3" t="s">
        <x:v>1093</x:v>
      </x:c>
      <x:c r="B2" s="3" t="s">
        <x:v>1094</x:v>
      </x:c>
      <x:c r="C2" s="6" t="s">
        <x:v>1109</x:v>
      </x:c>
      <x:c r="D2" s="7">
        <x:f>CONCATENATE(HYPERLINK("CALLTO:%2B356%202146%203517", "+356 2146 3517"))</x:f>
      </x:c>
      <x:c r="E2" s="6" t="s">
        <x:v>1123</x:v>
      </x:c>
      <x:c r="F2" s="6" t="s">
        <x:v>5255</x:v>
      </x:c>
      <x:c r="G2" s="3" t="s">
        <x:v>547</x:v>
      </x:c>
      <x:c r="H2" s="3" t="s">
        <x:v>547</x:v>
      </x:c>
      <x:c r="I2" s="3" t="s">
        <x:v>547</x:v>
      </x:c>
      <x:c r="J2" s="3" t="s">
        <x:v>548</x:v>
      </x:c>
      <x:c r="K2" s="3" t="s">
        <x:v>547</x:v>
      </x:c>
    </x:row>
    <x:row r="3" spans="1:12" s="1" customFormat="1">
      <x:c r="A3" s="1" t="s">
        <x:v>1093</x:v>
      </x:c>
      <x:c r="B3" s="1" t="s">
        <x:v>1095</x:v>
      </x:c>
      <x:c r="C3" s="8" t="s">
        <x:v>1110</x:v>
      </x:c>
      <x:c r="D3" s="9">
        <x:f>CONCATENATE(HYPERLINK("CALLTO:%2B356%202148%208450", "+356 2148 8450"))</x:f>
      </x:c>
      <x:c r="E3" s="8" t="s">
        <x:v>1124</x:v>
      </x:c>
      <x:c r="F3" s="8" t="s">
        <x:v>1137</x:v>
      </x:c>
      <x:c r="G3" s="1" t="s">
        <x:v>547</x:v>
      </x:c>
      <x:c r="H3" s="1" t="s">
        <x:v>547</x:v>
      </x:c>
      <x:c r="I3" s="1" t="s">
        <x:v>547</x:v>
      </x:c>
      <x:c r="J3" s="1" t="s">
        <x:v>548</x:v>
      </x:c>
      <x:c r="K3" s="1" t="s">
        <x:v>547</x:v>
      </x:c>
    </x:row>
    <x:row r="4" spans="1:12" s="4" customFormat="1">
      <x:c r="A4" s="4" t="s">
        <x:v>1093</x:v>
      </x:c>
      <x:c r="B4" s="4" t="s">
        <x:v>1096</x:v>
      </x:c>
      <x:c r="C4" s="10" t="s">
        <x:v>1112</x:v>
      </x:c>
      <x:c r="D4" s="11">
        <x:f>CONCATENATE(HYPERLINK("CALLTO:%2B356%202134%200289", "+356 2134 0289"))</x:f>
      </x:c>
      <x:c r="E4" s="10" t="s">
        <x:v>1125</x:v>
      </x:c>
      <x:c r="F4" s="10" t="s">
        <x:v>1138</x:v>
      </x:c>
      <x:c r="G4" s="4" t="s">
        <x:v>547</x:v>
      </x:c>
      <x:c r="H4" s="4" t="s">
        <x:v>547</x:v>
      </x:c>
      <x:c r="I4" s="4" t="s">
        <x:v>547</x:v>
      </x:c>
      <x:c r="J4" s="4" t="s">
        <x:v>548</x:v>
      </x:c>
      <x:c r="K4" s="4" t="s">
        <x:v>547</x:v>
      </x:c>
    </x:row>
    <x:row r="5" spans="1:12" s="3" customFormat="1">
      <x:c r="A5" s="3" t="s">
        <x:v>1093</x:v>
      </x:c>
      <x:c r="B5" s="3" t="s">
        <x:v>1097</x:v>
      </x:c>
      <x:c r="C5" s="6" t="s">
        <x:v>1111</x:v>
      </x:c>
      <x:c r="D5" s="7">
        <x:f>CONCATENATE(HYPERLINK("CALLTO:%2B356%202279%202123", "+356 2279 2123"))</x:f>
      </x:c>
      <x:c r="E5" s="6" t="s">
        <x:v>1126</x:v>
      </x:c>
      <x:c r="F5" s="6" t="s">
        <x:v>1139</x:v>
      </x:c>
      <x:c r="G5" s="3" t="s">
        <x:v>547</x:v>
      </x:c>
      <x:c r="H5" s="3" t="s">
        <x:v>547</x:v>
      </x:c>
      <x:c r="I5" s="3" t="s">
        <x:v>547</x:v>
      </x:c>
      <x:c r="J5" s="3" t="s">
        <x:v>548</x:v>
      </x:c>
      <x:c r="K5" s="3" t="s">
        <x:v>547</x:v>
      </x:c>
    </x:row>
    <x:row r="6" spans="1:12" s="1" customFormat="1">
      <x:c r="A6" s="1" t="s">
        <x:v>1093</x:v>
      </x:c>
      <x:c r="B6" s="1" t="s">
        <x:v>1098</x:v>
      </x:c>
      <x:c r="C6" s="8" t="s">
        <x:v>1113</x:v>
      </x:c>
      <x:c r="D6" s="9">
        <x:f>CONCATENATE(HYPERLINK("CALLTO:%2B356%202123%207555", "+356 2123 7555"))</x:f>
      </x:c>
      <x:c r="E6" s="8" t="s">
        <x:v>1127</x:v>
      </x:c>
      <x:c r="F6" s="8" t="s">
        <x:v>1140</x:v>
      </x:c>
      <x:c r="G6" s="1" t="s">
        <x:v>547</x:v>
      </x:c>
      <x:c r="H6" s="1" t="s">
        <x:v>547</x:v>
      </x:c>
      <x:c r="I6" s="1" t="s">
        <x:v>547</x:v>
      </x:c>
      <x:c r="J6" s="1" t="s">
        <x:v>548</x:v>
      </x:c>
      <x:c r="K6" s="1" t="s">
        <x:v>547</x:v>
      </x:c>
    </x:row>
    <x:row r="7" spans="1:12" s="4" customFormat="1">
      <x:c r="A7" s="4" t="s">
        <x:v>1093</x:v>
      </x:c>
      <x:c r="B7" s="4" t="s">
        <x:v>1099</x:v>
      </x:c>
      <x:c r="C7" s="10" t="s">
        <x:v>1114</x:v>
      </x:c>
      <x:c r="D7" s="11">
        <x:f>CONCATENATE(HYPERLINK("CALLTO:%2B356%202122%205721", "+356 2122 5721"))</x:f>
      </x:c>
      <x:c r="E7" s="10" t="s">
        <x:v>1128</x:v>
      </x:c>
      <x:c r="F7" s="10" t="s">
        <x:v>1141</x:v>
      </x:c>
      <x:c r="G7" s="4" t="s">
        <x:v>547</x:v>
      </x:c>
      <x:c r="H7" s="4" t="s">
        <x:v>547</x:v>
      </x:c>
      <x:c r="I7" s="4" t="s">
        <x:v>547</x:v>
      </x:c>
      <x:c r="J7" s="4" t="s">
        <x:v>548</x:v>
      </x:c>
      <x:c r="K7" s="4" t="s">
        <x:v>547</x:v>
      </x:c>
    </x:row>
    <x:row r="8" spans="1:12" s="3" customFormat="1">
      <x:c r="A8" s="3" t="s">
        <x:v>1093</x:v>
      </x:c>
      <x:c r="B8" s="3" t="s">
        <x:v>1100</x:v>
      </x:c>
      <x:c r="C8" s="6" t="s">
        <x:v>1115</x:v>
      </x:c>
      <x:c r="D8" s="7">
        <x:f>CONCATENATE(HYPERLINK("CALLTO:%2B356%202156%204456", "+356 2156 4456"))</x:f>
      </x:c>
      <x:c r="E8" s="6" t="s">
        <x:v>1129</x:v>
      </x:c>
      <x:c r="F8" s="6" t="s">
        <x:v>1142</x:v>
      </x:c>
      <x:c r="G8" s="3" t="s">
        <x:v>547</x:v>
      </x:c>
      <x:c r="H8" s="3" t="s">
        <x:v>547</x:v>
      </x:c>
      <x:c r="I8" s="3" t="s">
        <x:v>547</x:v>
      </x:c>
      <x:c r="J8" s="3" t="s">
        <x:v>548</x:v>
      </x:c>
      <x:c r="K8" s="3" t="s">
        <x:v>547</x:v>
      </x:c>
    </x:row>
    <x:row r="9" spans="1:12" s="1" customFormat="1">
      <x:c r="A9" s="1" t="s">
        <x:v>1093</x:v>
      </x:c>
      <x:c r="B9" s="1" t="s">
        <x:v>1101</x:v>
      </x:c>
      <x:c r="C9" s="8" t="s">
        <x:v>1116</x:v>
      </x:c>
      <x:c r="D9" s="9">
        <x:f>CONCATENATE(HYPERLINK("CALLTO:%2B356%202713%209608", "+356 2713 9608"))</x:f>
      </x:c>
      <x:c r="E9" s="8" t="s">
        <x:v>1130</x:v>
      </x:c>
      <x:c r="F9" s="8" t="s">
        <x:v>1143</x:v>
      </x:c>
      <x:c r="G9" s="1" t="s">
        <x:v>547</x:v>
      </x:c>
      <x:c r="H9" s="1" t="s">
        <x:v>547</x:v>
      </x:c>
      <x:c r="I9" s="1" t="s">
        <x:v>547</x:v>
      </x:c>
      <x:c r="J9" s="1" t="s">
        <x:v>548</x:v>
      </x:c>
      <x:c r="K9" s="1" t="s">
        <x:v>547</x:v>
      </x:c>
    </x:row>
    <x:row r="10" spans="1:12" s="4" customFormat="1">
      <x:c r="A10" s="4" t="s">
        <x:v>1093</x:v>
      </x:c>
      <x:c r="B10" s="4" t="s">
        <x:v>1102</x:v>
      </x:c>
      <x:c r="C10" s="10" t="s">
        <x:v>1117</x:v>
      </x:c>
      <x:c r="D10" s="11">
        <x:f>CONCATENATE(HYPERLINK("CALLTO:%2B356%207942%205055", "+356 7942 5055"))</x:f>
      </x:c>
      <x:c r="E10" s="10" t="s">
        <x:v>1131</x:v>
      </x:c>
      <x:c r="F10" s="10" t="s">
        <x:v>1144</x:v>
      </x:c>
      <x:c r="G10" s="4" t="s">
        <x:v>547</x:v>
      </x:c>
      <x:c r="H10" s="4" t="s">
        <x:v>547</x:v>
      </x:c>
      <x:c r="I10" s="4" t="s">
        <x:v>547</x:v>
      </x:c>
      <x:c r="J10" s="4" t="s">
        <x:v>548</x:v>
      </x:c>
      <x:c r="K10" s="4" t="s">
        <x:v>547</x:v>
      </x:c>
    </x:row>
    <x:row r="11" spans="1:12" s="3" customFormat="1">
      <x:c r="A11" s="3" t="s">
        <x:v>1093</x:v>
      </x:c>
      <x:c r="B11" s="3" t="s">
        <x:v>1103</x:v>
      </x:c>
      <x:c r="C11" s="6" t="s">
        <x:v>788</x:v>
      </x:c>
      <x:c r="D11" s="7">
        <x:f>CONCATENATE(HYPERLINK("CALLTO:%2B356%202149%201111", "+356 2149 1111"))</x:f>
      </x:c>
      <x:c r="E11" s="6" t="s">
        <x:v>1132</x:v>
      </x:c>
      <x:c r="F11" s="6" t="s">
        <x:v>5256</x:v>
      </x:c>
      <x:c r="G11" s="3" t="s">
        <x:v>547</x:v>
      </x:c>
      <x:c r="H11" s="3" t="s">
        <x:v>547</x:v>
      </x:c>
      <x:c r="I11" s="3" t="s">
        <x:v>547</x:v>
      </x:c>
      <x:c r="J11" s="3" t="s">
        <x:v>548</x:v>
      </x:c>
      <x:c r="K11" s="3" t="s">
        <x:v>547</x:v>
      </x:c>
    </x:row>
    <x:row r="12" spans="1:12" s="1" customFormat="1">
      <x:c r="A12" s="1" t="s">
        <x:v>1093</x:v>
      </x:c>
      <x:c r="B12" s="1" t="s">
        <x:v>1104</x:v>
      </x:c>
      <x:c r="C12" s="8" t="s">
        <x:v>1118</x:v>
      </x:c>
      <x:c r="D12" s="9">
        <x:f>CONCATENATE(HYPERLINK("CALLTO:%2B356%209968%205778", "+356 9968 5778"))</x:f>
      </x:c>
      <x:c r="E12" s="8" t="s">
        <x:v>1133</x:v>
      </x:c>
      <x:c r="F12" s="8" t="s">
        <x:v>1147</x:v>
      </x:c>
      <x:c r="G12" s="1" t="s">
        <x:v>547</x:v>
      </x:c>
      <x:c r="H12" s="1" t="s">
        <x:v>547</x:v>
      </x:c>
      <x:c r="I12" s="1" t="s">
        <x:v>547</x:v>
      </x:c>
      <x:c r="J12" s="1" t="s">
        <x:v>548</x:v>
      </x:c>
      <x:c r="K12" s="1" t="s">
        <x:v>547</x:v>
      </x:c>
    </x:row>
    <x:row r="13" spans="1:12" s="4" customFormat="1">
      <x:c r="A13" s="4" t="s">
        <x:v>1093</x:v>
      </x:c>
      <x:c r="B13" s="4" t="s">
        <x:v>1105</x:v>
      </x:c>
      <x:c r="C13" s="10" t="s">
        <x:v>1119</x:v>
      </x:c>
      <x:c r="D13" s="11">
        <x:f>CONCATENATE(HYPERLINK("CALLTO:%2B356%202133%204716", "+356 2133 4716"))</x:f>
      </x:c>
      <x:c r="E13" s="10" t="s">
        <x:v>1134</x:v>
      </x:c>
      <x:c r="F13" s="10" t="s">
        <x:v>5257</x:v>
      </x:c>
      <x:c r="G13" s="4" t="s">
        <x:v>547</x:v>
      </x:c>
      <x:c r="H13" s="4" t="s">
        <x:v>547</x:v>
      </x:c>
      <x:c r="I13" s="4" t="s">
        <x:v>547</x:v>
      </x:c>
      <x:c r="J13" s="4" t="s">
        <x:v>548</x:v>
      </x:c>
      <x:c r="K13" s="4" t="s">
        <x:v>547</x:v>
      </x:c>
    </x:row>
    <x:row r="14" spans="1:12" s="3" customFormat="1">
      <x:c r="A14" s="3" t="s">
        <x:v>1093</x:v>
      </x:c>
      <x:c r="B14" s="3" t="s">
        <x:v>1106</x:v>
      </x:c>
      <x:c r="C14" s="6" t="s">
        <x:v>1120</x:v>
      </x:c>
      <x:c r="D14" s="7">
        <x:f>CONCATENATE(HYPERLINK("CALLTO:%2B356%202143%208925", "+356 2143 8925"))</x:f>
      </x:c>
      <x:c r="E14" s="6" t="s">
        <x:v>1135</x:v>
      </x:c>
      <x:c r="F14" s="6" t="s">
        <x:v>5258</x:v>
      </x:c>
      <x:c r="G14" s="3" t="s">
        <x:v>547</x:v>
      </x:c>
      <x:c r="H14" s="3" t="s">
        <x:v>547</x:v>
      </x:c>
      <x:c r="I14" s="3" t="s">
        <x:v>547</x:v>
      </x:c>
      <x:c r="J14" s="3" t="s">
        <x:v>548</x:v>
      </x:c>
      <x:c r="K14" s="3" t="s">
        <x:v>547</x:v>
      </x:c>
    </x:row>
    <x:row r="15" spans="1:12" s="1" customFormat="1">
      <x:c r="A15" s="1" t="s">
        <x:v>1093</x:v>
      </x:c>
      <x:c r="B15" s="1" t="s">
        <x:v>1107</x:v>
      </x:c>
      <x:c r="C15" s="8" t="s">
        <x:v>1121</x:v>
      </x:c>
      <x:c r="D15" s="9">
        <x:f>CONCATENATE(HYPERLINK("CALLTO:%2B356%202123%204501", "+356 2123 4501"))</x:f>
      </x:c>
      <x:c r="E15" s="8" t="s">
        <x:v>930</x:v>
      </x:c>
      <x:c r="F15" s="8" t="s">
        <x:v>1149</x:v>
      </x:c>
      <x:c r="G15" s="1" t="s">
        <x:v>547</x:v>
      </x:c>
      <x:c r="H15" s="1" t="s">
        <x:v>548</x:v>
      </x:c>
      <x:c r="I15" s="1" t="s">
        <x:v>547</x:v>
      </x:c>
      <x:c r="J15" s="1" t="s">
        <x:v>548</x:v>
      </x:c>
      <x:c r="K15" s="1" t="s">
        <x:v>547</x:v>
      </x:c>
    </x:row>
    <x:row r="16" spans="1:12" s="4" customFormat="1">
      <x:c r="A16" s="4" t="s">
        <x:v>1093</x:v>
      </x:c>
      <x:c r="B16" s="4" t="s">
        <x:v>1108</x:v>
      </x:c>
      <x:c r="C16" s="10" t="s">
        <x:v>1122</x:v>
      </x:c>
      <x:c r="D16" s="11">
        <x:f>CONCATENATE(HYPERLINK("CALLTO:%2B356%202169%203621", "+356 2169 3621"), " / ", HYPERLINK("CALLTO:%2B356%209949%208659", "+356 9949 8659"))</x:f>
      </x:c>
      <x:c r="E16" s="10" t="s">
        <x:v>1136</x:v>
      </x:c>
      <x:c r="F16" s="10" t="s">
        <x:v>1151</x:v>
      </x:c>
      <x:c r="G16" s="4" t="s">
        <x:v>547</x:v>
      </x:c>
      <x:c r="H16" s="4" t="s">
        <x:v>547</x:v>
      </x:c>
      <x:c r="I16" s="4" t="s">
        <x:v>547</x:v>
      </x:c>
      <x:c r="J16" s="4" t="s">
        <x:v>548</x:v>
      </x:c>
      <x:c r="K16" s="4" t="s">
        <x:v>547</x:v>
      </x:c>
    </x:row>
    <x:row r="17" spans="1:12" s="3" customFormat="1"/>
    <x:row r="18" spans="1:12" s="1" customFormat="1"/>
    <x:row r="19" spans="1:12" s="4" customFormat="1"/>
    <x:row r="20" spans="1:12" s="3" customFormat="1"/>
    <x:row r="21" spans="1:12" s="1" customFormat="1"/>
    <x:row r="22" spans="1:12" s="4" customFormat="1"/>
    <x:row r="23" spans="1:12" s="3" customFormat="1"/>
    <x:row r="24" spans="1:12" s="1" customFormat="1"/>
    <x:row r="25" spans="1:12" s="4" customFormat="1"/>
    <x:row r="26" spans="1:12" s="3" customFormat="1"/>
    <x:row r="27" spans="1:12" s="1" customFormat="1"/>
    <x:row r="28" spans="1:12" s="4" customFormat="1"/>
    <x:row r="29" spans="1:12" s="3" customFormat="1"/>
    <x:row r="30" spans="1:12" s="1" customFormat="1"/>
    <x:row r="31" spans="1:12" s="4" customFormat="1"/>
    <x:row r="32" spans="1:12" s="3" customFormat="1"/>
    <x:row r="33" spans="1:12" s="1" customFormat="1"/>
    <x:row r="34" spans="1:12" s="4" customFormat="1"/>
    <x:row r="35" spans="1:12" s="3" customFormat="1"/>
    <x:row r="36" spans="1:12" s="1" customFormat="1"/>
    <x:row r="37" spans="1:12" s="4" customFormat="1"/>
    <x:row r="38" spans="1:12" s="3" customFormat="1"/>
    <x:row r="39" spans="1:12" s="1" customFormat="1"/>
    <x:row r="40" spans="1:12" s="4" customFormat="1"/>
    <x:row r="41" spans="1:12" s="3" customFormat="1"/>
    <x:row r="42" spans="1:12" s="1" customFormat="1"/>
    <x:row r="43" spans="1:12" s="4" customFormat="1"/>
    <x:row r="44" spans="1:12" s="3" customFormat="1"/>
    <x:row r="45" spans="1:12" s="1" customFormat="1"/>
    <x:row r="46" spans="1:12" s="4" customFormat="1"/>
    <x:row r="47" spans="1:12" s="3" customFormat="1"/>
    <x:row r="48" spans="1:12" s="1" customFormat="1"/>
    <x:row r="49" spans="1:12" s="4" customFormat="1"/>
    <x:row r="50" spans="1:12" s="3" customFormat="1"/>
    <x:row r="51" spans="1:12" s="1" customFormat="1"/>
    <x:row r="52" spans="1:12" s="4" customFormat="1"/>
    <x:row r="53" spans="1:12" s="3" customFormat="1"/>
    <x:row r="54" spans="1:12" s="1" customFormat="1"/>
    <x:row r="55" spans="1:12" s="4" customFormat="1"/>
    <x:row r="56" spans="1:12" s="3" customFormat="1"/>
    <x:row r="57" spans="1:12" s="1" customFormat="1"/>
    <x:row r="58" spans="1:12" s="4" customFormat="1"/>
    <x:row r="59" spans="1:12" s="3" customFormat="1"/>
    <x:row r="60" spans="1:12" s="1" customFormat="1"/>
    <x:row r="61" spans="1:12" s="4" customFormat="1"/>
    <x:row r="62" spans="1:12" s="3" customFormat="1"/>
    <x:row r="63" spans="1:12" s="1" customFormat="1"/>
    <x:row r="64" spans="1:12" s="4" customFormat="1"/>
    <x:row r="65" spans="1:12" s="3" customFormat="1"/>
    <x:row r="66" spans="1:12" s="1" customFormat="1"/>
    <x:row r="67" spans="1:12" s="4" customFormat="1"/>
    <x:row r="68" spans="1:12" s="3" customFormat="1"/>
    <x:row r="69" spans="1:12" s="1" customFormat="1"/>
    <x:row r="70" spans="1:12" s="4" customFormat="1"/>
    <x:row r="71" spans="1:12" s="3" customFormat="1"/>
    <x:row r="72" spans="1:12" s="1" customFormat="1"/>
    <x:row r="73" spans="1:12" s="4" customFormat="1"/>
    <x:row r="74" spans="1:12" s="3" customFormat="1"/>
    <x:row r="75" spans="1:12" s="1" customFormat="1"/>
    <x:row r="76" spans="1:12" s="4" customFormat="1"/>
    <x:row r="77" spans="1:12" s="3" customFormat="1"/>
    <x:row r="78" spans="1:12" s="1" customFormat="1"/>
    <x:row r="79" spans="1:12" s="4" customFormat="1"/>
    <x:row r="80" spans="1:12" s="3" customFormat="1"/>
    <x:row r="81" spans="1:12" s="1" customFormat="1"/>
    <x:row r="82" spans="1:12" s="4" customFormat="1"/>
    <x:row r="83" spans="1:12" s="3" customFormat="1"/>
    <x:row r="84" spans="1:12" s="1" customFormat="1"/>
    <x:row r="85" spans="1:12" s="4" customFormat="1"/>
    <x:row r="86" spans="1:12" s="3" customFormat="1"/>
    <x:row r="87" spans="1:12" s="1" customFormat="1"/>
    <x:row r="88" spans="1:12" s="4" customFormat="1"/>
    <x:row r="89" spans="1:12" s="3" customFormat="1"/>
    <x:row r="90" spans="1:12" s="1" customFormat="1"/>
    <x:row r="91" spans="1:12" s="4" customFormat="1"/>
    <x:row r="92" spans="1:12" s="3" customFormat="1"/>
    <x:row r="93" spans="1:12" s="1" customFormat="1"/>
    <x:row r="94" spans="1:12" s="4" customFormat="1"/>
    <x:row r="95" spans="1:12" s="3" customFormat="1"/>
    <x:row r="96" spans="1:12" s="1" customFormat="1"/>
    <x:row r="97" spans="1:12" s="4" customFormat="1"/>
    <x:row r="98" spans="1:12" s="3" customFormat="1"/>
    <x:row r="99" spans="1:12" s="1" customFormat="1"/>
    <x:row r="100" spans="1:12" s="4" customFormat="1"/>
    <x:row r="101" spans="1:12" s="3" customFormat="1"/>
    <x:row r="102" spans="1:12" s="1" customFormat="1"/>
    <x:row r="103" spans="1:12" s="4" customFormat="1"/>
    <x:row r="104" spans="1:12" s="3" customFormat="1"/>
    <x:row r="105" spans="1:12" s="1" customFormat="1"/>
    <x:row r="106" spans="1:12" s="4" customFormat="1"/>
    <x:row r="107" spans="1:12" s="3" customFormat="1"/>
    <x:row r="108" spans="1:12" s="1" customFormat="1"/>
    <x:row r="109" spans="1:12" s="4" customFormat="1"/>
    <x:row r="110" spans="1:12" s="3" customFormat="1"/>
    <x:row r="111" spans="1:12" s="1" customFormat="1"/>
    <x:row r="112" spans="1:12" s="4" customFormat="1"/>
    <x:row r="113" spans="1:12" s="3" customFormat="1"/>
    <x:row r="114" spans="1:12" s="1" customFormat="1"/>
    <x:row r="115" spans="1:12" s="4" customFormat="1"/>
    <x:row r="116" spans="1:12" s="3" customFormat="1"/>
    <x:row r="117" spans="1:12" s="1" customFormat="1"/>
    <x:row r="118" spans="1:12" s="4" customFormat="1"/>
    <x:row r="119" spans="1:12" s="3" customFormat="1"/>
    <x:row r="120" spans="1:12" s="1" customFormat="1"/>
    <x:row r="121" spans="1:12" s="4" customFormat="1"/>
    <x:row r="122" spans="1:12" s="3" customFormat="1"/>
    <x:row r="123" spans="1:12" s="1" customFormat="1"/>
    <x:row r="124" spans="1:12" s="4" customFormat="1"/>
    <x:row r="125" spans="1:12" s="3" customFormat="1"/>
    <x:row r="126" spans="1:12" s="1" customFormat="1"/>
    <x:row r="127" spans="1:12" s="4" customFormat="1"/>
    <x:row r="128" spans="1:12" s="3" customFormat="1"/>
    <x:row r="129" spans="1:12" s="1" customFormat="1"/>
    <x:row r="130" spans="1:12" s="4" customFormat="1"/>
    <x:row r="131" spans="1:12" s="3" customFormat="1"/>
    <x:row r="132" spans="1:12" s="1" customFormat="1"/>
    <x:row r="133" spans="1:12" s="4" customFormat="1"/>
    <x:row r="134" spans="1:12" s="3" customFormat="1"/>
    <x:row r="135" spans="1:12" s="1" customFormat="1"/>
    <x:row r="136" spans="1:12" s="4" customFormat="1"/>
    <x:row r="137" spans="1:12" s="3" customFormat="1"/>
    <x:row r="138" spans="1:12" s="1" customFormat="1"/>
    <x:row r="139" spans="1:12" s="4" customFormat="1"/>
    <x:row r="140" spans="1:12" s="3" customFormat="1"/>
    <x:row r="141" spans="1:12" s="1" customFormat="1"/>
    <x:row r="142" spans="1:12" s="4" customFormat="1"/>
    <x:row r="143" spans="1:12" s="3" customFormat="1"/>
    <x:row r="144" spans="1:12" s="1" customFormat="1"/>
    <x:row r="145" spans="1:12" s="4" customFormat="1"/>
    <x:row r="146" spans="1:12" s="3" customFormat="1"/>
    <x:row r="147" spans="1:12" s="1" customFormat="1"/>
    <x:row r="148" spans="1:12" s="4" customFormat="1"/>
    <x:row r="149" spans="1:12" s="3" customFormat="1"/>
    <x:row r="150" spans="1:12" s="1" customFormat="1"/>
    <x:row r="151" spans="1:12" s="4" customFormat="1"/>
    <x:row r="152" spans="1:12" s="3" customFormat="1"/>
    <x:row r="153" spans="1:12" s="1" customFormat="1"/>
    <x:row r="154" spans="1:12" s="4" customFormat="1"/>
    <x:row r="155" spans="1:12" s="3" customFormat="1"/>
    <x:row r="156" spans="1:12" s="1" customFormat="1"/>
    <x:row r="157" spans="1:12" s="4" customFormat="1"/>
    <x:row r="158" spans="1:12" s="3" customFormat="1"/>
    <x:row r="159" spans="1:12" s="1" customFormat="1"/>
    <x:row r="160" spans="1:12" s="4" customFormat="1"/>
    <x:row r="161" spans="1:12" s="3" customFormat="1"/>
    <x:row r="162" spans="1:12" s="1" customFormat="1"/>
    <x:row r="163" spans="1:12" s="4" customFormat="1"/>
    <x:row r="164" spans="1:12" s="3" customFormat="1"/>
    <x:row r="165" spans="1:12" s="1" customFormat="1"/>
    <x:row r="166" spans="1:12" s="4" customFormat="1"/>
    <x:row r="167" spans="1:12" s="3" customFormat="1"/>
    <x:row r="168" spans="1:12" s="1" customFormat="1"/>
    <x:row r="169" spans="1:12" s="4" customFormat="1"/>
    <x:row r="170" spans="1:12" s="3" customFormat="1"/>
    <x:row r="171" spans="1:12" s="1" customFormat="1"/>
    <x:row r="172" spans="1:12" s="4" customFormat="1"/>
    <x:row r="173" spans="1:12" s="3" customFormat="1"/>
    <x:row r="174" spans="1:12" s="1" customFormat="1"/>
    <x:row r="175" spans="1:12" s="4" customFormat="1"/>
    <x:row r="176" spans="1:12" s="3" customFormat="1"/>
    <x:row r="177" spans="1:12" s="1" customFormat="1"/>
    <x:row r="178" spans="1:12" s="4" customFormat="1"/>
    <x:row r="179" spans="1:12" s="3" customFormat="1"/>
    <x:row r="180" spans="1:12" s="1" customFormat="1"/>
    <x:row r="181" spans="1:12" s="4" customFormat="1"/>
    <x:row r="182" spans="1:12" s="3" customFormat="1"/>
    <x:row r="183" spans="1:12" s="1" customFormat="1"/>
    <x:row r="184" spans="1:12" s="4" customFormat="1"/>
    <x:row r="185" spans="1:12" s="3" customFormat="1"/>
    <x:row r="186" spans="1:12" s="1" customFormat="1"/>
    <x:row r="187" spans="1:12" s="4" customFormat="1"/>
    <x:row r="188" spans="1:12" s="3" customFormat="1"/>
    <x:row r="189" spans="1:12" s="1" customFormat="1"/>
    <x:row r="190" spans="1:12" s="4" customFormat="1"/>
    <x:row r="191" spans="1:12" s="3" customFormat="1"/>
    <x:row r="192" spans="1:12" s="1" customFormat="1"/>
    <x:row r="193" spans="1:12" s="4" customFormat="1"/>
    <x:row r="194" spans="1:12" s="3" customFormat="1"/>
    <x:row r="195" spans="1:12" s="1" customFormat="1"/>
    <x:row r="196" spans="1:12" s="4" customFormat="1"/>
    <x:row r="197" spans="1:12" s="3" customFormat="1"/>
    <x:row r="198" spans="1:12" s="1" customFormat="1"/>
    <x:row r="199" spans="1:12" s="4" customFormat="1"/>
    <x:row r="200" spans="1:12" s="3" customFormat="1"/>
    <x:row r="201" spans="1:12" s="1" customFormat="1"/>
    <x:row r="202" spans="1:12" s="4" customFormat="1"/>
    <x:row r="203" spans="1:12" s="3" customFormat="1"/>
    <x:row r="204" spans="1:12" s="1" customFormat="1"/>
    <x:row r="205" spans="1:12" s="4" customFormat="1"/>
    <x:row r="206" spans="1:12" s="3" customFormat="1"/>
    <x:row r="207" spans="1:12" s="1" customFormat="1"/>
    <x:row r="208" spans="1:12" s="4" customFormat="1"/>
    <x:row r="209" spans="1:12" s="3" customFormat="1"/>
    <x:row r="210" spans="1:12" s="1" customFormat="1"/>
    <x:row r="211" spans="1:12" s="4" customFormat="1"/>
    <x:row r="212" spans="1:12" s="3" customFormat="1"/>
    <x:row r="213" spans="1:12" s="1" customFormat="1"/>
    <x:row r="214" spans="1:12" s="4" customFormat="1"/>
    <x:row r="215" spans="1:12" s="3" customFormat="1"/>
    <x:row r="216" spans="1:12" s="1" customFormat="1"/>
    <x:row r="217" spans="1:12" s="4" customFormat="1"/>
    <x:row r="218" spans="1:12" s="3" customFormat="1"/>
    <x:row r="219" spans="1:12" s="1" customFormat="1"/>
    <x:row r="220" spans="1:12" s="4" customFormat="1"/>
    <x:row r="221" spans="1:12" s="3" customFormat="1"/>
    <x:row r="222" spans="1:12" s="1" customFormat="1"/>
    <x:row r="223" spans="1:12" s="4" customFormat="1"/>
    <x:row r="224" spans="1:12" s="3" customFormat="1"/>
    <x:row r="225" spans="1:12" s="1" customFormat="1"/>
    <x:row r="226" spans="1:12" s="4" customFormat="1"/>
    <x:row r="227" spans="1:12" s="3" customFormat="1"/>
  </x:sheetData>
  <x:hyperlinks>
    <x:hyperlink ref="C2" r:id="rId805" tooltip="Send a mail to sales@ennegiltd.com"/>
    <x:hyperlink ref="C3" r:id="rId806" tooltip="Send a mail to storagesys@vol.net.mt"/>
    <x:hyperlink ref="C4" r:id="rId807" tooltip="Send a mail to dario@caravelmalta.com"/>
    <x:hyperlink ref="C5" r:id="rId808" tooltip="Send a mail to info@agps.com.mt"/>
    <x:hyperlink ref="C6" r:id="rId809" tooltip="Send a mail to info@t4bservices.com"/>
    <x:hyperlink ref="C7" r:id="rId810" tooltip="Send a mail to alfen@maltanet.net"/>
    <x:hyperlink ref="C8" r:id="rId811" tooltip="Send a mail to uds@maltanet.net"/>
    <x:hyperlink ref="C9" r:id="rId812" tooltip="Send a mail to info@360rs.com.mt"/>
    <x:hyperlink ref="C10" r:id="rId813" tooltip="Send a mail to info@devaltech.com"/>
    <x:hyperlink ref="C11" r:id="rId814" tooltip="Send a mail to info@devalier.com.mt"/>
    <x:hyperlink ref="C12" r:id="rId815" tooltip="Send a mail to info@metalock.com.mt"/>
    <x:hyperlink ref="C13" r:id="rId816" tooltip="Send a mail to info@ramilenemalta.com"/>
    <x:hyperlink ref="C14" r:id="rId817" tooltip="Send a mail to info@intervisions.com.mt"/>
    <x:hyperlink ref="C15" r:id="rId818" tooltip="Send a mail to info@petroleamalta.com"/>
    <x:hyperlink ref="C16" r:id="rId819" tooltip="Send a mail to sales@scengineering.com.mt"/>
    <x:hyperlink ref="E2" r:id="rId820" tooltip="Search 237, Triq Hal Qormi, Marsa, MRS 9045, Malta on Google Maps"/>
    <x:hyperlink ref="E3" r:id="rId821" tooltip="Search KW12, Zona Industrijali Ta' Kordin, Coradino, Paola, Malta on Google Maps"/>
    <x:hyperlink ref="E4" r:id="rId822" tooltip="Search ‘Raycop’, Plot 13/15, Sqaq iz-Ziemel, Handaq, Qormi QRM-4003, Malta on Google Maps"/>
    <x:hyperlink ref="E5" r:id="rId823" tooltip="Search Zamco Buildings, Triq Il-Mithna, Hal Qormi, QRM 3103, Malta on Google Maps"/>
    <x:hyperlink ref="E6" r:id="rId824" tooltip="Search Canter Business Centre, Triq Patri Felicjan Bilocca, Il-Marsa, Malta on Google Maps"/>
    <x:hyperlink ref="E7" r:id="rId825" tooltip="Search 96, Triq Il-Kbira San Guzepp, Il-Hamrun, Malta on Google Maps"/>
    <x:hyperlink ref="E8" r:id="rId826" tooltip="Search Factory C, Triq L-Industrija, Ix-Xewkija (Gozo) XWK 3000, Malta on Google Maps"/>
    <x:hyperlink ref="E9" r:id="rId827" tooltip="Search 360 Business Center, Mdina Road, Ħaż-Żebbuġ, ZBG 9014, Malta on Google Maps"/>
    <x:hyperlink ref="E10" r:id="rId828" tooltip="Search de Valtech Building, San Gwakkin Street, Zone 3, Central Businees District, Mriehel CBD 3030 Birkirkara, Malta on Google Maps"/>
    <x:hyperlink ref="E11" r:id="rId829" tooltip="Search The Old Factory, San Gwakkin str, Mriehel,Central Business District Birkirkara CBD, 3030 on Google Maps"/>
    <x:hyperlink ref="E12" r:id="rId830" tooltip="Search The Hillock - Block North C 8, Triq Il-Qolla S-Safra, Marsalforn, MFN 1405, Gozo on Google Maps"/>
    <x:hyperlink ref="E13" r:id="rId831" tooltip="Search 50/51, Triq It-Torri, Birkirkara, Is-Swatar, Malta BKR 4011 on Google Maps"/>
    <x:hyperlink ref="E14" r:id="rId832" tooltip="Search Hard Rocks Industrial Park, Triq Burmarrad, Naxxar, Malta NXR 6345 on Google Maps"/>
    <x:hyperlink ref="E15" r:id="rId833" tooltip="Search Valley Road, Msida, Malta on Google Maps"/>
    <x:hyperlink ref="E16" r:id="rId834" tooltip="Search 322, Qasam Industrijali Ta' Hal Luqa Hal Luqa, Malta on Google Maps"/>
    <x:hyperlink ref="F2" r:id="rId835" tooltip="Visit ennegiltd.com"/>
    <x:hyperlink ref="F3" r:id="rId836" tooltip="Visit storagesystems.com.mt"/>
    <x:hyperlink ref="F4" r:id="rId837" tooltip="Visit caravelmalta.com"/>
    <x:hyperlink ref="F5" r:id="rId838" tooltip="Visit agps.com.mt"/>
    <x:hyperlink ref="F6" r:id="rId839" tooltip="Visit t4bservices.com"/>
    <x:hyperlink ref="F7" r:id="rId840" tooltip="Visit alfendisplays.com"/>
    <x:hyperlink ref="F8" r:id="rId841" tooltip="Visit udsmalta.com"/>
    <x:hyperlink ref="F9" r:id="rId842" tooltip="Visit 360retailsupplies.com"/>
    <x:hyperlink ref="F10" r:id="rId843" tooltip="Visit dv.mt/de-valtech/"/>
    <x:hyperlink ref="F11" r:id="rId844" tooltip="Visit dv.mt/"/>
    <x:hyperlink ref="F12" r:id="rId845" tooltip="Visit metalock.com.mt"/>
    <x:hyperlink ref="F13" r:id="rId846" tooltip="Visit ramilenemalta.com/"/>
    <x:hyperlink ref="F14" r:id="rId847" tooltip="Visit intervisions.com.mt"/>
    <x:hyperlink ref="F15" r:id="rId848" tooltip="Visit petroleamalta.com"/>
    <x:hyperlink ref="F16" r:id="rId849" tooltip="Visit scengineering.com.mt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18"/>
  <x:sheetViews>
    <x:sheetView workbookViewId="0"/>
  </x:sheetViews>
  <x:sheetFormatPr defaultRowHeight="15"/>
  <x:cols>
    <x:col min="1" max="1" width="35.853482" style="0" customWidth="1"/>
    <x:col min="2" max="2" width="18.139196" style="0" customWidth="1"/>
    <x:col min="3" max="3" width="20.567768" style="0" customWidth="1"/>
    <x:col min="4" max="4" width="18.139196" style="0" customWidth="1"/>
    <x:col min="5" max="5" width="45.139196" style="0" customWidth="1"/>
    <x:col min="6" max="6" width="30.996339" style="0" customWidth="1"/>
    <x:col min="7" max="7" width="16.567768" style="0" customWidth="1"/>
    <x:col min="8" max="8" width="13.567768" style="0" customWidth="1"/>
    <x:col min="9" max="9" width="10.139196" style="0" customWidth="1"/>
    <x:col min="10" max="10" width="14.996339" style="0" customWidth="1"/>
    <x:col min="11" max="11" width="8.853482" style="0" customWidth="1"/>
    <x:col min="12" max="12" width="20.996339" style="0" customWidth="1"/>
  </x:cols>
  <x:sheetData>
    <x:row r="1" spans="1:12" s="2" customFormat="1">
      <x:c r="A1" s="2" t="s">
        <x:v>1152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2" t="s">
        <x:v>1948</x:v>
      </x:c>
      <x:c r="H1" s="2" t="s">
        <x:v>1949</x:v>
      </x:c>
      <x:c r="I1" s="2" t="s">
        <x:v>1950</x:v>
      </x:c>
      <x:c r="J1" s="2" t="s">
        <x:v>1951</x:v>
      </x:c>
      <x:c r="K1" s="2" t="s">
        <x:v>5321</x:v>
      </x:c>
      <x:c r="L1" s="5">
        <x:f>HYPERLINK("#'Summary List'!A25", "Back to Summary")</x:f>
      </x:c>
    </x:row>
    <x:row r="2" spans="1:12" s="3" customFormat="1">
      <x:c r="A2" s="3" t="s">
        <x:v>0</x:v>
      </x:c>
      <x:c r="B2" s="3" t="s">
        <x:v>1155</x:v>
      </x:c>
      <x:c r="C2" s="6" t="s">
        <x:v>1160</x:v>
      </x:c>
      <x:c r="D2" s="7">
        <x:f>CONCATENATE(HYPERLINK("CALLTO:%2B356%202144%205544", "+356 2144 5544"))</x:f>
      </x:c>
      <x:c r="E2" s="6" t="s">
        <x:v>1166</x:v>
      </x:c>
      <x:c r="F2" s="6" t="s">
        <x:v>1171</x:v>
      </x:c>
      <x:c r="G2" s="3" t="s">
        <x:v>547</x:v>
      </x:c>
      <x:c r="H2" s="3" t="s">
        <x:v>547</x:v>
      </x:c>
      <x:c r="I2" s="3" t="s">
        <x:v>547</x:v>
      </x:c>
      <x:c r="J2" s="3" t="s">
        <x:v>548</x:v>
      </x:c>
      <x:c r="K2" s="3" t="s">
        <x:v>547</x:v>
      </x:c>
    </x:row>
    <x:row r="3" spans="1:12" s="1" customFormat="1">
      <x:c r="A3" s="1" t="s">
        <x:v>1153</x:v>
      </x:c>
      <x:c r="B3" s="1" t="s">
        <x:v>1157</x:v>
      </x:c>
      <x:c r="C3" s="8" t="s">
        <x:v>1162</x:v>
      </x:c>
      <x:c r="D3" s="9">
        <x:f>CONCATENATE(HYPERLINK("CALLTO:%2B356%202189%204712", "+356 2189 4712"))</x:f>
      </x:c>
      <x:c r="E3" s="8" t="s">
        <x:v>1167</x:v>
      </x:c>
      <x:c r="F3" s="8" t="s">
        <x:v>1172</x:v>
      </x:c>
      <x:c r="G3" s="1" t="s">
        <x:v>547</x:v>
      </x:c>
      <x:c r="H3" s="1" t="s">
        <x:v>548</x:v>
      </x:c>
      <x:c r="I3" s="1" t="s">
        <x:v>547</x:v>
      </x:c>
      <x:c r="J3" s="1" t="s">
        <x:v>548</x:v>
      </x:c>
      <x:c r="K3" s="1" t="s">
        <x:v>547</x:v>
      </x:c>
    </x:row>
    <x:row r="4" spans="1:12" s="4" customFormat="1">
      <x:c r="A4" s="4" t="s">
        <x:v>1154</x:v>
      </x:c>
      <x:c r="B4" s="4" t="s">
        <x:v>1158</x:v>
      </x:c>
      <x:c r="C4" s="10" t="s">
        <x:v>1163</x:v>
      </x:c>
      <x:c r="D4" s="11">
        <x:f>CONCATENATE(HYPERLINK("CALLTO:%2B356%202141%203112", "+356 2141 3112"))</x:f>
      </x:c>
      <x:c r="E4" s="10" t="s">
        <x:v>1168</x:v>
      </x:c>
      <x:c r="F4" s="10" t="s">
        <x:v>1150</x:v>
      </x:c>
      <x:c r="G4" s="4" t="s">
        <x:v>547</x:v>
      </x:c>
      <x:c r="H4" s="4" t="s">
        <x:v>547</x:v>
      </x:c>
      <x:c r="I4" s="4" t="s">
        <x:v>547</x:v>
      </x:c>
      <x:c r="J4" s="4" t="s">
        <x:v>548</x:v>
      </x:c>
      <x:c r="K4" s="4" t="s">
        <x:v>547</x:v>
      </x:c>
    </x:row>
    <x:row r="5" spans="1:12" s="3" customFormat="1">
      <x:c r="A5" s="3" t="s">
        <x:v>1156</x:v>
      </x:c>
      <x:c r="B5" s="3" t="s">
        <x:v>1159</x:v>
      </x:c>
      <x:c r="C5" s="6" t="s">
        <x:v>1164</x:v>
      </x:c>
      <x:c r="D5" s="7">
        <x:f>CONCATENATE(HYPERLINK("CALLTO:%2B356%202180%202828", "+356 2180 2828"))</x:f>
      </x:c>
      <x:c r="E5" s="6" t="s">
        <x:v>1169</x:v>
      </x:c>
      <x:c r="F5" s="6" t="s">
        <x:v>1174</x:v>
      </x:c>
      <x:c r="G5" s="3" t="s">
        <x:v>547</x:v>
      </x:c>
      <x:c r="H5" s="3" t="s">
        <x:v>547</x:v>
      </x:c>
      <x:c r="I5" s="3" t="s">
        <x:v>547</x:v>
      </x:c>
      <x:c r="J5" s="3" t="s">
        <x:v>548</x:v>
      </x:c>
      <x:c r="K5" s="3" t="s">
        <x:v>547</x:v>
      </x:c>
    </x:row>
    <x:row r="6" spans="1:12" s="1" customFormat="1">
      <x:c r="A6" s="1" t="s">
        <x:v>1156</x:v>
      </x:c>
      <x:c r="B6" s="1" t="s">
        <x:v>1161</x:v>
      </x:c>
      <x:c r="C6" s="8" t="s">
        <x:v>1165</x:v>
      </x:c>
      <x:c r="D6" s="9">
        <x:f>CONCATENATE(HYPERLINK("CALLTO:%2B356%202733%203444", "+356 2733 3444"))</x:f>
      </x:c>
      <x:c r="E6" s="8" t="s">
        <x:v>1170</x:v>
      </x:c>
      <x:c r="F6" s="8" t="s">
        <x:v>1173</x:v>
      </x:c>
      <x:c r="G6" s="1" t="s">
        <x:v>547</x:v>
      </x:c>
      <x:c r="H6" s="1" t="s">
        <x:v>548</x:v>
      </x:c>
      <x:c r="I6" s="1" t="s">
        <x:v>547</x:v>
      </x:c>
      <x:c r="J6" s="1" t="s">
        <x:v>548</x:v>
      </x:c>
      <x:c r="K6" s="1" t="s">
        <x:v>547</x:v>
      </x:c>
    </x:row>
    <x:row r="7" spans="1:12" s="4" customFormat="1">
      <x:c r="A7" s="4" t="s">
        <x:v>1156</x:v>
      </x:c>
    </x:row>
    <x:row r="8" spans="1:12" s="3" customFormat="1"/>
    <x:row r="9" spans="1:12" s="1" customFormat="1"/>
    <x:row r="10" spans="1:12" s="4" customFormat="1"/>
    <x:row r="11" spans="1:12" s="3" customFormat="1"/>
    <x:row r="12" spans="1:12" s="1" customFormat="1"/>
    <x:row r="13" spans="1:12" s="4" customFormat="1"/>
    <x:row r="14" spans="1:12" s="3" customFormat="1"/>
    <x:row r="15" spans="1:12" s="1" customFormat="1"/>
    <x:row r="16" spans="1:12" s="4" customFormat="1"/>
    <x:row r="17" spans="1:12" s="3" customFormat="1"/>
    <x:row r="18" spans="1:12" s="1" customFormat="1"/>
    <x:row r="19" spans="1:12" s="4" customFormat="1"/>
    <x:row r="20" spans="1:12" s="3" customFormat="1"/>
    <x:row r="21" spans="1:12" s="1" customFormat="1"/>
    <x:row r="22" spans="1:12" s="4" customFormat="1"/>
    <x:row r="23" spans="1:12" s="3" customFormat="1"/>
    <x:row r="24" spans="1:12" s="1" customFormat="1"/>
    <x:row r="25" spans="1:12" s="4" customFormat="1"/>
    <x:row r="26" spans="1:12" s="3" customFormat="1"/>
    <x:row r="27" spans="1:12" s="1" customFormat="1"/>
    <x:row r="28" spans="1:12" s="4" customFormat="1"/>
    <x:row r="29" spans="1:12" s="3" customFormat="1"/>
    <x:row r="30" spans="1:12" s="1" customFormat="1"/>
    <x:row r="31" spans="1:12" s="4" customFormat="1"/>
    <x:row r="32" spans="1:12" s="3" customFormat="1"/>
    <x:row r="33" spans="1:12" s="1" customFormat="1"/>
    <x:row r="34" spans="1:12" s="4" customFormat="1"/>
    <x:row r="35" spans="1:12" s="3" customFormat="1"/>
    <x:row r="36" spans="1:12" s="1" customFormat="1"/>
    <x:row r="37" spans="1:12" s="4" customFormat="1"/>
    <x:row r="38" spans="1:12" s="3" customFormat="1"/>
    <x:row r="39" spans="1:12" s="1" customFormat="1"/>
    <x:row r="40" spans="1:12" s="4" customFormat="1"/>
    <x:row r="41" spans="1:12" s="3" customFormat="1"/>
    <x:row r="42" spans="1:12" s="1" customFormat="1"/>
    <x:row r="43" spans="1:12" s="4" customFormat="1"/>
    <x:row r="44" spans="1:12" s="3" customFormat="1"/>
    <x:row r="45" spans="1:12" s="1" customFormat="1"/>
    <x:row r="46" spans="1:12" s="4" customFormat="1"/>
    <x:row r="47" spans="1:12" s="3" customFormat="1"/>
    <x:row r="48" spans="1:12" s="1" customFormat="1"/>
    <x:row r="49" spans="1:12" s="4" customFormat="1"/>
    <x:row r="50" spans="1:12" s="3" customFormat="1"/>
    <x:row r="51" spans="1:12" s="1" customFormat="1"/>
    <x:row r="52" spans="1:12" s="4" customFormat="1"/>
    <x:row r="53" spans="1:12" s="3" customFormat="1"/>
    <x:row r="54" spans="1:12" s="1" customFormat="1"/>
    <x:row r="55" spans="1:12" s="4" customFormat="1"/>
    <x:row r="56" spans="1:12" s="3" customFormat="1"/>
    <x:row r="57" spans="1:12" s="1" customFormat="1"/>
    <x:row r="58" spans="1:12" s="4" customFormat="1"/>
    <x:row r="59" spans="1:12" s="3" customFormat="1"/>
    <x:row r="60" spans="1:12" s="1" customFormat="1"/>
    <x:row r="61" spans="1:12" s="4" customFormat="1"/>
    <x:row r="62" spans="1:12" s="3" customFormat="1"/>
    <x:row r="63" spans="1:12" s="1" customFormat="1"/>
    <x:row r="64" spans="1:12" s="4" customFormat="1"/>
    <x:row r="65" spans="1:12" s="3" customFormat="1"/>
    <x:row r="66" spans="1:12" s="1" customFormat="1"/>
    <x:row r="67" spans="1:12" s="4" customFormat="1"/>
    <x:row r="68" spans="1:12" s="3" customFormat="1"/>
    <x:row r="69" spans="1:12" s="1" customFormat="1"/>
    <x:row r="70" spans="1:12" s="4" customFormat="1"/>
    <x:row r="71" spans="1:12" s="3" customFormat="1"/>
    <x:row r="72" spans="1:12" s="1" customFormat="1"/>
    <x:row r="73" spans="1:12" s="4" customFormat="1"/>
    <x:row r="74" spans="1:12" s="3" customFormat="1"/>
    <x:row r="75" spans="1:12" s="1" customFormat="1"/>
    <x:row r="76" spans="1:12" s="4" customFormat="1"/>
    <x:row r="77" spans="1:12" s="3" customFormat="1"/>
    <x:row r="78" spans="1:12" s="1" customFormat="1"/>
    <x:row r="79" spans="1:12" s="4" customFormat="1"/>
    <x:row r="80" spans="1:12" s="3" customFormat="1"/>
    <x:row r="81" spans="1:12" s="1" customFormat="1"/>
    <x:row r="82" spans="1:12" s="4" customFormat="1"/>
    <x:row r="83" spans="1:12" s="3" customFormat="1"/>
    <x:row r="84" spans="1:12" s="1" customFormat="1"/>
    <x:row r="85" spans="1:12" s="4" customFormat="1"/>
    <x:row r="86" spans="1:12" s="3" customFormat="1"/>
    <x:row r="87" spans="1:12" s="1" customFormat="1"/>
    <x:row r="88" spans="1:12" s="4" customFormat="1"/>
    <x:row r="89" spans="1:12" s="3" customFormat="1"/>
    <x:row r="90" spans="1:12" s="1" customFormat="1"/>
    <x:row r="91" spans="1:12" s="4" customFormat="1"/>
    <x:row r="92" spans="1:12" s="3" customFormat="1"/>
    <x:row r="93" spans="1:12" s="1" customFormat="1"/>
    <x:row r="94" spans="1:12" s="4" customFormat="1"/>
    <x:row r="95" spans="1:12" s="3" customFormat="1"/>
    <x:row r="96" spans="1:12" s="1" customFormat="1"/>
    <x:row r="97" spans="1:12" s="4" customFormat="1"/>
    <x:row r="98" spans="1:12" s="3" customFormat="1"/>
    <x:row r="99" spans="1:12" s="1" customFormat="1"/>
    <x:row r="100" spans="1:12" s="4" customFormat="1"/>
    <x:row r="101" spans="1:12" s="3" customFormat="1"/>
    <x:row r="102" spans="1:12" s="1" customFormat="1"/>
    <x:row r="103" spans="1:12" s="4" customFormat="1"/>
    <x:row r="104" spans="1:12" s="3" customFormat="1"/>
    <x:row r="105" spans="1:12" s="1" customFormat="1"/>
    <x:row r="106" spans="1:12" s="4" customFormat="1"/>
    <x:row r="107" spans="1:12" s="3" customFormat="1"/>
    <x:row r="108" spans="1:12" s="1" customFormat="1"/>
    <x:row r="109" spans="1:12" s="4" customFormat="1"/>
    <x:row r="110" spans="1:12" s="3" customFormat="1"/>
    <x:row r="111" spans="1:12" s="1" customFormat="1"/>
    <x:row r="112" spans="1:12" s="4" customFormat="1"/>
    <x:row r="113" spans="1:12" s="3" customFormat="1"/>
    <x:row r="114" spans="1:12" s="1" customFormat="1"/>
    <x:row r="115" spans="1:12" s="4" customFormat="1"/>
    <x:row r="116" spans="1:12" s="3" customFormat="1"/>
    <x:row r="117" spans="1:12" s="1" customFormat="1"/>
    <x:row r="118" spans="1:12" s="4" customFormat="1"/>
  </x:sheetData>
  <x:hyperlinks>
    <x:hyperlink ref="C2" r:id="rId850" tooltip="Send a mail to info@unicare.com.mt"/>
    <x:hyperlink ref="C3" r:id="rId851" tooltip="Send a mail to info@edusell.com.mt"/>
    <x:hyperlink ref="C4" r:id="rId852" tooltip="Send a mail to info@noriva.com.mt"/>
    <x:hyperlink ref="C5" r:id="rId853" tooltip="Send a mail to info@aim.com.mt"/>
    <x:hyperlink ref="C6" r:id="rId854" tooltip="Send a mail to info@tjnovelty.com"/>
    <x:hyperlink ref="E2" r:id="rId855" tooltip="Search Birkirkara, Malta on Google Maps"/>
    <x:hyperlink ref="E3" r:id="rId856" tooltip="Search Hamrun, Malta on Google Maps"/>
    <x:hyperlink ref="E4" r:id="rId857" tooltip="Search mosta ,malta on Google Maps"/>
    <x:hyperlink ref="E5" r:id="rId858" tooltip="Search 54 telghet rahal gdid,PAOLA,MALTA,PLA 1706 on Google Maps"/>
    <x:hyperlink ref="E6" r:id="rId859" tooltip="Search triq Dun Karm Schembri,Mosta MST 2440-MALTA on Google Maps"/>
    <x:hyperlink ref="F2" r:id="rId860" tooltip="Visit unicare.com.mt"/>
    <x:hyperlink ref="F3" r:id="rId861" tooltip="Visit edusell.com.mt"/>
    <x:hyperlink ref="F4" r:id="rId862" tooltip="Visit noriva.com.mt"/>
    <x:hyperlink ref="F5" r:id="rId863" tooltip="Visit facebook.com/AimEnterprisesLtd"/>
    <x:hyperlink ref="F6" r:id="rId864" tooltip="Visit tjnovelty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91"/>
  <x:sheetViews>
    <x:sheetView workbookViewId="0"/>
  </x:sheetViews>
  <x:sheetFormatPr defaultRowHeight="15"/>
  <x:cols>
    <x:col min="1" max="1" width="10.996339" style="0" customWidth="1"/>
    <x:col min="2" max="2" width="41.567768" style="0" customWidth="1"/>
    <x:col min="3" max="3" width="54.567768" style="0" customWidth="1"/>
    <x:col min="4" max="4" width="39.853482" style="0" customWidth="1"/>
    <x:col min="5" max="5" width="68.853482" style="0" customWidth="1"/>
    <x:col min="6" max="6" width="53.424911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5">
        <x:f>HYPERLINK("#'Summary List'!A26", "Back to Summary")</x:f>
      </x:c>
    </x:row>
    <x:row r="2" spans="1:7" s="3" customFormat="1">
      <x:c r="A2" s="3" t="s">
        <x:v>1175</x:v>
      </x:c>
      <x:c r="B2" s="3" t="s">
        <x:v>848</x:v>
      </x:c>
      <x:c r="C2" s="6" t="s">
        <x:v>857</x:v>
      </x:c>
      <x:c r="D2" s="7">
        <x:f>CONCATENATE(HYPERLINK("CALLTO:%2B356%202146%208770", "+356 2146 8770"))</x:f>
      </x:c>
      <x:c r="E2" s="6" t="s">
        <x:v>1342</x:v>
      </x:c>
      <x:c r="F2" s="6" t="s">
        <x:v>870</x:v>
      </x:c>
    </x:row>
    <x:row r="3" spans="1:7" s="1" customFormat="1"/>
    <x:row r="4" spans="1:7" s="4" customFormat="1">
      <x:c r="A4" s="4" t="s">
        <x:v>1176</x:v>
      </x:c>
      <x:c r="B4" s="4" t="s">
        <x:v>1181</x:v>
      </x:c>
      <x:c r="C4" s="10" t="s">
        <x:v>1261</x:v>
      </x:c>
      <x:c r="D4" s="11">
        <x:f>CONCATENATE(HYPERLINK("CALLTO:%2B356%202156%2003887990261399307711", "+356 2156 03887990261399307711"))</x:f>
      </x:c>
      <x:c r="E4" s="10" t="s">
        <x:v>1343</x:v>
      </x:c>
      <x:c r="F4" s="10" t="s">
        <x:v>1340</x:v>
      </x:c>
    </x:row>
    <x:row r="5" spans="1:7" s="3" customFormat="1">
      <x:c r="A5" s="3" t="s">
        <x:v>1176</x:v>
      </x:c>
      <x:c r="B5" s="3" t="s">
        <x:v>1182</x:v>
      </x:c>
      <x:c r="C5" s="6" t="s">
        <x:v>1262</x:v>
      </x:c>
      <x:c r="D5" s="7">
        <x:f>CONCATENATE(HYPERLINK("CALLTO:%2B356%202148%203216", "+356 2148 3216"))</x:f>
      </x:c>
      <x:c r="E5" s="6" t="s">
        <x:v>1344</x:v>
      </x:c>
      <x:c r="F5" s="6" t="s">
        <x:v>1339</x:v>
      </x:c>
    </x:row>
    <x:row r="6" spans="1:7" s="1" customFormat="1">
      <x:c r="A6" s="1" t="s">
        <x:v>1176</x:v>
      </x:c>
      <x:c r="B6" s="1" t="s">
        <x:v>1183</x:v>
      </x:c>
      <x:c r="C6" s="8" t="s">
        <x:v>1263</x:v>
      </x:c>
      <x:c r="D6" s="9">
        <x:f>CONCATENATE(HYPERLINK("CALLTO:%2B356%202723%204527", "+356 2723 4527"))</x:f>
      </x:c>
      <x:c r="E6" s="8" t="s">
        <x:v>1345</x:v>
      </x:c>
      <x:c r="F6" s="8" t="s">
        <x:v>1338</x:v>
      </x:c>
    </x:row>
    <x:row r="7" spans="1:7" s="4" customFormat="1">
      <x:c r="A7" s="4" t="s">
        <x:v>1176</x:v>
      </x:c>
      <x:c r="B7" s="4" t="s">
        <x:v>1184</x:v>
      </x:c>
      <x:c r="C7" s="10" t="s">
        <x:v>1264</x:v>
      </x:c>
      <x:c r="D7" s="11">
        <x:f>CONCATENATE(HYPERLINK("CALLTO:%2B356%202143%203636", "+356 2143 3636"))</x:f>
      </x:c>
      <x:c r="E7" s="10" t="s">
        <x:v>1346</x:v>
      </x:c>
      <x:c r="F7" s="10" t="s">
        <x:v>1337</x:v>
      </x:c>
    </x:row>
    <x:row r="8" spans="1:7" s="3" customFormat="1">
      <x:c r="A8" s="3" t="s">
        <x:v>1176</x:v>
      </x:c>
      <x:c r="B8" s="3" t="s">
        <x:v>1185</x:v>
      </x:c>
      <x:c r="C8" s="6" t="s">
        <x:v>1265</x:v>
      </x:c>
      <x:c r="D8" s="7">
        <x:f>CONCATENATE(HYPERLINK("CALLTO:%2B356%202144%208012", "+356 2144 8012"))</x:f>
      </x:c>
      <x:c r="E8" s="6" t="s">
        <x:v>1347</x:v>
      </x:c>
      <x:c r="F8" s="6" t="s">
        <x:v>4647</x:v>
      </x:c>
    </x:row>
    <x:row r="9" spans="1:7" s="1" customFormat="1">
      <x:c r="A9" s="1" t="s">
        <x:v>1176</x:v>
      </x:c>
      <x:c r="B9" s="1" t="s">
        <x:v>1186</x:v>
      </x:c>
      <x:c r="C9" s="8" t="s">
        <x:v>1266</x:v>
      </x:c>
      <x:c r="D9" s="9">
        <x:f>CONCATENATE(HYPERLINK("CALLTO:%2B356%207942%205175", "+356 7942 5175"))</x:f>
      </x:c>
      <x:c r="E9" s="8" t="s">
        <x:v>1348</x:v>
      </x:c>
      <x:c r="F9" s="8" t="s">
        <x:v>1427</x:v>
      </x:c>
    </x:row>
    <x:row r="10" spans="1:7" s="4" customFormat="1">
      <x:c r="A10" s="4" t="s">
        <x:v>1176</x:v>
      </x:c>
      <x:c r="B10" s="4" t="s">
        <x:v>1187</x:v>
      </x:c>
      <x:c r="C10" s="10" t="s">
        <x:v>1267</x:v>
      </x:c>
      <x:c r="D10" s="11">
        <x:f>CONCATENATE(HYPERLINK("CALLTO:%2B356%202169%205438%2B35621672049%2B36579402553", "+356 2169 5438+35621672049+36579402553"))</x:f>
      </x:c>
      <x:c r="E10" s="10" t="s">
        <x:v>1349</x:v>
      </x:c>
      <x:c r="F10" s="10" t="s">
        <x:v>1336</x:v>
      </x:c>
    </x:row>
    <x:row r="11" spans="1:7" s="3" customFormat="1">
      <x:c r="A11" s="3" t="s">
        <x:v>1176</x:v>
      </x:c>
      <x:c r="B11" s="3" t="s">
        <x:v>1188</x:v>
      </x:c>
      <x:c r="C11" s="6" t="s">
        <x:v>1268</x:v>
      </x:c>
      <x:c r="D11" s="7">
        <x:f>CONCATENATE(HYPERLINK("CALLTO:%2B356%207921%208080", "+356 7921 8080"))</x:f>
      </x:c>
      <x:c r="E11" s="6" t="s">
        <x:v>1350</x:v>
      </x:c>
      <x:c r="F11" s="6" t="s">
        <x:v>1335</x:v>
      </x:c>
    </x:row>
    <x:row r="12" spans="1:7" s="1" customFormat="1">
      <x:c r="A12" s="1" t="s">
        <x:v>1176</x:v>
      </x:c>
      <x:c r="B12" s="1" t="s">
        <x:v>1189</x:v>
      </x:c>
      <x:c r="C12" s="8" t="s">
        <x:v>1269</x:v>
      </x:c>
      <x:c r="D12" s="9">
        <x:f>CONCATENATE(HYPERLINK("CALLTO:%2B356%202155%206021", "+356 2155 6021"))</x:f>
      </x:c>
      <x:c r="E12" s="8" t="s">
        <x:v>1351</x:v>
      </x:c>
      <x:c r="F12" s="8" t="s">
        <x:v>1334</x:v>
      </x:c>
    </x:row>
    <x:row r="13" spans="1:7" s="4" customFormat="1">
      <x:c r="A13" s="4" t="s">
        <x:v>1176</x:v>
      </x:c>
      <x:c r="B13" s="4" t="s">
        <x:v>1190</x:v>
      </x:c>
      <x:c r="C13" s="10" t="s">
        <x:v>852</x:v>
      </x:c>
      <x:c r="D13" s="11">
        <x:f>CONCATENATE(HYPERLINK("CALLTO:%2B356%202141%207596", "+356 2141 7596"))</x:f>
      </x:c>
      <x:c r="E13" s="10" t="s">
        <x:v>1352</x:v>
      </x:c>
      <x:c r="F13" s="10" t="s">
        <x:v>1333</x:v>
      </x:c>
    </x:row>
    <x:row r="14" spans="1:7" s="3" customFormat="1">
      <x:c r="A14" s="3" t="s">
        <x:v>1176</x:v>
      </x:c>
      <x:c r="B14" s="3" t="s">
        <x:v>1191</x:v>
      </x:c>
      <x:c r="C14" s="6" t="s">
        <x:v>1270</x:v>
      </x:c>
      <x:c r="D14" s="7">
        <x:f>CONCATENATE(HYPERLINK("CALLTO:%2B356%202147%202095", "+356 2147 2095"))</x:f>
      </x:c>
      <x:c r="E14" s="6" t="s">
        <x:v>1353</x:v>
      </x:c>
      <x:c r="F14" s="6" t="s">
        <x:v>1332</x:v>
      </x:c>
    </x:row>
    <x:row r="15" spans="1:7" s="1" customFormat="1">
      <x:c r="A15" s="1" t="s">
        <x:v>1176</x:v>
      </x:c>
      <x:c r="B15" s="1" t="s">
        <x:v>1192</x:v>
      </x:c>
      <x:c r="C15" s="8" t="s">
        <x:v>1271</x:v>
      </x:c>
      <x:c r="D15" s="9">
        <x:f>CONCATENATE(HYPERLINK("CALLTO:%2B356%202011%207900", "+356 2011 7900"))</x:f>
      </x:c>
      <x:c r="E15" s="8" t="s">
        <x:v>1354</x:v>
      </x:c>
      <x:c r="F15" s="8" t="s">
        <x:v>1331</x:v>
      </x:c>
    </x:row>
    <x:row r="16" spans="1:7" s="4" customFormat="1">
      <x:c r="A16" s="4" t="s">
        <x:v>1176</x:v>
      </x:c>
      <x:c r="B16" s="4" t="s">
        <x:v>1193</x:v>
      </x:c>
      <x:c r="C16" s="10" t="s">
        <x:v>1272</x:v>
      </x:c>
      <x:c r="D16" s="11">
        <x:f>CONCATENATE(HYPERLINK("CALLTO:%2B356%202132%200571", "+356 2132 0571"))</x:f>
      </x:c>
      <x:c r="E16" s="10" t="s">
        <x:v>1355</x:v>
      </x:c>
      <x:c r="F16" s="10" t="s">
        <x:v>1330</x:v>
      </x:c>
    </x:row>
    <x:row r="17" spans="1:7" s="3" customFormat="1">
      <x:c r="A17" s="3" t="s">
        <x:v>1176</x:v>
      </x:c>
      <x:c r="B17" s="3" t="s">
        <x:v>1195</x:v>
      </x:c>
      <x:c r="C17" s="6" t="s">
        <x:v>1273</x:v>
      </x:c>
      <x:c r="D17" s="7">
        <x:f>CONCATENATE(HYPERLINK("CALLTO:%2B356%202144%201328", "+356 2144 1328"))</x:f>
      </x:c>
      <x:c r="E17" s="6" t="s">
        <x:v>1356</x:v>
      </x:c>
      <x:c r="F17" s="6" t="s">
        <x:v>1432</x:v>
      </x:c>
    </x:row>
    <x:row r="18" spans="1:7" s="1" customFormat="1">
      <x:c r="A18" s="1" t="s">
        <x:v>1176</x:v>
      </x:c>
      <x:c r="B18" s="1" t="s">
        <x:v>1196</x:v>
      </x:c>
      <x:c r="C18" s="8" t="s">
        <x:v>1274</x:v>
      </x:c>
      <x:c r="D18" s="9">
        <x:f>CONCATENATE(HYPERLINK("CALLTO:%2B356%202749%205590", "+356 2749 5590"))</x:f>
      </x:c>
      <x:c r="E18" s="8" t="s">
        <x:v>1357</x:v>
      </x:c>
      <x:c r="F18" s="8" t="s">
        <x:v>1329</x:v>
      </x:c>
    </x:row>
    <x:row r="19" spans="1:7" s="4" customFormat="1">
      <x:c r="A19" s="4" t="s">
        <x:v>1176</x:v>
      </x:c>
      <x:c r="B19" s="4" t="s">
        <x:v>1194</x:v>
      </x:c>
      <x:c r="C19" s="10" t="s">
        <x:v>1275</x:v>
      </x:c>
      <x:c r="D19" s="11">
        <x:f>CONCATENATE(HYPERLINK("CALLTO:%2B356%202132%202292", "+356 2132 2292"))</x:f>
      </x:c>
      <x:c r="E19" s="10" t="s">
        <x:v>1358</x:v>
      </x:c>
      <x:c r="F19" s="10" t="s">
        <x:v>5259</x:v>
      </x:c>
    </x:row>
    <x:row r="20" spans="1:7" s="3" customFormat="1">
      <x:c r="A20" s="3" t="s">
        <x:v>1176</x:v>
      </x:c>
      <x:c r="B20" s="3" t="s">
        <x:v>1197</x:v>
      </x:c>
      <x:c r="C20" s="6" t="s">
        <x:v>1276</x:v>
      </x:c>
      <x:c r="D20" s="7">
        <x:f>CONCATENATE(HYPERLINK("CALLTO:%2B356%202752%201855", "+356 2752 1855"))</x:f>
      </x:c>
      <x:c r="E20" s="6" t="s">
        <x:v>1359</x:v>
      </x:c>
      <x:c r="F20" s="6" t="s">
        <x:v>1433</x:v>
      </x:c>
    </x:row>
    <x:row r="21" spans="1:7" s="1" customFormat="1">
      <x:c r="A21" s="1" t="s">
        <x:v>1176</x:v>
      </x:c>
      <x:c r="B21" s="1" t="s">
        <x:v>1198</x:v>
      </x:c>
      <x:c r="C21" s="8" t="s">
        <x:v>1277</x:v>
      </x:c>
      <x:c r="D21" s="9">
        <x:f>CONCATENATE(HYPERLINK("CALLTO:%2B356%202155%202413", "+356 2155 2413"))</x:f>
      </x:c>
      <x:c r="E21" s="8" t="s">
        <x:v>1360</x:v>
      </x:c>
      <x:c r="F21" s="8" t="s">
        <x:v>1434</x:v>
      </x:c>
    </x:row>
    <x:row r="22" spans="1:7" s="4" customFormat="1">
      <x:c r="A22" s="4" t="s">
        <x:v>1176</x:v>
      </x:c>
      <x:c r="B22" s="4" t="s">
        <x:v>1199</x:v>
      </x:c>
      <x:c r="C22" s="10" t="s">
        <x:v>1278</x:v>
      </x:c>
      <x:c r="D22" s="11">
        <x:f>CONCATENATE(HYPERLINK("CALLTO:%2B356%202142%200538", "+356 2142 0538"))</x:f>
      </x:c>
      <x:c r="E22" s="10" t="s">
        <x:v>1361</x:v>
      </x:c>
      <x:c r="F22" s="10" t="s">
        <x:v>1435</x:v>
      </x:c>
    </x:row>
    <x:row r="23" spans="1:7" s="3" customFormat="1">
      <x:c r="A23" s="3" t="s">
        <x:v>1176</x:v>
      </x:c>
      <x:c r="B23" s="3" t="s">
        <x:v>1200</x:v>
      </x:c>
      <x:c r="C23" s="6" t="s">
        <x:v>1279</x:v>
      </x:c>
      <x:c r="D23" s="7">
        <x:f>CONCATENATE(HYPERLINK("CALLTO:%2B356%202144%202093", "+356 2144 2093"))</x:f>
      </x:c>
      <x:c r="E23" s="6" t="s">
        <x:v>1362</x:v>
      </x:c>
      <x:c r="F23" s="6" t="s">
        <x:v>5260</x:v>
      </x:c>
    </x:row>
    <x:row r="24" spans="1:7" s="1" customFormat="1">
      <x:c r="A24" s="1" t="s">
        <x:v>1176</x:v>
      </x:c>
      <x:c r="B24" s="1" t="s">
        <x:v>1201</x:v>
      </x:c>
      <x:c r="C24" s="8" t="s">
        <x:v>1280</x:v>
      </x:c>
      <x:c r="D24" s="9">
        <x:f>CONCATENATE(HYPERLINK("CALLTO:%2B356%209947%209003", "+356 9947 9003"))</x:f>
      </x:c>
      <x:c r="E24" s="8" t="s">
        <x:v>1363</x:v>
      </x:c>
      <x:c r="F24" s="8" t="s">
        <x:v>5261</x:v>
      </x:c>
    </x:row>
    <x:row r="25" spans="1:7" s="4" customFormat="1">
      <x:c r="A25" s="4" t="s">
        <x:v>1176</x:v>
      </x:c>
      <x:c r="B25" s="4" t="s">
        <x:v>1202</x:v>
      </x:c>
      <x:c r="C25" s="10" t="s">
        <x:v>860</x:v>
      </x:c>
      <x:c r="D25" s="11">
        <x:f>CONCATENATE(HYPERLINK("CALLTO:%2B356%202141%204090", "+356 2141 4090"))</x:f>
      </x:c>
      <x:c r="E25" s="10" t="s">
        <x:v>1364</x:v>
      </x:c>
      <x:c r="F25" s="10" t="s">
        <x:v>5262</x:v>
      </x:c>
    </x:row>
    <x:row r="26" spans="1:7" s="3" customFormat="1">
      <x:c r="A26" s="3" t="s">
        <x:v>1176</x:v>
      </x:c>
      <x:c r="B26" s="3" t="s">
        <x:v>1203</x:v>
      </x:c>
      <x:c r="C26" s="6" t="s">
        <x:v>1281</x:v>
      </x:c>
      <x:c r="D26" s="7">
        <x:f>CONCATENATE(HYPERLINK("CALLTO:%2B356%202141%201541", "+356 2141 1541"))</x:f>
      </x:c>
      <x:c r="E26" s="6" t="s">
        <x:v>1365</x:v>
      </x:c>
      <x:c r="F26" s="6" t="s">
        <x:v>5263</x:v>
      </x:c>
    </x:row>
    <x:row r="27" spans="1:7" s="1" customFormat="1">
      <x:c r="A27" s="1" t="s">
        <x:v>1176</x:v>
      </x:c>
      <x:c r="B27" s="1" t="s">
        <x:v>1204</x:v>
      </x:c>
      <x:c r="C27" s="8" t="s">
        <x:v>1282</x:v>
      </x:c>
      <x:c r="D27" s="9">
        <x:f>CONCATENATE(HYPERLINK("CALLTO:%2B356%202164%202396", "+356 2164 2396"))</x:f>
      </x:c>
      <x:c r="E27" s="8" t="s">
        <x:v>1366</x:v>
      </x:c>
      <x:c r="F27" s="8" t="s">
        <x:v>1440</x:v>
      </x:c>
    </x:row>
    <x:row r="28" spans="1:7" s="4" customFormat="1">
      <x:c r="A28" s="4" t="s">
        <x:v>1176</x:v>
      </x:c>
      <x:c r="B28" s="4" t="s">
        <x:v>1205</x:v>
      </x:c>
      <x:c r="C28" s="10" t="s">
        <x:v>1283</x:v>
      </x:c>
      <x:c r="D28" s="11">
        <x:f>CONCATENATE(HYPERLINK("CALLTO:%2B356%207963%203615", "+356 7963 3615"))</x:f>
      </x:c>
      <x:c r="E28" s="10" t="s">
        <x:v>1367</x:v>
      </x:c>
      <x:c r="F28" s="10" t="s">
        <x:v>5264</x:v>
      </x:c>
    </x:row>
    <x:row r="29" spans="1:7" s="3" customFormat="1">
      <x:c r="A29" s="3" t="s">
        <x:v>1176</x:v>
      </x:c>
      <x:c r="B29" s="3" t="s">
        <x:v>845</x:v>
      </x:c>
      <x:c r="C29" s="6" t="s">
        <x:v>1284</x:v>
      </x:c>
      <x:c r="D29" s="7">
        <x:f>CONCATENATE(HYPERLINK("CALLTO:%2B356%202713%203090", "+356 2713 3090"))</x:f>
      </x:c>
      <x:c r="E29" s="6" t="s">
        <x:v>1368</x:v>
      </x:c>
      <x:c r="F29" s="6" t="s">
        <x:v>1442</x:v>
      </x:c>
    </x:row>
    <x:row r="30" spans="1:7" s="1" customFormat="1">
      <x:c r="A30" s="1" t="s">
        <x:v>1176</x:v>
      </x:c>
      <x:c r="B30" s="1" t="s">
        <x:v>1206</x:v>
      </x:c>
      <x:c r="C30" s="8" t="s">
        <x:v>1285</x:v>
      </x:c>
      <x:c r="D30" s="9">
        <x:f>CONCATENATE(HYPERLINK("CALLTO:%2B356%202141%200685", "+356 2141 0685"))</x:f>
      </x:c>
      <x:c r="E30" s="8" t="s">
        <x:v>1370</x:v>
      </x:c>
      <x:c r="F30" s="8" t="s">
        <x:v>5265</x:v>
      </x:c>
    </x:row>
    <x:row r="31" spans="1:7" s="4" customFormat="1">
      <x:c r="A31" s="4" t="s">
        <x:v>1176</x:v>
      </x:c>
      <x:c r="B31" s="4" t="s">
        <x:v>1207</x:v>
      </x:c>
      <x:c r="C31" s="10" t="s">
        <x:v>1286</x:v>
      </x:c>
      <x:c r="D31" s="11">
        <x:f>CONCATENATE(HYPERLINK("CALLTO:%2B356%202143%204935", "+356 2143 4935"))</x:f>
      </x:c>
      <x:c r="E31" s="10" t="s">
        <x:v>1369</x:v>
      </x:c>
      <x:c r="F31" s="10" t="s">
        <x:v>5266</x:v>
      </x:c>
    </x:row>
    <x:row r="32" spans="1:7" s="3" customFormat="1">
      <x:c r="A32" s="3" t="s">
        <x:v>1176</x:v>
      </x:c>
      <x:c r="B32" s="3" t="s">
        <x:v>1208</x:v>
      </x:c>
      <x:c r="C32" s="6" t="s">
        <x:v>1287</x:v>
      </x:c>
      <x:c r="D32" s="7">
        <x:f>CONCATENATE(HYPERLINK("CALLTO:%2B356%202157%203499", "+356 2157 3499"))</x:f>
      </x:c>
      <x:c r="E32" s="6" t="s">
        <x:v>1371</x:v>
      </x:c>
      <x:c r="F32" s="3" t="s">
        <x:v>144</x:v>
      </x:c>
    </x:row>
    <x:row r="33" spans="1:7" s="1" customFormat="1">
      <x:c r="A33" s="1" t="s">
        <x:v>1176</x:v>
      </x:c>
      <x:c r="B33" s="1" t="s">
        <x:v>1209</x:v>
      </x:c>
      <x:c r="C33" s="8" t="s">
        <x:v>1288</x:v>
      </x:c>
      <x:c r="D33" s="9">
        <x:f>CONCATENATE(HYPERLINK("CALLTO:%2B356%202148%206883", "+356 2148 6883"))</x:f>
      </x:c>
      <x:c r="E33" s="8" t="s">
        <x:v>1372</x:v>
      </x:c>
      <x:c r="F33" s="8" t="s">
        <x:v>5267</x:v>
      </x:c>
    </x:row>
    <x:row r="34" spans="1:7" s="4" customFormat="1">
      <x:c r="A34" s="4" t="s">
        <x:v>1176</x:v>
      </x:c>
      <x:c r="B34" s="4" t="s">
        <x:v>1210</x:v>
      </x:c>
      <x:c r="C34" s="10" t="s">
        <x:v>1289</x:v>
      </x:c>
      <x:c r="D34" s="11">
        <x:f>CONCATENATE(HYPERLINK("CALLTO:%2B356%202144%206751", "+356 2144 6751"))</x:f>
      </x:c>
      <x:c r="E34" s="10" t="s">
        <x:v>1373</x:v>
      </x:c>
      <x:c r="F34" s="10" t="s">
        <x:v>5268</x:v>
      </x:c>
    </x:row>
    <x:row r="35" spans="1:7" s="3" customFormat="1">
      <x:c r="A35" s="3" t="s">
        <x:v>1176</x:v>
      </x:c>
      <x:c r="B35" s="3" t="s">
        <x:v>1211</x:v>
      </x:c>
      <x:c r="C35" s="6" t="s">
        <x:v>1290</x:v>
      </x:c>
      <x:c r="D35" s="7">
        <x:f>CONCATENATE(HYPERLINK("CALLTO:%2B356%202180%202845", "+356 2180 2845"))</x:f>
      </x:c>
      <x:c r="E35" s="6" t="s">
        <x:v>1374</x:v>
      </x:c>
      <x:c r="F35" s="6" t="s">
        <x:v>5269</x:v>
      </x:c>
    </x:row>
    <x:row r="36" spans="1:7" s="1" customFormat="1">
      <x:c r="A36" s="1" t="s">
        <x:v>1176</x:v>
      </x:c>
      <x:c r="B36" s="1" t="s">
        <x:v>1212</x:v>
      </x:c>
      <x:c r="C36" s="8" t="s">
        <x:v>1291</x:v>
      </x:c>
      <x:c r="D36" s="9">
        <x:f>CONCATENATE(HYPERLINK("CALLTO:%2B356%209942%203740", "+356 9942 3740"))</x:f>
      </x:c>
      <x:c r="E36" s="8" t="s">
        <x:v>1375</x:v>
      </x:c>
      <x:c r="F36" s="8" t="s">
        <x:v>5270</x:v>
      </x:c>
    </x:row>
    <x:row r="37" spans="1:7" s="4" customFormat="1">
      <x:c r="A37" s="4" t="s">
        <x:v>1176</x:v>
      </x:c>
      <x:c r="B37" s="4" t="s">
        <x:v>1213</x:v>
      </x:c>
      <x:c r="C37" s="10" t="s">
        <x:v>1292</x:v>
      </x:c>
      <x:c r="D37" s="11">
        <x:f>CONCATENATE(HYPERLINK("CALLTO:%2B356%202141%202222", "+356 2141 2222"))</x:f>
      </x:c>
      <x:c r="E37" s="10" t="s">
        <x:v>1376</x:v>
      </x:c>
      <x:c r="F37" s="10" t="s">
        <x:v>5271</x:v>
      </x:c>
    </x:row>
    <x:row r="38" spans="1:7" s="3" customFormat="1">
      <x:c r="A38" s="3" t="s">
        <x:v>1176</x:v>
      </x:c>
      <x:c r="B38" s="3" t="s">
        <x:v>1214</x:v>
      </x:c>
      <x:c r="C38" s="6" t="s">
        <x:v>1293</x:v>
      </x:c>
      <x:c r="D38" s="7">
        <x:f>CONCATENATE(HYPERLINK("CALLTO:%2B356%202145%201032", "+356 2145 1032"))</x:f>
      </x:c>
      <x:c r="E38" s="6" t="s">
        <x:v>1377</x:v>
      </x:c>
      <x:c r="F38" s="6" t="s">
        <x:v>5272</x:v>
      </x:c>
    </x:row>
    <x:row r="39" spans="1:7" s="1" customFormat="1">
      <x:c r="A39" s="1" t="s">
        <x:v>1176</x:v>
      </x:c>
      <x:c r="B39" s="1" t="s">
        <x:v>1215</x:v>
      </x:c>
      <x:c r="C39" s="8" t="s">
        <x:v>1294</x:v>
      </x:c>
      <x:c r="D39" s="9">
        <x:f>CONCATENATE(HYPERLINK("CALLTO:%2B356%207952%202966", "+356 7952 2966"))</x:f>
      </x:c>
      <x:c r="E39" s="8" t="s">
        <x:v>1378</x:v>
      </x:c>
      <x:c r="F39" s="8" t="s">
        <x:v>5273</x:v>
      </x:c>
    </x:row>
    <x:row r="40" spans="1:7" s="4" customFormat="1">
      <x:c r="A40" s="4" t="s">
        <x:v>1176</x:v>
      </x:c>
      <x:c r="B40" s="4" t="s">
        <x:v>1216</x:v>
      </x:c>
      <x:c r="C40" s="10" t="s">
        <x:v>1295</x:v>
      </x:c>
      <x:c r="D40" s="11">
        <x:f>CONCATENATE(HYPERLINK("CALLTO:%2B356%202144%205165", "+356 2144 5165"))</x:f>
      </x:c>
      <x:c r="E40" s="10" t="s">
        <x:v>1379</x:v>
      </x:c>
      <x:c r="F40" s="10" t="s">
        <x:v>1451</x:v>
      </x:c>
    </x:row>
    <x:row r="41" spans="1:7" s="3" customFormat="1">
      <x:c r="A41" s="3" t="s">
        <x:v>1176</x:v>
      </x:c>
      <x:c r="B41" s="3" t="s">
        <x:v>1217</x:v>
      </x:c>
      <x:c r="C41" s="6" t="s">
        <x:v>1296</x:v>
      </x:c>
      <x:c r="D41" s="7">
        <x:f>CONCATENATE(HYPERLINK("CALLTO:%2B356%202142%204990", "+356 2142 4990"))</x:f>
      </x:c>
      <x:c r="E41" s="6" t="s">
        <x:v>1380</x:v>
      </x:c>
      <x:c r="F41" s="6" t="s">
        <x:v>1452</x:v>
      </x:c>
    </x:row>
    <x:row r="42" spans="1:7" s="1" customFormat="1">
      <x:c r="A42" s="1" t="s">
        <x:v>1176</x:v>
      </x:c>
      <x:c r="B42" s="1" t="s">
        <x:v>1218</x:v>
      </x:c>
      <x:c r="C42" s="8" t="s">
        <x:v>1297</x:v>
      </x:c>
      <x:c r="D42" s="9">
        <x:f>CONCATENATE(HYPERLINK("CALLTO:%2B356%202093%202932", "+356 2093 2932"))</x:f>
      </x:c>
      <x:c r="E42" s="8" t="s">
        <x:v>1381</x:v>
      </x:c>
      <x:c r="F42" s="8" t="s">
        <x:v>5274</x:v>
      </x:c>
    </x:row>
    <x:row r="43" spans="1:7" s="4" customFormat="1">
      <x:c r="A43" s="4" t="s">
        <x:v>1176</x:v>
      </x:c>
      <x:c r="B43" s="4" t="s">
        <x:v>1219</x:v>
      </x:c>
      <x:c r="C43" s="10" t="s">
        <x:v>1298</x:v>
      </x:c>
      <x:c r="D43" s="11">
        <x:f>CONCATENATE(HYPERLINK("CALLTO:%2B356%209904%205047", "+356 9904 5047"))</x:f>
      </x:c>
      <x:c r="E43" s="10" t="s">
        <x:v>1382</x:v>
      </x:c>
      <x:c r="F43" s="10" t="s">
        <x:v>5275</x:v>
      </x:c>
    </x:row>
    <x:row r="44" spans="1:7" s="3" customFormat="1"/>
    <x:row r="45" spans="1:7" s="1" customFormat="1">
      <x:c r="A45" s="1" t="s">
        <x:v>1177</x:v>
      </x:c>
      <x:c r="B45" s="1" t="s">
        <x:v>1220</x:v>
      </x:c>
      <x:c r="C45" s="8" t="s">
        <x:v>1299</x:v>
      </x:c>
      <x:c r="D45" s="9">
        <x:f>CONCATENATE(HYPERLINK("CALLTO:%2B356%202123%200659", "+356 2123 0659"))</x:f>
      </x:c>
      <x:c r="E45" s="8" t="s">
        <x:v>1383</x:v>
      </x:c>
      <x:c r="F45" s="8" t="s">
        <x:v>5276</x:v>
      </x:c>
    </x:row>
    <x:row r="46" spans="1:7" s="4" customFormat="1">
      <x:c r="A46" s="4" t="s">
        <x:v>1177</x:v>
      </x:c>
      <x:c r="B46" s="4" t="s">
        <x:v>1221</x:v>
      </x:c>
      <x:c r="C46" s="10" t="s">
        <x:v>1300</x:v>
      </x:c>
      <x:c r="D46" s="11">
        <x:f>CONCATENATE(HYPERLINK("CALLTO:%2B356%202141%202011", "+356 2141 2011"))</x:f>
      </x:c>
      <x:c r="E46" s="10" t="s">
        <x:v>1384</x:v>
      </x:c>
      <x:c r="F46" s="10" t="s">
        <x:v>1455</x:v>
      </x:c>
    </x:row>
    <x:row r="47" spans="1:7" s="3" customFormat="1">
      <x:c r="A47" s="3" t="s">
        <x:v>1177</x:v>
      </x:c>
      <x:c r="B47" s="3" t="s">
        <x:v>1222</x:v>
      </x:c>
      <x:c r="C47" s="6" t="s">
        <x:v>1301</x:v>
      </x:c>
      <x:c r="D47" s="7">
        <x:f>CONCATENATE(HYPERLINK("CALLTO:%2B356%202142%203039", "+356 2142 3039"))</x:f>
      </x:c>
      <x:c r="E47" s="6" t="s">
        <x:v>1385</x:v>
      </x:c>
      <x:c r="F47" s="6" t="s">
        <x:v>1456</x:v>
      </x:c>
    </x:row>
    <x:row r="48" spans="1:7" s="1" customFormat="1">
      <x:c r="A48" s="1" t="s">
        <x:v>1177</x:v>
      </x:c>
      <x:c r="B48" s="1" t="s">
        <x:v>1223</x:v>
      </x:c>
      <x:c r="C48" s="8" t="s">
        <x:v>1302</x:v>
      </x:c>
      <x:c r="D48" s="9">
        <x:f>CONCATENATE(HYPERLINK("CALLTO:%2B356%202144%20964121440202", "+356 2144 964121440202"))</x:f>
      </x:c>
      <x:c r="E48" s="8" t="s">
        <x:v>1386</x:v>
      </x:c>
      <x:c r="F48" s="8" t="s">
        <x:v>4823</x:v>
      </x:c>
    </x:row>
    <x:row r="49" spans="1:7" s="4" customFormat="1">
      <x:c r="A49" s="4" t="s">
        <x:v>1177</x:v>
      </x:c>
      <x:c r="B49" s="4" t="s">
        <x:v>1224</x:v>
      </x:c>
      <x:c r="C49" s="10" t="s">
        <x:v>853</x:v>
      </x:c>
      <x:c r="D49" s="11">
        <x:f>CONCATENATE(HYPERLINK("CALLTO:%2B356%207946%203335", "+356 7946 3335"))</x:f>
      </x:c>
      <x:c r="E49" s="10" t="s">
        <x:v>1387</x:v>
      </x:c>
      <x:c r="F49" s="10" t="s">
        <x:v>1457</x:v>
      </x:c>
    </x:row>
    <x:row r="50" spans="1:7" s="3" customFormat="1">
      <x:c r="A50" s="3" t="s">
        <x:v>1177</x:v>
      </x:c>
      <x:c r="B50" s="3" t="s">
        <x:v>1225</x:v>
      </x:c>
      <x:c r="C50" s="6" t="s">
        <x:v>1303</x:v>
      </x:c>
      <x:c r="D50" s="7">
        <x:f>CONCATENATE(HYPERLINK("CALLTO:%2B356%202148%2028602148553621495485", "+356 2148 28602148553621495485"))</x:f>
      </x:c>
      <x:c r="E50" s="6" t="s">
        <x:v>1388</x:v>
      </x:c>
      <x:c r="F50" s="6" t="s">
        <x:v>5277</x:v>
      </x:c>
    </x:row>
    <x:row r="51" spans="1:7" s="1" customFormat="1">
      <x:c r="A51" s="1" t="s">
        <x:v>1177</x:v>
      </x:c>
      <x:c r="B51" s="1" t="s">
        <x:v>1226</x:v>
      </x:c>
      <x:c r="C51" s="8" t="s">
        <x:v>1304</x:v>
      </x:c>
      <x:c r="D51" s="9">
        <x:f>CONCATENATE(HYPERLINK("CALLTO:%2B356%202144%200710", "+356 2144 0710"))</x:f>
      </x:c>
      <x:c r="E51" s="8" t="s">
        <x:v>1389</x:v>
      </x:c>
      <x:c r="F51" s="8" t="s">
        <x:v>5278</x:v>
      </x:c>
    </x:row>
    <x:row r="52" spans="1:7" s="4" customFormat="1">
      <x:c r="A52" s="4" t="s">
        <x:v>1177</x:v>
      </x:c>
      <x:c r="B52" s="4" t="s">
        <x:v>1187</x:v>
      </x:c>
      <x:c r="C52" s="10" t="s">
        <x:v>1267</x:v>
      </x:c>
      <x:c r="D52" s="11">
        <x:f>CONCATENATE(HYPERLINK("CALLTO:%2B356%202169%205438%2B35621672049%2B36579402553", "+356 2169 5438+35621672049+36579402553"))</x:f>
      </x:c>
      <x:c r="E52" s="10" t="s">
        <x:v>1349</x:v>
      </x:c>
      <x:c r="F52" s="10" t="s">
        <x:v>1336</x:v>
      </x:c>
    </x:row>
    <x:row r="53" spans="1:7" s="3" customFormat="1">
      <x:c r="A53" s="3" t="s">
        <x:v>1177</x:v>
      </x:c>
      <x:c r="B53" s="3" t="s">
        <x:v>1227</x:v>
      </x:c>
      <x:c r="C53" s="6" t="s">
        <x:v>1292</x:v>
      </x:c>
      <x:c r="D53" s="7">
        <x:f>CONCATENATE(HYPERLINK("CALLTO:%2B356%202141%202222", "+356 2141 2222"))</x:f>
      </x:c>
      <x:c r="E53" s="6" t="s">
        <x:v>1390</x:v>
      </x:c>
      <x:c r="F53" s="6" t="s">
        <x:v>5271</x:v>
      </x:c>
    </x:row>
    <x:row r="54" spans="1:7" s="1" customFormat="1">
      <x:c r="A54" s="1" t="s">
        <x:v>1177</x:v>
      </x:c>
      <x:c r="B54" s="1" t="s">
        <x:v>1195</x:v>
      </x:c>
      <x:c r="C54" s="8" t="s">
        <x:v>1273</x:v>
      </x:c>
      <x:c r="D54" s="9">
        <x:f>CONCATENATE(HYPERLINK("CALLTO:%2B356%202144%201328", "+356 2144 1328"))</x:f>
      </x:c>
      <x:c r="E54" s="8" t="s">
        <x:v>1356</x:v>
      </x:c>
      <x:c r="F54" s="8" t="s">
        <x:v>1432</x:v>
      </x:c>
    </x:row>
    <x:row r="55" spans="1:7" s="4" customFormat="1">
      <x:c r="A55" s="4" t="s">
        <x:v>1177</x:v>
      </x:c>
      <x:c r="B55" s="4" t="s">
        <x:v>1228</x:v>
      </x:c>
      <x:c r="C55" s="10" t="s">
        <x:v>1305</x:v>
      </x:c>
      <x:c r="D55" s="11">
        <x:f>CONCATENATE(HYPERLINK("CALLTO:%2B356%202149%2043142148746021227729", "+356 2149 43142148746021227729"))</x:f>
      </x:c>
      <x:c r="E55" s="10" t="s">
        <x:v>1391</x:v>
      </x:c>
      <x:c r="F55" s="10" t="s">
        <x:v>5279</x:v>
      </x:c>
    </x:row>
    <x:row r="56" spans="1:7" s="3" customFormat="1">
      <x:c r="A56" s="3" t="s">
        <x:v>1177</x:v>
      </x:c>
      <x:c r="B56" s="3" t="s">
        <x:v>1229</x:v>
      </x:c>
      <x:c r="C56" s="6" t="s">
        <x:v>1306</x:v>
      </x:c>
      <x:c r="D56" s="7">
        <x:f>CONCATENATE(HYPERLINK("CALLTO:%2B356%202125%20708899472104", "+356 2125 708899472104"))</x:f>
      </x:c>
      <x:c r="E56" s="6" t="s">
        <x:v>1392</x:v>
      </x:c>
      <x:c r="F56" s="6" t="s">
        <x:v>1458</x:v>
      </x:c>
    </x:row>
    <x:row r="57" spans="1:7" s="1" customFormat="1">
      <x:c r="A57" s="1" t="s">
        <x:v>1177</x:v>
      </x:c>
      <x:c r="B57" s="1" t="s">
        <x:v>1230</x:v>
      </x:c>
      <x:c r="C57" s="1" t="s">
        <x:v>1307</x:v>
      </x:c>
      <x:c r="D57" s="9">
        <x:f>CONCATENATE(HYPERLINK("CALLTO:%2B356%209925%207011", "+356 9925 7011"))</x:f>
      </x:c>
      <x:c r="E57" s="8" t="s">
        <x:v>1393</x:v>
      </x:c>
      <x:c r="F57" s="8" t="s">
        <x:v>1459</x:v>
      </x:c>
    </x:row>
    <x:row r="58" spans="1:7" s="4" customFormat="1">
      <x:c r="A58" s="4" t="s">
        <x:v>1177</x:v>
      </x:c>
      <x:c r="B58" s="4" t="s">
        <x:v>1231</x:v>
      </x:c>
      <x:c r="C58" s="10" t="s">
        <x:v>1308</x:v>
      </x:c>
      <x:c r="D58" s="11">
        <x:f>CONCATENATE(HYPERLINK("CALLTO:%2B356%202792%202222", "+356 2792 2222"))</x:f>
      </x:c>
      <x:c r="E58" s="10" t="s">
        <x:v>1394</x:v>
      </x:c>
      <x:c r="F58" s="10" t="s">
        <x:v>1460</x:v>
      </x:c>
    </x:row>
    <x:row r="59" spans="1:7" s="3" customFormat="1"/>
    <x:row r="60" spans="1:7" s="1" customFormat="1">
      <x:c r="A60" s="1" t="s">
        <x:v>1178</x:v>
      </x:c>
      <x:c r="B60" s="1" t="s">
        <x:v>1181</x:v>
      </x:c>
      <x:c r="C60" s="8" t="s">
        <x:v>1261</x:v>
      </x:c>
      <x:c r="D60" s="9">
        <x:f>CONCATENATE(HYPERLINK("CALLTO:%2B356%202156%2003887990261399307711", "+356 2156 03887990261399307711"))</x:f>
      </x:c>
      <x:c r="E60" s="8" t="s">
        <x:v>1343</x:v>
      </x:c>
      <x:c r="F60" s="8" t="s">
        <x:v>1340</x:v>
      </x:c>
    </x:row>
    <x:row r="61" spans="1:7" s="4" customFormat="1">
      <x:c r="A61" s="4" t="s">
        <x:v>1178</x:v>
      </x:c>
      <x:c r="B61" s="4" t="s">
        <x:v>1182</x:v>
      </x:c>
      <x:c r="C61" s="10" t="s">
        <x:v>1262</x:v>
      </x:c>
      <x:c r="D61" s="11">
        <x:f>CONCATENATE(HYPERLINK("CALLTO:%2B356%202148%203216", "+356 2148 3216"))</x:f>
      </x:c>
      <x:c r="E61" s="10" t="s">
        <x:v>1344</x:v>
      </x:c>
      <x:c r="F61" s="10" t="s">
        <x:v>1339</x:v>
      </x:c>
    </x:row>
    <x:row r="62" spans="1:7" s="3" customFormat="1">
      <x:c r="A62" s="3" t="s">
        <x:v>1178</x:v>
      </x:c>
      <x:c r="B62" s="3" t="s">
        <x:v>1185</x:v>
      </x:c>
      <x:c r="C62" s="6" t="s">
        <x:v>1265</x:v>
      </x:c>
      <x:c r="D62" s="7">
        <x:f>CONCATENATE(HYPERLINK("CALLTO:%2B356%202144%208012", "+356 2144 8012"))</x:f>
      </x:c>
      <x:c r="E62" s="6" t="s">
        <x:v>1347</x:v>
      </x:c>
      <x:c r="F62" s="6" t="s">
        <x:v>4647</x:v>
      </x:c>
    </x:row>
    <x:row r="63" spans="1:7" s="1" customFormat="1">
      <x:c r="A63" s="1" t="s">
        <x:v>1178</x:v>
      </x:c>
      <x:c r="B63" s="1" t="s">
        <x:v>1186</x:v>
      </x:c>
      <x:c r="C63" s="8" t="s">
        <x:v>1266</x:v>
      </x:c>
      <x:c r="D63" s="9">
        <x:f>CONCATENATE(HYPERLINK("CALLTO:%2B356%207942%205175", "+356 7942 5175"))</x:f>
      </x:c>
      <x:c r="E63" s="8" t="s">
        <x:v>1348</x:v>
      </x:c>
      <x:c r="F63" s="8" t="s">
        <x:v>1427</x:v>
      </x:c>
    </x:row>
    <x:row r="64" spans="1:7" s="4" customFormat="1">
      <x:c r="A64" s="4" t="s">
        <x:v>1178</x:v>
      </x:c>
      <x:c r="B64" s="4" t="s">
        <x:v>1187</x:v>
      </x:c>
      <x:c r="C64" s="10" t="s">
        <x:v>1267</x:v>
      </x:c>
      <x:c r="D64" s="11">
        <x:f>CONCATENATE(HYPERLINK("CALLTO:%2B356%202169%205438%2B35621672049%2B36579402553", "+356 2169 5438+35621672049+36579402553"))</x:f>
      </x:c>
      <x:c r="E64" s="10" t="s">
        <x:v>1349</x:v>
      </x:c>
      <x:c r="F64" s="10" t="s">
        <x:v>1336</x:v>
      </x:c>
    </x:row>
    <x:row r="65" spans="1:7" s="3" customFormat="1">
      <x:c r="A65" s="3" t="s">
        <x:v>1178</x:v>
      </x:c>
      <x:c r="B65" s="3" t="s">
        <x:v>1190</x:v>
      </x:c>
      <x:c r="C65" s="6" t="s">
        <x:v>852</x:v>
      </x:c>
      <x:c r="D65" s="7">
        <x:f>CONCATENATE(HYPERLINK("CALLTO:%2B356%202141%207596", "+356 2141 7596"))</x:f>
      </x:c>
      <x:c r="E65" s="6" t="s">
        <x:v>1352</x:v>
      </x:c>
      <x:c r="F65" s="6" t="s">
        <x:v>1333</x:v>
      </x:c>
    </x:row>
    <x:row r="66" spans="1:7" s="1" customFormat="1">
      <x:c r="A66" s="1" t="s">
        <x:v>1178</x:v>
      </x:c>
      <x:c r="B66" s="1" t="s">
        <x:v>1183</x:v>
      </x:c>
      <x:c r="C66" s="8" t="s">
        <x:v>1263</x:v>
      </x:c>
      <x:c r="D66" s="9">
        <x:f>CONCATENATE(HYPERLINK("CALLTO:%2B356%202723%204527", "+356 2723 4527"))</x:f>
      </x:c>
      <x:c r="E66" s="8" t="s">
        <x:v>1345</x:v>
      </x:c>
      <x:c r="F66" s="8" t="s">
        <x:v>1338</x:v>
      </x:c>
    </x:row>
    <x:row r="67" spans="1:7" s="4" customFormat="1">
      <x:c r="A67" s="4" t="s">
        <x:v>1178</x:v>
      </x:c>
      <x:c r="B67" s="4" t="s">
        <x:v>1191</x:v>
      </x:c>
      <x:c r="C67" s="10" t="s">
        <x:v>1270</x:v>
      </x:c>
      <x:c r="D67" s="11">
        <x:f>CONCATENATE(HYPERLINK("CALLTO:%2B356%202147%202095", "+356 2147 2095"))</x:f>
      </x:c>
      <x:c r="E67" s="10" t="s">
        <x:v>1353</x:v>
      </x:c>
      <x:c r="F67" s="10" t="s">
        <x:v>1332</x:v>
      </x:c>
    </x:row>
    <x:row r="68" spans="1:7" s="3" customFormat="1">
      <x:c r="A68" s="3" t="s">
        <x:v>1178</x:v>
      </x:c>
      <x:c r="B68" s="3" t="s">
        <x:v>1192</x:v>
      </x:c>
      <x:c r="C68" s="6" t="s">
        <x:v>1271</x:v>
      </x:c>
      <x:c r="D68" s="7">
        <x:f>CONCATENATE(HYPERLINK("CALLTO:%2B356%202011%207900", "+356 2011 7900"))</x:f>
      </x:c>
      <x:c r="E68" s="6" t="s">
        <x:v>1354</x:v>
      </x:c>
      <x:c r="F68" s="6" t="s">
        <x:v>1331</x:v>
      </x:c>
    </x:row>
    <x:row r="69" spans="1:7" s="1" customFormat="1">
      <x:c r="A69" s="1" t="s">
        <x:v>1178</x:v>
      </x:c>
      <x:c r="B69" s="1" t="s">
        <x:v>1195</x:v>
      </x:c>
      <x:c r="C69" s="8" t="s">
        <x:v>1273</x:v>
      </x:c>
      <x:c r="D69" s="9">
        <x:f>CONCATENATE(HYPERLINK("CALLTO:%2B356%202144%201328", "+356 2144 1328"))</x:f>
      </x:c>
      <x:c r="E69" s="8" t="s">
        <x:v>1356</x:v>
      </x:c>
      <x:c r="F69" s="8" t="s">
        <x:v>1432</x:v>
      </x:c>
    </x:row>
    <x:row r="70" spans="1:7" s="4" customFormat="1">
      <x:c r="A70" s="4" t="s">
        <x:v>1178</x:v>
      </x:c>
      <x:c r="B70" s="4" t="s">
        <x:v>1196</x:v>
      </x:c>
      <x:c r="C70" s="10" t="s">
        <x:v>1274</x:v>
      </x:c>
      <x:c r="D70" s="11">
        <x:f>CONCATENATE(HYPERLINK("CALLTO:%2B356%202749%205590", "+356 2749 5590"))</x:f>
      </x:c>
      <x:c r="E70" s="10" t="s">
        <x:v>1357</x:v>
      </x:c>
      <x:c r="F70" s="10" t="s">
        <x:v>1329</x:v>
      </x:c>
    </x:row>
    <x:row r="71" spans="1:7" s="3" customFormat="1">
      <x:c r="A71" s="3" t="s">
        <x:v>1178</x:v>
      </x:c>
      <x:c r="B71" s="3" t="s">
        <x:v>1199</x:v>
      </x:c>
      <x:c r="C71" s="6" t="s">
        <x:v>1278</x:v>
      </x:c>
      <x:c r="D71" s="7">
        <x:f>CONCATENATE(HYPERLINK("CALLTO:%2B356%202142%200538", "+356 2142 0538"))</x:f>
      </x:c>
      <x:c r="E71" s="6" t="s">
        <x:v>1361</x:v>
      </x:c>
      <x:c r="F71" s="6" t="s">
        <x:v>1435</x:v>
      </x:c>
    </x:row>
    <x:row r="72" spans="1:7" s="1" customFormat="1">
      <x:c r="A72" s="1" t="s">
        <x:v>1178</x:v>
      </x:c>
      <x:c r="B72" s="1" t="s">
        <x:v>1200</x:v>
      </x:c>
      <x:c r="C72" s="8" t="s">
        <x:v>1279</x:v>
      </x:c>
      <x:c r="D72" s="9">
        <x:f>CONCATENATE(HYPERLINK("CALLTO:%2B356%202144%202093", "+356 2144 2093"))</x:f>
      </x:c>
      <x:c r="E72" s="8" t="s">
        <x:v>1362</x:v>
      </x:c>
      <x:c r="F72" s="8" t="s">
        <x:v>5260</x:v>
      </x:c>
    </x:row>
    <x:row r="73" spans="1:7" s="4" customFormat="1">
      <x:c r="A73" s="4" t="s">
        <x:v>1178</x:v>
      </x:c>
      <x:c r="B73" s="4" t="s">
        <x:v>1202</x:v>
      </x:c>
      <x:c r="C73" s="10" t="s">
        <x:v>860</x:v>
      </x:c>
      <x:c r="D73" s="11">
        <x:f>CONCATENATE(HYPERLINK("CALLTO:%2B356%202141%204090", "+356 2141 4090"))</x:f>
      </x:c>
      <x:c r="E73" s="10" t="s">
        <x:v>1364</x:v>
      </x:c>
      <x:c r="F73" s="10" t="s">
        <x:v>5262</x:v>
      </x:c>
    </x:row>
    <x:row r="74" spans="1:7" s="3" customFormat="1">
      <x:c r="A74" s="3" t="s">
        <x:v>1178</x:v>
      </x:c>
      <x:c r="B74" s="3" t="s">
        <x:v>1219</x:v>
      </x:c>
      <x:c r="C74" s="6" t="s">
        <x:v>1298</x:v>
      </x:c>
      <x:c r="D74" s="7">
        <x:f>CONCATENATE(HYPERLINK("CALLTO:%2B356%209904%205047", "+356 9904 5047"))</x:f>
      </x:c>
      <x:c r="E74" s="6" t="s">
        <x:v>1382</x:v>
      </x:c>
      <x:c r="F74" s="6" t="s">
        <x:v>5275</x:v>
      </x:c>
    </x:row>
    <x:row r="75" spans="1:7" s="1" customFormat="1">
      <x:c r="A75" s="1" t="s">
        <x:v>1178</x:v>
      </x:c>
      <x:c r="B75" s="1" t="s">
        <x:v>1232</x:v>
      </x:c>
      <x:c r="C75" s="8" t="s">
        <x:v>1282</x:v>
      </x:c>
      <x:c r="D75" s="9">
        <x:f>CONCATENATE(HYPERLINK("CALLTO:%2B356%202164%202396", "+356 2164 2396"))</x:f>
      </x:c>
      <x:c r="E75" s="8" t="s">
        <x:v>1366</x:v>
      </x:c>
      <x:c r="F75" s="8" t="s">
        <x:v>1440</x:v>
      </x:c>
    </x:row>
    <x:row r="76" spans="1:7" s="4" customFormat="1">
      <x:c r="A76" s="4" t="s">
        <x:v>1178</x:v>
      </x:c>
      <x:c r="B76" s="4" t="s">
        <x:v>845</x:v>
      </x:c>
      <x:c r="C76" s="10" t="s">
        <x:v>1284</x:v>
      </x:c>
      <x:c r="D76" s="11">
        <x:f>CONCATENATE(HYPERLINK("CALLTO:%2B356%202713%203090", "+356 2713 3090"))</x:f>
      </x:c>
      <x:c r="E76" s="10" t="s">
        <x:v>1368</x:v>
      </x:c>
      <x:c r="F76" s="10" t="s">
        <x:v>1442</x:v>
      </x:c>
    </x:row>
    <x:row r="77" spans="1:7" s="3" customFormat="1">
      <x:c r="A77" s="3" t="s">
        <x:v>1178</x:v>
      </x:c>
      <x:c r="B77" s="3" t="s">
        <x:v>1206</x:v>
      </x:c>
      <x:c r="C77" s="6" t="s">
        <x:v>1285</x:v>
      </x:c>
      <x:c r="D77" s="7">
        <x:f>CONCATENATE(HYPERLINK("CALLTO:%2B356%202141%200685", "+356 2141 0685"))</x:f>
      </x:c>
      <x:c r="E77" s="6" t="s">
        <x:v>1370</x:v>
      </x:c>
      <x:c r="F77" s="6" t="s">
        <x:v>5265</x:v>
      </x:c>
    </x:row>
    <x:row r="78" spans="1:7" s="1" customFormat="1">
      <x:c r="A78" s="1" t="s">
        <x:v>1178</x:v>
      </x:c>
      <x:c r="B78" s="1" t="s">
        <x:v>1207</x:v>
      </x:c>
      <x:c r="C78" s="8" t="s">
        <x:v>1286</x:v>
      </x:c>
      <x:c r="D78" s="9">
        <x:f>CONCATENATE(HYPERLINK("CALLTO:%2B356%202143%204935", "+356 2143 4935"))</x:f>
      </x:c>
      <x:c r="E78" s="8" t="s">
        <x:v>1369</x:v>
      </x:c>
      <x:c r="F78" s="8" t="s">
        <x:v>5266</x:v>
      </x:c>
    </x:row>
    <x:row r="79" spans="1:7" s="4" customFormat="1">
      <x:c r="A79" s="4" t="s">
        <x:v>1178</x:v>
      </x:c>
      <x:c r="B79" s="4" t="s">
        <x:v>1208</x:v>
      </x:c>
      <x:c r="C79" s="10" t="s">
        <x:v>1287</x:v>
      </x:c>
      <x:c r="D79" s="11">
        <x:f>CONCATENATE(HYPERLINK("CALLTO:%2B356%202157%203499", "+356 2157 3499"))</x:f>
      </x:c>
      <x:c r="E79" s="10" t="s">
        <x:v>1371</x:v>
      </x:c>
      <x:c r="F79" s="4" t="s">
        <x:v>144</x:v>
      </x:c>
    </x:row>
    <x:row r="80" spans="1:7" s="3" customFormat="1">
      <x:c r="A80" s="3" t="s">
        <x:v>1178</x:v>
      </x:c>
      <x:c r="B80" s="3" t="s">
        <x:v>1209</x:v>
      </x:c>
      <x:c r="C80" s="6" t="s">
        <x:v>1288</x:v>
      </x:c>
      <x:c r="D80" s="7">
        <x:f>CONCATENATE(HYPERLINK("CALLTO:%2B356%202148%206883", "+356 2148 6883"))</x:f>
      </x:c>
      <x:c r="E80" s="6" t="s">
        <x:v>1372</x:v>
      </x:c>
      <x:c r="F80" s="6" t="s">
        <x:v>5267</x:v>
      </x:c>
    </x:row>
    <x:row r="81" spans="1:7" s="1" customFormat="1">
      <x:c r="A81" s="1" t="s">
        <x:v>1178</x:v>
      </x:c>
      <x:c r="B81" s="1" t="s">
        <x:v>1210</x:v>
      </x:c>
      <x:c r="C81" s="8" t="s">
        <x:v>1289</x:v>
      </x:c>
      <x:c r="D81" s="9">
        <x:f>CONCATENATE(HYPERLINK("CALLTO:%2B356%202144%206751", "+356 2144 6751"))</x:f>
      </x:c>
      <x:c r="E81" s="8" t="s">
        <x:v>1373</x:v>
      </x:c>
      <x:c r="F81" s="8" t="s">
        <x:v>5268</x:v>
      </x:c>
    </x:row>
    <x:row r="82" spans="1:7" s="4" customFormat="1">
      <x:c r="A82" s="4" t="s">
        <x:v>1178</x:v>
      </x:c>
      <x:c r="B82" s="4" t="s">
        <x:v>1211</x:v>
      </x:c>
      <x:c r="C82" s="10" t="s">
        <x:v>1290</x:v>
      </x:c>
      <x:c r="D82" s="11">
        <x:f>CONCATENATE(HYPERLINK("CALLTO:%2B356%202180%202845", "+356 2180 2845"))</x:f>
      </x:c>
      <x:c r="E82" s="10" t="s">
        <x:v>1374</x:v>
      </x:c>
      <x:c r="F82" s="10" t="s">
        <x:v>5269</x:v>
      </x:c>
    </x:row>
    <x:row r="83" spans="1:7" s="3" customFormat="1">
      <x:c r="A83" s="3" t="s">
        <x:v>1178</x:v>
      </x:c>
      <x:c r="B83" s="3" t="s">
        <x:v>1212</x:v>
      </x:c>
      <x:c r="C83" s="6" t="s">
        <x:v>1291</x:v>
      </x:c>
      <x:c r="D83" s="7">
        <x:f>CONCATENATE(HYPERLINK("CALLTO:%2B356%209942%203740", "+356 9942 3740"))</x:f>
      </x:c>
      <x:c r="E83" s="6" t="s">
        <x:v>1375</x:v>
      </x:c>
      <x:c r="F83" s="6" t="s">
        <x:v>5270</x:v>
      </x:c>
    </x:row>
    <x:row r="84" spans="1:7" s="1" customFormat="1">
      <x:c r="A84" s="1" t="s">
        <x:v>1178</x:v>
      </x:c>
      <x:c r="B84" s="1" t="s">
        <x:v>1213</x:v>
      </x:c>
      <x:c r="C84" s="8" t="s">
        <x:v>1292</x:v>
      </x:c>
      <x:c r="D84" s="9">
        <x:f>CONCATENATE(HYPERLINK("CALLTO:%2B356%202141%202222", "+356 2141 2222"))</x:f>
      </x:c>
      <x:c r="E84" s="8" t="s">
        <x:v>1376</x:v>
      </x:c>
      <x:c r="F84" s="8" t="s">
        <x:v>5271</x:v>
      </x:c>
    </x:row>
    <x:row r="85" spans="1:7" s="4" customFormat="1">
      <x:c r="A85" s="4" t="s">
        <x:v>1178</x:v>
      </x:c>
      <x:c r="B85" s="4" t="s">
        <x:v>1214</x:v>
      </x:c>
      <x:c r="C85" s="10" t="s">
        <x:v>1293</x:v>
      </x:c>
      <x:c r="D85" s="11">
        <x:f>CONCATENATE(HYPERLINK("CALLTO:%2B356%202145%201032", "+356 2145 1032"))</x:f>
      </x:c>
      <x:c r="E85" s="10" t="s">
        <x:v>1377</x:v>
      </x:c>
      <x:c r="F85" s="10" t="s">
        <x:v>5272</x:v>
      </x:c>
    </x:row>
    <x:row r="86" spans="1:7" s="3" customFormat="1">
      <x:c r="A86" s="3" t="s">
        <x:v>1178</x:v>
      </x:c>
      <x:c r="B86" s="3" t="s">
        <x:v>1217</x:v>
      </x:c>
      <x:c r="C86" s="6" t="s">
        <x:v>1296</x:v>
      </x:c>
      <x:c r="D86" s="7">
        <x:f>CONCATENATE(HYPERLINK("CALLTO:%2B356%202142%204990", "+356 2142 4990"))</x:f>
      </x:c>
      <x:c r="E86" s="6" t="s">
        <x:v>1380</x:v>
      </x:c>
      <x:c r="F86" s="6" t="s">
        <x:v>1452</x:v>
      </x:c>
    </x:row>
    <x:row r="87" spans="1:7" s="1" customFormat="1">
      <x:c r="A87" s="1" t="s">
        <x:v>1178</x:v>
      </x:c>
      <x:c r="B87" s="1" t="s">
        <x:v>1218</x:v>
      </x:c>
      <x:c r="C87" s="8" t="s">
        <x:v>1297</x:v>
      </x:c>
      <x:c r="D87" s="9">
        <x:f>CONCATENATE(HYPERLINK("CALLTO:%2B356%202093%202932", "+356 2093 2932"))</x:f>
      </x:c>
      <x:c r="E87" s="8" t="s">
        <x:v>1381</x:v>
      </x:c>
      <x:c r="F87" s="8" t="s">
        <x:v>5274</x:v>
      </x:c>
    </x:row>
    <x:row r="88" spans="1:7" s="4" customFormat="1">
      <x:c r="A88" s="4" t="s">
        <x:v>1178</x:v>
      </x:c>
      <x:c r="B88" s="4" t="s">
        <x:v>1223</x:v>
      </x:c>
      <x:c r="C88" s="10" t="s">
        <x:v>1302</x:v>
      </x:c>
      <x:c r="D88" s="11">
        <x:f>CONCATENATE(HYPERLINK("CALLTO:%2B356%202144%20964121440202", "+356 2144 964121440202"))</x:f>
      </x:c>
      <x:c r="E88" s="10" t="s">
        <x:v>1386</x:v>
      </x:c>
      <x:c r="F88" s="10" t="s">
        <x:v>4823</x:v>
      </x:c>
    </x:row>
    <x:row r="89" spans="1:7" s="3" customFormat="1">
      <x:c r="A89" s="3" t="s">
        <x:v>1178</x:v>
      </x:c>
      <x:c r="B89" s="3" t="s">
        <x:v>1233</x:v>
      </x:c>
      <x:c r="C89" s="6" t="s">
        <x:v>1308</x:v>
      </x:c>
      <x:c r="D89" s="7">
        <x:f>CONCATENATE(HYPERLINK("CALLTO:%2B356%202792%202222", "+356 2792 2222"))</x:f>
      </x:c>
      <x:c r="E89" s="6" t="s">
        <x:v>1395</x:v>
      </x:c>
      <x:c r="F89" s="6" t="s">
        <x:v>1450</x:v>
      </x:c>
    </x:row>
    <x:row r="90" spans="1:7" s="1" customFormat="1">
      <x:c r="A90" s="1" t="s">
        <x:v>1178</x:v>
      </x:c>
      <x:c r="B90" s="1" t="s">
        <x:v>1234</x:v>
      </x:c>
      <x:c r="C90" s="8" t="s">
        <x:v>1309</x:v>
      </x:c>
      <x:c r="D90" s="9">
        <x:f>CONCATENATE(HYPERLINK("CALLTO:%2B356%202167%206627", "+356 2167 6627"))</x:f>
      </x:c>
      <x:c r="E90" s="8" t="s">
        <x:v>1396</x:v>
      </x:c>
      <x:c r="F90" s="8" t="s">
        <x:v>1462</x:v>
      </x:c>
    </x:row>
    <x:row r="91" spans="1:7" s="4" customFormat="1">
      <x:c r="A91" s="4" t="s">
        <x:v>1178</x:v>
      </x:c>
      <x:c r="B91" s="4" t="s">
        <x:v>1235</x:v>
      </x:c>
      <x:c r="C91" s="10" t="s">
        <x:v>1310</x:v>
      </x:c>
      <x:c r="D91" s="11">
        <x:f>CONCATENATE(HYPERLINK("CALLTO:%2B356%202149%201249", "+356 2149 1249"))</x:f>
      </x:c>
      <x:c r="E91" s="10" t="s">
        <x:v>1397</x:v>
      </x:c>
      <x:c r="F91" s="10" t="s">
        <x:v>1449</x:v>
      </x:c>
    </x:row>
    <x:row r="92" spans="1:7" s="3" customFormat="1"/>
    <x:row r="93" spans="1:7" s="1" customFormat="1">
      <x:c r="A93" s="1" t="s">
        <x:v>1179</x:v>
      </x:c>
      <x:c r="B93" s="1" t="s">
        <x:v>1236</x:v>
      </x:c>
      <x:c r="C93" s="8" t="s">
        <x:v>1261</x:v>
      </x:c>
      <x:c r="D93" s="9">
        <x:f>CONCATENATE(HYPERLINK("CALLTO:%2B356%202156%2003887990261399307711", "+356 2156 03887990261399307711"))</x:f>
      </x:c>
      <x:c r="E93" s="8" t="s">
        <x:v>1343</x:v>
      </x:c>
      <x:c r="F93" s="8" t="s">
        <x:v>1340</x:v>
      </x:c>
    </x:row>
    <x:row r="94" spans="1:7" s="4" customFormat="1">
      <x:c r="A94" s="4" t="s">
        <x:v>1179</x:v>
      </x:c>
      <x:c r="B94" s="4" t="s">
        <x:v>1181</x:v>
      </x:c>
      <x:c r="C94" s="10" t="s">
        <x:v>1311</x:v>
      </x:c>
      <x:c r="D94" s="11">
        <x:f>CONCATENATE(HYPERLINK("CALLTO:%2B356%202156%203966", "+356 2156 3966"))</x:f>
      </x:c>
      <x:c r="E94" s="10" t="s">
        <x:v>1398</x:v>
      </x:c>
      <x:c r="F94" s="10" t="s">
        <x:v>1463</x:v>
      </x:c>
    </x:row>
    <x:row r="95" spans="1:7" s="3" customFormat="1">
      <x:c r="A95" s="3" t="s">
        <x:v>1179</x:v>
      </x:c>
      <x:c r="B95" s="3" t="s">
        <x:v>1237</x:v>
      </x:c>
      <x:c r="C95" s="6" t="s">
        <x:v>1311</x:v>
      </x:c>
      <x:c r="D95" s="7">
        <x:f>CONCATENATE(HYPERLINK("CALLTO:%2B356%202156%203966", "+356 2156 3966"))</x:f>
      </x:c>
      <x:c r="E95" s="6" t="s">
        <x:v>1399</x:v>
      </x:c>
      <x:c r="F95" s="6" t="s">
        <x:v>1463</x:v>
      </x:c>
    </x:row>
    <x:row r="96" spans="1:7" s="1" customFormat="1">
      <x:c r="A96" s="1" t="s">
        <x:v>1179</x:v>
      </x:c>
      <x:c r="B96" s="1" t="s">
        <x:v>1238</x:v>
      </x:c>
      <x:c r="C96" s="8" t="s">
        <x:v>853</x:v>
      </x:c>
      <x:c r="D96" s="9">
        <x:f>CONCATENATE(HYPERLINK("CALLTO:%2B356%202146%203335", "+356 2146 3335"))</x:f>
      </x:c>
      <x:c r="E96" s="8" t="s">
        <x:v>1400</x:v>
      </x:c>
      <x:c r="F96" s="8" t="s">
        <x:v>1457</x:v>
      </x:c>
    </x:row>
    <x:row r="97" spans="1:7" s="4" customFormat="1">
      <x:c r="A97" s="4" t="s">
        <x:v>1179</x:v>
      </x:c>
      <x:c r="B97" s="4" t="s">
        <x:v>1224</x:v>
      </x:c>
      <x:c r="C97" s="10" t="s">
        <x:v>1271</x:v>
      </x:c>
      <x:c r="D97" s="11">
        <x:f>CONCATENATE(HYPERLINK("CALLTO:%2B356%202011%207900", "+356 2011 7900"))</x:f>
      </x:c>
      <x:c r="E97" s="10" t="s">
        <x:v>1401</x:v>
      </x:c>
      <x:c r="F97" s="10" t="s">
        <x:v>1331</x:v>
      </x:c>
    </x:row>
    <x:row r="98" spans="1:7" s="3" customFormat="1">
      <x:c r="A98" s="3" t="s">
        <x:v>1179</x:v>
      </x:c>
      <x:c r="B98" s="3" t="s">
        <x:v>1239</x:v>
      </x:c>
      <x:c r="C98" s="6" t="s">
        <x:v>1308</x:v>
      </x:c>
      <x:c r="D98" s="7">
        <x:f>CONCATENATE(HYPERLINK("CALLTO:%2B356%202792%202222", "+356 2792 2222"))</x:f>
      </x:c>
      <x:c r="E98" s="6" t="s">
        <x:v>1395</x:v>
      </x:c>
      <x:c r="F98" s="6" t="s">
        <x:v>1450</x:v>
      </x:c>
    </x:row>
    <x:row r="99" spans="1:7" s="1" customFormat="1">
      <x:c r="A99" s="1" t="s">
        <x:v>1179</x:v>
      </x:c>
      <x:c r="B99" s="1" t="s">
        <x:v>1233</x:v>
      </x:c>
      <x:c r="C99" s="8" t="s">
        <x:v>1312</x:v>
      </x:c>
      <x:c r="D99" s="9">
        <x:f>CONCATENATE(HYPERLINK("CALLTO:%2B356%209993%202230", "+356 9993 2230"))</x:f>
      </x:c>
      <x:c r="E99" s="8" t="s">
        <x:v>1402</x:v>
      </x:c>
      <x:c r="F99" s="8" t="s">
        <x:v>1448</x:v>
      </x:c>
    </x:row>
    <x:row r="100" spans="1:7" s="4" customFormat="1">
      <x:c r="A100" s="4" t="s">
        <x:v>1179</x:v>
      </x:c>
      <x:c r="B100" s="4" t="s">
        <x:v>1240</x:v>
      </x:c>
      <x:c r="C100" s="10" t="s">
        <x:v>1267</x:v>
      </x:c>
      <x:c r="D100" s="11">
        <x:f>CONCATENATE(HYPERLINK("CALLTO:%2B356%202169%205438%2B35621672049%2B36579402553", "+356 2169 5438+35621672049+36579402553"))</x:f>
      </x:c>
      <x:c r="E100" s="10" t="s">
        <x:v>1349</x:v>
      </x:c>
      <x:c r="F100" s="10" t="s">
        <x:v>1336</x:v>
      </x:c>
    </x:row>
    <x:row r="101" spans="1:7" s="3" customFormat="1">
      <x:c r="A101" s="3" t="s">
        <x:v>1179</x:v>
      </x:c>
      <x:c r="B101" s="3" t="s">
        <x:v>1187</x:v>
      </x:c>
      <x:c r="C101" s="6" t="s">
        <x:v>1313</x:v>
      </x:c>
      <x:c r="D101" s="7">
        <x:f>CONCATENATE(HYPERLINK("CALLTO:%2B356%202744%205533", "+356 2744 5533"))</x:f>
      </x:c>
      <x:c r="E101" s="6" t="s">
        <x:v>1403</x:v>
      </x:c>
      <x:c r="F101" s="6" t="s">
        <x:v>1447</x:v>
      </x:c>
    </x:row>
    <x:row r="102" spans="1:7" s="1" customFormat="1">
      <x:c r="A102" s="1" t="s">
        <x:v>1179</x:v>
      </x:c>
      <x:c r="B102" s="1" t="s">
        <x:v>1241</x:v>
      </x:c>
      <x:c r="C102" s="8" t="s">
        <x:v>1268</x:v>
      </x:c>
      <x:c r="D102" s="9">
        <x:f>CONCATENATE(HYPERLINK("CALLTO:%2B356%207921%208080", "+356 7921 8080"))</x:f>
      </x:c>
      <x:c r="E102" s="8" t="s">
        <x:v>1350</x:v>
      </x:c>
      <x:c r="F102" s="8" t="s">
        <x:v>1335</x:v>
      </x:c>
    </x:row>
    <x:row r="103" spans="1:7" s="4" customFormat="1">
      <x:c r="A103" s="4" t="s">
        <x:v>1179</x:v>
      </x:c>
      <x:c r="B103" s="4" t="s">
        <x:v>1188</x:v>
      </x:c>
      <x:c r="C103" s="10" t="s">
        <x:v>1314</x:v>
      </x:c>
      <x:c r="D103" s="11">
        <x:f>CONCATENATE(HYPERLINK("CALLTO:%2B356%209947%200302", "+356 9947 0302"))</x:f>
      </x:c>
      <x:c r="E103" s="10" t="s">
        <x:v>1404</x:v>
      </x:c>
      <x:c r="F103" s="10" t="s">
        <x:v>1465</x:v>
      </x:c>
    </x:row>
    <x:row r="104" spans="1:7" s="3" customFormat="1">
      <x:c r="A104" s="3" t="s">
        <x:v>1179</x:v>
      </x:c>
      <x:c r="B104" s="3" t="s">
        <x:v>1242</x:v>
      </x:c>
      <x:c r="C104" s="6" t="s">
        <x:v>1269</x:v>
      </x:c>
      <x:c r="D104" s="7">
        <x:f>CONCATENATE(HYPERLINK("CALLTO:%2B356%202155%206021", "+356 2155 6021"))</x:f>
      </x:c>
      <x:c r="E104" s="6" t="s">
        <x:v>1351</x:v>
      </x:c>
      <x:c r="F104" s="6" t="s">
        <x:v>1334</x:v>
      </x:c>
    </x:row>
    <x:row r="105" spans="1:7" s="1" customFormat="1">
      <x:c r="A105" s="1" t="s">
        <x:v>1179</x:v>
      </x:c>
      <x:c r="B105" s="1" t="s">
        <x:v>1189</x:v>
      </x:c>
      <x:c r="C105" s="8" t="s">
        <x:v>1315</x:v>
      </x:c>
      <x:c r="D105" s="9">
        <x:f>CONCATENATE(HYPERLINK("CALLTO:%2B356%202180%20583999707639", "+356 2180 583999707639"))</x:f>
      </x:c>
      <x:c r="E105" s="8" t="s">
        <x:v>1405</x:v>
      </x:c>
      <x:c r="F105" s="8" t="s">
        <x:v>1466</x:v>
      </x:c>
    </x:row>
    <x:row r="106" spans="1:7" s="4" customFormat="1">
      <x:c r="A106" s="4" t="s">
        <x:v>1179</x:v>
      </x:c>
      <x:c r="B106" s="4" t="s">
        <x:v>1243</x:v>
      </x:c>
      <x:c r="C106" s="4" t="s">
        <x:v>1316</x:v>
      </x:c>
      <x:c r="D106" s="11">
        <x:f>CONCATENATE(HYPERLINK("CALLTO:%2B356%202144%205165", "+356 2144 5165"))</x:f>
      </x:c>
      <x:c r="E106" s="10" t="s">
        <x:v>1406</x:v>
      </x:c>
      <x:c r="F106" s="10" t="s">
        <x:v>1467</x:v>
      </x:c>
    </x:row>
    <x:row r="107" spans="1:7" s="3" customFormat="1">
      <x:c r="A107" s="3" t="s">
        <x:v>1179</x:v>
      </x:c>
      <x:c r="B107" s="3" t="s">
        <x:v>1244</x:v>
      </x:c>
      <x:c r="C107" s="6" t="s">
        <x:v>1296</x:v>
      </x:c>
      <x:c r="D107" s="7">
        <x:f>CONCATENATE(HYPERLINK("CALLTO:%2B356%202142%204990", "+356 2142 4990"))</x:f>
      </x:c>
      <x:c r="E107" s="6" t="s">
        <x:v>1407</x:v>
      </x:c>
      <x:c r="F107" s="6" t="s">
        <x:v>1444</x:v>
      </x:c>
    </x:row>
    <x:row r="108" spans="1:7" s="1" customFormat="1">
      <x:c r="A108" s="1" t="s">
        <x:v>1179</x:v>
      </x:c>
      <x:c r="B108" s="1" t="s">
        <x:v>1245</x:v>
      </x:c>
      <x:c r="C108" s="8" t="s">
        <x:v>1288</x:v>
      </x:c>
      <x:c r="D108" s="9">
        <x:f>CONCATENATE(HYPERLINK("CALLTO:%2B356%202148%20688399498840", "+356 2148 688399498840"))</x:f>
      </x:c>
      <x:c r="E108" s="8" t="s">
        <x:v>1408</x:v>
      </x:c>
      <x:c r="F108" s="8" t="s">
        <x:v>5267</x:v>
      </x:c>
    </x:row>
    <x:row r="109" spans="1:7" s="4" customFormat="1">
      <x:c r="A109" s="4" t="s">
        <x:v>1179</x:v>
      </x:c>
      <x:c r="B109" s="4" t="s">
        <x:v>1246</x:v>
      </x:c>
      <x:c r="C109" s="4" t="s">
        <x:v>1317</x:v>
      </x:c>
      <x:c r="D109" s="11">
        <x:f>CONCATENATE(HYPERLINK("CALLTO:%2B356%202144%202466", "+356 2144 2466"))</x:f>
      </x:c>
      <x:c r="E109" s="10" t="s">
        <x:v>1409</x:v>
      </x:c>
      <x:c r="F109" s="10" t="s">
        <x:v>1468</x:v>
      </x:c>
    </x:row>
    <x:row r="110" spans="1:7" s="3" customFormat="1">
      <x:c r="A110" s="3" t="s">
        <x:v>1179</x:v>
      </x:c>
      <x:c r="B110" s="3" t="s">
        <x:v>1247</x:v>
      </x:c>
      <x:c r="C110" s="6" t="s">
        <x:v>1303</x:v>
      </x:c>
      <x:c r="D110" s="7">
        <x:f>CONCATENATE(HYPERLINK("CALLTO:%2B356%202148%2028602148553621495485", "+356 2148 28602148553621495485"))</x:f>
      </x:c>
      <x:c r="E110" s="6" t="s">
        <x:v>1388</x:v>
      </x:c>
      <x:c r="F110" s="6" t="s">
        <x:v>5277</x:v>
      </x:c>
    </x:row>
    <x:row r="111" spans="1:7" s="1" customFormat="1">
      <x:c r="A111" s="1" t="s">
        <x:v>1179</x:v>
      </x:c>
      <x:c r="B111" s="1" t="s">
        <x:v>1225</x:v>
      </x:c>
      <x:c r="C111" s="1" t="s">
        <x:v>144</x:v>
      </x:c>
      <x:c r="D111" s="9">
        <x:f>CONCATENATE(HYPERLINK("CALLTO:%2B356%202034%201569", "+356 2034 1569"))</x:f>
      </x:c>
      <x:c r="E111" s="8" t="s">
        <x:v>1410</x:v>
      </x:c>
      <x:c r="F111" s="8" t="s">
        <x:v>1443</x:v>
      </x:c>
    </x:row>
    <x:row r="112" spans="1:7" s="4" customFormat="1">
      <x:c r="A112" s="4" t="s">
        <x:v>1179</x:v>
      </x:c>
      <x:c r="B112" s="4" t="s">
        <x:v>1248</x:v>
      </x:c>
      <x:c r="C112" s="10" t="s">
        <x:v>1318</x:v>
      </x:c>
      <x:c r="D112" s="11">
        <x:f>CONCATENATE(HYPERLINK("CALLTO:%2B356%202137%201891", "+356 2137 1891"))</x:f>
      </x:c>
      <x:c r="E112" s="10" t="s">
        <x:v>1411</x:v>
      </x:c>
      <x:c r="F112" s="10" t="s">
        <x:v>1454</x:v>
      </x:c>
    </x:row>
    <x:row r="113" spans="1:7" s="3" customFormat="1">
      <x:c r="A113" s="3" t="s">
        <x:v>1179</x:v>
      </x:c>
      <x:c r="B113" s="3" t="s">
        <x:v>1249</x:v>
      </x:c>
      <x:c r="C113" s="6" t="s">
        <x:v>1273</x:v>
      </x:c>
      <x:c r="D113" s="7">
        <x:f>CONCATENATE(HYPERLINK("CALLTO:%2B356%202144%201328", "+356 2144 1328"))</x:f>
      </x:c>
      <x:c r="E113" s="6" t="s">
        <x:v>1412</x:v>
      </x:c>
      <x:c r="F113" s="6" t="s">
        <x:v>1432</x:v>
      </x:c>
    </x:row>
    <x:row r="114" spans="1:7" s="1" customFormat="1">
      <x:c r="A114" s="1" t="s">
        <x:v>1179</x:v>
      </x:c>
      <x:c r="B114" s="1" t="s">
        <x:v>1250</x:v>
      </x:c>
      <x:c r="C114" s="8" t="s">
        <x:v>1319</x:v>
      </x:c>
      <x:c r="D114" s="9">
        <x:f>CONCATENATE(HYPERLINK("CALLTO:%2B356%209933%200274", "+356 9933 0274"))</x:f>
      </x:c>
      <x:c r="E114" s="8" t="s">
        <x:v>1413</x:v>
      </x:c>
      <x:c r="F114" s="8" t="s">
        <x:v>1437</x:v>
      </x:c>
    </x:row>
    <x:row r="115" spans="1:7" s="4" customFormat="1">
      <x:c r="A115" s="4" t="s">
        <x:v>1179</x:v>
      </x:c>
      <x:c r="B115" s="4" t="s">
        <x:v>1251</x:v>
      </x:c>
      <x:c r="C115" s="10" t="s">
        <x:v>1294</x:v>
      </x:c>
      <x:c r="D115" s="11">
        <x:f>CONCATENATE(HYPERLINK("CALLTO:%2B356%202144%20849979522969", "+356 2144 849979522969"))</x:f>
      </x:c>
      <x:c r="E115" s="10" t="s">
        <x:v>1414</x:v>
      </x:c>
      <x:c r="F115" s="10" t="s">
        <x:v>1469</x:v>
      </x:c>
    </x:row>
    <x:row r="116" spans="1:7" s="3" customFormat="1">
      <x:c r="A116" s="3" t="s">
        <x:v>1179</x:v>
      </x:c>
      <x:c r="B116" s="3" t="s">
        <x:v>1215</x:v>
      </x:c>
      <x:c r="C116" s="6" t="s">
        <x:v>857</x:v>
      </x:c>
      <x:c r="D116" s="7">
        <x:f>CONCATENATE(HYPERLINK("CALLTO:%2B356%202146%208770", "+356 2146 8770"))</x:f>
      </x:c>
      <x:c r="E116" s="6" t="s">
        <x:v>1415</x:v>
      </x:c>
      <x:c r="F116" s="6" t="s">
        <x:v>1426</x:v>
      </x:c>
    </x:row>
    <x:row r="117" spans="1:7" s="1" customFormat="1">
      <x:c r="A117" s="1" t="s">
        <x:v>1179</x:v>
      </x:c>
      <x:c r="B117" s="1" t="s">
        <x:v>1252</x:v>
      </x:c>
      <x:c r="C117" s="8" t="s">
        <x:v>1302</x:v>
      </x:c>
      <x:c r="D117" s="9">
        <x:f>CONCATENATE(HYPERLINK("CALLTO:%2B356%202144%20964121440202", "+356 2144 964121440202"))</x:f>
      </x:c>
      <x:c r="E117" s="8" t="s">
        <x:v>1386</x:v>
      </x:c>
      <x:c r="F117" s="8" t="s">
        <x:v>4823</x:v>
      </x:c>
    </x:row>
    <x:row r="118" spans="1:7" s="4" customFormat="1">
      <x:c r="A118" s="4" t="s">
        <x:v>1179</x:v>
      </x:c>
      <x:c r="B118" s="4" t="s">
        <x:v>1223</x:v>
      </x:c>
      <x:c r="C118" s="10" t="s">
        <x:v>1320</x:v>
      </x:c>
      <x:c r="D118" s="11">
        <x:f>CONCATENATE(HYPERLINK("CALLTO:%2B356%202278%202000", "+356 2278 2000"))</x:f>
      </x:c>
      <x:c r="E118" s="10" t="s">
        <x:v>1416</x:v>
      </x:c>
      <x:c r="F118" s="10" t="s">
        <x:v>1470</x:v>
      </x:c>
    </x:row>
    <x:row r="119" spans="1:7" s="3" customFormat="1">
      <x:c r="A119" s="3" t="s">
        <x:v>1179</x:v>
      </x:c>
      <x:c r="B119" s="3" t="s">
        <x:v>1253</x:v>
      </x:c>
      <x:c r="C119" s="6" t="s">
        <x:v>1321</x:v>
      </x:c>
      <x:c r="D119" s="7">
        <x:f>CONCATENATE(HYPERLINK("CALLTO:%2B356%202713%207364", "+356 2713 7364"))</x:f>
      </x:c>
      <x:c r="E119" s="6" t="s">
        <x:v>1417</x:v>
      </x:c>
      <x:c r="F119" s="6" t="s">
        <x:v>1429</x:v>
      </x:c>
    </x:row>
    <x:row r="120" spans="1:7" s="1" customFormat="1">
      <x:c r="A120" s="1" t="s">
        <x:v>1179</x:v>
      </x:c>
      <x:c r="B120" s="1" t="s">
        <x:v>1254</x:v>
      </x:c>
      <x:c r="C120" s="8" t="s">
        <x:v>1274</x:v>
      </x:c>
      <x:c r="D120" s="9">
        <x:f>CONCATENATE(HYPERLINK("CALLTO:%2B356%202749%205590", "+356 2749 5590"))</x:f>
      </x:c>
      <x:c r="E120" s="8" t="s">
        <x:v>1418</x:v>
      </x:c>
      <x:c r="F120" s="8" t="s">
        <x:v>1329</x:v>
      </x:c>
    </x:row>
    <x:row r="121" spans="1:7" s="4" customFormat="1">
      <x:c r="A121" s="4" t="s">
        <x:v>1179</x:v>
      </x:c>
      <x:c r="B121" s="4" t="s">
        <x:v>1196</x:v>
      </x:c>
      <x:c r="C121" s="10" t="s">
        <x:v>852</x:v>
      </x:c>
      <x:c r="D121" s="11">
        <x:f>CONCATENATE(HYPERLINK("CALLTO:%2B356%202141%207596", "+356 2141 7596"))</x:f>
      </x:c>
      <x:c r="E121" s="10" t="s">
        <x:v>1352</x:v>
      </x:c>
      <x:c r="F121" s="10" t="s">
        <x:v>1333</x:v>
      </x:c>
    </x:row>
    <x:row r="122" spans="1:7" s="3" customFormat="1">
      <x:c r="A122" s="3" t="s">
        <x:v>1179</x:v>
      </x:c>
      <x:c r="B122" s="3" t="s">
        <x:v>1190</x:v>
      </x:c>
      <x:c r="C122" s="6" t="s">
        <x:v>1322</x:v>
      </x:c>
      <x:c r="D122" s="7">
        <x:f>CONCATENATE(HYPERLINK("CALLTO:%2B356%202144%200710", "+356 2144 0710"))</x:f>
      </x:c>
      <x:c r="E122" s="6" t="s">
        <x:v>1419</x:v>
      </x:c>
      <x:c r="F122" s="6" t="s">
        <x:v>5278</x:v>
      </x:c>
    </x:row>
    <x:row r="123" spans="1:7" s="1" customFormat="1">
      <x:c r="A123" s="1" t="s">
        <x:v>1179</x:v>
      </x:c>
      <x:c r="B123" s="1" t="s">
        <x:v>1226</x:v>
      </x:c>
      <x:c r="C123" s="8" t="s">
        <x:v>1323</x:v>
      </x:c>
      <x:c r="D123" s="9">
        <x:f>CONCATENATE(HYPERLINK("CALLTO:%2B356%202549%203000", "+356 2549 3000"))</x:f>
      </x:c>
      <x:c r="E123" s="8" t="s">
        <x:v>1420</x:v>
      </x:c>
      <x:c r="F123" s="8" t="s">
        <x:v>4825</x:v>
      </x:c>
    </x:row>
    <x:row r="124" spans="1:7" s="4" customFormat="1">
      <x:c r="A124" s="4" t="s">
        <x:v>1179</x:v>
      </x:c>
      <x:c r="B124" s="4" t="s">
        <x:v>1255</x:v>
      </x:c>
      <x:c r="C124" s="10" t="s">
        <x:v>1324</x:v>
      </x:c>
      <x:c r="D124" s="11">
        <x:f>CONCATENATE(HYPERLINK("CALLTO:%2B356%202713%203090", "+356 2713 3090"))</x:f>
      </x:c>
      <x:c r="E124" s="10" t="s">
        <x:v>1421</x:v>
      </x:c>
      <x:c r="F124" s="10" t="s">
        <x:v>1430</x:v>
      </x:c>
    </x:row>
    <x:row r="125" spans="1:7" s="3" customFormat="1">
      <x:c r="A125" s="3" t="s">
        <x:v>1179</x:v>
      </x:c>
      <x:c r="B125" s="3" t="s">
        <x:v>1256</x:v>
      </x:c>
      <x:c r="C125" s="6" t="s">
        <x:v>1325</x:v>
      </x:c>
      <x:c r="D125" s="7">
        <x:f>CONCATENATE(HYPERLINK("CALLTO:%2B356%202149%202822", "+356 2149 2822"))</x:f>
      </x:c>
      <x:c r="E125" s="6" t="s">
        <x:v>1422</x:v>
      </x:c>
      <x:c r="F125" s="6" t="s">
        <x:v>1472</x:v>
      </x:c>
    </x:row>
    <x:row r="126" spans="1:7" s="1" customFormat="1">
      <x:c r="A126" s="1" t="s">
        <x:v>1179</x:v>
      </x:c>
      <x:c r="B126" s="1" t="s">
        <x:v>1257</x:v>
      </x:c>
      <x:c r="C126" s="8" t="s">
        <x:v>1326</x:v>
      </x:c>
      <x:c r="D126" s="9">
        <x:f>CONCATENATE(HYPERLINK("CALLTO:%2B356%202148%203216", "+356 2148 3216"), " / ", HYPERLINK("CALLTO:%2B356%202144%205947", "+356 2144 5947"))</x:f>
      </x:c>
      <x:c r="E126" s="8" t="s">
        <x:v>1423</x:v>
      </x:c>
      <x:c r="F126" s="8" t="s">
        <x:v>1473</x:v>
      </x:c>
    </x:row>
    <x:row r="127" spans="1:7" s="4" customFormat="1">
      <x:c r="A127" s="4" t="s">
        <x:v>1179</x:v>
      </x:c>
      <x:c r="B127" s="4" t="s">
        <x:v>1258</x:v>
      </x:c>
      <x:c r="C127" s="10" t="s">
        <x:v>1261</x:v>
      </x:c>
      <x:c r="D127" s="11">
        <x:f>CONCATENATE(HYPERLINK("CALLTO:%2B356%202156%2003887990261399307711", "+356 2156 03887990261399307711"))</x:f>
      </x:c>
      <x:c r="E127" s="10" t="s">
        <x:v>1343</x:v>
      </x:c>
      <x:c r="F127" s="10" t="s">
        <x:v>1340</x:v>
      </x:c>
    </x:row>
    <x:row r="128" spans="1:7" s="3" customFormat="1"/>
    <x:row r="129" spans="1:7" s="1" customFormat="1">
      <x:c r="A129" s="1" t="s">
        <x:v>1180</x:v>
      </x:c>
      <x:c r="B129" s="1" t="s">
        <x:v>1181</x:v>
      </x:c>
      <x:c r="C129" s="8" t="s">
        <x:v>1262</x:v>
      </x:c>
      <x:c r="D129" s="9">
        <x:f>CONCATENATE(HYPERLINK("CALLTO:%2B356%202148%203216", "+356 2148 3216"))</x:f>
      </x:c>
      <x:c r="E129" s="8" t="s">
        <x:v>1344</x:v>
      </x:c>
      <x:c r="F129" s="8" t="s">
        <x:v>1339</x:v>
      </x:c>
    </x:row>
    <x:row r="130" spans="1:7" s="4" customFormat="1">
      <x:c r="A130" s="4" t="s">
        <x:v>1180</x:v>
      </x:c>
      <x:c r="B130" s="4" t="s">
        <x:v>1182</x:v>
      </x:c>
      <x:c r="C130" s="10" t="s">
        <x:v>1267</x:v>
      </x:c>
      <x:c r="D130" s="11">
        <x:f>CONCATENATE(HYPERLINK("CALLTO:%2B356%202169%205438%2B35621672049%2B36579402553", "+356 2169 5438+35621672049+36579402553"))</x:f>
      </x:c>
      <x:c r="E130" s="10" t="s">
        <x:v>1349</x:v>
      </x:c>
      <x:c r="F130" s="10" t="s">
        <x:v>1336</x:v>
      </x:c>
    </x:row>
    <x:row r="131" spans="1:7" s="3" customFormat="1">
      <x:c r="A131" s="3" t="s">
        <x:v>1180</x:v>
      </x:c>
      <x:c r="B131" s="3" t="s">
        <x:v>1187</x:v>
      </x:c>
      <x:c r="C131" s="6" t="s">
        <x:v>1269</x:v>
      </x:c>
      <x:c r="D131" s="7">
        <x:f>CONCATENATE(HYPERLINK("CALLTO:%2B356%202155%206021", "+356 2155 6021"))</x:f>
      </x:c>
      <x:c r="E131" s="6" t="s">
        <x:v>1351</x:v>
      </x:c>
      <x:c r="F131" s="6" t="s">
        <x:v>1334</x:v>
      </x:c>
    </x:row>
    <x:row r="132" spans="1:7" s="1" customFormat="1">
      <x:c r="A132" s="1" t="s">
        <x:v>1180</x:v>
      </x:c>
      <x:c r="B132" s="1" t="s">
        <x:v>1189</x:v>
      </x:c>
      <x:c r="C132" s="8" t="s">
        <x:v>1270</x:v>
      </x:c>
      <x:c r="D132" s="9">
        <x:f>CONCATENATE(HYPERLINK("CALLTO:%2B356%202147%202095", "+356 2147 2095"))</x:f>
      </x:c>
      <x:c r="E132" s="8" t="s">
        <x:v>1353</x:v>
      </x:c>
      <x:c r="F132" s="8" t="s">
        <x:v>1332</x:v>
      </x:c>
    </x:row>
    <x:row r="133" spans="1:7" s="4" customFormat="1">
      <x:c r="A133" s="4" t="s">
        <x:v>1180</x:v>
      </x:c>
      <x:c r="B133" s="4" t="s">
        <x:v>1191</x:v>
      </x:c>
      <x:c r="C133" s="10" t="s">
        <x:v>1271</x:v>
      </x:c>
      <x:c r="D133" s="11">
        <x:f>CONCATENATE(HYPERLINK("CALLTO:%2B356%202011%207900", "+356 2011 7900"))</x:f>
      </x:c>
      <x:c r="E133" s="10" t="s">
        <x:v>1354</x:v>
      </x:c>
      <x:c r="F133" s="10" t="s">
        <x:v>1331</x:v>
      </x:c>
    </x:row>
    <x:row r="134" spans="1:7" s="3" customFormat="1">
      <x:c r="A134" s="3" t="s">
        <x:v>1180</x:v>
      </x:c>
      <x:c r="B134" s="3" t="s">
        <x:v>1192</x:v>
      </x:c>
      <x:c r="C134" s="6" t="s">
        <x:v>1273</x:v>
      </x:c>
      <x:c r="D134" s="7">
        <x:f>CONCATENATE(HYPERLINK("CALLTO:%2B356%202144%201328", "+356 2144 1328"))</x:f>
      </x:c>
      <x:c r="E134" s="6" t="s">
        <x:v>1356</x:v>
      </x:c>
      <x:c r="F134" s="6" t="s">
        <x:v>1432</x:v>
      </x:c>
    </x:row>
    <x:row r="135" spans="1:7" s="1" customFormat="1">
      <x:c r="A135" s="1" t="s">
        <x:v>1180</x:v>
      </x:c>
      <x:c r="B135" s="1" t="s">
        <x:v>1195</x:v>
      </x:c>
      <x:c r="C135" s="8" t="s">
        <x:v>1274</x:v>
      </x:c>
      <x:c r="D135" s="9">
        <x:f>CONCATENATE(HYPERLINK("CALLTO:%2B356%202749%205590", "+356 2749 5590"))</x:f>
      </x:c>
      <x:c r="E135" s="8" t="s">
        <x:v>1357</x:v>
      </x:c>
      <x:c r="F135" s="8" t="s">
        <x:v>1329</x:v>
      </x:c>
    </x:row>
    <x:row r="136" spans="1:7" s="4" customFormat="1">
      <x:c r="A136" s="4" t="s">
        <x:v>1180</x:v>
      </x:c>
      <x:c r="B136" s="4" t="s">
        <x:v>1196</x:v>
      </x:c>
      <x:c r="C136" s="10" t="s">
        <x:v>1278</x:v>
      </x:c>
      <x:c r="D136" s="11">
        <x:f>CONCATENATE(HYPERLINK("CALLTO:%2B356%202142%200538", "+356 2142 0538"))</x:f>
      </x:c>
      <x:c r="E136" s="10" t="s">
        <x:v>1361</x:v>
      </x:c>
      <x:c r="F136" s="10" t="s">
        <x:v>1435</x:v>
      </x:c>
    </x:row>
    <x:row r="137" spans="1:7" s="3" customFormat="1">
      <x:c r="A137" s="3" t="s">
        <x:v>1180</x:v>
      </x:c>
      <x:c r="B137" s="3" t="s">
        <x:v>1199</x:v>
      </x:c>
      <x:c r="C137" s="6" t="s">
        <x:v>1280</x:v>
      </x:c>
      <x:c r="D137" s="7">
        <x:f>CONCATENATE(HYPERLINK("CALLTO:%2B356%209947%209003", "+356 9947 9003"))</x:f>
      </x:c>
      <x:c r="E137" s="6" t="s">
        <x:v>1363</x:v>
      </x:c>
      <x:c r="F137" s="6" t="s">
        <x:v>5261</x:v>
      </x:c>
    </x:row>
    <x:row r="138" spans="1:7" s="1" customFormat="1">
      <x:c r="A138" s="1" t="s">
        <x:v>1180</x:v>
      </x:c>
      <x:c r="B138" s="1" t="s">
        <x:v>1201</x:v>
      </x:c>
      <x:c r="C138" s="8" t="s">
        <x:v>860</x:v>
      </x:c>
      <x:c r="D138" s="9">
        <x:f>CONCATENATE(HYPERLINK("CALLTO:%2B356%202141%204090", "+356 2141 4090"))</x:f>
      </x:c>
      <x:c r="E138" s="8" t="s">
        <x:v>1364</x:v>
      </x:c>
      <x:c r="F138" s="8" t="s">
        <x:v>5262</x:v>
      </x:c>
    </x:row>
    <x:row r="139" spans="1:7" s="4" customFormat="1">
      <x:c r="A139" s="4" t="s">
        <x:v>1180</x:v>
      </x:c>
      <x:c r="B139" s="4" t="s">
        <x:v>1202</x:v>
      </x:c>
      <x:c r="C139" s="10" t="s">
        <x:v>1282</x:v>
      </x:c>
      <x:c r="D139" s="11">
        <x:f>CONCATENATE(HYPERLINK("CALLTO:%2B356%202164%202396", "+356 2164 2396"))</x:f>
      </x:c>
      <x:c r="E139" s="10" t="s">
        <x:v>1366</x:v>
      </x:c>
      <x:c r="F139" s="10" t="s">
        <x:v>1440</x:v>
      </x:c>
    </x:row>
    <x:row r="140" spans="1:7" s="3" customFormat="1">
      <x:c r="A140" s="3" t="s">
        <x:v>1180</x:v>
      </x:c>
      <x:c r="B140" s="3" t="s">
        <x:v>1204</x:v>
      </x:c>
      <x:c r="C140" s="6" t="s">
        <x:v>1286</x:v>
      </x:c>
      <x:c r="D140" s="7">
        <x:f>CONCATENATE(HYPERLINK("CALLTO:%2B356%202143%204935", "+356 2143 4935"))</x:f>
      </x:c>
      <x:c r="E140" s="6" t="s">
        <x:v>1369</x:v>
      </x:c>
      <x:c r="F140" s="6" t="s">
        <x:v>5266</x:v>
      </x:c>
    </x:row>
    <x:row r="141" spans="1:7" s="1" customFormat="1">
      <x:c r="A141" s="1" t="s">
        <x:v>1180</x:v>
      </x:c>
      <x:c r="B141" s="1" t="s">
        <x:v>1207</x:v>
      </x:c>
      <x:c r="C141" s="8" t="s">
        <x:v>1288</x:v>
      </x:c>
      <x:c r="D141" s="9">
        <x:f>CONCATENATE(HYPERLINK("CALLTO:%2B356%202148%206883", "+356 2148 6883"))</x:f>
      </x:c>
      <x:c r="E141" s="8" t="s">
        <x:v>1372</x:v>
      </x:c>
      <x:c r="F141" s="8" t="s">
        <x:v>5267</x:v>
      </x:c>
    </x:row>
    <x:row r="142" spans="1:7" s="4" customFormat="1">
      <x:c r="A142" s="4" t="s">
        <x:v>1180</x:v>
      </x:c>
      <x:c r="B142" s="4" t="s">
        <x:v>1209</x:v>
      </x:c>
      <x:c r="C142" s="10" t="s">
        <x:v>1289</x:v>
      </x:c>
      <x:c r="D142" s="11">
        <x:f>CONCATENATE(HYPERLINK("CALLTO:%2B356%202144%206751", "+356 2144 6751"))</x:f>
      </x:c>
      <x:c r="E142" s="10" t="s">
        <x:v>1373</x:v>
      </x:c>
      <x:c r="F142" s="10" t="s">
        <x:v>5268</x:v>
      </x:c>
    </x:row>
    <x:row r="143" spans="1:7" s="3" customFormat="1">
      <x:c r="A143" s="3" t="s">
        <x:v>1180</x:v>
      </x:c>
      <x:c r="B143" s="3" t="s">
        <x:v>1210</x:v>
      </x:c>
      <x:c r="C143" s="6" t="s">
        <x:v>1296</x:v>
      </x:c>
      <x:c r="D143" s="7">
        <x:f>CONCATENATE(HYPERLINK("CALLTO:%2B356%202142%204990", "+356 2142 4990"))</x:f>
      </x:c>
      <x:c r="E143" s="6" t="s">
        <x:v>1380</x:v>
      </x:c>
      <x:c r="F143" s="6" t="s">
        <x:v>1452</x:v>
      </x:c>
    </x:row>
    <x:row r="144" spans="1:7" s="1" customFormat="1">
      <x:c r="A144" s="1" t="s">
        <x:v>1180</x:v>
      </x:c>
      <x:c r="B144" s="1" t="s">
        <x:v>1217</x:v>
      </x:c>
      <x:c r="C144" s="8" t="s">
        <x:v>1297</x:v>
      </x:c>
      <x:c r="D144" s="9">
        <x:f>CONCATENATE(HYPERLINK("CALLTO:%2B356%202093%202932", "+356 2093 2932"))</x:f>
      </x:c>
      <x:c r="E144" s="8" t="s">
        <x:v>1381</x:v>
      </x:c>
      <x:c r="F144" s="8" t="s">
        <x:v>5274</x:v>
      </x:c>
    </x:row>
    <x:row r="145" spans="1:7" s="4" customFormat="1">
      <x:c r="A145" s="4" t="s">
        <x:v>1180</x:v>
      </x:c>
      <x:c r="B145" s="4" t="s">
        <x:v>1218</x:v>
      </x:c>
      <x:c r="C145" s="10" t="s">
        <x:v>1327</x:v>
      </x:c>
      <x:c r="D145" s="11">
        <x:f>CONCATENATE(HYPERLINK("CALLTO:%2B356%209999%209819", "+356 9999 9819"))</x:f>
      </x:c>
      <x:c r="E145" s="10" t="s">
        <x:v>1424</x:v>
      </x:c>
      <x:c r="F145" s="10" t="s">
        <x:v>1453</x:v>
      </x:c>
    </x:row>
    <x:row r="146" spans="1:7" s="3" customFormat="1">
      <x:c r="A146" s="3" t="s">
        <x:v>1180</x:v>
      </x:c>
      <x:c r="B146" s="3" t="s">
        <x:v>1259</x:v>
      </x:c>
    </x:row>
    <x:row r="147" spans="1:7" s="1" customFormat="1"/>
    <x:row r="148" spans="1:7" s="4" customFormat="1">
      <x:c r="B148" s="4" t="s">
        <x:v>1260</x:v>
      </x:c>
    </x:row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  <x:row r="231" spans="1:7" s="1" customFormat="1"/>
    <x:row r="232" spans="1:7" s="4" customFormat="1"/>
    <x:row r="233" spans="1:7" s="3" customFormat="1"/>
    <x:row r="234" spans="1:7" s="1" customFormat="1"/>
    <x:row r="235" spans="1:7" s="4" customFormat="1"/>
    <x:row r="236" spans="1:7" s="3" customFormat="1"/>
    <x:row r="237" spans="1:7" s="1" customFormat="1"/>
    <x:row r="238" spans="1:7" s="4" customFormat="1"/>
    <x:row r="239" spans="1:7" s="3" customFormat="1"/>
    <x:row r="240" spans="1:7" s="1" customFormat="1"/>
    <x:row r="241" spans="1:7" s="4" customFormat="1"/>
    <x:row r="242" spans="1:7" s="3" customFormat="1"/>
    <x:row r="243" spans="1:7" s="1" customFormat="1"/>
    <x:row r="244" spans="1:7" s="4" customFormat="1"/>
    <x:row r="245" spans="1:7" s="3" customFormat="1"/>
    <x:row r="246" spans="1:7" s="1" customFormat="1"/>
    <x:row r="247" spans="1:7" s="4" customFormat="1"/>
    <x:row r="248" spans="1:7" s="3" customFormat="1"/>
    <x:row r="249" spans="1:7" s="1" customFormat="1"/>
    <x:row r="250" spans="1:7" s="4" customFormat="1"/>
    <x:row r="251" spans="1:7" s="3" customFormat="1"/>
    <x:row r="252" spans="1:7" s="1" customFormat="1"/>
    <x:row r="253" spans="1:7" s="4" customFormat="1"/>
    <x:row r="254" spans="1:7" s="3" customFormat="1"/>
    <x:row r="255" spans="1:7" s="1" customFormat="1"/>
    <x:row r="256" spans="1:7" s="4" customFormat="1"/>
    <x:row r="257" spans="1:7" s="3" customFormat="1"/>
    <x:row r="258" spans="1:7" s="1" customFormat="1"/>
    <x:row r="259" spans="1:7" s="4" customFormat="1"/>
    <x:row r="260" spans="1:7" s="3" customFormat="1"/>
    <x:row r="261" spans="1:7" s="1" customFormat="1"/>
    <x:row r="262" spans="1:7" s="4" customFormat="1"/>
    <x:row r="263" spans="1:7" s="3" customFormat="1"/>
    <x:row r="264" spans="1:7" s="1" customFormat="1"/>
    <x:row r="265" spans="1:7" s="4" customFormat="1"/>
    <x:row r="266" spans="1:7" s="3" customFormat="1"/>
    <x:row r="267" spans="1:7" s="1" customFormat="1"/>
    <x:row r="268" spans="1:7" s="4" customFormat="1"/>
    <x:row r="269" spans="1:7" s="3" customFormat="1"/>
    <x:row r="270" spans="1:7" s="1" customFormat="1"/>
    <x:row r="271" spans="1:7" s="4" customFormat="1"/>
    <x:row r="272" spans="1:7" s="3" customFormat="1"/>
    <x:row r="273" spans="1:7" s="1" customFormat="1"/>
    <x:row r="274" spans="1:7" s="4" customFormat="1"/>
    <x:row r="275" spans="1:7" s="3" customFormat="1"/>
    <x:row r="276" spans="1:7" s="1" customFormat="1"/>
    <x:row r="277" spans="1:7" s="4" customFormat="1"/>
    <x:row r="278" spans="1:7" s="3" customFormat="1"/>
    <x:row r="279" spans="1:7" s="1" customFormat="1"/>
    <x:row r="280" spans="1:7" s="4" customFormat="1"/>
    <x:row r="281" spans="1:7" s="3" customFormat="1"/>
    <x:row r="282" spans="1:7" s="1" customFormat="1"/>
    <x:row r="283" spans="1:7" s="4" customFormat="1"/>
    <x:row r="284" spans="1:7" s="3" customFormat="1"/>
    <x:row r="285" spans="1:7" s="1" customFormat="1"/>
    <x:row r="286" spans="1:7" s="4" customFormat="1"/>
    <x:row r="287" spans="1:7" s="3" customFormat="1"/>
    <x:row r="288" spans="1:7" s="1" customFormat="1"/>
    <x:row r="289" spans="1:7" s="4" customFormat="1"/>
    <x:row r="290" spans="1:7" s="3" customFormat="1"/>
    <x:row r="291" spans="1:7" s="1" customFormat="1"/>
    <x:row r="292" spans="1:7" s="4" customFormat="1"/>
    <x:row r="293" spans="1:7" s="3" customFormat="1"/>
    <x:row r="294" spans="1:7" s="1" customFormat="1"/>
    <x:row r="295" spans="1:7" s="4" customFormat="1"/>
    <x:row r="296" spans="1:7" s="3" customFormat="1"/>
    <x:row r="297" spans="1:7" s="1" customFormat="1"/>
    <x:row r="298" spans="1:7" s="4" customFormat="1"/>
    <x:row r="299" spans="1:7" s="3" customFormat="1"/>
    <x:row r="300" spans="1:7" s="1" customFormat="1"/>
    <x:row r="301" spans="1:7" s="4" customFormat="1"/>
    <x:row r="302" spans="1:7" s="3" customFormat="1"/>
    <x:row r="303" spans="1:7" s="1" customFormat="1"/>
    <x:row r="304" spans="1:7" s="4" customFormat="1"/>
    <x:row r="305" spans="1:7" s="3" customFormat="1"/>
    <x:row r="306" spans="1:7" s="1" customFormat="1"/>
    <x:row r="307" spans="1:7" s="4" customFormat="1"/>
    <x:row r="308" spans="1:7" s="3" customFormat="1"/>
    <x:row r="309" spans="1:7" s="1" customFormat="1"/>
    <x:row r="310" spans="1:7" s="4" customFormat="1"/>
    <x:row r="311" spans="1:7" s="3" customFormat="1"/>
    <x:row r="312" spans="1:7" s="1" customFormat="1"/>
    <x:row r="313" spans="1:7" s="4" customFormat="1"/>
    <x:row r="314" spans="1:7" s="3" customFormat="1"/>
    <x:row r="315" spans="1:7" s="1" customFormat="1"/>
    <x:row r="316" spans="1:7" s="4" customFormat="1"/>
    <x:row r="317" spans="1:7" s="3" customFormat="1"/>
    <x:row r="318" spans="1:7" s="1" customFormat="1"/>
    <x:row r="319" spans="1:7" s="4" customFormat="1"/>
    <x:row r="320" spans="1:7" s="3" customFormat="1"/>
    <x:row r="321" spans="1:7" s="1" customFormat="1"/>
    <x:row r="322" spans="1:7" s="4" customFormat="1"/>
    <x:row r="323" spans="1:7" s="3" customFormat="1"/>
    <x:row r="324" spans="1:7" s="1" customFormat="1"/>
    <x:row r="325" spans="1:7" s="4" customFormat="1"/>
    <x:row r="326" spans="1:7" s="3" customFormat="1"/>
    <x:row r="327" spans="1:7" s="1" customFormat="1"/>
    <x:row r="328" spans="1:7" s="4" customFormat="1"/>
    <x:row r="329" spans="1:7" s="3" customFormat="1"/>
    <x:row r="330" spans="1:7" s="1" customFormat="1"/>
    <x:row r="331" spans="1:7" s="4" customFormat="1"/>
    <x:row r="332" spans="1:7" s="3" customFormat="1"/>
    <x:row r="333" spans="1:7" s="1" customFormat="1"/>
    <x:row r="334" spans="1:7" s="4" customFormat="1"/>
    <x:row r="335" spans="1:7" s="3" customFormat="1"/>
    <x:row r="336" spans="1:7" s="1" customFormat="1"/>
    <x:row r="337" spans="1:7" s="4" customFormat="1"/>
    <x:row r="338" spans="1:7" s="3" customFormat="1"/>
    <x:row r="339" spans="1:7" s="1" customFormat="1"/>
    <x:row r="340" spans="1:7" s="4" customFormat="1"/>
    <x:row r="341" spans="1:7" s="3" customFormat="1"/>
    <x:row r="342" spans="1:7" s="1" customFormat="1"/>
    <x:row r="343" spans="1:7" s="4" customFormat="1"/>
    <x:row r="344" spans="1:7" s="3" customFormat="1"/>
    <x:row r="345" spans="1:7" s="1" customFormat="1"/>
    <x:row r="346" spans="1:7" s="4" customFormat="1"/>
    <x:row r="347" spans="1:7" s="3" customFormat="1"/>
    <x:row r="348" spans="1:7" s="1" customFormat="1"/>
    <x:row r="349" spans="1:7" s="4" customFormat="1"/>
    <x:row r="350" spans="1:7" s="3" customFormat="1"/>
    <x:row r="351" spans="1:7" s="1" customFormat="1"/>
    <x:row r="352" spans="1:7" s="4" customFormat="1"/>
    <x:row r="353" spans="1:7" s="3" customFormat="1"/>
    <x:row r="354" spans="1:7" s="1" customFormat="1"/>
    <x:row r="355" spans="1:7" s="4" customFormat="1"/>
    <x:row r="356" spans="1:7" s="3" customFormat="1"/>
    <x:row r="357" spans="1:7" s="1" customFormat="1"/>
    <x:row r="358" spans="1:7" s="4" customFormat="1"/>
    <x:row r="359" spans="1:7" s="3" customFormat="1"/>
    <x:row r="360" spans="1:7" s="1" customFormat="1"/>
    <x:row r="361" spans="1:7" s="4" customFormat="1"/>
    <x:row r="362" spans="1:7" s="3" customFormat="1"/>
    <x:row r="363" spans="1:7" s="1" customFormat="1"/>
    <x:row r="364" spans="1:7" s="4" customFormat="1"/>
    <x:row r="365" spans="1:7" s="3" customFormat="1"/>
    <x:row r="366" spans="1:7" s="1" customFormat="1"/>
    <x:row r="367" spans="1:7" s="4" customFormat="1"/>
    <x:row r="368" spans="1:7" s="3" customFormat="1"/>
    <x:row r="369" spans="1:7" s="1" customFormat="1"/>
    <x:row r="370" spans="1:7" s="4" customFormat="1"/>
    <x:row r="371" spans="1:7" s="3" customFormat="1"/>
    <x:row r="372" spans="1:7" s="1" customFormat="1"/>
    <x:row r="373" spans="1:7" s="4" customFormat="1"/>
    <x:row r="374" spans="1:7" s="3" customFormat="1"/>
    <x:row r="375" spans="1:7" s="1" customFormat="1"/>
    <x:row r="376" spans="1:7" s="4" customFormat="1"/>
    <x:row r="377" spans="1:7" s="3" customFormat="1"/>
    <x:row r="378" spans="1:7" s="1" customFormat="1"/>
    <x:row r="379" spans="1:7" s="4" customFormat="1"/>
    <x:row r="380" spans="1:7" s="3" customFormat="1"/>
    <x:row r="381" spans="1:7" s="1" customFormat="1"/>
    <x:row r="382" spans="1:7" s="4" customFormat="1"/>
    <x:row r="383" spans="1:7" s="3" customFormat="1"/>
    <x:row r="384" spans="1:7" s="1" customFormat="1"/>
    <x:row r="385" spans="1:7" s="4" customFormat="1"/>
    <x:row r="386" spans="1:7" s="3" customFormat="1"/>
    <x:row r="387" spans="1:7" s="1" customFormat="1"/>
    <x:row r="388" spans="1:7" s="4" customFormat="1"/>
    <x:row r="389" spans="1:7" s="3" customFormat="1"/>
    <x:row r="390" spans="1:7" s="1" customFormat="1"/>
    <x:row r="391" spans="1:7" s="4" customFormat="1"/>
    <x:row r="392" spans="1:7" s="3" customFormat="1"/>
    <x:row r="393" spans="1:7" s="1" customFormat="1"/>
    <x:row r="394" spans="1:7" s="4" customFormat="1"/>
    <x:row r="395" spans="1:7" s="3" customFormat="1"/>
    <x:row r="396" spans="1:7" s="1" customFormat="1"/>
    <x:row r="397" spans="1:7" s="4" customFormat="1"/>
    <x:row r="398" spans="1:7" s="3" customFormat="1"/>
    <x:row r="399" spans="1:7" s="1" customFormat="1"/>
    <x:row r="400" spans="1:7" s="4" customFormat="1"/>
    <x:row r="401" spans="1:7" s="3" customFormat="1"/>
    <x:row r="402" spans="1:7" s="1" customFormat="1"/>
    <x:row r="403" spans="1:7" s="4" customFormat="1"/>
    <x:row r="404" spans="1:7" s="3" customFormat="1"/>
    <x:row r="405" spans="1:7" s="1" customFormat="1"/>
    <x:row r="406" spans="1:7" s="4" customFormat="1"/>
    <x:row r="407" spans="1:7" s="3" customFormat="1"/>
    <x:row r="408" spans="1:7" s="1" customFormat="1"/>
    <x:row r="409" spans="1:7" s="4" customFormat="1"/>
    <x:row r="410" spans="1:7" s="3" customFormat="1"/>
    <x:row r="411" spans="1:7" s="1" customFormat="1"/>
    <x:row r="412" spans="1:7" s="4" customFormat="1"/>
    <x:row r="413" spans="1:7" s="3" customFormat="1"/>
    <x:row r="414" spans="1:7" s="1" customFormat="1"/>
    <x:row r="415" spans="1:7" s="4" customFormat="1"/>
    <x:row r="416" spans="1:7" s="3" customFormat="1"/>
    <x:row r="417" spans="1:7" s="1" customFormat="1"/>
    <x:row r="418" spans="1:7" s="4" customFormat="1"/>
    <x:row r="419" spans="1:7" s="3" customFormat="1"/>
    <x:row r="420" spans="1:7" s="1" customFormat="1"/>
    <x:row r="421" spans="1:7" s="4" customFormat="1"/>
    <x:row r="422" spans="1:7" s="3" customFormat="1"/>
    <x:row r="423" spans="1:7" s="1" customFormat="1"/>
    <x:row r="424" spans="1:7" s="4" customFormat="1"/>
    <x:row r="425" spans="1:7" s="3" customFormat="1"/>
    <x:row r="426" spans="1:7" s="1" customFormat="1"/>
    <x:row r="427" spans="1:7" s="4" customFormat="1"/>
    <x:row r="428" spans="1:7" s="3" customFormat="1"/>
    <x:row r="429" spans="1:7" s="1" customFormat="1"/>
    <x:row r="430" spans="1:7" s="4" customFormat="1"/>
    <x:row r="431" spans="1:7" s="3" customFormat="1"/>
    <x:row r="432" spans="1:7" s="1" customFormat="1"/>
    <x:row r="433" spans="1:7" s="4" customFormat="1"/>
    <x:row r="434" spans="1:7" s="3" customFormat="1"/>
    <x:row r="435" spans="1:7" s="1" customFormat="1"/>
    <x:row r="436" spans="1:7" s="4" customFormat="1"/>
    <x:row r="437" spans="1:7" s="3" customFormat="1"/>
    <x:row r="438" spans="1:7" s="1" customFormat="1"/>
    <x:row r="439" spans="1:7" s="4" customFormat="1"/>
    <x:row r="440" spans="1:7" s="3" customFormat="1"/>
    <x:row r="441" spans="1:7" s="1" customFormat="1"/>
    <x:row r="442" spans="1:7" s="4" customFormat="1"/>
    <x:row r="443" spans="1:7" s="3" customFormat="1"/>
    <x:row r="444" spans="1:7" s="1" customFormat="1"/>
    <x:row r="445" spans="1:7" s="4" customFormat="1"/>
    <x:row r="446" spans="1:7" s="3" customFormat="1"/>
    <x:row r="447" spans="1:7" s="1" customFormat="1"/>
    <x:row r="448" spans="1:7" s="4" customFormat="1"/>
    <x:row r="449" spans="1:7" s="3" customFormat="1"/>
    <x:row r="450" spans="1:7" s="1" customFormat="1"/>
    <x:row r="451" spans="1:7" s="4" customFormat="1"/>
    <x:row r="452" spans="1:7" s="3" customFormat="1"/>
    <x:row r="453" spans="1:7" s="1" customFormat="1"/>
    <x:row r="454" spans="1:7" s="4" customFormat="1"/>
    <x:row r="455" spans="1:7" s="3" customFormat="1"/>
    <x:row r="456" spans="1:7" s="1" customFormat="1"/>
    <x:row r="457" spans="1:7" s="4" customFormat="1"/>
    <x:row r="458" spans="1:7" s="3" customFormat="1"/>
    <x:row r="459" spans="1:7" s="1" customFormat="1"/>
    <x:row r="460" spans="1:7" s="4" customFormat="1"/>
    <x:row r="461" spans="1:7" s="3" customFormat="1"/>
    <x:row r="462" spans="1:7" s="1" customFormat="1"/>
    <x:row r="463" spans="1:7" s="4" customFormat="1"/>
    <x:row r="464" spans="1:7" s="3" customFormat="1"/>
    <x:row r="465" spans="1:7" s="1" customFormat="1"/>
    <x:row r="466" spans="1:7" s="4" customFormat="1"/>
    <x:row r="467" spans="1:7" s="3" customFormat="1"/>
    <x:row r="468" spans="1:7" s="1" customFormat="1"/>
    <x:row r="469" spans="1:7" s="4" customFormat="1"/>
    <x:row r="470" spans="1:7" s="3" customFormat="1"/>
    <x:row r="471" spans="1:7" s="1" customFormat="1"/>
    <x:row r="472" spans="1:7" s="4" customFormat="1"/>
    <x:row r="473" spans="1:7" s="3" customFormat="1"/>
    <x:row r="474" spans="1:7" s="1" customFormat="1"/>
    <x:row r="475" spans="1:7" s="4" customFormat="1"/>
    <x:row r="476" spans="1:7" s="3" customFormat="1"/>
    <x:row r="477" spans="1:7" s="1" customFormat="1"/>
    <x:row r="478" spans="1:7" s="4" customFormat="1"/>
    <x:row r="479" spans="1:7" s="3" customFormat="1"/>
    <x:row r="480" spans="1:7" s="1" customFormat="1"/>
    <x:row r="481" spans="1:7" s="4" customFormat="1"/>
    <x:row r="482" spans="1:7" s="3" customFormat="1"/>
    <x:row r="483" spans="1:7" s="1" customFormat="1"/>
    <x:row r="484" spans="1:7" s="4" customFormat="1"/>
    <x:row r="485" spans="1:7" s="3" customFormat="1"/>
    <x:row r="486" spans="1:7" s="1" customFormat="1"/>
    <x:row r="487" spans="1:7" s="4" customFormat="1"/>
    <x:row r="488" spans="1:7" s="3" customFormat="1"/>
    <x:row r="489" spans="1:7" s="1" customFormat="1"/>
    <x:row r="490" spans="1:7" s="4" customFormat="1"/>
    <x:row r="491" spans="1:7" s="3" customFormat="1"/>
    <x:row r="492" spans="1:7" s="1" customFormat="1"/>
    <x:row r="493" spans="1:7" s="4" customFormat="1"/>
    <x:row r="494" spans="1:7" s="3" customFormat="1"/>
    <x:row r="495" spans="1:7" s="1" customFormat="1"/>
    <x:row r="496" spans="1:7" s="4" customFormat="1"/>
    <x:row r="497" spans="1:7" s="3" customFormat="1"/>
    <x:row r="498" spans="1:7" s="1" customFormat="1"/>
    <x:row r="499" spans="1:7" s="4" customFormat="1"/>
    <x:row r="500" spans="1:7" s="3" customFormat="1"/>
    <x:row r="501" spans="1:7" s="1" customFormat="1"/>
    <x:row r="502" spans="1:7" s="4" customFormat="1"/>
    <x:row r="503" spans="1:7" s="3" customFormat="1"/>
    <x:row r="504" spans="1:7" s="1" customFormat="1"/>
    <x:row r="505" spans="1:7" s="4" customFormat="1"/>
    <x:row r="506" spans="1:7" s="3" customFormat="1"/>
    <x:row r="507" spans="1:7" s="1" customFormat="1"/>
    <x:row r="508" spans="1:7" s="4" customFormat="1"/>
    <x:row r="509" spans="1:7" s="3" customFormat="1"/>
    <x:row r="510" spans="1:7" s="1" customFormat="1"/>
    <x:row r="511" spans="1:7" s="4" customFormat="1"/>
    <x:row r="512" spans="1:7" s="3" customFormat="1"/>
    <x:row r="513" spans="1:7" s="1" customFormat="1"/>
    <x:row r="514" spans="1:7" s="4" customFormat="1"/>
    <x:row r="515" spans="1:7" s="3" customFormat="1"/>
    <x:row r="516" spans="1:7" s="1" customFormat="1"/>
    <x:row r="517" spans="1:7" s="4" customFormat="1"/>
    <x:row r="518" spans="1:7" s="3" customFormat="1"/>
    <x:row r="519" spans="1:7" s="1" customFormat="1"/>
    <x:row r="520" spans="1:7" s="4" customFormat="1"/>
    <x:row r="521" spans="1:7" s="3" customFormat="1"/>
    <x:row r="522" spans="1:7" s="1" customFormat="1"/>
    <x:row r="523" spans="1:7" s="4" customFormat="1"/>
    <x:row r="524" spans="1:7" s="3" customFormat="1"/>
    <x:row r="525" spans="1:7" s="1" customFormat="1"/>
    <x:row r="526" spans="1:7" s="4" customFormat="1"/>
    <x:row r="527" spans="1:7" s="3" customFormat="1"/>
    <x:row r="528" spans="1:7" s="1" customFormat="1"/>
    <x:row r="529" spans="1:7" s="4" customFormat="1"/>
    <x:row r="530" spans="1:7" s="3" customFormat="1"/>
    <x:row r="531" spans="1:7" s="1" customFormat="1"/>
    <x:row r="532" spans="1:7" s="4" customFormat="1"/>
    <x:row r="533" spans="1:7" s="3" customFormat="1"/>
    <x:row r="534" spans="1:7" s="1" customFormat="1"/>
    <x:row r="535" spans="1:7" s="4" customFormat="1"/>
    <x:row r="536" spans="1:7" s="3" customFormat="1"/>
    <x:row r="537" spans="1:7" s="1" customFormat="1"/>
    <x:row r="538" spans="1:7" s="4" customFormat="1"/>
    <x:row r="539" spans="1:7" s="3" customFormat="1"/>
    <x:row r="540" spans="1:7" s="1" customFormat="1"/>
    <x:row r="541" spans="1:7" s="4" customFormat="1"/>
    <x:row r="542" spans="1:7" s="3" customFormat="1"/>
    <x:row r="543" spans="1:7" s="1" customFormat="1"/>
    <x:row r="544" spans="1:7" s="4" customFormat="1"/>
    <x:row r="545" spans="1:7" s="3" customFormat="1"/>
    <x:row r="546" spans="1:7" s="1" customFormat="1"/>
    <x:row r="547" spans="1:7" s="4" customFormat="1"/>
    <x:row r="548" spans="1:7" s="3" customFormat="1"/>
    <x:row r="549" spans="1:7" s="1" customFormat="1"/>
    <x:row r="550" spans="1:7" s="4" customFormat="1"/>
    <x:row r="551" spans="1:7" s="3" customFormat="1"/>
    <x:row r="552" spans="1:7" s="1" customFormat="1"/>
    <x:row r="553" spans="1:7" s="4" customFormat="1"/>
    <x:row r="554" spans="1:7" s="3" customFormat="1"/>
    <x:row r="555" spans="1:7" s="1" customFormat="1"/>
    <x:row r="556" spans="1:7" s="4" customFormat="1"/>
    <x:row r="557" spans="1:7" s="3" customFormat="1"/>
    <x:row r="558" spans="1:7" s="1" customFormat="1"/>
    <x:row r="559" spans="1:7" s="4" customFormat="1"/>
    <x:row r="560" spans="1:7" s="3" customFormat="1"/>
    <x:row r="561" spans="1:7" s="1" customFormat="1"/>
    <x:row r="562" spans="1:7" s="4" customFormat="1"/>
    <x:row r="563" spans="1:7" s="3" customFormat="1"/>
    <x:row r="564" spans="1:7" s="1" customFormat="1"/>
    <x:row r="565" spans="1:7" s="4" customFormat="1"/>
    <x:row r="566" spans="1:7" s="3" customFormat="1"/>
    <x:row r="567" spans="1:7" s="1" customFormat="1"/>
    <x:row r="568" spans="1:7" s="4" customFormat="1"/>
    <x:row r="569" spans="1:7" s="3" customFormat="1"/>
    <x:row r="570" spans="1:7" s="1" customFormat="1"/>
    <x:row r="571" spans="1:7" s="4" customFormat="1"/>
    <x:row r="572" spans="1:7" s="3" customFormat="1"/>
    <x:row r="573" spans="1:7" s="1" customFormat="1"/>
    <x:row r="574" spans="1:7" s="4" customFormat="1"/>
    <x:row r="575" spans="1:7" s="3" customFormat="1"/>
    <x:row r="576" spans="1:7" s="1" customFormat="1"/>
    <x:row r="577" spans="1:7" s="4" customFormat="1"/>
    <x:row r="578" spans="1:7" s="3" customFormat="1"/>
    <x:row r="579" spans="1:7" s="1" customFormat="1"/>
    <x:row r="580" spans="1:7" s="4" customFormat="1"/>
    <x:row r="581" spans="1:7" s="3" customFormat="1"/>
    <x:row r="582" spans="1:7" s="1" customFormat="1"/>
    <x:row r="583" spans="1:7" s="4" customFormat="1"/>
    <x:row r="584" spans="1:7" s="3" customFormat="1"/>
    <x:row r="585" spans="1:7" s="1" customFormat="1"/>
    <x:row r="586" spans="1:7" s="4" customFormat="1"/>
    <x:row r="587" spans="1:7" s="3" customFormat="1"/>
    <x:row r="588" spans="1:7" s="1" customFormat="1"/>
    <x:row r="589" spans="1:7" s="4" customFormat="1"/>
    <x:row r="590" spans="1:7" s="3" customFormat="1"/>
    <x:row r="591" spans="1:7" s="1" customFormat="1"/>
    <x:row r="592" spans="1:7" s="4" customFormat="1"/>
    <x:row r="593" spans="1:7" s="3" customFormat="1"/>
    <x:row r="594" spans="1:7" s="1" customFormat="1"/>
    <x:row r="595" spans="1:7" s="4" customFormat="1"/>
    <x:row r="596" spans="1:7" s="3" customFormat="1"/>
    <x:row r="597" spans="1:7" s="1" customFormat="1"/>
    <x:row r="598" spans="1:7" s="4" customFormat="1"/>
    <x:row r="599" spans="1:7" s="3" customFormat="1"/>
    <x:row r="600" spans="1:7" s="1" customFormat="1"/>
    <x:row r="601" spans="1:7" s="4" customFormat="1"/>
    <x:row r="602" spans="1:7" s="3" customFormat="1"/>
    <x:row r="603" spans="1:7" s="1" customFormat="1"/>
    <x:row r="604" spans="1:7" s="4" customFormat="1"/>
    <x:row r="605" spans="1:7" s="3" customFormat="1"/>
    <x:row r="606" spans="1:7" s="1" customFormat="1"/>
    <x:row r="607" spans="1:7" s="4" customFormat="1"/>
    <x:row r="608" spans="1:7" s="3" customFormat="1"/>
    <x:row r="609" spans="1:7" s="1" customFormat="1"/>
    <x:row r="610" spans="1:7" s="4" customFormat="1"/>
    <x:row r="611" spans="1:7" s="3" customFormat="1"/>
    <x:row r="612" spans="1:7" s="1" customFormat="1"/>
    <x:row r="613" spans="1:7" s="4" customFormat="1"/>
    <x:row r="614" spans="1:7" s="3" customFormat="1"/>
    <x:row r="615" spans="1:7" s="1" customFormat="1"/>
    <x:row r="616" spans="1:7" s="4" customFormat="1"/>
    <x:row r="617" spans="1:7" s="3" customFormat="1"/>
    <x:row r="618" spans="1:7" s="1" customFormat="1"/>
    <x:row r="619" spans="1:7" s="4" customFormat="1"/>
    <x:row r="620" spans="1:7" s="3" customFormat="1"/>
    <x:row r="621" spans="1:7" s="1" customFormat="1"/>
    <x:row r="622" spans="1:7" s="4" customFormat="1"/>
    <x:row r="623" spans="1:7" s="3" customFormat="1"/>
    <x:row r="624" spans="1:7" s="1" customFormat="1"/>
    <x:row r="625" spans="1:7" s="4" customFormat="1"/>
    <x:row r="626" spans="1:7" s="3" customFormat="1"/>
    <x:row r="627" spans="1:7" s="1" customFormat="1"/>
    <x:row r="628" spans="1:7" s="4" customFormat="1"/>
    <x:row r="629" spans="1:7" s="3" customFormat="1"/>
    <x:row r="630" spans="1:7" s="1" customFormat="1"/>
    <x:row r="631" spans="1:7" s="4" customFormat="1"/>
    <x:row r="632" spans="1:7" s="3" customFormat="1"/>
    <x:row r="633" spans="1:7" s="1" customFormat="1"/>
    <x:row r="634" spans="1:7" s="4" customFormat="1"/>
    <x:row r="635" spans="1:7" s="3" customFormat="1"/>
    <x:row r="636" spans="1:7" s="1" customFormat="1"/>
    <x:row r="637" spans="1:7" s="4" customFormat="1"/>
    <x:row r="638" spans="1:7" s="3" customFormat="1"/>
    <x:row r="639" spans="1:7" s="1" customFormat="1"/>
    <x:row r="640" spans="1:7" s="4" customFormat="1"/>
    <x:row r="641" spans="1:7" s="3" customFormat="1"/>
    <x:row r="642" spans="1:7" s="1" customFormat="1"/>
    <x:row r="643" spans="1:7" s="4" customFormat="1"/>
    <x:row r="644" spans="1:7" s="3" customFormat="1"/>
    <x:row r="645" spans="1:7" s="1" customFormat="1"/>
    <x:row r="646" spans="1:7" s="4" customFormat="1"/>
    <x:row r="647" spans="1:7" s="3" customFormat="1"/>
    <x:row r="648" spans="1:7" s="1" customFormat="1"/>
    <x:row r="649" spans="1:7" s="4" customFormat="1"/>
    <x:row r="650" spans="1:7" s="3" customFormat="1"/>
    <x:row r="651" spans="1:7" s="1" customFormat="1"/>
    <x:row r="652" spans="1:7" s="4" customFormat="1"/>
    <x:row r="653" spans="1:7" s="3" customFormat="1"/>
    <x:row r="654" spans="1:7" s="1" customFormat="1"/>
    <x:row r="655" spans="1:7" s="4" customFormat="1"/>
    <x:row r="656" spans="1:7" s="3" customFormat="1"/>
    <x:row r="657" spans="1:7" s="1" customFormat="1"/>
    <x:row r="658" spans="1:7" s="4" customFormat="1"/>
    <x:row r="659" spans="1:7" s="3" customFormat="1"/>
    <x:row r="660" spans="1:7" s="1" customFormat="1"/>
    <x:row r="661" spans="1:7" s="4" customFormat="1"/>
    <x:row r="662" spans="1:7" s="3" customFormat="1"/>
    <x:row r="663" spans="1:7" s="1" customFormat="1"/>
    <x:row r="664" spans="1:7" s="4" customFormat="1"/>
    <x:row r="665" spans="1:7" s="3" customFormat="1"/>
    <x:row r="666" spans="1:7" s="1" customFormat="1"/>
    <x:row r="667" spans="1:7" s="4" customFormat="1"/>
    <x:row r="668" spans="1:7" s="3" customFormat="1"/>
    <x:row r="669" spans="1:7" s="1" customFormat="1"/>
    <x:row r="670" spans="1:7" s="4" customFormat="1"/>
    <x:row r="671" spans="1:7" s="3" customFormat="1"/>
    <x:row r="672" spans="1:7" s="1" customFormat="1"/>
    <x:row r="673" spans="1:7" s="4" customFormat="1"/>
    <x:row r="674" spans="1:7" s="3" customFormat="1"/>
    <x:row r="675" spans="1:7" s="1" customFormat="1"/>
    <x:row r="676" spans="1:7" s="4" customFormat="1"/>
    <x:row r="677" spans="1:7" s="3" customFormat="1"/>
    <x:row r="678" spans="1:7" s="1" customFormat="1"/>
    <x:row r="679" spans="1:7" s="4" customFormat="1"/>
    <x:row r="680" spans="1:7" s="3" customFormat="1"/>
    <x:row r="681" spans="1:7" s="1" customFormat="1"/>
    <x:row r="682" spans="1:7" s="4" customFormat="1"/>
    <x:row r="683" spans="1:7" s="3" customFormat="1"/>
    <x:row r="684" spans="1:7" s="1" customFormat="1"/>
    <x:row r="685" spans="1:7" s="4" customFormat="1"/>
    <x:row r="686" spans="1:7" s="3" customFormat="1"/>
    <x:row r="687" spans="1:7" s="1" customFormat="1"/>
    <x:row r="688" spans="1:7" s="4" customFormat="1"/>
    <x:row r="689" spans="1:7" s="3" customFormat="1"/>
    <x:row r="690" spans="1:7" s="1" customFormat="1"/>
    <x:row r="691" spans="1:7" s="4" customFormat="1"/>
    <x:row r="692" spans="1:7" s="3" customFormat="1"/>
    <x:row r="693" spans="1:7" s="1" customFormat="1"/>
    <x:row r="694" spans="1:7" s="4" customFormat="1"/>
    <x:row r="695" spans="1:7" s="3" customFormat="1"/>
    <x:row r="696" spans="1:7" s="1" customFormat="1"/>
    <x:row r="697" spans="1:7" s="4" customFormat="1"/>
    <x:row r="698" spans="1:7" s="3" customFormat="1"/>
    <x:row r="699" spans="1:7" s="1" customFormat="1"/>
    <x:row r="700" spans="1:7" s="4" customFormat="1"/>
    <x:row r="701" spans="1:7" s="3" customFormat="1"/>
    <x:row r="702" spans="1:7" s="1" customFormat="1"/>
    <x:row r="703" spans="1:7" s="4" customFormat="1"/>
    <x:row r="704" spans="1:7" s="3" customFormat="1"/>
    <x:row r="705" spans="1:7" s="1" customFormat="1"/>
    <x:row r="706" spans="1:7" s="4" customFormat="1"/>
    <x:row r="707" spans="1:7" s="3" customFormat="1"/>
    <x:row r="708" spans="1:7" s="1" customFormat="1"/>
    <x:row r="709" spans="1:7" s="4" customFormat="1"/>
    <x:row r="710" spans="1:7" s="3" customFormat="1"/>
    <x:row r="711" spans="1:7" s="1" customFormat="1"/>
    <x:row r="712" spans="1:7" s="4" customFormat="1"/>
    <x:row r="713" spans="1:7" s="3" customFormat="1"/>
    <x:row r="714" spans="1:7" s="1" customFormat="1"/>
    <x:row r="715" spans="1:7" s="4" customFormat="1"/>
    <x:row r="716" spans="1:7" s="3" customFormat="1"/>
    <x:row r="717" spans="1:7" s="1" customFormat="1"/>
    <x:row r="718" spans="1:7" s="4" customFormat="1"/>
    <x:row r="719" spans="1:7" s="3" customFormat="1"/>
    <x:row r="720" spans="1:7" s="1" customFormat="1"/>
    <x:row r="721" spans="1:7" s="4" customFormat="1"/>
    <x:row r="722" spans="1:7" s="3" customFormat="1"/>
    <x:row r="723" spans="1:7" s="1" customFormat="1"/>
    <x:row r="724" spans="1:7" s="4" customFormat="1"/>
    <x:row r="725" spans="1:7" s="3" customFormat="1"/>
    <x:row r="726" spans="1:7" s="1" customFormat="1"/>
    <x:row r="727" spans="1:7" s="4" customFormat="1"/>
    <x:row r="728" spans="1:7" s="3" customFormat="1"/>
    <x:row r="729" spans="1:7" s="1" customFormat="1"/>
    <x:row r="730" spans="1:7" s="4" customFormat="1"/>
    <x:row r="731" spans="1:7" s="3" customFormat="1"/>
    <x:row r="732" spans="1:7" s="1" customFormat="1"/>
    <x:row r="733" spans="1:7" s="4" customFormat="1"/>
    <x:row r="734" spans="1:7" s="3" customFormat="1"/>
    <x:row r="735" spans="1:7" s="1" customFormat="1"/>
    <x:row r="736" spans="1:7" s="4" customFormat="1"/>
    <x:row r="737" spans="1:7" s="3" customFormat="1"/>
    <x:row r="738" spans="1:7" s="1" customFormat="1"/>
    <x:row r="739" spans="1:7" s="4" customFormat="1"/>
    <x:row r="740" spans="1:7" s="3" customFormat="1"/>
    <x:row r="741" spans="1:7" s="1" customFormat="1"/>
    <x:row r="742" spans="1:7" s="4" customFormat="1"/>
    <x:row r="743" spans="1:7" s="3" customFormat="1"/>
    <x:row r="744" spans="1:7" s="1" customFormat="1"/>
    <x:row r="745" spans="1:7" s="4" customFormat="1"/>
    <x:row r="746" spans="1:7" s="3" customFormat="1"/>
    <x:row r="747" spans="1:7" s="1" customFormat="1"/>
    <x:row r="748" spans="1:7" s="4" customFormat="1"/>
    <x:row r="749" spans="1:7" s="3" customFormat="1"/>
    <x:row r="750" spans="1:7" s="1" customFormat="1"/>
    <x:row r="751" spans="1:7" s="4" customFormat="1"/>
    <x:row r="752" spans="1:7" s="3" customFormat="1"/>
    <x:row r="753" spans="1:7" s="1" customFormat="1"/>
    <x:row r="754" spans="1:7" s="4" customFormat="1"/>
    <x:row r="755" spans="1:7" s="3" customFormat="1"/>
    <x:row r="756" spans="1:7" s="1" customFormat="1"/>
    <x:row r="757" spans="1:7" s="4" customFormat="1"/>
    <x:row r="758" spans="1:7" s="3" customFormat="1"/>
    <x:row r="759" spans="1:7" s="1" customFormat="1"/>
    <x:row r="760" spans="1:7" s="4" customFormat="1"/>
    <x:row r="761" spans="1:7" s="3" customFormat="1"/>
    <x:row r="762" spans="1:7" s="1" customFormat="1"/>
    <x:row r="763" spans="1:7" s="4" customFormat="1"/>
    <x:row r="764" spans="1:7" s="3" customFormat="1"/>
    <x:row r="765" spans="1:7" s="1" customFormat="1"/>
    <x:row r="766" spans="1:7" s="4" customFormat="1"/>
    <x:row r="767" spans="1:7" s="3" customFormat="1"/>
    <x:row r="768" spans="1:7" s="1" customFormat="1"/>
    <x:row r="769" spans="1:7" s="4" customFormat="1"/>
    <x:row r="770" spans="1:7" s="3" customFormat="1"/>
    <x:row r="771" spans="1:7" s="1" customFormat="1"/>
    <x:row r="772" spans="1:7" s="4" customFormat="1"/>
    <x:row r="773" spans="1:7" s="3" customFormat="1"/>
    <x:row r="774" spans="1:7" s="1" customFormat="1"/>
    <x:row r="775" spans="1:7" s="4" customFormat="1"/>
    <x:row r="776" spans="1:7" s="3" customFormat="1"/>
    <x:row r="777" spans="1:7" s="1" customFormat="1"/>
    <x:row r="778" spans="1:7" s="4" customFormat="1"/>
    <x:row r="779" spans="1:7" s="3" customFormat="1"/>
    <x:row r="780" spans="1:7" s="1" customFormat="1"/>
    <x:row r="781" spans="1:7" s="4" customFormat="1"/>
    <x:row r="782" spans="1:7" s="3" customFormat="1"/>
    <x:row r="783" spans="1:7" s="1" customFormat="1"/>
    <x:row r="784" spans="1:7" s="4" customFormat="1"/>
    <x:row r="785" spans="1:7" s="3" customFormat="1"/>
    <x:row r="786" spans="1:7" s="1" customFormat="1"/>
    <x:row r="787" spans="1:7" s="4" customFormat="1"/>
    <x:row r="788" spans="1:7" s="3" customFormat="1"/>
    <x:row r="789" spans="1:7" s="1" customFormat="1"/>
    <x:row r="790" spans="1:7" s="4" customFormat="1"/>
    <x:row r="791" spans="1:7" s="3" customFormat="1"/>
    <x:row r="792" spans="1:7" s="1" customFormat="1"/>
    <x:row r="793" spans="1:7" s="4" customFormat="1"/>
    <x:row r="794" spans="1:7" s="3" customFormat="1"/>
    <x:row r="795" spans="1:7" s="1" customFormat="1"/>
    <x:row r="796" spans="1:7" s="4" customFormat="1"/>
    <x:row r="797" spans="1:7" s="3" customFormat="1"/>
    <x:row r="798" spans="1:7" s="1" customFormat="1"/>
    <x:row r="799" spans="1:7" s="4" customFormat="1"/>
    <x:row r="800" spans="1:7" s="3" customFormat="1"/>
    <x:row r="801" spans="1:7" s="1" customFormat="1"/>
    <x:row r="802" spans="1:7" s="4" customFormat="1"/>
    <x:row r="803" spans="1:7" s="3" customFormat="1"/>
    <x:row r="804" spans="1:7" s="1" customFormat="1"/>
    <x:row r="805" spans="1:7" s="4" customFormat="1"/>
    <x:row r="806" spans="1:7" s="3" customFormat="1"/>
    <x:row r="807" spans="1:7" s="1" customFormat="1"/>
    <x:row r="808" spans="1:7" s="4" customFormat="1"/>
    <x:row r="809" spans="1:7" s="3" customFormat="1"/>
    <x:row r="810" spans="1:7" s="1" customFormat="1"/>
    <x:row r="811" spans="1:7" s="4" customFormat="1"/>
    <x:row r="812" spans="1:7" s="3" customFormat="1"/>
    <x:row r="813" spans="1:7" s="1" customFormat="1"/>
    <x:row r="814" spans="1:7" s="4" customFormat="1"/>
    <x:row r="815" spans="1:7" s="3" customFormat="1"/>
    <x:row r="816" spans="1:7" s="1" customFormat="1"/>
    <x:row r="817" spans="1:7" s="4" customFormat="1"/>
    <x:row r="818" spans="1:7" s="3" customFormat="1"/>
    <x:row r="819" spans="1:7" s="1" customFormat="1"/>
    <x:row r="820" spans="1:7" s="4" customFormat="1"/>
    <x:row r="821" spans="1:7" s="3" customFormat="1"/>
    <x:row r="822" spans="1:7" s="1" customFormat="1"/>
    <x:row r="823" spans="1:7" s="4" customFormat="1"/>
    <x:row r="824" spans="1:7" s="3" customFormat="1"/>
    <x:row r="825" spans="1:7" s="1" customFormat="1"/>
    <x:row r="826" spans="1:7" s="4" customFormat="1"/>
    <x:row r="827" spans="1:7" s="3" customFormat="1"/>
    <x:row r="828" spans="1:7" s="1" customFormat="1"/>
    <x:row r="829" spans="1:7" s="4" customFormat="1"/>
    <x:row r="830" spans="1:7" s="3" customFormat="1"/>
    <x:row r="831" spans="1:7" s="1" customFormat="1"/>
    <x:row r="832" spans="1:7" s="4" customFormat="1"/>
    <x:row r="833" spans="1:7" s="3" customFormat="1"/>
    <x:row r="834" spans="1:7" s="1" customFormat="1"/>
    <x:row r="835" spans="1:7" s="4" customFormat="1"/>
    <x:row r="836" spans="1:7" s="3" customFormat="1"/>
    <x:row r="837" spans="1:7" s="1" customFormat="1"/>
    <x:row r="838" spans="1:7" s="4" customFormat="1"/>
    <x:row r="839" spans="1:7" s="3" customFormat="1"/>
    <x:row r="840" spans="1:7" s="1" customFormat="1"/>
    <x:row r="841" spans="1:7" s="4" customFormat="1"/>
    <x:row r="842" spans="1:7" s="3" customFormat="1"/>
    <x:row r="843" spans="1:7" s="1" customFormat="1"/>
    <x:row r="844" spans="1:7" s="4" customFormat="1"/>
    <x:row r="845" spans="1:7" s="3" customFormat="1"/>
    <x:row r="846" spans="1:7" s="1" customFormat="1"/>
    <x:row r="847" spans="1:7" s="4" customFormat="1"/>
    <x:row r="848" spans="1:7" s="3" customFormat="1"/>
    <x:row r="849" spans="1:7" s="1" customFormat="1"/>
    <x:row r="850" spans="1:7" s="4" customFormat="1"/>
    <x:row r="851" spans="1:7" s="3" customFormat="1"/>
    <x:row r="852" spans="1:7" s="1" customFormat="1"/>
    <x:row r="853" spans="1:7" s="4" customFormat="1"/>
    <x:row r="854" spans="1:7" s="3" customFormat="1"/>
    <x:row r="855" spans="1:7" s="1" customFormat="1"/>
    <x:row r="856" spans="1:7" s="4" customFormat="1"/>
    <x:row r="857" spans="1:7" s="3" customFormat="1"/>
    <x:row r="858" spans="1:7" s="1" customFormat="1"/>
    <x:row r="859" spans="1:7" s="4" customFormat="1"/>
    <x:row r="860" spans="1:7" s="3" customFormat="1"/>
    <x:row r="861" spans="1:7" s="1" customFormat="1"/>
    <x:row r="862" spans="1:7" s="4" customFormat="1"/>
    <x:row r="863" spans="1:7" s="3" customFormat="1"/>
    <x:row r="864" spans="1:7" s="1" customFormat="1"/>
    <x:row r="865" spans="1:7" s="4" customFormat="1"/>
    <x:row r="866" spans="1:7" s="3" customFormat="1"/>
    <x:row r="867" spans="1:7" s="1" customFormat="1"/>
    <x:row r="868" spans="1:7" s="4" customFormat="1"/>
    <x:row r="869" spans="1:7" s="3" customFormat="1"/>
    <x:row r="870" spans="1:7" s="1" customFormat="1"/>
    <x:row r="871" spans="1:7" s="4" customFormat="1"/>
    <x:row r="872" spans="1:7" s="3" customFormat="1"/>
    <x:row r="873" spans="1:7" s="1" customFormat="1"/>
    <x:row r="874" spans="1:7" s="4" customFormat="1"/>
    <x:row r="875" spans="1:7" s="3" customFormat="1"/>
    <x:row r="876" spans="1:7" s="1" customFormat="1"/>
    <x:row r="877" spans="1:7" s="4" customFormat="1"/>
    <x:row r="878" spans="1:7" s="3" customFormat="1"/>
    <x:row r="879" spans="1:7" s="1" customFormat="1"/>
    <x:row r="880" spans="1:7" s="4" customFormat="1"/>
    <x:row r="881" spans="1:7" s="3" customFormat="1"/>
    <x:row r="882" spans="1:7" s="1" customFormat="1"/>
    <x:row r="883" spans="1:7" s="4" customFormat="1"/>
    <x:row r="884" spans="1:7" s="3" customFormat="1"/>
    <x:row r="885" spans="1:7" s="1" customFormat="1"/>
    <x:row r="886" spans="1:7" s="4" customFormat="1"/>
    <x:row r="887" spans="1:7" s="3" customFormat="1"/>
    <x:row r="888" spans="1:7" s="1" customFormat="1"/>
    <x:row r="889" spans="1:7" s="4" customFormat="1"/>
    <x:row r="890" spans="1:7" s="3" customFormat="1"/>
    <x:row r="891" spans="1:7" s="1" customFormat="1"/>
  </x:sheetData>
  <x:hyperlinks>
    <x:hyperlink ref="C2" r:id="rId865" tooltip="Send a mail to info@mrcd.com.mt"/>
    <x:hyperlink ref="C4" r:id="rId866" tooltip="Send a mail to deluxebathroomsmanagement@gmail.com"/>
    <x:hyperlink ref="C5" r:id="rId867" tooltip="Send a mail to info@egrechcristalbath.com"/>
    <x:hyperlink ref="C6" r:id="rId868" tooltip="Send a mail to sales@alfredhili.com"/>
    <x:hyperlink ref="C7" r:id="rId869" tooltip="Send a mail to info@hallmannvella.com"/>
    <x:hyperlink ref="C8" r:id="rId870" tooltip="Send a mail to bugejamarbles@gmail.com"/>
    <x:hyperlink ref="C9" r:id="rId871" tooltip="Send a mail to custobathrooms@gmail.com"/>
    <x:hyperlink ref="C10" r:id="rId872" tooltip="Send a mail to info@alexmercieca.com"/>
    <x:hyperlink ref="C11" r:id="rId873" tooltip="Send a mail to faenzabathroomsmalta@gmail.com"/>
    <x:hyperlink ref="C12" r:id="rId874" tooltip="Send a mail to mail@afellis.com.tm"/>
    <x:hyperlink ref="C13" r:id="rId875" tooltip="Send a mail to info@absolute.com.mt"/>
    <x:hyperlink ref="C14" r:id="rId876" tooltip="Send a mail to meli@avantebathrooms.com"/>
    <x:hyperlink ref="C15" r:id="rId877" tooltip="Send a mail to info@banjuboutique.com"/>
    <x:hyperlink ref="C16" r:id="rId878" tooltip="Send a mail to info@bathlinemalta.com"/>
    <x:hyperlink ref="C17" r:id="rId879" tooltip="Send a mail to info@bathroomdesign.com.mt"/>
    <x:hyperlink ref="C18" r:id="rId880" tooltip="Send a mail to bc.bathrooms@gmail.com"/>
    <x:hyperlink ref="C19" r:id="rId881" tooltip="Send a mail to purchases@bhome.com.mt"/>
    <x:hyperlink ref="C20" r:id="rId882" tooltip="Send a mail to info@blaugrana.com.mt"/>
    <x:hyperlink ref="C21" r:id="rId883" tooltip="Send a mail to bubblesbathrooms@gmail.com"/>
    <x:hyperlink ref="C22" r:id="rId884" tooltip="Send a mail to cgrarbles@gmail.com"/>
    <x:hyperlink ref="C23" r:id="rId885" tooltip="Send a mail to calbrosltd@gmail.com"/>
    <x:hyperlink ref="C24" r:id="rId886" tooltip="Send a mail to info@casamiamalta.com"/>
    <x:hyperlink ref="C25" r:id="rId887" tooltip="Send a mail to info@chicliving.com.mt"/>
    <x:hyperlink ref="C26" r:id="rId888" tooltip="Send a mail to info@creationsomni.com"/>
    <x:hyperlink ref="C27" r:id="rId889" tooltip="Send a mail to info@farellbathrooms.com"/>
    <x:hyperlink ref="C28" r:id="rId890" tooltip="Send a mail to info@hauz.mt"/>
    <x:hyperlink ref="C29" r:id="rId891" tooltip="Send a mail to info@bayker.it"/>
    <x:hyperlink ref="C30" r:id="rId892" tooltip="Send a mail to josies@josies.com.mt"/>
    <x:hyperlink ref="C31" r:id="rId893" tooltip="Send a mail to jovanpisani@keramitbathrooms.com"/>
    <x:hyperlink ref="C32" r:id="rId894" tooltip="Send a mail to bugejamalcolm@gmail.com"/>
    <x:hyperlink ref="C33" r:id="rId895" tooltip="Send a mail to info@magribathrooms.com"/>
    <x:hyperlink ref="C34" r:id="rId896" tooltip="Send a mail to modabagnor@gmail.com"/>
    <x:hyperlink ref="C35" r:id="rId897" tooltip="Send a mail to michaelnuovobagno@gmail.com"/>
    <x:hyperlink ref="C36" r:id="rId898" tooltip="Send a mail to adrian@esclmalta.com"/>
    <x:hyperlink ref="C37" r:id="rId899" tooltip="Send a mail to info@ssbathrooms.com"/>
    <x:hyperlink ref="C38" r:id="rId900" tooltip="Send a mail to jg375@maltanet.net"/>
    <x:hyperlink ref="C39" r:id="rId901" tooltip="Send a mail to sales@thetubmalta.com"/>
    <x:hyperlink ref="C40" r:id="rId902" tooltip="Send a mail to info@vellafalzon.com"/>
    <x:hyperlink ref="C41" r:id="rId903" tooltip="Send a mail to info@vellmann.com"/>
    <x:hyperlink ref="C42" r:id="rId904" tooltip="Send a mail to info@vivo.com.mt"/>
    <x:hyperlink ref="C43" r:id="rId905" tooltip="Send a mail to classic-bathrooms@outlook.com"/>
    <x:hyperlink ref="C45" r:id="rId906" tooltip="Send a mail to info@fzammitglass.com"/>
    <x:hyperlink ref="C46" r:id="rId907" tooltip="Send a mail to verredemic@onvol.net"/>
    <x:hyperlink ref="C47" r:id="rId908" tooltip="Send a mail to info@idealbathrooms.com.mt"/>
    <x:hyperlink ref="C48" r:id="rId909" tooltip="Send a mail to sales@carinibathrooms.com"/>
    <x:hyperlink ref="C49" r:id="rId910" tooltip="Send a mail to info@jpitre.com"/>
    <x:hyperlink ref="C50" r:id="rId911" tooltip="Send a mail to info@falzons.com"/>
    <x:hyperlink ref="C51" r:id="rId912" tooltip="Send a mail to sales@bmsupplies.com"/>
    <x:hyperlink ref="C52" r:id="rId913" tooltip="Send a mail to info@alexmercieca.com"/>
    <x:hyperlink ref="C53" r:id="rId914" tooltip="Send a mail to info@ssbathrooms.com"/>
    <x:hyperlink ref="C54" r:id="rId915" tooltip="Send a mail to info@bathroomdesign.com.mt"/>
    <x:hyperlink ref="C55" r:id="rId916" tooltip="Send a mail to info@floatglassltd.com"/>
    <x:hyperlink ref="C56" r:id="rId917" tooltip="Send a mail to kl.glass@outlook.com"/>
    <x:hyperlink ref="C58" r:id="rId918" tooltip="Send a mail to sales@bridgepoint.com.mt"/>
    <x:hyperlink ref="C60" r:id="rId919" tooltip="Send a mail to deluxebathroomsmanagement@gmail.com"/>
    <x:hyperlink ref="C61" r:id="rId920" tooltip="Send a mail to info@egrechcristalbath.com"/>
    <x:hyperlink ref="C62" r:id="rId921" tooltip="Send a mail to bugejamarbles@gmail.com"/>
    <x:hyperlink ref="C63" r:id="rId922" tooltip="Send a mail to custobathrooms@gmail.com"/>
    <x:hyperlink ref="C64" r:id="rId923" tooltip="Send a mail to info@alexmercieca.com"/>
    <x:hyperlink ref="C65" r:id="rId924" tooltip="Send a mail to info@absolute.com.mt"/>
    <x:hyperlink ref="C66" r:id="rId925" tooltip="Send a mail to sales@alfredhili.com"/>
    <x:hyperlink ref="C67" r:id="rId926" tooltip="Send a mail to meli@avantebathrooms.com"/>
    <x:hyperlink ref="C68" r:id="rId927" tooltip="Send a mail to info@banjuboutique.com"/>
    <x:hyperlink ref="C69" r:id="rId928" tooltip="Send a mail to info@bathroomdesign.com.mt"/>
    <x:hyperlink ref="C70" r:id="rId929" tooltip="Send a mail to bc.bathrooms@gmail.com"/>
    <x:hyperlink ref="C71" r:id="rId930" tooltip="Send a mail to cgrarbles@gmail.com"/>
    <x:hyperlink ref="C72" r:id="rId931" tooltip="Send a mail to calbrosltd@gmail.com"/>
    <x:hyperlink ref="C73" r:id="rId932" tooltip="Send a mail to info@chicliving.com.mt"/>
    <x:hyperlink ref="C74" r:id="rId933" tooltip="Send a mail to classic-bathrooms@outlook.com"/>
    <x:hyperlink ref="C75" r:id="rId934" tooltip="Send a mail to info@farellbathrooms.com"/>
    <x:hyperlink ref="C76" r:id="rId935" tooltip="Send a mail to info@bayker.it"/>
    <x:hyperlink ref="C77" r:id="rId936" tooltip="Send a mail to josies@josies.com.mt"/>
    <x:hyperlink ref="C78" r:id="rId937" tooltip="Send a mail to jovanpisani@keramitbathrooms.com"/>
    <x:hyperlink ref="C79" r:id="rId938" tooltip="Send a mail to bugejamalcolm@gmail.com"/>
    <x:hyperlink ref="C80" r:id="rId939" tooltip="Send a mail to info@magribathrooms.com"/>
    <x:hyperlink ref="C81" r:id="rId940" tooltip="Send a mail to modabagnor@gmail.com"/>
    <x:hyperlink ref="C82" r:id="rId941" tooltip="Send a mail to michaelnuovobagno@gmail.com"/>
    <x:hyperlink ref="C83" r:id="rId942" tooltip="Send a mail to adrian@esclmalta.com"/>
    <x:hyperlink ref="C84" r:id="rId943" tooltip="Send a mail to info@ssbathrooms.com"/>
    <x:hyperlink ref="C85" r:id="rId944" tooltip="Send a mail to jg375@maltanet.net"/>
    <x:hyperlink ref="C86" r:id="rId945" tooltip="Send a mail to info@vellmann.com"/>
    <x:hyperlink ref="C87" r:id="rId946" tooltip="Send a mail to info@vivo.com.mt"/>
    <x:hyperlink ref="C88" r:id="rId947" tooltip="Send a mail to sales@carinibathrooms.com"/>
    <x:hyperlink ref="C89" r:id="rId948" tooltip="Send a mail to sales@bridgepoint.com.mt"/>
    <x:hyperlink ref="C90" r:id="rId949" tooltip="Send a mail to info@fbpmalta.com"/>
    <x:hyperlink ref="C91" r:id="rId950" tooltip="Send a mail to info@satarino.com"/>
    <x:hyperlink ref="C93" r:id="rId951" tooltip="Send a mail to deluxebathroomsmanagement@gmail.com"/>
    <x:hyperlink ref="C94" r:id="rId952" tooltip="Send a mail to newlineliving@gmail.com"/>
    <x:hyperlink ref="C95" r:id="rId953" tooltip="Send a mail to newlineliving@gmail.com"/>
    <x:hyperlink ref="C96" r:id="rId954" tooltip="Send a mail to info@jpitre.com"/>
    <x:hyperlink ref="C97" r:id="rId955" tooltip="Send a mail to info@banjuboutique.com"/>
    <x:hyperlink ref="C98" r:id="rId956" tooltip="Send a mail to sales@bridgepoint.com.mt"/>
    <x:hyperlink ref="C99" r:id="rId957" tooltip="Send a mail to gozobaths@gmail.com"/>
    <x:hyperlink ref="C100" r:id="rId958" tooltip="Send a mail to info@alexmercieca.com"/>
    <x:hyperlink ref="C101" r:id="rId959" tooltip="Send a mail to dfloorings@gmail.com"/>
    <x:hyperlink ref="C102" r:id="rId960" tooltip="Send a mail to faenzabathroomsmalta@gmail.com"/>
    <x:hyperlink ref="C103" r:id="rId961" tooltip="Send a mail to simonbonnicimarble@gmail.com"/>
    <x:hyperlink ref="C104" r:id="rId962" tooltip="Send a mail to mail@afellis.com.tm"/>
    <x:hyperlink ref="C105" r:id="rId963" tooltip="Send a mail to naasan.co@gmail.com"/>
    <x:hyperlink ref="C107" r:id="rId964" tooltip="Send a mail to info@vellmann.com"/>
    <x:hyperlink ref="C108" r:id="rId965" tooltip="Send a mail to info@magribathrooms.com"/>
    <x:hyperlink ref="C110" r:id="rId966" tooltip="Send a mail to info@falzons.com"/>
    <x:hyperlink ref="C112" r:id="rId967" tooltip="Send a mail to info@the-tile.com"/>
    <x:hyperlink ref="C113" r:id="rId968" tooltip="Send a mail to info@bathroomdesign.com.mt"/>
    <x:hyperlink ref="C114" r:id="rId969" tooltip="Send a mail to info@tilewarehousemalta.com"/>
    <x:hyperlink ref="C115" r:id="rId970" tooltip="Send a mail to sales@thetubmalta.com"/>
    <x:hyperlink ref="C116" r:id="rId971" tooltip="Send a mail to info@mrcd.com.mt"/>
    <x:hyperlink ref="C117" r:id="rId972" tooltip="Send a mail to sales@carinibathrooms.com"/>
    <x:hyperlink ref="C118" r:id="rId973" tooltip="Send a mail to info@waterartconcepts.com"/>
    <x:hyperlink ref="C119" r:id="rId974" tooltip="Send a mail to jysk@jysk.com.mt"/>
    <x:hyperlink ref="C120" r:id="rId975" tooltip="Send a mail to bc.bathrooms@gmail.com"/>
    <x:hyperlink ref="C121" r:id="rId976" tooltip="Send a mail to info@absolute.com.mt"/>
    <x:hyperlink ref="C122" r:id="rId977" tooltip="Send a mail to info@bmsupplies.com"/>
    <x:hyperlink ref="C123" r:id="rId978" tooltip="Send a mail to info@fino.com.mt"/>
    <x:hyperlink ref="C124" r:id="rId979" tooltip="Send a mail to malta@iperceamica.it"/>
    <x:hyperlink ref="C125" r:id="rId980" tooltip="Send a mail to info@goldenhouse.com.mt"/>
    <x:hyperlink ref="C126" r:id="rId981" tooltip="Send a mail to cristalbath@onvol.net"/>
    <x:hyperlink ref="C127" r:id="rId982" tooltip="Send a mail to deluxebathroomsmanagement@gmail.com"/>
    <x:hyperlink ref="C129" r:id="rId983" tooltip="Send a mail to info@egrechcristalbath.com"/>
    <x:hyperlink ref="C130" r:id="rId984" tooltip="Send a mail to info@alexmercieca.com"/>
    <x:hyperlink ref="C131" r:id="rId985" tooltip="Send a mail to mail@afellis.com.tm"/>
    <x:hyperlink ref="C132" r:id="rId986" tooltip="Send a mail to meli@avantebathrooms.com"/>
    <x:hyperlink ref="C133" r:id="rId987" tooltip="Send a mail to info@banjuboutique.com"/>
    <x:hyperlink ref="C134" r:id="rId988" tooltip="Send a mail to info@bathroomdesign.com.mt"/>
    <x:hyperlink ref="C135" r:id="rId989" tooltip="Send a mail to bc.bathrooms@gmail.com"/>
    <x:hyperlink ref="C136" r:id="rId990" tooltip="Send a mail to cgrarbles@gmail.com"/>
    <x:hyperlink ref="C137" r:id="rId991" tooltip="Send a mail to info@casamiamalta.com"/>
    <x:hyperlink ref="C138" r:id="rId992" tooltip="Send a mail to info@chicliving.com.mt"/>
    <x:hyperlink ref="C139" r:id="rId993" tooltip="Send a mail to info@farellbathrooms.com"/>
    <x:hyperlink ref="C140" r:id="rId994" tooltip="Send a mail to jovanpisani@keramitbathrooms.com"/>
    <x:hyperlink ref="C141" r:id="rId995" tooltip="Send a mail to info@magribathrooms.com"/>
    <x:hyperlink ref="C142" r:id="rId996" tooltip="Send a mail to modabagnor@gmail.com"/>
    <x:hyperlink ref="C143" r:id="rId997" tooltip="Send a mail to info@vellmann.com"/>
    <x:hyperlink ref="C144" r:id="rId998" tooltip="Send a mail to info@vivo.com.mt"/>
    <x:hyperlink ref="C145" r:id="rId999" tooltip="Send a mail to sales@wc.mt"/>
    <x:hyperlink ref="E2" r:id="rId1000" tooltip="Search MRCD Building,&#10;Karmenu Camilleri Street,&#10;Qormi, QRM4631 on Google Maps"/>
    <x:hyperlink ref="E4" r:id="rId1001" tooltip="Search Triq Benghazi, Ghajnsielem-Gozo, GSM 1624 on Google Maps"/>
    <x:hyperlink ref="E5" r:id="rId1002" tooltip="Search Triq Salvu Psaila, B'Kara, Matla BKR 9076 on Google Maps"/>
    <x:hyperlink ref="E6" r:id="rId1003" tooltip="Search 17 Triq Guze' Galea Qormi, Malta QRM 2106 on Google Maps"/>
    <x:hyperlink ref="E7" r:id="rId1004" tooltip="Search The Factory Triq il-Mosta, Lija, Malta LJA 9016 on Google Maps"/>
    <x:hyperlink ref="E8" r:id="rId1005" tooltip="Search Zone 3 Triq San Gwakkin Central Business District, B'kara, Malta CBD 3030 on Google Maps"/>
    <x:hyperlink ref="E9" r:id="rId1006" tooltip="Search Triq Joe Sciberras, Hamrun, Malta HMR 1550 on Google Maps"/>
    <x:hyperlink ref="E10" r:id="rId1007" tooltip="Search 25th November Avenue, Zejtun, ZTN2019 on Google Maps"/>
    <x:hyperlink ref="E11" r:id="rId1008" tooltip="Search 7 Triq I-Erba' Qaddisin on Google Maps"/>
    <x:hyperlink ref="E12" r:id="rId1009" tooltip="Search Triq il-Taflija Qasam Industrijali, Xewkija-Gozo, Gozo XWK 3000 on Google Maps"/>
    <x:hyperlink ref="E13" r:id="rId1010" tooltip="Search Triq Pantar, Hal Lija on Google Maps"/>
    <x:hyperlink ref="E14" r:id="rId1011" tooltip="Search 181 Triq Salvu Psaila, B'Kara, Malta BKR 9076 on Google Maps"/>
    <x:hyperlink ref="E15" r:id="rId1012" tooltip="Search Triq I-Arkata, Paola, Malta PLA 1212 on Google Maps"/>
    <x:hyperlink ref="E16" r:id="rId1013" tooltip="Search Triq Manwel Borg Qasam Indrustrijali, Tal-Handaq, Qormi, Malta QRM 4000 on Google Maps"/>
    <x:hyperlink ref="E17" r:id="rId1014" tooltip="Search 358 Triq in-Naxxar, B'Kara, Malta BKR 9040 on Google Maps"/>
    <x:hyperlink ref="E18" r:id="rId1015" tooltip="Search Triq Dun Karm B'Kara By Pass, B'Kara, Malta BKR 2940 on Google Maps"/>
    <x:hyperlink ref="E19" r:id="rId1016" tooltip="Search Bilom T/G fi triq l-Imdina, Zebbug, Malta on Google Maps"/>
    <x:hyperlink ref="E20" r:id="rId1017" tooltip="Search Triq il-Kbira, Mgarr, Malta MGR 1430 on Google Maps"/>
    <x:hyperlink ref="E21" r:id="rId1018" tooltip="Search Triq Fortunato Mizzi, Victoria-Gozo, Gozo VCT 2687 on Google Maps"/>
    <x:hyperlink ref="E22" r:id="rId1019" tooltip="Search 11 Triq I-Imdina, Attard, Malta ATD 9036 on Google Maps"/>
    <x:hyperlink ref="E23" r:id="rId1020" tooltip="Search 1 Triq I-Isqof Labini, B'Kara, Malta BKR 1270 on Google Maps"/>
    <x:hyperlink ref="E24" r:id="rId1021" tooltip="Search Triq Ninu Ceremona, Victoria-Gozo, Gozo VCT 2563 on Google Maps"/>
    <x:hyperlink ref="E25" r:id="rId1022" tooltip="Search Triq Durumblat, II-Mosta, MST 4816 on Google Maps"/>
    <x:hyperlink ref="E26" r:id="rId1023" tooltip="Search Liland Bldgs Triq l-Imdina, Attard, Malta ATD 9036 on Google Maps"/>
    <x:hyperlink ref="E27" r:id="rId1024" tooltip="Search 115 Vjal iI-Blue Grotto, Zurrieq, Malta ZRQ 4015 on Google Maps"/>
    <x:hyperlink ref="E28" r:id="rId1025" tooltip="Search 123 Triq Dun Karm Sant, Tarxien, Malta on Google Maps"/>
    <x:hyperlink ref="E29" r:id="rId1026" tooltip="Search Triq iI-Wied ta' I-Imsida, Msida, Malta on Google Maps"/>
    <x:hyperlink ref="E30" r:id="rId1027" tooltip="Search Triq in-Naxxar, Lija, Malta on Google Maps"/>
    <x:hyperlink ref="E31" r:id="rId1028" tooltip="Search Naxxar, Malta NXR 6345 on Google Maps"/>
    <x:hyperlink ref="E32" r:id="rId1029" tooltip="Search 137 Triq Parades, San Pawl II-Bahar, Malta SPB 3430 on Google Maps"/>
    <x:hyperlink ref="E33" r:id="rId1030" tooltip="Search Triq iI-Kanun, Qormi, Malta QRM 9039 on Google Maps"/>
    <x:hyperlink ref="E34" r:id="rId1031" tooltip="Search Zone 3 Triq I-Intornjatur, Zona Industrjali, Mriehel, B'Kara, Malta BKR 3000 on Google Maps"/>
    <x:hyperlink ref="E35" r:id="rId1032" tooltip="Search M'Skala By Pass, Zabbar, Malta ZBR 9042 on Google Maps"/>
    <x:hyperlink ref="E36" r:id="rId1033" tooltip="Search Triq San Bartolomew, Qormi, Malta on Google Maps"/>
    <x:hyperlink ref="E37" r:id="rId1034" tooltip="Search Triq il-Mosta, Lija, Malta LJA 9012 on Google Maps"/>
    <x:hyperlink ref="E38" r:id="rId1035" tooltip="Search 120 Triq il-Kullegg, Rabat, Malta RBT 1408 on Google Maps"/>
    <x:hyperlink ref="E39" r:id="rId1036" tooltip="Search Misrah il-Barrieri, Sta Venera, Malta on Google Maps"/>
    <x:hyperlink ref="E40" r:id="rId1037" tooltip="Search Triq il-Wied ta'Imsida, Msida, Malta MSD 9022 on Google Maps"/>
    <x:hyperlink ref="E41" r:id="rId1038" tooltip="Search Pantar Estate Triq Pantar on Google Maps"/>
    <x:hyperlink ref="E42" r:id="rId1039" tooltip="Search 9 Triq Geronimo Abos, Iklin, Malta IKL 1022 on Google Maps"/>
    <x:hyperlink ref="E43" r:id="rId1040" tooltip="Search 118 Triq iI-Kullegg, Rabat, Malta RBT 1408 on Google Maps"/>
    <x:hyperlink ref="E45" r:id="rId1041" tooltip="Search Triq il-Kummerc, Qormi, Malta on Google Maps"/>
    <x:hyperlink ref="E46" r:id="rId1042" tooltip="Search Building 46 Crafts Village Ta' Qali, Attard, Malta ATD 4000 on Google Maps"/>
    <x:hyperlink ref="E47" r:id="rId1043" tooltip="Search Constitution Street, Mosta, Malta on Google Maps"/>
    <x:hyperlink ref="E48" r:id="rId1044" tooltip="Search 435 St. Joseph High Road, St. Venera, Malta on Google Maps"/>
    <x:hyperlink ref="E49" r:id="rId1045" tooltip="Search Triq I-Imdina, Qormi QRM 9011 on Google Maps"/>
    <x:hyperlink ref="E50" r:id="rId1046" tooltip="Search Falzon's Bathroom &amp; Ceramics, Triq il-Kummerc, Qormi, Malta on Google Maps"/>
    <x:hyperlink ref="E51" r:id="rId1047" tooltip="Search Triq Dun Karm Birkirkara, BKR9035, Malta on Google Maps"/>
    <x:hyperlink ref="E52" r:id="rId1048" tooltip="Search 25th November Avenue, Zejtun, ZTN2019 on Google Maps"/>
    <x:hyperlink ref="E53" r:id="rId1049" tooltip="Search New Street, Vjal Il-Labour, Nax, Malta on Google Maps"/>
    <x:hyperlink ref="E54" r:id="rId1050" tooltip="Search 358 Triq in-Naxxar, B'Kara, Malta BKR 9040 on Google Maps"/>
    <x:hyperlink ref="E55" r:id="rId1051" tooltip="Search 26B, Marsa Industrial Estate, Marsa MRS 3000 on Google Maps"/>
    <x:hyperlink ref="E56" r:id="rId1052" tooltip="Search Plot 34, Qasam Industrijali LQA 3000 Luqa MT on Google Maps"/>
    <x:hyperlink ref="E57" r:id="rId1053" tooltip="Search 12 Olt Trafford, Dun Filippu Borg, Birkirkara, Malta on Google Maps"/>
    <x:hyperlink ref="E58" r:id="rId1054" tooltip="Search 3, Triq Ferdinandu Inglott, Ħ'Attard on Google Maps"/>
    <x:hyperlink ref="E60" r:id="rId1055" tooltip="Search Triq Benghazi, Ghajnsielem-Gozo, GSM 1624 on Google Maps"/>
    <x:hyperlink ref="E61" r:id="rId1056" tooltip="Search Triq Salvu Psaila, B'Kara, Matla BKR 9076 on Google Maps"/>
    <x:hyperlink ref="E62" r:id="rId1057" tooltip="Search Zone 3 Triq San Gwakkin Central Business District, B'kara, Malta CBD 3030 on Google Maps"/>
    <x:hyperlink ref="E63" r:id="rId1058" tooltip="Search Triq Joe Sciberras, Hamrun, Malta HMR 1550 on Google Maps"/>
    <x:hyperlink ref="E64" r:id="rId1059" tooltip="Search 25th November Avenue, Zejtun, ZTN2019 on Google Maps"/>
    <x:hyperlink ref="E65" r:id="rId1060" tooltip="Search Triq Pantar, Hal Lija on Google Maps"/>
    <x:hyperlink ref="E66" r:id="rId1061" tooltip="Search 17 Triq Guze' Galea Qormi, Malta QRM 2106 on Google Maps"/>
    <x:hyperlink ref="E67" r:id="rId1062" tooltip="Search 181 Triq Salvu Psaila, B'Kara, Malta BKR 9076 on Google Maps"/>
    <x:hyperlink ref="E68" r:id="rId1063" tooltip="Search Triq I-Arkata, Paola, Malta PLA 1212 on Google Maps"/>
    <x:hyperlink ref="E69" r:id="rId1064" tooltip="Search 358 Triq in-Naxxar, B'Kara, Malta BKR 9040 on Google Maps"/>
    <x:hyperlink ref="E70" r:id="rId1065" tooltip="Search Triq Dun Karm B'Kara By Pass, B'Kara, Malta BKR 2940 on Google Maps"/>
    <x:hyperlink ref="E71" r:id="rId1066" tooltip="Search 11 Triq I-Imdina, Attard, Malta ATD 9036 on Google Maps"/>
    <x:hyperlink ref="E72" r:id="rId1067" tooltip="Search 1 Triq I-Isqof Labini, B'Kara, Malta BKR 1270 on Google Maps"/>
    <x:hyperlink ref="E73" r:id="rId1068" tooltip="Search Triq Durumblat, II-Mosta, MST 4816 on Google Maps"/>
    <x:hyperlink ref="E74" r:id="rId1069" tooltip="Search 118 Triq iI-Kullegg, Rabat, Malta RBT 1408 on Google Maps"/>
    <x:hyperlink ref="E75" r:id="rId1070" tooltip="Search 115 Vjal iI-Blue Grotto, Zurrieq, Malta ZRQ 4015 on Google Maps"/>
    <x:hyperlink ref="E76" r:id="rId1071" tooltip="Search Triq iI-Wied ta' I-Imsida, Msida, Malta on Google Maps"/>
    <x:hyperlink ref="E77" r:id="rId1072" tooltip="Search Triq in-Naxxar, Lija, Malta on Google Maps"/>
    <x:hyperlink ref="E78" r:id="rId1073" tooltip="Search Naxxar, Malta NXR 6345 on Google Maps"/>
    <x:hyperlink ref="E79" r:id="rId1074" tooltip="Search 137 Triq Parades, San Pawl II-Bahar, Malta SPB 3430 on Google Maps"/>
    <x:hyperlink ref="E80" r:id="rId1075" tooltip="Search Triq iI-Kanun, Qormi, Malta QRM 9039 on Google Maps"/>
    <x:hyperlink ref="E81" r:id="rId1076" tooltip="Search Zone 3 Triq I-Intornjatur, Zona Industrjali, Mriehel, B'Kara, Malta BKR 3000 on Google Maps"/>
    <x:hyperlink ref="E82" r:id="rId1077" tooltip="Search M'Skala By Pass, Zabbar, Malta ZBR 9042 on Google Maps"/>
    <x:hyperlink ref="E83" r:id="rId1078" tooltip="Search Triq San Bartolomew, Qormi, Malta on Google Maps"/>
    <x:hyperlink ref="E84" r:id="rId1079" tooltip="Search Triq il-Mosta, Lija, Malta LJA 9012 on Google Maps"/>
    <x:hyperlink ref="E85" r:id="rId1080" tooltip="Search 120 Triq il-Kullegg, Rabat, Malta RBT 1408 on Google Maps"/>
    <x:hyperlink ref="E86" r:id="rId1081" tooltip="Search Pantar Estate Triq Pantar on Google Maps"/>
    <x:hyperlink ref="E87" r:id="rId1082" tooltip="Search 9 Triq Geronimo Abos, Iklin, Malta IKL 1022 on Google Maps"/>
    <x:hyperlink ref="E88" r:id="rId1083" tooltip="Search 435 St. Joseph High Road, St. Venera, Malta on Google Maps"/>
    <x:hyperlink ref="E89" r:id="rId1084" tooltip="Search No 3, Triq Ferdinand Inglott, Attard ATD 3134 on Google Maps"/>
    <x:hyperlink ref="E90" r:id="rId1085" tooltip="Search 139, Bajada Street ZBR 3011 Zabbar, Malta on Google Maps"/>
    <x:hyperlink ref="E91" r:id="rId1086" tooltip="Search 122, Msida Valley Road, B'kara, BKR 9024 on Google Maps"/>
    <x:hyperlink ref="E93" r:id="rId1087" tooltip="Search Triq Benghazi, Ghajnsielem-Gozo, GSM 1624 on Google Maps"/>
    <x:hyperlink ref="E94" r:id="rId1088" tooltip="Search Triq Papa Gwanni Pawlu II, Victoria-Gozo, Gozo VCT 9046 on Google Maps"/>
    <x:hyperlink ref="E95" r:id="rId1089" tooltip="Search Triq Papa Gwanni Pawlu ll, Victoria-Gozo, Gozo VCT 9046 on Google Maps"/>
    <x:hyperlink ref="E96" r:id="rId1090" tooltip="Search Mdina Road, Qormi, QRM 9011, Malta on Google Maps"/>
    <x:hyperlink ref="E97" r:id="rId1091" tooltip="Search Paola Outlet Arcade Street, Paola PLA1212 on Google Maps"/>
    <x:hyperlink ref="E98" r:id="rId1092" tooltip="Search No 3, Triq Ferdinand Inglott, Attard ATD 3134 on Google Maps"/>
    <x:hyperlink ref="E99" r:id="rId1093" tooltip="Search Triq Dun Karm, Birkirkara, Malta on Google Maps"/>
    <x:hyperlink ref="E100" r:id="rId1094" tooltip="Search 25th November Avenue, Zejtun, ZTN2019 on Google Maps"/>
    <x:hyperlink ref="E101" r:id="rId1095" tooltip="Search Vjal il-Helsen, Zebbug, Malta on Google Maps"/>
    <x:hyperlink ref="E102" r:id="rId1096" tooltip="Search 7 Triq I-Erba' Qaddisin on Google Maps"/>
    <x:hyperlink ref="E103" r:id="rId1097" tooltip="Search 5 Triq Profs Carmelo Coleiro Tal-Handaq, Qormi, Malta QRM 4000 on Google Maps"/>
    <x:hyperlink ref="E104" r:id="rId1098" tooltip="Search Triq il-Taflija Qasam Industrijali, Xewkija-Gozo, Gozo XWK 3000 on Google Maps"/>
    <x:hyperlink ref="E105" r:id="rId1099" tooltip="Search 226, Triq Alfred Cachia Zammit, Zejtun, Malta on Google Maps"/>
    <x:hyperlink ref="E106" r:id="rId1100" tooltip="Search 13, Triq il-Furnar Qormi QRM 3504, Malta on Google Maps"/>
    <x:hyperlink ref="E107" r:id="rId1101" tooltip="Search Pantar Road Hal Lija LJA, 2023 on Google Maps"/>
    <x:hyperlink ref="E108" r:id="rId1102" tooltip="Search Triq il-Kanun, al Qormi, Malta on Google Maps"/>
    <x:hyperlink ref="E109" r:id="rId1103" tooltip="Search Zone 3, Triq In-Negozju Central Business District Birkirkara CBD 3010 on Google Maps"/>
    <x:hyperlink ref="E110" r:id="rId1104" tooltip="Search Falzon's Bathroom &amp; Ceramics, Triq il-Kummerc, Qormi, Malta on Google Maps"/>
    <x:hyperlink ref="E111" r:id="rId1105" tooltip="Search 160, Mdina Road, Zebbug ZBG9015 on Google Maps"/>
    <x:hyperlink ref="E112" r:id="rId1106" tooltip="Search Triq Bella Vista, San Gwann, Malta SGN 2690 on Google Maps"/>
    <x:hyperlink ref="E113" r:id="rId1107" tooltip="Search 356 Naxxar Road, B'Kara, BKR 9040, Malta on Google Maps"/>
    <x:hyperlink ref="E114" r:id="rId1108" tooltip="Search Triq iI-Qoton, Santa Lucija, Malta on Google Maps"/>
    <x:hyperlink ref="E115" r:id="rId1109" tooltip="Search 313A, Triq il-Barrieri, St Venera on Google Maps"/>
    <x:hyperlink ref="E116" r:id="rId1110" tooltip="Search Karmenu Camilleri Street, Qormi, QRM46 on Google Maps"/>
    <x:hyperlink ref="E117" r:id="rId1111" tooltip="Search 435 St. Joseph High Road, St. Venera, Malta on Google Maps"/>
    <x:hyperlink ref="E118" r:id="rId1112" tooltip="Search Mill Street, Qormi QRM 3102, Malta on Google Maps"/>
    <x:hyperlink ref="E119" r:id="rId1113" tooltip="Search Triq II-Mosta, Lija, Malta on Google Maps"/>
    <x:hyperlink ref="E120" r:id="rId1114" tooltip="Search Triq Dun Karm, B'Kara Bypass, Birkirkara BKR 2940 on Google Maps"/>
    <x:hyperlink ref="E121" r:id="rId1115" tooltip="Search Triq Pantar, Hal Lija on Google Maps"/>
    <x:hyperlink ref="E122" r:id="rId1116" tooltip="Search Triq Dun Karm, Kirkirkara, BKR 9035 on Google Maps"/>
    <x:hyperlink ref="E123" r:id="rId1117" tooltip="Search Triq I-Imdina, Zone 4, Meriehel/Central Business District CBD 2010, Malta on Google Maps"/>
    <x:hyperlink ref="E124" r:id="rId1118" tooltip="Search Velley Road, Msida, MSD 9020, Malta on Google Maps"/>
    <x:hyperlink ref="E125" r:id="rId1119" tooltip="Search Ħal Qormi, Malta on Google Maps"/>
    <x:hyperlink ref="E126" r:id="rId1120" tooltip="Search E.Grech Cristal Bath, &#10;Psaila Street,&#10;Birkirkara, BKR 9076, Malta. on Google Maps"/>
    <x:hyperlink ref="E127" r:id="rId1121" tooltip="Search Triq Benghazi, Ghajnsielem-Gozo, GSM 1624 on Google Maps"/>
    <x:hyperlink ref="E129" r:id="rId1122" tooltip="Search Triq Salvu Psaila, B'Kara, Matla BKR 9076 on Google Maps"/>
    <x:hyperlink ref="E130" r:id="rId1123" tooltip="Search 25th November Avenue, Zejtun, ZTN2019 on Google Maps"/>
    <x:hyperlink ref="E131" r:id="rId1124" tooltip="Search Triq il-Taflija Qasam Industrijali, Xewkija-Gozo, Gozo XWK 3000 on Google Maps"/>
    <x:hyperlink ref="E132" r:id="rId1125" tooltip="Search 181 Triq Salvu Psaila, B'Kara, Malta BKR 9076 on Google Maps"/>
    <x:hyperlink ref="E133" r:id="rId1126" tooltip="Search Triq I-Arkata, Paola, Malta PLA 1212 on Google Maps"/>
    <x:hyperlink ref="E134" r:id="rId1127" tooltip="Search 358 Triq in-Naxxar, B'Kara, Malta BKR 9040 on Google Maps"/>
    <x:hyperlink ref="E135" r:id="rId1128" tooltip="Search Triq Dun Karm B'Kara By Pass, B'Kara, Malta BKR 2940 on Google Maps"/>
    <x:hyperlink ref="E136" r:id="rId1129" tooltip="Search 11 Triq I-Imdina, Attard, Malta ATD 9036 on Google Maps"/>
    <x:hyperlink ref="E137" r:id="rId1130" tooltip="Search Triq Ninu Ceremona, Victoria-Gozo, Gozo VCT 2563 on Google Maps"/>
    <x:hyperlink ref="E138" r:id="rId1131" tooltip="Search Triq Durumblat, II-Mosta, MST 4816 on Google Maps"/>
    <x:hyperlink ref="E139" r:id="rId1132" tooltip="Search 115 Vjal iI-Blue Grotto, Zurrieq, Malta ZRQ 4015 on Google Maps"/>
    <x:hyperlink ref="E140" r:id="rId1133" tooltip="Search Naxxar, Malta NXR 6345 on Google Maps"/>
    <x:hyperlink ref="E141" r:id="rId1134" tooltip="Search Triq iI-Kanun, Qormi, Malta QRM 9039 on Google Maps"/>
    <x:hyperlink ref="E142" r:id="rId1135" tooltip="Search Zone 3 Triq I-Intornjatur, Zona Industrjali, Mriehel, B'Kara, Malta BKR 3000 on Google Maps"/>
    <x:hyperlink ref="E143" r:id="rId1136" tooltip="Search Pantar Estate Triq Pantar on Google Maps"/>
    <x:hyperlink ref="E144" r:id="rId1137" tooltip="Search 9 Triq Geronimo Abos, Iklin, Malta IKL 1022 on Google Maps"/>
    <x:hyperlink ref="E145" r:id="rId1138" tooltip="Search 1 Lenger, Court A, Triq Mons Pawlu Mallia, Gudja, Malta on Google Maps"/>
    <x:hyperlink ref="F2" r:id="rId1139" tooltip="Visit mrcd.com.mt/en/home.htm"/>
    <x:hyperlink ref="F4" r:id="rId1140" tooltip="Visit deluxe-bathrooms.com"/>
    <x:hyperlink ref="F5" r:id="rId1141" tooltip="Visit egrechcristalbath.com"/>
    <x:hyperlink ref="F6" r:id="rId1142" tooltip="Visit alfredhili.com"/>
    <x:hyperlink ref="F7" r:id="rId1143" tooltip="Visit halmannvella.com"/>
    <x:hyperlink ref="F8" r:id="rId1144" tooltip="Visit bugeja-marbles.com"/>
    <x:hyperlink ref="F9" r:id="rId1145" tooltip="Visit custobathrooms.com"/>
    <x:hyperlink ref="F10" r:id="rId1146" tooltip="Visit alexmercieca.com"/>
    <x:hyperlink ref="F11" r:id="rId1147" tooltip="Visit faenzabathrooms.com"/>
    <x:hyperlink ref="F12" r:id="rId1148" tooltip="Visit afellis.com.mt"/>
    <x:hyperlink ref="F13" r:id="rId1149" tooltip="Visit absolute.com.mt"/>
    <x:hyperlink ref="F14" r:id="rId1150" tooltip="Visit facebook.com/avantebathrooms/"/>
    <x:hyperlink ref="F15" r:id="rId1151" tooltip="Visit banjuboutique.com"/>
    <x:hyperlink ref="F16" r:id="rId1152" tooltip="Visit facebook.com/bathlinemalta/"/>
    <x:hyperlink ref="F17" r:id="rId1153" tooltip="Visit bathroomdesign.com.mt"/>
    <x:hyperlink ref="F18" r:id="rId1154" tooltip="Visit bc-bathrooms.com"/>
    <x:hyperlink ref="F19" r:id="rId1155" tooltip="Visit bilomtilesanddecor.com"/>
    <x:hyperlink ref="F20" r:id="rId1156" tooltip="Visit blaugrana.com.mt"/>
    <x:hyperlink ref="F21" r:id="rId1157" tooltip="Visit facebook.com/bubblesbathroomsmalta/"/>
    <x:hyperlink ref="F22" r:id="rId1158" tooltip="Visit cgremarbles.com.mt"/>
    <x:hyperlink ref="F23" r:id="rId1159" tooltip="Visit facebook.com/Calbros-Bathrooms-Ltd"/>
    <x:hyperlink ref="F24" r:id="rId1160" tooltip="Visit casamiamalta.com"/>
    <x:hyperlink ref="F25" r:id="rId1161" tooltip="Visit chicliving.com.mt"/>
    <x:hyperlink ref="F26" r:id="rId1162" tooltip="Visit creationsomni.cpm"/>
    <x:hyperlink ref="F27" r:id="rId1163" tooltip="Visit farellbathrooms.com"/>
    <x:hyperlink ref="F28" r:id="rId1164" tooltip="Visit hauz.mt"/>
    <x:hyperlink ref="F29" r:id="rId1165" tooltip="Visit iperceramica.it"/>
    <x:hyperlink ref="F30" r:id="rId1166" tooltip="Visit facebook.com/Josies-Bathroom-Centre"/>
    <x:hyperlink ref="F31" r:id="rId1167" tooltip="Visit facebook.com/keramitbathrooms/"/>
    <x:hyperlink ref="F33" r:id="rId1168" tooltip="Visit magribathrooms.com"/>
    <x:hyperlink ref="F34" r:id="rId1169" tooltip="Visit facebook.com/ModaBagnoMalta"/>
    <x:hyperlink ref="F35" r:id="rId1170" tooltip="Visit facebook.com/Nuovo-Bagno"/>
    <x:hyperlink ref="F36" r:id="rId1171" tooltip="Visit propertyservicesltd.com"/>
    <x:hyperlink ref="F37" r:id="rId1172" tooltip="Visit ssbathrooms.com"/>
    <x:hyperlink ref="F38" r:id="rId1173" tooltip="Visit facebook.com/SognoBagno/"/>
    <x:hyperlink ref="F39" r:id="rId1174" tooltip="Visit thetubmalta.com"/>
    <x:hyperlink ref="F40" r:id="rId1175" tooltip="Visit vellafalzon.com"/>
    <x:hyperlink ref="F41" r:id="rId1176" tooltip="Visit facebook.com/Vellmann/"/>
    <x:hyperlink ref="F42" r:id="rId1177" tooltip="Visit vivo.com.mt"/>
    <x:hyperlink ref="F43" r:id="rId1178" tooltip="Visit facebook.com/classicbathroom/"/>
    <x:hyperlink ref="F45" r:id="rId1179" tooltip="Visit fzammitglass.com"/>
    <x:hyperlink ref="F46" r:id="rId1180" tooltip="Visit facebook.com/verredemic/"/>
    <x:hyperlink ref="F47" r:id="rId1181" tooltip="Visit idealbathrooms.com.mt"/>
    <x:hyperlink ref="F48" r:id="rId1182" tooltip="Visit carinibathrooms.com"/>
    <x:hyperlink ref="F49" r:id="rId1183" tooltip="Visit pitrebathrooms.com"/>
    <x:hyperlink ref="F50" r:id="rId1184" tooltip="Visit falzons.com"/>
    <x:hyperlink ref="F51" r:id="rId1185" tooltip="Visit bmsupplies.com"/>
    <x:hyperlink ref="F52" r:id="rId1186" tooltip="Visit alexmercieca.com"/>
    <x:hyperlink ref="F53" r:id="rId1187" tooltip="Visit ssbathrooms.com"/>
    <x:hyperlink ref="F54" r:id="rId1188" tooltip="Visit bathroomdesign.com.mt"/>
    <x:hyperlink ref="F55" r:id="rId1189" tooltip="Visit floatglassltd.com"/>
    <x:hyperlink ref="F56" r:id="rId1190" tooltip="Visit klglassmalta.com"/>
    <x:hyperlink ref="F57" r:id="rId1191" tooltip="Visit glassdesignmalta.com"/>
    <x:hyperlink ref="F58" r:id="rId1192" tooltip="Visit bridgepointmalta.com/"/>
    <x:hyperlink ref="F60" r:id="rId1193" tooltip="Visit deluxe-bathrooms.com"/>
    <x:hyperlink ref="F61" r:id="rId1194" tooltip="Visit egrechcristalbath.com"/>
    <x:hyperlink ref="F62" r:id="rId1195" tooltip="Visit bugeja-marbles.com"/>
    <x:hyperlink ref="F63" r:id="rId1196" tooltip="Visit custobathrooms.com"/>
    <x:hyperlink ref="F64" r:id="rId1197" tooltip="Visit alexmercieca.com"/>
    <x:hyperlink ref="F65" r:id="rId1198" tooltip="Visit absolute.com.mt"/>
    <x:hyperlink ref="F66" r:id="rId1199" tooltip="Visit alfredhili.com"/>
    <x:hyperlink ref="F67" r:id="rId1200" tooltip="Visit facebook.com/avantebathrooms/"/>
    <x:hyperlink ref="F68" r:id="rId1201" tooltip="Visit banjuboutique.com"/>
    <x:hyperlink ref="F69" r:id="rId1202" tooltip="Visit bathroomdesign.com.mt"/>
    <x:hyperlink ref="F70" r:id="rId1203" tooltip="Visit bc-bathrooms.com"/>
    <x:hyperlink ref="F71" r:id="rId1204" tooltip="Visit cgremarbles.com.mt"/>
    <x:hyperlink ref="F72" r:id="rId1205" tooltip="Visit facebook.com/Calbros-Bathrooms-Ltd"/>
    <x:hyperlink ref="F73" r:id="rId1206" tooltip="Visit chicliving.com.mt"/>
    <x:hyperlink ref="F74" r:id="rId1207" tooltip="Visit facebook.com/classicbathroom/"/>
    <x:hyperlink ref="F75" r:id="rId1208" tooltip="Visit farellbathrooms.com"/>
    <x:hyperlink ref="F76" r:id="rId1209" tooltip="Visit iperceramica.it"/>
    <x:hyperlink ref="F77" r:id="rId1210" tooltip="Visit facebook.com/Josies-Bathroom-Centre"/>
    <x:hyperlink ref="F78" r:id="rId1211" tooltip="Visit facebook.com/keramitbathrooms/"/>
    <x:hyperlink ref="F80" r:id="rId1212" tooltip="Visit magribathrooms.com"/>
    <x:hyperlink ref="F81" r:id="rId1213" tooltip="Visit facebook.com/ModaBagnoMalta"/>
    <x:hyperlink ref="F82" r:id="rId1214" tooltip="Visit facebook.com/Nuovo-Bagno"/>
    <x:hyperlink ref="F83" r:id="rId1215" tooltip="Visit propertyservicesltd.com"/>
    <x:hyperlink ref="F84" r:id="rId1216" tooltip="Visit ssbathrooms.com"/>
    <x:hyperlink ref="F85" r:id="rId1217" tooltip="Visit facebook.com/SognoBagno/"/>
    <x:hyperlink ref="F86" r:id="rId1218" tooltip="Visit facebook.com/Vellmann/"/>
    <x:hyperlink ref="F87" r:id="rId1219" tooltip="Visit vivo.com.mt"/>
    <x:hyperlink ref="F88" r:id="rId1220" tooltip="Visit carinibathrooms.com"/>
    <x:hyperlink ref="F89" r:id="rId1221" tooltip="Visit bridgepoint.com"/>
    <x:hyperlink ref="F90" r:id="rId1222" tooltip="Visit fbpmalta.com"/>
    <x:hyperlink ref="F91" r:id="rId1223" tooltip="Visit satariano.com"/>
    <x:hyperlink ref="F93" r:id="rId1224" tooltip="Visit deluxe-bathrooms.com"/>
    <x:hyperlink ref="F94" r:id="rId1225" tooltip="Visit newline.com.mt"/>
    <x:hyperlink ref="F95" r:id="rId1226" tooltip="Visit newline.com.mt"/>
    <x:hyperlink ref="F96" r:id="rId1227" tooltip="Visit pitrebathrooms.com"/>
    <x:hyperlink ref="F97" r:id="rId1228" tooltip="Visit banjuboutique.com"/>
    <x:hyperlink ref="F98" r:id="rId1229" tooltip="Visit bridgepoint.com"/>
    <x:hyperlink ref="F99" r:id="rId1230" tooltip="Visit facebook.com/p/Gozo-Baths-Ceramics-100063540523723/"/>
    <x:hyperlink ref="F100" r:id="rId1231" tooltip="Visit alexmercieca.com"/>
    <x:hyperlink ref="F101" r:id="rId1232" tooltip="Visit dfloorings.com"/>
    <x:hyperlink ref="F102" r:id="rId1233" tooltip="Visit faenzabathrooms.com"/>
    <x:hyperlink ref="F103" r:id="rId1234" tooltip="Visit sbmmarble.com"/>
    <x:hyperlink ref="F104" r:id="rId1235" tooltip="Visit afellis.com.mt"/>
    <x:hyperlink ref="F105" r:id="rId1236" tooltip="Visit nsntilesandceramics.com"/>
    <x:hyperlink ref="F106" r:id="rId1237" tooltip="Visit wvellafalzon.com"/>
    <x:hyperlink ref="F107" r:id="rId1238" tooltip="Visit vellmann.com"/>
    <x:hyperlink ref="F108" r:id="rId1239" tooltip="Visit magribathrooms.com"/>
    <x:hyperlink ref="F109" r:id="rId1240" tooltip="Visit wwwjcrimports.com.mt"/>
    <x:hyperlink ref="F110" r:id="rId1241" tooltip="Visit falzons.com"/>
    <x:hyperlink ref="F111" r:id="rId1242" tooltip="Visit maltadiy.com"/>
    <x:hyperlink ref="F112" r:id="rId1243" tooltip="Visit the-tile.com"/>
    <x:hyperlink ref="F113" r:id="rId1244" tooltip="Visit bathroomdesign.com.mt"/>
    <x:hyperlink ref="F114" r:id="rId1245" tooltip="Visit facebook.com/tilewarehousemalta/"/>
    <x:hyperlink ref="F115" r:id="rId1246" tooltip="Visit thetub.com"/>
    <x:hyperlink ref="F116" r:id="rId1247" tooltip="Visit mrcd.com.mt"/>
    <x:hyperlink ref="F117" r:id="rId1248" tooltip="Visit carinibathrooms.com"/>
    <x:hyperlink ref="F118" r:id="rId1249" tooltip="Visit waterartconcepts.com"/>
    <x:hyperlink ref="F119" r:id="rId1250" tooltip="Visit jysk.com.mt"/>
    <x:hyperlink ref="F120" r:id="rId1251" tooltip="Visit bc-bathrooms.com"/>
    <x:hyperlink ref="F121" r:id="rId1252" tooltip="Visit absolute.com.mt"/>
    <x:hyperlink ref="F122" r:id="rId1253" tooltip="Visit bmsupplies.com"/>
    <x:hyperlink ref="F123" r:id="rId1254" tooltip="Visit fino.com.mt"/>
    <x:hyperlink ref="F124" r:id="rId1255" tooltip="Visit iperceramica.it/en/ita"/>
    <x:hyperlink ref="F125" r:id="rId1256" tooltip="Visit goldenhouse.mt"/>
    <x:hyperlink ref="F126" r:id="rId1257" tooltip="Visit egrechcristalbath.com/en/home.htm"/>
    <x:hyperlink ref="F127" r:id="rId1258" tooltip="Visit deluxe-bathrooms.com"/>
    <x:hyperlink ref="F129" r:id="rId1259" tooltip="Visit egrechcristalbath.com"/>
    <x:hyperlink ref="F130" r:id="rId1260" tooltip="Visit alexmercieca.com"/>
    <x:hyperlink ref="F131" r:id="rId1261" tooltip="Visit afellis.com.mt"/>
    <x:hyperlink ref="F132" r:id="rId1262" tooltip="Visit facebook.com/avantebathrooms/"/>
    <x:hyperlink ref="F133" r:id="rId1263" tooltip="Visit banjuboutique.com"/>
    <x:hyperlink ref="F134" r:id="rId1264" tooltip="Visit bathroomdesign.com.mt"/>
    <x:hyperlink ref="F135" r:id="rId1265" tooltip="Visit bc-bathrooms.com"/>
    <x:hyperlink ref="F136" r:id="rId1266" tooltip="Visit cgremarbles.com.mt"/>
    <x:hyperlink ref="F137" r:id="rId1267" tooltip="Visit casamiamalta.com"/>
    <x:hyperlink ref="F138" r:id="rId1268" tooltip="Visit chicliving.com.mt"/>
    <x:hyperlink ref="F139" r:id="rId1269" tooltip="Visit farellbathrooms.com"/>
    <x:hyperlink ref="F140" r:id="rId1270" tooltip="Visit facebook.com/keramitbathrooms/"/>
    <x:hyperlink ref="F141" r:id="rId1271" tooltip="Visit magribathrooms.com"/>
    <x:hyperlink ref="F142" r:id="rId1272" tooltip="Visit facebook.com/ModaBagnoMalta"/>
    <x:hyperlink ref="F143" r:id="rId1273" tooltip="Visit facebook.com/Vellmann/"/>
    <x:hyperlink ref="F144" r:id="rId1274" tooltip="Visit vivo.com.mt"/>
    <x:hyperlink ref="F145" r:id="rId1275" tooltip="Visit wc.m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12"/>
  <x:sheetViews>
    <x:sheetView workbookViewId="0"/>
  </x:sheetViews>
  <x:sheetFormatPr defaultRowHeight="15"/>
  <x:cols>
    <x:col min="1" max="1" width="6.282054" style="0" customWidth="1"/>
    <x:col min="2" max="2" width="36.282054" style="0" customWidth="1"/>
    <x:col min="3" max="3" width="40.282054" style="0" customWidth="1"/>
    <x:col min="4" max="4" width="39.853482" style="0" customWidth="1"/>
    <x:col min="5" max="5" width="56.996339" style="0" customWidth="1"/>
    <x:col min="6" max="6" width="53.424911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5">
        <x:f>HYPERLINK("#'Summary List'!A27", "Back to Summary")</x:f>
      </x:c>
    </x:row>
    <x:row r="2" spans="1:7" s="3" customFormat="1">
      <x:c r="A2" s="3" t="s">
        <x:v>1475</x:v>
      </x:c>
      <x:c r="B2" s="3" t="s">
        <x:v>1181</x:v>
      </x:c>
      <x:c r="C2" s="6" t="s">
        <x:v>1261</x:v>
      </x:c>
      <x:c r="D2" s="7">
        <x:f>CONCATENATE(HYPERLINK("CALLTO:%2B356%202156%2003887990261399307711", "+356 2156 03887990261399307711"))</x:f>
      </x:c>
      <x:c r="E2" s="6" t="s">
        <x:v>1343</x:v>
      </x:c>
      <x:c r="F2" s="6" t="s">
        <x:v>1340</x:v>
      </x:c>
    </x:row>
    <x:row r="3" spans="1:7" s="1" customFormat="1">
      <x:c r="A3" s="1" t="s">
        <x:v>1475</x:v>
      </x:c>
      <x:c r="B3" s="1" t="s">
        <x:v>1237</x:v>
      </x:c>
      <x:c r="C3" s="8" t="s">
        <x:v>1311</x:v>
      </x:c>
      <x:c r="D3" s="9">
        <x:f>CONCATENATE(HYPERLINK("CALLTO:%2B356%202156%203966", "+356 2156 3966"))</x:f>
      </x:c>
      <x:c r="E3" s="8" t="s">
        <x:v>1398</x:v>
      </x:c>
      <x:c r="F3" s="8" t="s">
        <x:v>1463</x:v>
      </x:c>
    </x:row>
    <x:row r="4" spans="1:7" s="4" customFormat="1">
      <x:c r="A4" s="4" t="s">
        <x:v>1475</x:v>
      </x:c>
      <x:c r="B4" s="4" t="s">
        <x:v>1224</x:v>
      </x:c>
      <x:c r="C4" s="10" t="s">
        <x:v>853</x:v>
      </x:c>
      <x:c r="D4" s="11">
        <x:f>CONCATENATE(HYPERLINK("CALLTO:%2B356%202146%203335", "+356 2146 3335"))</x:f>
      </x:c>
      <x:c r="E4" s="10" t="s">
        <x:v>1400</x:v>
      </x:c>
      <x:c r="F4" s="10" t="s">
        <x:v>1457</x:v>
      </x:c>
    </x:row>
    <x:row r="5" spans="1:7" s="3" customFormat="1">
      <x:c r="A5" s="3" t="s">
        <x:v>1475</x:v>
      </x:c>
      <x:c r="B5" s="3" t="s">
        <x:v>1239</x:v>
      </x:c>
      <x:c r="C5" s="6" t="s">
        <x:v>1271</x:v>
      </x:c>
      <x:c r="D5" s="7">
        <x:f>CONCATENATE(HYPERLINK("CALLTO:%2B356%202011%207900", "+356 2011 7900"))</x:f>
      </x:c>
      <x:c r="E5" s="6" t="s">
        <x:v>1401</x:v>
      </x:c>
      <x:c r="F5" s="6" t="s">
        <x:v>1331</x:v>
      </x:c>
    </x:row>
    <x:row r="6" spans="1:7" s="1" customFormat="1">
      <x:c r="A6" s="1" t="s">
        <x:v>1475</x:v>
      </x:c>
      <x:c r="B6" s="1" t="s">
        <x:v>1233</x:v>
      </x:c>
      <x:c r="C6" s="8" t="s">
        <x:v>1308</x:v>
      </x:c>
      <x:c r="D6" s="9">
        <x:f>CONCATENATE(HYPERLINK("CALLTO:%2B356%202792%202222", "+356 2792 2222"))</x:f>
      </x:c>
      <x:c r="E6" s="8" t="s">
        <x:v>1395</x:v>
      </x:c>
      <x:c r="F6" s="8" t="s">
        <x:v>1450</x:v>
      </x:c>
    </x:row>
    <x:row r="7" spans="1:7" s="4" customFormat="1">
      <x:c r="A7" s="4" t="s">
        <x:v>1475</x:v>
      </x:c>
      <x:c r="B7" s="4" t="s">
        <x:v>1240</x:v>
      </x:c>
      <x:c r="C7" s="10" t="s">
        <x:v>1312</x:v>
      </x:c>
      <x:c r="D7" s="11">
        <x:f>CONCATENATE(HYPERLINK("CALLTO:%2B356%209993%202230", "+356 9993 2230"))</x:f>
      </x:c>
      <x:c r="E7" s="10" t="s">
        <x:v>1402</x:v>
      </x:c>
      <x:c r="F7" s="10" t="s">
        <x:v>1448</x:v>
      </x:c>
    </x:row>
    <x:row r="8" spans="1:7" s="3" customFormat="1">
      <x:c r="A8" s="3" t="s">
        <x:v>1475</x:v>
      </x:c>
      <x:c r="B8" s="3" t="s">
        <x:v>1187</x:v>
      </x:c>
      <x:c r="C8" s="6" t="s">
        <x:v>1267</x:v>
      </x:c>
      <x:c r="D8" s="7">
        <x:f>CONCATENATE(HYPERLINK("CALLTO:%2B356%202169%205438%2B35621672049%2B36579402553", "+356 2169 5438+35621672049+36579402553"))</x:f>
      </x:c>
      <x:c r="E8" s="6" t="s">
        <x:v>1349</x:v>
      </x:c>
      <x:c r="F8" s="6" t="s">
        <x:v>1336</x:v>
      </x:c>
    </x:row>
    <x:row r="9" spans="1:7" s="1" customFormat="1">
      <x:c r="A9" s="1" t="s">
        <x:v>1475</x:v>
      </x:c>
      <x:c r="B9" s="1" t="s">
        <x:v>1188</x:v>
      </x:c>
      <x:c r="C9" s="8" t="s">
        <x:v>1268</x:v>
      </x:c>
      <x:c r="D9" s="9">
        <x:f>CONCATENATE(HYPERLINK("CALLTO:%2B356%207921%208080", "+356 7921 8080"))</x:f>
      </x:c>
      <x:c r="E9" s="8" t="s">
        <x:v>1350</x:v>
      </x:c>
      <x:c r="F9" s="8" t="s">
        <x:v>1335</x:v>
      </x:c>
    </x:row>
    <x:row r="10" spans="1:7" s="4" customFormat="1">
      <x:c r="A10" s="4" t="s">
        <x:v>1475</x:v>
      </x:c>
      <x:c r="B10" s="4" t="s">
        <x:v>1189</x:v>
      </x:c>
      <x:c r="C10" s="10" t="s">
        <x:v>1269</x:v>
      </x:c>
      <x:c r="D10" s="11">
        <x:f>CONCATENATE(HYPERLINK("CALLTO:%2B356%202155%206021", "+356 2155 6021"))</x:f>
      </x:c>
      <x:c r="E10" s="10" t="s">
        <x:v>1351</x:v>
      </x:c>
      <x:c r="F10" s="10" t="s">
        <x:v>1334</x:v>
      </x:c>
    </x:row>
    <x:row r="11" spans="1:7" s="3" customFormat="1">
      <x:c r="A11" s="3" t="s">
        <x:v>1475</x:v>
      </x:c>
      <x:c r="B11" s="3" t="s">
        <x:v>1244</x:v>
      </x:c>
      <x:c r="C11" s="6" t="s">
        <x:v>1295</x:v>
      </x:c>
      <x:c r="D11" s="7">
        <x:f>CONCATENATE(HYPERLINK("CALLTO:%2B356%202144%205165", "+356 2144 5165"))</x:f>
      </x:c>
      <x:c r="E11" s="6" t="s">
        <x:v>1406</x:v>
      </x:c>
      <x:c r="F11" s="6" t="s">
        <x:v>1467</x:v>
      </x:c>
    </x:row>
    <x:row r="12" spans="1:7" s="1" customFormat="1">
      <x:c r="A12" s="1" t="s">
        <x:v>1475</x:v>
      </x:c>
      <x:c r="B12" s="1" t="s">
        <x:v>1245</x:v>
      </x:c>
      <x:c r="C12" s="8" t="s">
        <x:v>1296</x:v>
      </x:c>
      <x:c r="D12" s="9">
        <x:f>CONCATENATE(HYPERLINK("CALLTO:%2B356%202142%204990", "+356 2142 4990"))</x:f>
      </x:c>
      <x:c r="E12" s="8" t="s">
        <x:v>1407</x:v>
      </x:c>
      <x:c r="F12" s="8" t="s">
        <x:v>1444</x:v>
      </x:c>
    </x:row>
    <x:row r="13" spans="1:7" s="4" customFormat="1">
      <x:c r="A13" s="4" t="s">
        <x:v>1475</x:v>
      </x:c>
      <x:c r="B13" s="4" t="s">
        <x:v>1246</x:v>
      </x:c>
      <x:c r="C13" s="10" t="s">
        <x:v>1288</x:v>
      </x:c>
      <x:c r="D13" s="11">
        <x:f>CONCATENATE(HYPERLINK("CALLTO:%2B356%202148%20688399498840", "+356 2148 688399498840"))</x:f>
      </x:c>
      <x:c r="E13" s="10" t="s">
        <x:v>1408</x:v>
      </x:c>
      <x:c r="F13" s="10" t="s">
        <x:v>5267</x:v>
      </x:c>
    </x:row>
    <x:row r="14" spans="1:7" s="3" customFormat="1">
      <x:c r="A14" s="3" t="s">
        <x:v>1475</x:v>
      </x:c>
      <x:c r="B14" s="3" t="s">
        <x:v>1225</x:v>
      </x:c>
      <x:c r="C14" s="6" t="s">
        <x:v>1303</x:v>
      </x:c>
      <x:c r="D14" s="7">
        <x:f>CONCATENATE(HYPERLINK("CALLTO:%2B356%202148%2028602148553621495485", "+356 2148 28602148553621495485"))</x:f>
      </x:c>
      <x:c r="E14" s="6" t="s">
        <x:v>1388</x:v>
      </x:c>
      <x:c r="F14" s="6" t="s">
        <x:v>5277</x:v>
      </x:c>
    </x:row>
    <x:row r="15" spans="1:7" s="1" customFormat="1">
      <x:c r="A15" s="1" t="s">
        <x:v>1475</x:v>
      </x:c>
      <x:c r="B15" s="1" t="s">
        <x:v>1248</x:v>
      </x:c>
      <x:c r="C15" s="8" t="s">
        <x:v>1487</x:v>
      </x:c>
      <x:c r="D15" s="9">
        <x:f>CONCATENATE(HYPERLINK("CALLTO:%2B356%202034%201569", "+356 2034 1569"))</x:f>
      </x:c>
      <x:c r="E15" s="8" t="s">
        <x:v>1410</x:v>
      </x:c>
      <x:c r="F15" s="8" t="s">
        <x:v>1443</x:v>
      </x:c>
    </x:row>
    <x:row r="16" spans="1:7" s="4" customFormat="1">
      <x:c r="A16" s="4" t="s">
        <x:v>1475</x:v>
      </x:c>
      <x:c r="B16" s="4" t="s">
        <x:v>1249</x:v>
      </x:c>
      <x:c r="C16" s="10" t="s">
        <x:v>1318</x:v>
      </x:c>
      <x:c r="D16" s="11">
        <x:f>CONCATENATE(HYPERLINK("CALLTO:%2B356%202137%201891", "+356 2137 1891"))</x:f>
      </x:c>
      <x:c r="E16" s="10" t="s">
        <x:v>1411</x:v>
      </x:c>
      <x:c r="F16" s="10" t="s">
        <x:v>1454</x:v>
      </x:c>
    </x:row>
    <x:row r="17" spans="1:7" s="3" customFormat="1">
      <x:c r="A17" s="3" t="s">
        <x:v>1475</x:v>
      </x:c>
      <x:c r="B17" s="3" t="s">
        <x:v>1250</x:v>
      </x:c>
      <x:c r="C17" s="6" t="s">
        <x:v>1273</x:v>
      </x:c>
      <x:c r="D17" s="7">
        <x:f>CONCATENATE(HYPERLINK("CALLTO:%2B356%202144%201328", "+356 2144 1328"))</x:f>
      </x:c>
      <x:c r="E17" s="6" t="s">
        <x:v>1412</x:v>
      </x:c>
      <x:c r="F17" s="6" t="s">
        <x:v>1432</x:v>
      </x:c>
    </x:row>
    <x:row r="18" spans="1:7" s="1" customFormat="1">
      <x:c r="A18" s="1" t="s">
        <x:v>1475</x:v>
      </x:c>
      <x:c r="B18" s="1" t="s">
        <x:v>1215</x:v>
      </x:c>
      <x:c r="C18" s="8" t="s">
        <x:v>1294</x:v>
      </x:c>
      <x:c r="D18" s="9">
        <x:f>CONCATENATE(HYPERLINK("CALLTO:%2B356%202144%20849979522969", "+356 2144 849979522969"))</x:f>
      </x:c>
      <x:c r="E18" s="8" t="s">
        <x:v>1414</x:v>
      </x:c>
      <x:c r="F18" s="8" t="s">
        <x:v>1469</x:v>
      </x:c>
    </x:row>
    <x:row r="19" spans="1:7" s="4" customFormat="1">
      <x:c r="A19" s="4" t="s">
        <x:v>1475</x:v>
      </x:c>
      <x:c r="B19" s="4" t="s">
        <x:v>1223</x:v>
      </x:c>
      <x:c r="C19" s="10" t="s">
        <x:v>1302</x:v>
      </x:c>
      <x:c r="D19" s="11">
        <x:f>CONCATENATE(HYPERLINK("CALLTO:%2B356%202144%20964121440202", "+356 2144 964121440202"))</x:f>
      </x:c>
      <x:c r="E19" s="10" t="s">
        <x:v>1386</x:v>
      </x:c>
      <x:c r="F19" s="10" t="s">
        <x:v>4823</x:v>
      </x:c>
    </x:row>
    <x:row r="20" spans="1:7" s="3" customFormat="1">
      <x:c r="A20" s="3" t="s">
        <x:v>1475</x:v>
      </x:c>
      <x:c r="B20" s="3" t="s">
        <x:v>1253</x:v>
      </x:c>
      <x:c r="C20" s="6" t="s">
        <x:v>1320</x:v>
      </x:c>
      <x:c r="D20" s="7">
        <x:f>CONCATENATE(HYPERLINK("CALLTO:%2B356%202278%202000", "+356 2278 2000"))</x:f>
      </x:c>
      <x:c r="E20" s="6" t="s">
        <x:v>1416</x:v>
      </x:c>
      <x:c r="F20" s="6" t="s">
        <x:v>1470</x:v>
      </x:c>
    </x:row>
    <x:row r="21" spans="1:7" s="1" customFormat="1">
      <x:c r="A21" s="1" t="s">
        <x:v>1475</x:v>
      </x:c>
      <x:c r="B21" s="1" t="s">
        <x:v>1196</x:v>
      </x:c>
      <x:c r="C21" s="8" t="s">
        <x:v>1274</x:v>
      </x:c>
      <x:c r="D21" s="9">
        <x:f>CONCATENATE(HYPERLINK("CALLTO:%2B356%202749%205590", "+356 2749 5590"))</x:f>
      </x:c>
      <x:c r="E21" s="8" t="s">
        <x:v>1418</x:v>
      </x:c>
      <x:c r="F21" s="8" t="s">
        <x:v>1329</x:v>
      </x:c>
    </x:row>
    <x:row r="22" spans="1:7" s="4" customFormat="1">
      <x:c r="A22" s="4" t="s">
        <x:v>1475</x:v>
      </x:c>
      <x:c r="B22" s="4" t="s">
        <x:v>1226</x:v>
      </x:c>
      <x:c r="C22" s="10" t="s">
        <x:v>1322</x:v>
      </x:c>
      <x:c r="D22" s="11">
        <x:f>CONCATENATE(HYPERLINK("CALLTO:%2B356%202144%200710", "+356 2144 0710"))</x:f>
      </x:c>
      <x:c r="E22" s="10" t="s">
        <x:v>1419</x:v>
      </x:c>
      <x:c r="F22" s="10" t="s">
        <x:v>5278</x:v>
      </x:c>
    </x:row>
    <x:row r="23" spans="1:7" s="3" customFormat="1">
      <x:c r="A23" s="3" t="s">
        <x:v>1475</x:v>
      </x:c>
      <x:c r="B23" s="3" t="s">
        <x:v>1217</x:v>
      </x:c>
      <x:c r="C23" s="6" t="s">
        <x:v>1296</x:v>
      </x:c>
      <x:c r="D23" s="7">
        <x:f>CONCATENATE(HYPERLINK("CALLTO:%2B356%202142%204990", "+356 2142 4990"))</x:f>
      </x:c>
      <x:c r="E23" s="6" t="s">
        <x:v>1380</x:v>
      </x:c>
      <x:c r="F23" s="6" t="s">
        <x:v>1452</x:v>
      </x:c>
    </x:row>
    <x:row r="24" spans="1:7" s="1" customFormat="1"/>
    <x:row r="25" spans="1:7" s="4" customFormat="1">
      <x:c r="B25" s="4" t="s">
        <x:v>1476</x:v>
      </x:c>
      <x:c r="C25" s="10" t="s">
        <x:v>1488</x:v>
      </x:c>
    </x:row>
    <x:row r="26" spans="1:7" s="3" customFormat="1">
      <x:c r="B26" s="3" t="s">
        <x:v>1477</x:v>
      </x:c>
      <x:c r="C26" s="6" t="s">
        <x:v>1489</x:v>
      </x:c>
    </x:row>
    <x:row r="27" spans="1:7" s="1" customFormat="1">
      <x:c r="B27" s="1" t="s">
        <x:v>1478</x:v>
      </x:c>
      <x:c r="C27" s="8" t="s">
        <x:v>1490</x:v>
      </x:c>
    </x:row>
    <x:row r="28" spans="1:7" s="4" customFormat="1">
      <x:c r="B28" s="4" t="s">
        <x:v>1479</x:v>
      </x:c>
      <x:c r="C28" s="10" t="s">
        <x:v>1491</x:v>
      </x:c>
    </x:row>
    <x:row r="29" spans="1:7" s="3" customFormat="1">
      <x:c r="B29" s="3" t="s">
        <x:v>1480</x:v>
      </x:c>
      <x:c r="C29" s="6" t="s">
        <x:v>1493</x:v>
      </x:c>
    </x:row>
    <x:row r="30" spans="1:7" s="1" customFormat="1">
      <x:c r="B30" s="1" t="s">
        <x:v>1481</x:v>
      </x:c>
      <x:c r="C30" s="8" t="s">
        <x:v>1492</x:v>
      </x:c>
    </x:row>
    <x:row r="31" spans="1:7" s="4" customFormat="1">
      <x:c r="B31" s="4" t="s">
        <x:v>1188</x:v>
      </x:c>
      <x:c r="C31" s="10" t="s">
        <x:v>1268</x:v>
      </x:c>
    </x:row>
    <x:row r="32" spans="1:7" s="3" customFormat="1">
      <x:c r="B32" s="3" t="s">
        <x:v>1482</x:v>
      </x:c>
      <x:c r="C32" s="6" t="s">
        <x:v>1494</x:v>
      </x:c>
    </x:row>
    <x:row r="33" spans="1:7" s="1" customFormat="1">
      <x:c r="B33" s="1" t="s">
        <x:v>1483</x:v>
      </x:c>
      <x:c r="C33" s="8" t="s">
        <x:v>1495</x:v>
      </x:c>
    </x:row>
    <x:row r="34" spans="1:7" s="4" customFormat="1">
      <x:c r="B34" s="4" t="s">
        <x:v>1484</x:v>
      </x:c>
      <x:c r="C34" s="10" t="s">
        <x:v>1497</x:v>
      </x:c>
    </x:row>
    <x:row r="35" spans="1:7" s="3" customFormat="1">
      <x:c r="B35" s="3" t="s">
        <x:v>1485</x:v>
      </x:c>
      <x:c r="C35" s="6" t="s">
        <x:v>1496</x:v>
      </x:c>
    </x:row>
    <x:row r="36" spans="1:7" s="1" customFormat="1">
      <x:c r="B36" s="1" t="s">
        <x:v>1486</x:v>
      </x:c>
    </x:row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</x:sheetData>
  <x:hyperlinks>
    <x:hyperlink ref="C2" r:id="rId1276" tooltip="Send a mail to deluxebathroomsmanagement@gmail.com"/>
    <x:hyperlink ref="C3" r:id="rId1277" tooltip="Send a mail to newlineliving@gmail.com"/>
    <x:hyperlink ref="C4" r:id="rId1278" tooltip="Send a mail to info@jpitre.com"/>
    <x:hyperlink ref="C5" r:id="rId1279" tooltip="Send a mail to info@banjuboutique.com"/>
    <x:hyperlink ref="C6" r:id="rId1280" tooltip="Send a mail to sales@bridgepoint.com.mt"/>
    <x:hyperlink ref="C7" r:id="rId1281" tooltip="Send a mail to gozobaths@gmail.com"/>
    <x:hyperlink ref="C8" r:id="rId1282" tooltip="Send a mail to info@alexmercieca.com"/>
    <x:hyperlink ref="C9" r:id="rId1283" tooltip="Send a mail to faenzabathroomsmalta@gmail.com"/>
    <x:hyperlink ref="C10" r:id="rId1284" tooltip="Send a mail to mail@afellis.com.tm"/>
    <x:hyperlink ref="C11" r:id="rId1285" tooltip="Send a mail to info@vellafalzon.com"/>
    <x:hyperlink ref="C12" r:id="rId1286" tooltip="Send a mail to info@vellmann.com"/>
    <x:hyperlink ref="C13" r:id="rId1287" tooltip="Send a mail to info@magribathrooms.com"/>
    <x:hyperlink ref="C14" r:id="rId1288" tooltip="Send a mail to info@falzons.com"/>
    <x:hyperlink ref="C15" r:id="rId1289" tooltip="Send a mail to sales@maltadiy.com"/>
    <x:hyperlink ref="C16" r:id="rId1290" tooltip="Send a mail to info@the-tile.com"/>
    <x:hyperlink ref="C17" r:id="rId1291" tooltip="Send a mail to info@bathroomdesign.com.mt"/>
    <x:hyperlink ref="C18" r:id="rId1292" tooltip="Send a mail to sales@thetubmalta.com"/>
    <x:hyperlink ref="C19" r:id="rId1293" tooltip="Send a mail to sales@carinibathrooms.com"/>
    <x:hyperlink ref="C20" r:id="rId1294" tooltip="Send a mail to info@waterartconcepts.com"/>
    <x:hyperlink ref="C21" r:id="rId1295" tooltip="Send a mail to bc.bathrooms@gmail.com"/>
    <x:hyperlink ref="C22" r:id="rId1296" tooltip="Send a mail to info@bmsupplies.com"/>
    <x:hyperlink ref="C23" r:id="rId1297" tooltip="Send a mail to info@vellmann.com"/>
    <x:hyperlink ref="C25" r:id="rId1298" tooltip="Send a mail to info@dolphinpools.com.mt"/>
    <x:hyperlink ref="C26" r:id="rId1299" tooltip="Send a mail to mail@afellis.com.mt"/>
    <x:hyperlink ref="C27" r:id="rId1300" tooltip="Send a mail to pools@muscatpools.com"/>
    <x:hyperlink ref="C28" r:id="rId1301" tooltip="Send a mail to rodneycolombo@gmail.com"/>
    <x:hyperlink ref="C29" r:id="rId1302" tooltip="Send a mail to info@splashstoremalta.com"/>
    <x:hyperlink ref="C30" r:id="rId1303" tooltip="Send a mail to info@crystalpools.com.mt"/>
    <x:hyperlink ref="C31" r:id="rId1304" tooltip="Send a mail to faenzabathroomsmalta@gmail.com"/>
    <x:hyperlink ref="C32" r:id="rId1305" tooltip="Send a mail to shop@hometrends.com.mt"/>
    <x:hyperlink ref="C33" r:id="rId1306" tooltip="Send a mail to sales@casafini.com.mt"/>
    <x:hyperlink ref="C34" r:id="rId1307" tooltip="Send a mail to info@bigmatmalta.com"/>
    <x:hyperlink ref="C35" r:id="rId1308" tooltip="Send a mail to info@thegreatoutdoorsmalta.com"/>
    <x:hyperlink ref="E2" r:id="rId1309" tooltip="Search Triq Benghazi, Ghajnsielem-Gozo, GSM 1624 on Google Maps"/>
    <x:hyperlink ref="E3" r:id="rId1310" tooltip="Search Triq Papa Gwanni Pawlu II, Victoria-Gozo, Gozo VCT 9046 on Google Maps"/>
    <x:hyperlink ref="E4" r:id="rId1311" tooltip="Search Mdina Road, Qormi, QRM 9011, Malta on Google Maps"/>
    <x:hyperlink ref="E5" r:id="rId1312" tooltip="Search Paola Outlet Arcade Street, Paola PLA1212 on Google Maps"/>
    <x:hyperlink ref="E6" r:id="rId1313" tooltip="Search No 3, Triq Ferdinand Inglott, Attard ATD 3134 on Google Maps"/>
    <x:hyperlink ref="E7" r:id="rId1314" tooltip="Search Triq Dun Karm, Birkirkara, Malta on Google Maps"/>
    <x:hyperlink ref="E8" r:id="rId1315" tooltip="Search 25th November Avenue, Zejtun, ZTN2019 on Google Maps"/>
    <x:hyperlink ref="E9" r:id="rId1316" tooltip="Search 7 Triq I-Erba' Qaddisin on Google Maps"/>
    <x:hyperlink ref="E10" r:id="rId1317" tooltip="Search Triq il-Taflija Qasam Industrijali, Xewkija-Gozo, Gozo XWK 3000 on Google Maps"/>
    <x:hyperlink ref="E11" r:id="rId1318" tooltip="Search 13, Triq il-Furnar Qormi QRM 3504, Malta on Google Maps"/>
    <x:hyperlink ref="E12" r:id="rId1319" tooltip="Search Pantar Road Hal Lija LJA, 2023 on Google Maps"/>
    <x:hyperlink ref="E13" r:id="rId1320" tooltip="Search Triq il-Kanun, al Qormi, Malta on Google Maps"/>
    <x:hyperlink ref="E14" r:id="rId1321" tooltip="Search Falzon's Bathroom &amp; Ceramics, Triq il-Kummerc, Qormi, Malta on Google Maps"/>
    <x:hyperlink ref="E15" r:id="rId1322" tooltip="Search 160, Mdina Road, Zebbug ZBG9015 on Google Maps"/>
    <x:hyperlink ref="E16" r:id="rId1323" tooltip="Search Triq Bella Vista, San Gwann, Malta SGN 2690 on Google Maps"/>
    <x:hyperlink ref="E17" r:id="rId1324" tooltip="Search 356 Naxxar Road, B'Kara, BKR 9040, Malta on Google Maps"/>
    <x:hyperlink ref="E18" r:id="rId1325" tooltip="Search 313A, Triq il-Barrieri, St Venera on Google Maps"/>
    <x:hyperlink ref="E19" r:id="rId1326" tooltip="Search 435 St. Joseph High Road, St. Venera, Malta on Google Maps"/>
    <x:hyperlink ref="E20" r:id="rId1327" tooltip="Search Mill Street, Qormi QRM 3102, Malta on Google Maps"/>
    <x:hyperlink ref="E21" r:id="rId1328" tooltip="Search Triq Dun Karm, B'Kara Bypass, Birkirkara BKR 2940 on Google Maps"/>
    <x:hyperlink ref="E22" r:id="rId1329" tooltip="Search Triq Dun Karm, Kirkirkara, BKR 9035 on Google Maps"/>
    <x:hyperlink ref="E23" r:id="rId1330" tooltip="Search Pantar Estate Triq Pantar on Google Maps"/>
    <x:hyperlink ref="F2" r:id="rId1331" tooltip="Visit deluxe-bathrooms.com"/>
    <x:hyperlink ref="F3" r:id="rId1332" tooltip="Visit newline.com.mt"/>
    <x:hyperlink ref="F4" r:id="rId1333" tooltip="Visit pitrebathrooms.com"/>
    <x:hyperlink ref="F5" r:id="rId1334" tooltip="Visit banjuboutique.com"/>
    <x:hyperlink ref="F6" r:id="rId1335" tooltip="Visit bridgepoint.com"/>
    <x:hyperlink ref="F7" r:id="rId1336" tooltip="Visit facebook.com/p/Gozo-Baths-Ceramics-100063540523723/"/>
    <x:hyperlink ref="F8" r:id="rId1337" tooltip="Visit alexmercieca.com"/>
    <x:hyperlink ref="F9" r:id="rId1338" tooltip="Visit faenzabathrooms.com"/>
    <x:hyperlink ref="F10" r:id="rId1339" tooltip="Visit afellis.com.mt"/>
    <x:hyperlink ref="F11" r:id="rId1340" tooltip="Visit wvellafalzon.com"/>
    <x:hyperlink ref="F12" r:id="rId1341" tooltip="Visit vellmann.com"/>
    <x:hyperlink ref="F13" r:id="rId1342" tooltip="Visit magribathrooms.com"/>
    <x:hyperlink ref="F14" r:id="rId1343" tooltip="Visit falzons.com"/>
    <x:hyperlink ref="F15" r:id="rId1344" tooltip="Visit maltadiy.com"/>
    <x:hyperlink ref="F16" r:id="rId1345" tooltip="Visit the-tile.com"/>
    <x:hyperlink ref="F17" r:id="rId1346" tooltip="Visit bathroomdesign.com.mt"/>
    <x:hyperlink ref="F18" r:id="rId1347" tooltip="Visit thetub.com"/>
    <x:hyperlink ref="F19" r:id="rId1348" tooltip="Visit carinibathrooms.com"/>
    <x:hyperlink ref="F20" r:id="rId1349" tooltip="Visit waterartconcepts.com"/>
    <x:hyperlink ref="F21" r:id="rId1350" tooltip="Visit bc-bathrooms.com"/>
    <x:hyperlink ref="F22" r:id="rId1351" tooltip="Visit bmsupplies.com"/>
    <x:hyperlink ref="F23" r:id="rId1352" tooltip="Visit facebook.com/Vellmann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45"/>
  <x:sheetViews>
    <x:sheetView workbookViewId="0"/>
  </x:sheetViews>
  <x:sheetFormatPr defaultRowHeight="15"/>
  <x:cols>
    <x:col min="1" max="1" width="11.710625" style="0" customWidth="1"/>
    <x:col min="2" max="2" width="42.853482" style="0" customWidth="1"/>
    <x:col min="3" max="3" width="34.567768" style="0" customWidth="1"/>
    <x:col min="4" max="4" width="22.996339" style="0" customWidth="1"/>
    <x:col min="5" max="5" width="76.282054" style="0" customWidth="1"/>
    <x:col min="6" max="6" width="65.424911" style="0" customWidth="1"/>
    <x:col min="7" max="7" width="20.996339" style="0" customWidth="1"/>
  </x:cols>
  <x:sheetData>
    <x:row r="1" spans="1:7" s="2" customFormat="1">
      <x:c r="A1" s="2" t="s">
        <x:v>1498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5">
        <x:f>HYPERLINK("#'Summary List'!A28", "Back to Summary")</x:f>
      </x:c>
    </x:row>
    <x:row r="2" spans="1:7" s="3" customFormat="1">
      <x:c r="A2" s="3" t="s">
        <x:v>0</x:v>
      </x:c>
      <x:c r="B2" s="3" t="s">
        <x:v>1504</x:v>
      </x:c>
      <x:c r="C2" s="6" t="s">
        <x:v>1590</x:v>
      </x:c>
      <x:c r="D2" s="7">
        <x:f>CONCATENATE(HYPERLINK("CALLTO:%2B356%202141%205553", "+356 2141 5553"))</x:f>
      </x:c>
      <x:c r="E2" s="6" t="s">
        <x:v>1681</x:v>
      </x:c>
      <x:c r="F2" s="6" t="s">
        <x:v>1675</x:v>
      </x:c>
    </x:row>
    <x:row r="3" spans="1:7" s="1" customFormat="1">
      <x:c r="A3" s="1" t="s">
        <x:v>1499</x:v>
      </x:c>
      <x:c r="B3" s="1" t="s">
        <x:v>1505</x:v>
      </x:c>
      <x:c r="C3" s="8" t="s">
        <x:v>1591</x:v>
      </x:c>
      <x:c r="D3" s="9">
        <x:f>CONCATENATE(HYPERLINK("CALLTO:%2B356%202149%206473", "+356 2149 6473"))</x:f>
      </x:c>
      <x:c r="E3" s="8" t="s">
        <x:v>1682</x:v>
      </x:c>
      <x:c r="F3" s="8" t="s">
        <x:v>1673</x:v>
      </x:c>
    </x:row>
    <x:row r="4" spans="1:7" s="4" customFormat="1">
      <x:c r="A4" s="4" t="s">
        <x:v>1499</x:v>
      </x:c>
      <x:c r="B4" s="4" t="s">
        <x:v>1506</x:v>
      </x:c>
      <x:c r="C4" s="10" t="s">
        <x:v>1592</x:v>
      </x:c>
      <x:c r="D4" s="11">
        <x:f>CONCATENATE(HYPERLINK("CALLTO:%2B356%207904%209970", "+356 7904 9970"))</x:f>
      </x:c>
      <x:c r="E4" s="10" t="s">
        <x:v>1683</x:v>
      </x:c>
      <x:c r="F4" s="10" t="s">
        <x:v>1678</x:v>
      </x:c>
    </x:row>
    <x:row r="5" spans="1:7" s="3" customFormat="1">
      <x:c r="A5" s="3" t="s">
        <x:v>1499</x:v>
      </x:c>
      <x:c r="B5" s="3" t="s">
        <x:v>1507</x:v>
      </x:c>
      <x:c r="C5" s="6" t="s">
        <x:v>1593</x:v>
      </x:c>
      <x:c r="D5" s="7">
        <x:f>CONCATENATE(HYPERLINK("CALLTO:%2B356%202123%20215927232159", "+356 2123 215927232159"))</x:f>
      </x:c>
      <x:c r="E5" s="6" t="s">
        <x:v>1684</x:v>
      </x:c>
      <x:c r="F5" s="6" t="s">
        <x:v>1672</x:v>
      </x:c>
    </x:row>
    <x:row r="6" spans="1:7" s="1" customFormat="1">
      <x:c r="A6" s="1" t="s">
        <x:v>1499</x:v>
      </x:c>
      <x:c r="B6" s="1" t="s">
        <x:v>1508</x:v>
      </x:c>
      <x:c r="C6" s="8" t="s">
        <x:v>1594</x:v>
      </x:c>
      <x:c r="D6" s="9">
        <x:f>CONCATENATE(HYPERLINK("CALLTO:%2B356%202166%201317", "+356 2166 1317"))</x:f>
      </x:c>
      <x:c r="E6" s="8" t="s">
        <x:v>1685</x:v>
      </x:c>
      <x:c r="F6" s="8" t="s">
        <x:v>1474</x:v>
      </x:c>
    </x:row>
    <x:row r="7" spans="1:7" s="4" customFormat="1">
      <x:c r="A7" s="4" t="s">
        <x:v>1499</x:v>
      </x:c>
      <x:c r="B7" s="4" t="s">
        <x:v>1509</x:v>
      </x:c>
      <x:c r="C7" s="10" t="s">
        <x:v>1595</x:v>
      </x:c>
      <x:c r="D7" s="11">
        <x:f>CONCATENATE(HYPERLINK("CALLTO:%2B356%202155%201500", "+356 2155 1500"))</x:f>
      </x:c>
      <x:c r="E7" s="10" t="s">
        <x:v>1686</x:v>
      </x:c>
      <x:c r="F7" s="4" t="s">
        <x:v>144</x:v>
      </x:c>
    </x:row>
    <x:row r="8" spans="1:7" s="3" customFormat="1">
      <x:c r="A8" s="3" t="s">
        <x:v>1499</x:v>
      </x:c>
      <x:c r="B8" s="3" t="s">
        <x:v>1510</x:v>
      </x:c>
      <x:c r="C8" s="6" t="s">
        <x:v>1596</x:v>
      </x:c>
      <x:c r="D8" s="7">
        <x:f>CONCATENATE(HYPERLINK("CALLTO:%2B356%202144%205607", "+356 2144 5607"))</x:f>
      </x:c>
      <x:c r="E8" s="6" t="s">
        <x:v>1687</x:v>
      </x:c>
      <x:c r="F8" s="6" t="s">
        <x:v>1776</x:v>
      </x:c>
    </x:row>
    <x:row r="9" spans="1:7" s="1" customFormat="1">
      <x:c r="A9" s="1" t="s">
        <x:v>1499</x:v>
      </x:c>
      <x:c r="B9" s="1" t="s">
        <x:v>1511</x:v>
      </x:c>
      <x:c r="C9" s="8" t="s">
        <x:v>1597</x:v>
      </x:c>
      <x:c r="D9" s="9">
        <x:f>CONCATENATE(HYPERLINK("CALLTO:%2B356%202742%204632", "+356 2742 4632"))</x:f>
      </x:c>
      <x:c r="E9" s="8" t="s">
        <x:v>1688</x:v>
      </x:c>
      <x:c r="F9" s="8" t="s">
        <x:v>1777</x:v>
      </x:c>
    </x:row>
    <x:row r="10" spans="1:7" s="4" customFormat="1">
      <x:c r="A10" s="4" t="s">
        <x:v>1499</x:v>
      </x:c>
      <x:c r="B10" s="4" t="s">
        <x:v>1512</x:v>
      </x:c>
      <x:c r="C10" s="10" t="s">
        <x:v>1598</x:v>
      </x:c>
      <x:c r="D10" s="11">
        <x:f>CONCATENATE(HYPERLINK("CALLTO:%2B356%202146%203501", "+356 2146 3501"))</x:f>
      </x:c>
      <x:c r="E10" s="10" t="s">
        <x:v>1689</x:v>
      </x:c>
      <x:c r="F10" s="10" t="s">
        <x:v>1446</x:v>
      </x:c>
    </x:row>
    <x:row r="11" spans="1:7" s="3" customFormat="1">
      <x:c r="A11" s="3" t="s">
        <x:v>1499</x:v>
      </x:c>
      <x:c r="B11" s="3" t="s">
        <x:v>1254</x:v>
      </x:c>
      <x:c r="C11" s="6" t="s">
        <x:v>1321</x:v>
      </x:c>
      <x:c r="D11" s="7">
        <x:f>CONCATENATE(HYPERLINK("CALLTO:%2B356%202713%207364", "+356 2713 7364"))</x:f>
      </x:c>
      <x:c r="E11" s="6" t="s">
        <x:v>1690</x:v>
      </x:c>
      <x:c r="F11" s="6" t="s">
        <x:v>1429</x:v>
      </x:c>
    </x:row>
    <x:row r="12" spans="1:7" s="1" customFormat="1">
      <x:c r="A12" s="1" t="s">
        <x:v>1499</x:v>
      </x:c>
      <x:c r="B12" s="1" t="s">
        <x:v>1513</x:v>
      </x:c>
      <x:c r="C12" s="8" t="s">
        <x:v>1599</x:v>
      </x:c>
      <x:c r="D12" s="9">
        <x:f>CONCATENATE(HYPERLINK("CALLTO:%2B356%202124%200100", "+356 2124 0100"))</x:f>
      </x:c>
      <x:c r="E12" s="8" t="s">
        <x:v>1691</x:v>
      </x:c>
      <x:c r="F12" s="8" t="s">
        <x:v>1445</x:v>
      </x:c>
    </x:row>
    <x:row r="13" spans="1:7" s="4" customFormat="1">
      <x:c r="A13" s="4" t="s">
        <x:v>1499</x:v>
      </x:c>
      <x:c r="B13" s="4" t="s">
        <x:v>1514</x:v>
      </x:c>
      <x:c r="C13" s="10" t="s">
        <x:v>1600</x:v>
      </x:c>
      <x:c r="D13" s="11">
        <x:f>CONCATENATE(HYPERLINK("CALLTO:%2B356%202146%201961", "+356 2146 1961"))</x:f>
      </x:c>
      <x:c r="E13" s="10" t="s">
        <x:v>1692</x:v>
      </x:c>
      <x:c r="F13" s="10" t="s">
        <x:v>1441</x:v>
      </x:c>
    </x:row>
    <x:row r="14" spans="1:7" s="3" customFormat="1">
      <x:c r="A14" s="3" t="s">
        <x:v>1499</x:v>
      </x:c>
      <x:c r="B14" s="3" t="s">
        <x:v>1515</x:v>
      </x:c>
      <x:c r="C14" s="6" t="s">
        <x:v>1601</x:v>
      </x:c>
      <x:c r="D14" s="7">
        <x:f>CONCATENATE(HYPERLINK("CALLTO:%2B356%202144%209253", "+356 2144 9253"))</x:f>
      </x:c>
      <x:c r="E14" s="6" t="s">
        <x:v>1693</x:v>
      </x:c>
      <x:c r="F14" s="6" t="s">
        <x:v>1439</x:v>
      </x:c>
    </x:row>
    <x:row r="15" spans="1:7" s="1" customFormat="1">
      <x:c r="A15" s="1" t="s">
        <x:v>1499</x:v>
      </x:c>
      <x:c r="B15" s="1" t="s">
        <x:v>1065</x:v>
      </x:c>
      <x:c r="C15" s="8" t="s">
        <x:v>1072</x:v>
      </x:c>
      <x:c r="D15" s="9">
        <x:f>CONCATENATE(HYPERLINK("CALLTO:%2B356%202138%20768679387690", "+356 2138 768679387690"))</x:f>
      </x:c>
      <x:c r="E15" s="8" t="s">
        <x:v>1694</x:v>
      </x:c>
      <x:c r="F15" s="8" t="s">
        <x:v>1438</x:v>
      </x:c>
    </x:row>
    <x:row r="16" spans="1:7" s="4" customFormat="1">
      <x:c r="A16" s="4" t="s">
        <x:v>1499</x:v>
      </x:c>
      <x:c r="B16" s="4" t="s">
        <x:v>1516</x:v>
      </x:c>
      <x:c r="C16" s="10" t="s">
        <x:v>1602</x:v>
      </x:c>
      <x:c r="D16" s="11">
        <x:f>CONCATENATE(HYPERLINK("CALLTO:%2B356%207977%201054", "+356 7977 1054"))</x:f>
      </x:c>
      <x:c r="E16" s="10" t="s">
        <x:v>1695</x:v>
      </x:c>
      <x:c r="F16" s="10" t="s">
        <x:v>1781</x:v>
      </x:c>
    </x:row>
    <x:row r="17" spans="1:7" s="3" customFormat="1">
      <x:c r="A17" s="3" t="s">
        <x:v>1499</x:v>
      </x:c>
      <x:c r="B17" s="3" t="s">
        <x:v>1517</x:v>
      </x:c>
      <x:c r="C17" s="6" t="s">
        <x:v>1603</x:v>
      </x:c>
      <x:c r="D17" s="7">
        <x:f>CONCATENATE(HYPERLINK("CALLTO:%2B356%202799%205234", "+356 2799 5234"))</x:f>
      </x:c>
      <x:c r="E17" s="6" t="s">
        <x:v>1696</x:v>
      </x:c>
      <x:c r="F17" s="6" t="s">
        <x:v>1436</x:v>
      </x:c>
    </x:row>
    <x:row r="18" spans="1:7" s="1" customFormat="1">
      <x:c r="A18" s="1" t="s">
        <x:v>1499</x:v>
      </x:c>
      <x:c r="B18" s="1" t="s">
        <x:v>1518</x:v>
      </x:c>
      <x:c r="C18" s="8" t="s">
        <x:v>1604</x:v>
      </x:c>
      <x:c r="D18" s="9">
        <x:f>CONCATENATE(HYPERLINK("CALLTO:%2B356%202546%204000", "+356 2546 4000"))</x:f>
      </x:c>
      <x:c r="E18" s="8" t="s">
        <x:v>1697</x:v>
      </x:c>
      <x:c r="F18" s="8" t="s">
        <x:v>1431</x:v>
      </x:c>
    </x:row>
    <x:row r="19" spans="1:7" s="4" customFormat="1">
      <x:c r="A19" s="4" t="s">
        <x:v>1499</x:v>
      </x:c>
      <x:c r="B19" s="4" t="s">
        <x:v>1519</x:v>
      </x:c>
      <x:c r="C19" s="10" t="s">
        <x:v>1605</x:v>
      </x:c>
      <x:c r="D19" s="11">
        <x:f>CONCATENATE(HYPERLINK("CALLTO:%2B356%202143%204747", "+356 2143 4747"))</x:f>
      </x:c>
      <x:c r="E19" s="10" t="s">
        <x:v>1698</x:v>
      </x:c>
      <x:c r="F19" s="10" t="s">
        <x:v>1425</x:v>
      </x:c>
    </x:row>
    <x:row r="20" spans="1:7" s="3" customFormat="1">
      <x:c r="A20" s="3" t="s">
        <x:v>1499</x:v>
      </x:c>
      <x:c r="B20" s="3" t="s">
        <x:v>1520</x:v>
      </x:c>
      <x:c r="C20" s="6" t="s">
        <x:v>1606</x:v>
      </x:c>
      <x:c r="D20" s="7">
        <x:f>CONCATENATE(HYPERLINK("CALLTO:%2B356%202549%205000", "+356 2549 5000"))</x:f>
      </x:c>
      <x:c r="E20" s="6" t="s">
        <x:v>1699</x:v>
      </x:c>
      <x:c r="F20" s="6" t="s">
        <x:v>1428</x:v>
      </x:c>
    </x:row>
    <x:row r="21" spans="1:7" s="1" customFormat="1">
      <x:c r="A21" s="1" t="s">
        <x:v>1499</x:v>
      </x:c>
      <x:c r="B21" s="1" t="s">
        <x:v>1521</x:v>
      </x:c>
      <x:c r="C21" s="8" t="s">
        <x:v>1323</x:v>
      </x:c>
      <x:c r="D21" s="9">
        <x:f>CONCATENATE(HYPERLINK("CALLTO:%2B356%202549%203000", "+356 2549 3000"))</x:f>
      </x:c>
      <x:c r="E21" s="8" t="s">
        <x:v>1700</x:v>
      </x:c>
      <x:c r="F21" s="8" t="s">
        <x:v>4825</x:v>
      </x:c>
    </x:row>
    <x:row r="22" spans="1:7" s="4" customFormat="1">
      <x:c r="A22" s="4" t="s">
        <x:v>1499</x:v>
      </x:c>
      <x:c r="B22" s="4" t="s">
        <x:v>955</x:v>
      </x:c>
      <x:c r="C22" s="10" t="s">
        <x:v>1607</x:v>
      </x:c>
      <x:c r="D22" s="11">
        <x:f>CONCATENATE(HYPERLINK("CALLTO:%2B356%202326%202700", "+356 2326 2700"))</x:f>
      </x:c>
      <x:c r="E22" s="10" t="s">
        <x:v>1701</x:v>
      </x:c>
      <x:c r="F22" s="10" t="s">
        <x:v>1461</x:v>
      </x:c>
    </x:row>
    <x:row r="23" spans="1:7" s="3" customFormat="1">
      <x:c r="A23" s="3" t="s">
        <x:v>1499</x:v>
      </x:c>
      <x:c r="B23" s="3" t="s">
        <x:v>1522</x:v>
      </x:c>
      <x:c r="C23" s="6" t="s">
        <x:v>1608</x:v>
      </x:c>
      <x:c r="D23" s="7">
        <x:f>CONCATENATE(HYPERLINK("CALLTO:%2B356%202148%204992", "+356 2148 4992"))</x:f>
      </x:c>
      <x:c r="E23" s="6" t="s">
        <x:v>1702</x:v>
      </x:c>
      <x:c r="F23" s="6" t="s">
        <x:v>5280</x:v>
      </x:c>
    </x:row>
    <x:row r="24" spans="1:7" s="1" customFormat="1">
      <x:c r="A24" s="1" t="s">
        <x:v>1499</x:v>
      </x:c>
      <x:c r="B24" s="1" t="s">
        <x:v>1523</x:v>
      </x:c>
      <x:c r="C24" s="8" t="s">
        <x:v>1609</x:v>
      </x:c>
      <x:c r="D24" s="9">
        <x:f>CONCATENATE(HYPERLINK("CALLTO:%2B356%202166%206488", "+356 2166 6488"))</x:f>
      </x:c>
      <x:c r="E24" s="8" t="s">
        <x:v>1703</x:v>
      </x:c>
      <x:c r="F24" s="8" t="s">
        <x:v>5281</x:v>
      </x:c>
    </x:row>
    <x:row r="25" spans="1:7" s="4" customFormat="1">
      <x:c r="A25" s="4" t="s">
        <x:v>1499</x:v>
      </x:c>
      <x:c r="B25" s="4" t="s">
        <x:v>1524</x:v>
      </x:c>
      <x:c r="C25" s="10" t="s">
        <x:v>1610</x:v>
      </x:c>
      <x:c r="D25" s="11">
        <x:f>CONCATENATE(HYPERLINK("CALLTO:%2B356%202164%202343", "+356 2164 2343"))</x:f>
      </x:c>
      <x:c r="E25" s="10" t="s">
        <x:v>1704</x:v>
      </x:c>
      <x:c r="F25" s="10" t="s">
        <x:v>5282</x:v>
      </x:c>
    </x:row>
    <x:row r="26" spans="1:7" s="3" customFormat="1">
      <x:c r="A26" s="3" t="s">
        <x:v>1499</x:v>
      </x:c>
      <x:c r="B26" s="3" t="s">
        <x:v>1525</x:v>
      </x:c>
      <x:c r="C26" s="3" t="s">
        <x:v>144</x:v>
      </x:c>
      <x:c r="D26" s="7">
        <x:f>CONCATENATE(HYPERLINK("CALLTO:%2B356%202133%20363821333639", "+356 2133 363821333639"))</x:f>
      </x:c>
      <x:c r="E26" s="6" t="s">
        <x:v>1705</x:v>
      </x:c>
      <x:c r="F26" s="6" t="s">
        <x:v>5283</x:v>
      </x:c>
    </x:row>
    <x:row r="27" spans="1:7" s="1" customFormat="1">
      <x:c r="A27" s="1" t="s">
        <x:v>1499</x:v>
      </x:c>
      <x:c r="B27" s="1" t="s">
        <x:v>1526</x:v>
      </x:c>
      <x:c r="C27" s="8" t="s">
        <x:v>1611</x:v>
      </x:c>
      <x:c r="D27" s="9">
        <x:f>CONCATENATE(HYPERLINK("CALLTO:%2B356%202131%206678", "+356 2131 6678"))</x:f>
      </x:c>
      <x:c r="E27" s="8" t="s">
        <x:v>1706</x:v>
      </x:c>
      <x:c r="F27" s="8" t="s">
        <x:v>1783</x:v>
      </x:c>
    </x:row>
    <x:row r="28" spans="1:7" s="4" customFormat="1">
      <x:c r="A28" s="4" t="s">
        <x:v>1499</x:v>
      </x:c>
      <x:c r="B28" s="4" t="s">
        <x:v>1527</x:v>
      </x:c>
      <x:c r="C28" s="10" t="s">
        <x:v>1612</x:v>
      </x:c>
      <x:c r="D28" s="11">
        <x:f>CONCATENATE(HYPERLINK("CALLTO:%2B356%202141%20796779300135", "+356 2141 796779300135"))</x:f>
      </x:c>
      <x:c r="E28" s="10" t="s">
        <x:v>1707</x:v>
      </x:c>
      <x:c r="F28" s="10" t="s">
        <x:v>5284</x:v>
      </x:c>
    </x:row>
    <x:row r="29" spans="1:7" s="3" customFormat="1">
      <x:c r="A29" s="3" t="s">
        <x:v>1499</x:v>
      </x:c>
      <x:c r="B29" s="3" t="s">
        <x:v>1528</x:v>
      </x:c>
      <x:c r="C29" s="6" t="s">
        <x:v>1613</x:v>
      </x:c>
      <x:c r="D29" s="7">
        <x:f>CONCATENATE(HYPERLINK("CALLTO:%2B356%202122%20025821234453", "+356 2122 025821234453"))</x:f>
      </x:c>
      <x:c r="E29" s="6" t="s">
        <x:v>1708</x:v>
      </x:c>
      <x:c r="F29" s="6" t="s">
        <x:v>1784</x:v>
      </x:c>
    </x:row>
    <x:row r="30" spans="1:7" s="1" customFormat="1">
      <x:c r="A30" s="1" t="s">
        <x:v>1499</x:v>
      </x:c>
      <x:c r="B30" s="1" t="s">
        <x:v>1529</x:v>
      </x:c>
      <x:c r="C30" s="8" t="s">
        <x:v>1614</x:v>
      </x:c>
      <x:c r="D30" s="9">
        <x:f>CONCATENATE(HYPERLINK("CALLTO:%2B356%207710%205385", "+356 7710 5385"))</x:f>
      </x:c>
      <x:c r="E30" s="8" t="s">
        <x:v>1709</x:v>
      </x:c>
      <x:c r="F30" s="8" t="s">
        <x:v>5285</x:v>
      </x:c>
    </x:row>
    <x:row r="31" spans="1:7" s="4" customFormat="1">
      <x:c r="A31" s="4" t="s">
        <x:v>1499</x:v>
      </x:c>
      <x:c r="B31" s="4" t="s">
        <x:v>1530</x:v>
      </x:c>
      <x:c r="C31" s="10" t="s">
        <x:v>1615</x:v>
      </x:c>
      <x:c r="D31" s="11">
        <x:f>CONCATENATE(HYPERLINK("CALLTO:%2B356%202131%200334", "+356 2131 0334"))</x:f>
      </x:c>
      <x:c r="E31" s="10" t="s">
        <x:v>1710</x:v>
      </x:c>
      <x:c r="F31" s="10" t="s">
        <x:v>1785</x:v>
      </x:c>
    </x:row>
    <x:row r="32" spans="1:7" s="3" customFormat="1">
      <x:c r="A32" s="3" t="s">
        <x:v>1499</x:v>
      </x:c>
      <x:c r="B32" s="3" t="s">
        <x:v>1531</x:v>
      </x:c>
      <x:c r="C32" s="6" t="s">
        <x:v>1616</x:v>
      </x:c>
      <x:c r="D32" s="7">
        <x:f>CONCATENATE(HYPERLINK("CALLTO:%2B356%202189%200459", "+356 2189 0459"))</x:f>
      </x:c>
      <x:c r="E32" s="6" t="s">
        <x:v>1711</x:v>
      </x:c>
      <x:c r="F32" s="6" t="s">
        <x:v>5286</x:v>
      </x:c>
    </x:row>
    <x:row r="33" spans="1:7" s="1" customFormat="1">
      <x:c r="A33" s="1" t="s">
        <x:v>1499</x:v>
      </x:c>
      <x:c r="B33" s="1" t="s">
        <x:v>1532</x:v>
      </x:c>
      <x:c r="C33" s="8" t="s">
        <x:v>1617</x:v>
      </x:c>
      <x:c r="D33" s="9">
        <x:f>CONCATENATE(HYPERLINK("CALLTO:%2B356%202095%209595", "+356 2095 9595"))</x:f>
      </x:c>
      <x:c r="E33" s="8" t="s">
        <x:v>1712</x:v>
      </x:c>
      <x:c r="F33" s="8" t="s">
        <x:v>5287</x:v>
      </x:c>
    </x:row>
    <x:row r="34" spans="1:7" s="4" customFormat="1">
      <x:c r="A34" s="4" t="s">
        <x:v>1499</x:v>
      </x:c>
      <x:c r="B34" s="4" t="s">
        <x:v>1533</x:v>
      </x:c>
      <x:c r="C34" s="10" t="s">
        <x:v>1618</x:v>
      </x:c>
      <x:c r="D34" s="11">
        <x:f>CONCATENATE(HYPERLINK("CALLTO:%2B356%202149%209699", "+356 2149 9699"))</x:f>
      </x:c>
      <x:c r="E34" s="10" t="s">
        <x:v>1713</x:v>
      </x:c>
      <x:c r="F34" s="10" t="s">
        <x:v>5288</x:v>
      </x:c>
    </x:row>
    <x:row r="35" spans="1:7" s="3" customFormat="1">
      <x:c r="A35" s="3" t="s">
        <x:v>1499</x:v>
      </x:c>
      <x:c r="B35" s="3" t="s">
        <x:v>1534</x:v>
      </x:c>
      <x:c r="C35" s="6" t="s">
        <x:v>1619</x:v>
      </x:c>
      <x:c r="D35" s="7">
        <x:f>CONCATENATE(HYPERLINK("CALLTO:%2B356%202165%208358", "+356 2165 8358"))</x:f>
      </x:c>
      <x:c r="E35" s="6" t="s">
        <x:v>1714</x:v>
      </x:c>
      <x:c r="F35" s="6" t="s">
        <x:v>5289</x:v>
      </x:c>
    </x:row>
    <x:row r="36" spans="1:7" s="1" customFormat="1">
      <x:c r="A36" s="1" t="s">
        <x:v>1499</x:v>
      </x:c>
      <x:c r="B36" s="1" t="s">
        <x:v>1535</x:v>
      </x:c>
      <x:c r="C36" s="8" t="s">
        <x:v>1620</x:v>
      </x:c>
      <x:c r="D36" s="9">
        <x:f>CONCATENATE(HYPERLINK("CALLTO:%2B356%202152%203853", "+356 2152 3853"))</x:f>
      </x:c>
      <x:c r="E36" s="8" t="s">
        <x:v>1715</x:v>
      </x:c>
      <x:c r="F36" s="8" t="s">
        <x:v>1788</x:v>
      </x:c>
    </x:row>
    <x:row r="37" spans="1:7" s="4" customFormat="1">
      <x:c r="A37" s="4" t="s">
        <x:v>1500</x:v>
      </x:c>
      <x:c r="B37" s="4" t="s">
        <x:v>1536</x:v>
      </x:c>
      <x:c r="C37" s="10" t="s">
        <x:v>1621</x:v>
      </x:c>
      <x:c r="D37" s="11">
        <x:f>CONCATENATE(HYPERLINK("CALLTO:%2B356%207777%203085", "+356 7777 3085"))</x:f>
      </x:c>
      <x:c r="E37" s="10" t="s">
        <x:v>1716</x:v>
      </x:c>
      <x:c r="F37" s="10" t="s">
        <x:v>1789</x:v>
      </x:c>
    </x:row>
    <x:row r="38" spans="1:7" s="3" customFormat="1">
      <x:c r="A38" s="3" t="s">
        <x:v>1500</x:v>
      </x:c>
      <x:c r="B38" s="3" t="s">
        <x:v>1537</x:v>
      </x:c>
      <x:c r="C38" s="6" t="s">
        <x:v>1622</x:v>
      </x:c>
      <x:c r="D38" s="7">
        <x:f>CONCATENATE(HYPERLINK("CALLTO:%2B356%207775%205520", "+356 7775 5520"))</x:f>
      </x:c>
      <x:c r="E38" s="6" t="s">
        <x:v>1717</x:v>
      </x:c>
      <x:c r="F38" s="6" t="s">
        <x:v>1790</x:v>
      </x:c>
    </x:row>
    <x:row r="39" spans="1:7" s="1" customFormat="1">
      <x:c r="A39" s="1" t="s">
        <x:v>1500</x:v>
      </x:c>
      <x:c r="B39" s="1" t="s">
        <x:v>1538</x:v>
      </x:c>
      <x:c r="C39" s="8" t="s">
        <x:v>1623</x:v>
      </x:c>
      <x:c r="D39" s="9">
        <x:f>CONCATENATE(HYPERLINK("CALLTO:%2B356%202766%206622", "+356 2766 6622"))</x:f>
      </x:c>
      <x:c r="E39" s="8" t="s">
        <x:v>1718</x:v>
      </x:c>
      <x:c r="F39" s="8" t="s">
        <x:v>5290</x:v>
      </x:c>
    </x:row>
    <x:row r="40" spans="1:7" s="4" customFormat="1">
      <x:c r="A40" s="4" t="s">
        <x:v>1500</x:v>
      </x:c>
      <x:c r="B40" s="4" t="s">
        <x:v>1539</x:v>
      </x:c>
      <x:c r="C40" s="10" t="s">
        <x:v>1624</x:v>
      </x:c>
      <x:c r="D40" s="11">
        <x:f>CONCATENATE(HYPERLINK("CALLTO:%2B356%202755%205525", "+356 2755 5525"))</x:f>
      </x:c>
      <x:c r="E40" s="10" t="s">
        <x:v>1719</x:v>
      </x:c>
      <x:c r="F40" s="10" t="s">
        <x:v>5291</x:v>
      </x:c>
    </x:row>
    <x:row r="41" spans="1:7" s="3" customFormat="1">
      <x:c r="A41" s="3" t="s">
        <x:v>1500</x:v>
      </x:c>
      <x:c r="B41" s="3" t="s">
        <x:v>1540</x:v>
      </x:c>
      <x:c r="C41" s="6" t="s">
        <x:v>1625</x:v>
      </x:c>
      <x:c r="D41" s="7">
        <x:f>CONCATENATE(HYPERLINK("CALLTO:%2B356%202165%208152", "+356 2165 8152"))</x:f>
      </x:c>
      <x:c r="E41" s="6" t="s">
        <x:v>1720</x:v>
      </x:c>
      <x:c r="F41" s="6" t="s">
        <x:v>5292</x:v>
      </x:c>
    </x:row>
    <x:row r="42" spans="1:7" s="1" customFormat="1">
      <x:c r="A42" s="1" t="s">
        <x:v>1500</x:v>
      </x:c>
      <x:c r="B42" s="1" t="s">
        <x:v>1483</x:v>
      </x:c>
      <x:c r="C42" s="8" t="s">
        <x:v>1495</x:v>
      </x:c>
      <x:c r="D42" s="9">
        <x:f>CONCATENATE(HYPERLINK("CALLTO:%2B356%202122%200610", "+356 2122 0610"))</x:f>
      </x:c>
      <x:c r="E42" s="8" t="s">
        <x:v>1721</x:v>
      </x:c>
      <x:c r="F42" s="8" t="s">
        <x:v>5293</x:v>
      </x:c>
    </x:row>
    <x:row r="43" spans="1:7" s="4" customFormat="1">
      <x:c r="A43" s="4" t="s">
        <x:v>1500</x:v>
      </x:c>
      <x:c r="B43" s="4" t="s">
        <x:v>1541</x:v>
      </x:c>
      <x:c r="C43" s="10" t="s">
        <x:v>1626</x:v>
      </x:c>
      <x:c r="D43" s="11">
        <x:f>CONCATENATE(HYPERLINK("CALLTO:%2B356%202148%202662", "+356 2148 2662"))</x:f>
      </x:c>
      <x:c r="E43" s="10" t="s">
        <x:v>1722</x:v>
      </x:c>
      <x:c r="F43" s="10" t="s">
        <x:v>5294</x:v>
      </x:c>
    </x:row>
    <x:row r="44" spans="1:7" s="3" customFormat="1">
      <x:c r="A44" s="3" t="s">
        <x:v>1500</x:v>
      </x:c>
      <x:c r="B44" s="3" t="s">
        <x:v>1542</x:v>
      </x:c>
      <x:c r="C44" s="6" t="s">
        <x:v>1627</x:v>
      </x:c>
      <x:c r="D44" s="7">
        <x:f>CONCATENATE(HYPERLINK("CALLTO:%2B356%202010%206917", "+356 2010 6917"))</x:f>
      </x:c>
      <x:c r="E44" s="6" t="s">
        <x:v>1723</x:v>
      </x:c>
      <x:c r="F44" s="6" t="s">
        <x:v>5295</x:v>
      </x:c>
    </x:row>
    <x:row r="45" spans="1:7" s="1" customFormat="1">
      <x:c r="A45" s="1" t="s">
        <x:v>1500</x:v>
      </x:c>
      <x:c r="B45" s="1" t="s">
        <x:v>1543</x:v>
      </x:c>
      <x:c r="C45" s="8" t="s">
        <x:v>1628</x:v>
      </x:c>
      <x:c r="D45" s="9">
        <x:f>CONCATENATE(HYPERLINK("CALLTO:%2B356%202144%209499", "+356 2144 9499"))</x:f>
      </x:c>
      <x:c r="E45" s="8" t="s">
        <x:v>1724</x:v>
      </x:c>
      <x:c r="F45" s="1" t="s">
        <x:v>144</x:v>
      </x:c>
    </x:row>
    <x:row r="46" spans="1:7" s="4" customFormat="1">
      <x:c r="A46" s="4" t="s">
        <x:v>1500</x:v>
      </x:c>
      <x:c r="B46" s="4" t="s">
        <x:v>1544</x:v>
      </x:c>
      <x:c r="C46" s="10" t="s">
        <x:v>1629</x:v>
      </x:c>
      <x:c r="D46" s="11">
        <x:f>CONCATENATE(HYPERLINK("CALLTO:%2B356%202124%209763", "+356 2124 9763"))</x:f>
      </x:c>
      <x:c r="E46" s="10" t="s">
        <x:v>1726</x:v>
      </x:c>
      <x:c r="F46" s="10" t="s">
        <x:v>1797</x:v>
      </x:c>
    </x:row>
    <x:row r="47" spans="1:7" s="3" customFormat="1">
      <x:c r="A47" s="3" t="s">
        <x:v>1500</x:v>
      </x:c>
      <x:c r="B47" s="3" t="s">
        <x:v>1545</x:v>
      </x:c>
      <x:c r="C47" s="6" t="s">
        <x:v>1630</x:v>
      </x:c>
      <x:c r="D47" s="7">
        <x:f>CONCATENATE(HYPERLINK("CALLTO:%2B356%202156%203364", "+356 2156 3364"))</x:f>
      </x:c>
      <x:c r="E47" s="6" t="s">
        <x:v>1725</x:v>
      </x:c>
      <x:c r="F47" s="6" t="s">
        <x:v>5296</x:v>
      </x:c>
    </x:row>
    <x:row r="48" spans="1:7" s="1" customFormat="1">
      <x:c r="A48" s="1" t="s">
        <x:v>1500</x:v>
      </x:c>
      <x:c r="B48" s="1" t="s">
        <x:v>1546</x:v>
      </x:c>
      <x:c r="C48" s="8" t="s">
        <x:v>1631</x:v>
      </x:c>
      <x:c r="D48" s="9">
        <x:f>CONCATENATE(HYPERLINK("CALLTO:%2B356%202144%206000", "+356 2144 6000"))</x:f>
      </x:c>
      <x:c r="E48" s="8" t="s">
        <x:v>1727</x:v>
      </x:c>
      <x:c r="F48" s="8" t="s">
        <x:v>5297</x:v>
      </x:c>
    </x:row>
    <x:row r="49" spans="1:7" s="4" customFormat="1">
      <x:c r="A49" s="4" t="s">
        <x:v>1500</x:v>
      </x:c>
      <x:c r="B49" s="4" t="s">
        <x:v>1547</x:v>
      </x:c>
      <x:c r="C49" s="10" t="s">
        <x:v>1632</x:v>
      </x:c>
      <x:c r="D49" s="11">
        <x:f>CONCATENATE(HYPERLINK("CALLTO:%2B356%202144%203539", "+356 2144 3539"))</x:f>
      </x:c>
      <x:c r="E49" s="10" t="s">
        <x:v>1728</x:v>
      </x:c>
      <x:c r="F49" s="10" t="s">
        <x:v>1800</x:v>
      </x:c>
    </x:row>
    <x:row r="50" spans="1:7" s="3" customFormat="1">
      <x:c r="A50" s="3" t="s">
        <x:v>1500</x:v>
      </x:c>
      <x:c r="B50" s="3" t="s">
        <x:v>1548</x:v>
      </x:c>
      <x:c r="C50" s="6" t="s">
        <x:v>1633</x:v>
      </x:c>
      <x:c r="D50" s="7">
        <x:f>CONCATENATE(HYPERLINK("CALLTO:%2B356%202152%202390", "+356 2152 2390"))</x:f>
      </x:c>
      <x:c r="E50" s="6" t="s">
        <x:v>1729</x:v>
      </x:c>
      <x:c r="F50" s="6" t="s">
        <x:v>5298</x:v>
      </x:c>
    </x:row>
    <x:row r="51" spans="1:7" s="1" customFormat="1">
      <x:c r="A51" s="1" t="s">
        <x:v>1500</x:v>
      </x:c>
      <x:c r="B51" s="1" t="s">
        <x:v>1549</x:v>
      </x:c>
      <x:c r="C51" s="8" t="s">
        <x:v>1634</x:v>
      </x:c>
      <x:c r="D51" s="9">
        <x:f>CONCATENATE(HYPERLINK("CALLTO:%2B356%209944%206951", "+356 9944 6951"))</x:f>
      </x:c>
      <x:c r="E51" s="8" t="s">
        <x:v>1730</x:v>
      </x:c>
      <x:c r="F51" s="8" t="s">
        <x:v>5299</x:v>
      </x:c>
    </x:row>
    <x:row r="52" spans="1:7" s="4" customFormat="1">
      <x:c r="A52" s="4" t="s">
        <x:v>1500</x:v>
      </x:c>
      <x:c r="B52" s="4" t="s">
        <x:v>1550</x:v>
      </x:c>
      <x:c r="C52" s="10" t="s">
        <x:v>1635</x:v>
      </x:c>
      <x:c r="D52" s="11">
        <x:f>CONCATENATE(HYPERLINK("CALLTO:%2B356%202180%201498", "+356 2180 1498"))</x:f>
      </x:c>
      <x:c r="E52" s="10" t="s">
        <x:v>1731</x:v>
      </x:c>
      <x:c r="F52" s="10" t="s">
        <x:v>1803</x:v>
      </x:c>
    </x:row>
    <x:row r="53" spans="1:7" s="3" customFormat="1">
      <x:c r="A53" s="3" t="s">
        <x:v>1500</x:v>
      </x:c>
      <x:c r="B53" s="3" t="s">
        <x:v>1551</x:v>
      </x:c>
      <x:c r="C53" s="6" t="s">
        <x:v>1636</x:v>
      </x:c>
      <x:c r="D53" s="7">
        <x:f>CONCATENATE(HYPERLINK("CALLTO:%2B356%209964%203810", "+356 9964 3810"))</x:f>
      </x:c>
      <x:c r="E53" s="6" t="s">
        <x:v>1732</x:v>
      </x:c>
      <x:c r="F53" s="6" t="s">
        <x:v>5300</x:v>
      </x:c>
    </x:row>
    <x:row r="54" spans="1:7" s="1" customFormat="1">
      <x:c r="A54" s="1" t="s">
        <x:v>1500</x:v>
      </x:c>
      <x:c r="B54" s="1" t="s">
        <x:v>1552</x:v>
      </x:c>
      <x:c r="C54" s="8" t="s">
        <x:v>1637</x:v>
      </x:c>
      <x:c r="D54" s="9">
        <x:f>CONCATENATE(HYPERLINK("CALLTO:%2B356%202546%205000", "+356 2546 5000"))</x:f>
      </x:c>
      <x:c r="E54" s="8" t="s">
        <x:v>1733</x:v>
      </x:c>
      <x:c r="F54" s="8" t="s">
        <x:v>5301</x:v>
      </x:c>
    </x:row>
    <x:row r="55" spans="1:7" s="4" customFormat="1">
      <x:c r="A55" s="4" t="s">
        <x:v>1500</x:v>
      </x:c>
      <x:c r="B55" s="4" t="s">
        <x:v>1553</x:v>
      </x:c>
      <x:c r="C55" s="10" t="s">
        <x:v>1638</x:v>
      </x:c>
      <x:c r="D55" s="11">
        <x:f>CONCATENATE(HYPERLINK("CALLTO:%2B356%209989%202178", "+356 9989 2178"))</x:f>
      </x:c>
      <x:c r="E55" s="10" t="s">
        <x:v>1734</x:v>
      </x:c>
      <x:c r="F55" s="10" t="s">
        <x:v>1806</x:v>
      </x:c>
    </x:row>
    <x:row r="56" spans="1:7" s="3" customFormat="1">
      <x:c r="A56" s="3" t="s">
        <x:v>1500</x:v>
      </x:c>
      <x:c r="B56" s="3" t="s">
        <x:v>1554</x:v>
      </x:c>
      <x:c r="C56" s="6" t="s">
        <x:v>1639</x:v>
      </x:c>
      <x:c r="D56" s="7">
        <x:f>CONCATENATE(HYPERLINK("CALLTO:%2B356%202123%208520", "+356 2123 8520"))</x:f>
      </x:c>
      <x:c r="E56" s="6" t="s">
        <x:v>1710</x:v>
      </x:c>
      <x:c r="F56" s="6" t="s">
        <x:v>1785</x:v>
      </x:c>
    </x:row>
    <x:row r="57" spans="1:7" s="1" customFormat="1">
      <x:c r="A57" s="1" t="s">
        <x:v>1500</x:v>
      </x:c>
      <x:c r="B57" s="1" t="s">
        <x:v>1555</x:v>
      </x:c>
      <x:c r="C57" s="8" t="s">
        <x:v>1640</x:v>
      </x:c>
      <x:c r="D57" s="9">
        <x:f>CONCATENATE(HYPERLINK("CALLTO:%2B356%202131%200334", "+356 2131 0334"))</x:f>
      </x:c>
      <x:c r="E57" s="8" t="s">
        <x:v>1688</x:v>
      </x:c>
      <x:c r="F57" s="8" t="s">
        <x:v>1777</x:v>
      </x:c>
    </x:row>
    <x:row r="58" spans="1:7" s="4" customFormat="1">
      <x:c r="A58" s="4" t="s">
        <x:v>1500</x:v>
      </x:c>
      <x:c r="B58" s="4" t="s">
        <x:v>1556</x:v>
      </x:c>
      <x:c r="C58" s="10" t="s">
        <x:v>1641</x:v>
      </x:c>
      <x:c r="D58" s="11">
        <x:f>CONCATENATE(HYPERLINK("CALLTO:%2B356%202742%204632", "+356 2742 4632"))</x:f>
      </x:c>
      <x:c r="E58" s="10" t="s">
        <x:v>1699</x:v>
      </x:c>
      <x:c r="F58" s="10" t="s">
        <x:v>1428</x:v>
      </x:c>
    </x:row>
    <x:row r="59" spans="1:7" s="3" customFormat="1">
      <x:c r="A59" s="3" t="s">
        <x:v>1500</x:v>
      </x:c>
      <x:c r="B59" s="3" t="s">
        <x:v>1557</x:v>
      </x:c>
      <x:c r="C59" s="6" t="s">
        <x:v>1642</x:v>
      </x:c>
      <x:c r="D59" s="7">
        <x:f>CONCATENATE(HYPERLINK("CALLTO:%2B356%202549%205000", "+356 2549 5000"))</x:f>
      </x:c>
      <x:c r="E59" s="6" t="s">
        <x:v>1701</x:v>
      </x:c>
      <x:c r="F59" s="6" t="s">
        <x:v>1461</x:v>
      </x:c>
    </x:row>
    <x:row r="60" spans="1:7" s="1" customFormat="1">
      <x:c r="A60" s="1" t="s">
        <x:v>1500</x:v>
      </x:c>
      <x:c r="B60" s="1" t="s">
        <x:v>1530</x:v>
      </x:c>
      <x:c r="C60" s="8" t="s">
        <x:v>1615</x:v>
      </x:c>
      <x:c r="D60" s="9">
        <x:f>CONCATENATE(HYPERLINK("CALLTO:%2B356%202326%202700", "+356 2326 2700"))</x:f>
      </x:c>
      <x:c r="E60" s="8" t="s">
        <x:v>1690</x:v>
      </x:c>
      <x:c r="F60" s="8" t="s">
        <x:v>1429</x:v>
      </x:c>
    </x:row>
    <x:row r="61" spans="1:7" s="4" customFormat="1">
      <x:c r="A61" s="4" t="s">
        <x:v>1500</x:v>
      </x:c>
      <x:c r="B61" s="4" t="s">
        <x:v>1511</x:v>
      </x:c>
      <x:c r="C61" s="10" t="s">
        <x:v>1597</x:v>
      </x:c>
      <x:c r="D61" s="11">
        <x:f>CONCATENATE(HYPERLINK("CALLTO:%2B356%202713%207364", "+356 2713 7364"))</x:f>
      </x:c>
      <x:c r="E61" s="10" t="s">
        <x:v>1698</x:v>
      </x:c>
      <x:c r="F61" s="10" t="s">
        <x:v>1425</x:v>
      </x:c>
    </x:row>
    <x:row r="62" spans="1:7" s="3" customFormat="1">
      <x:c r="A62" s="3" t="s">
        <x:v>1501</x:v>
      </x:c>
      <x:c r="B62" s="3" t="s">
        <x:v>1520</x:v>
      </x:c>
      <x:c r="C62" s="6" t="s">
        <x:v>1606</x:v>
      </x:c>
      <x:c r="D62" s="7">
        <x:f>CONCATENATE(HYPERLINK("CALLTO:%2B356%202143%204747", "+356 2143 4747"))</x:f>
      </x:c>
      <x:c r="E62" s="6" t="s">
        <x:v>1735</x:v>
      </x:c>
      <x:c r="F62" s="6" t="s">
        <x:v>1807</x:v>
      </x:c>
    </x:row>
    <x:row r="63" spans="1:7" s="1" customFormat="1">
      <x:c r="A63" s="1" t="s">
        <x:v>1501</x:v>
      </x:c>
      <x:c r="B63" s="1" t="s">
        <x:v>955</x:v>
      </x:c>
      <x:c r="C63" s="8" t="s">
        <x:v>1607</x:v>
      </x:c>
      <x:c r="D63" s="9">
        <x:f>CONCATENATE(HYPERLINK("CALLTO:%2B356%202799%20500099996755", "+356 2799 500099996755"))</x:f>
      </x:c>
      <x:c r="E63" s="8" t="s">
        <x:v>1700</x:v>
      </x:c>
      <x:c r="F63" s="8" t="s">
        <x:v>4825</x:v>
      </x:c>
    </x:row>
    <x:row r="64" spans="1:7" s="4" customFormat="1">
      <x:c r="A64" s="4" t="s">
        <x:v>1501</x:v>
      </x:c>
      <x:c r="B64" s="4" t="s">
        <x:v>1254</x:v>
      </x:c>
      <x:c r="C64" s="10" t="s">
        <x:v>1321</x:v>
      </x:c>
      <x:c r="D64" s="11">
        <x:f>CONCATENATE(HYPERLINK("CALLTO:%2B356%202549%203000", "+356 2549 3000"))</x:f>
      </x:c>
      <x:c r="E64" s="10" t="s">
        <x:v>1736</x:v>
      </x:c>
      <x:c r="F64" s="10" t="s">
        <x:v>1471</x:v>
      </x:c>
    </x:row>
    <x:row r="65" spans="1:7" s="3" customFormat="1">
      <x:c r="A65" s="3" t="s">
        <x:v>1501</x:v>
      </x:c>
      <x:c r="B65" s="3" t="s">
        <x:v>1519</x:v>
      </x:c>
      <x:c r="C65" s="6" t="s">
        <x:v>1605</x:v>
      </x:c>
      <x:c r="D65" s="7">
        <x:f>CONCATENATE(HYPERLINK("CALLTO:%2B356%202144%205733", "+356 2144 5733"))</x:f>
      </x:c>
      <x:c r="E65" s="6" t="s">
        <x:v>1399</x:v>
      </x:c>
      <x:c r="F65" s="6" t="s">
        <x:v>1463</x:v>
      </x:c>
    </x:row>
    <x:row r="66" spans="1:7" s="1" customFormat="1">
      <x:c r="A66" s="1" t="s">
        <x:v>1501</x:v>
      </x:c>
      <x:c r="B66" s="1" t="s">
        <x:v>1558</x:v>
      </x:c>
      <x:c r="C66" s="8" t="s">
        <x:v>1643</x:v>
      </x:c>
      <x:c r="D66" s="9">
        <x:f>CONCATENATE(HYPERLINK("CALLTO:%2B356%202156%203966", "+356 2156 3966"))</x:f>
      </x:c>
      <x:c r="E66" s="8" t="s">
        <x:v>1737</x:v>
      </x:c>
      <x:c r="F66" s="8" t="s">
        <x:v>1809</x:v>
      </x:c>
    </x:row>
    <x:row r="67" spans="1:7" s="4" customFormat="1">
      <x:c r="A67" s="4" t="s">
        <x:v>1501</x:v>
      </x:c>
      <x:c r="B67" s="4" t="s">
        <x:v>1521</x:v>
      </x:c>
      <x:c r="C67" s="10" t="s">
        <x:v>1323</x:v>
      </x:c>
      <x:c r="D67" s="11">
        <x:f>CONCATENATE(HYPERLINK("CALLTO:%2B356%202145%20171879288688", "+356 2145 171879288688"))</x:f>
      </x:c>
      <x:c r="E67" s="10" t="s">
        <x:v>1738</x:v>
      </x:c>
      <x:c r="F67" s="10" t="s">
        <x:v>1810</x:v>
      </x:c>
    </x:row>
    <x:row r="68" spans="1:7" s="3" customFormat="1">
      <x:c r="A68" s="3" t="s">
        <x:v>1501</x:v>
      </x:c>
      <x:c r="B68" s="3" t="s">
        <x:v>1559</x:v>
      </x:c>
      <x:c r="C68" s="3" t="s">
        <x:v>144</x:v>
      </x:c>
      <x:c r="D68" s="7">
        <x:f>CONCATENATE(HYPERLINK("CALLTO:%2B356%202152%204262", "+356 2152 4262"))</x:f>
      </x:c>
      <x:c r="E68" s="6" t="s">
        <x:v>1739</x:v>
      </x:c>
      <x:c r="F68" s="6" t="s">
        <x:v>1808</x:v>
      </x:c>
    </x:row>
    <x:row r="69" spans="1:7" s="1" customFormat="1">
      <x:c r="A69" s="1" t="s">
        <x:v>1501</x:v>
      </x:c>
      <x:c r="B69" s="1" t="s">
        <x:v>1238</x:v>
      </x:c>
      <x:c r="C69" s="8" t="s">
        <x:v>1311</x:v>
      </x:c>
      <x:c r="D69" s="9">
        <x:f>CONCATENATE(HYPERLINK("CALLTO:%2B356%207906%201065", "+356 7906 1065"))</x:f>
      </x:c>
      <x:c r="E69" s="8" t="s">
        <x:v>1740</x:v>
      </x:c>
      <x:c r="F69" s="8" t="s">
        <x:v>1812</x:v>
      </x:c>
    </x:row>
    <x:row r="70" spans="1:7" s="4" customFormat="1">
      <x:c r="A70" s="4" t="s">
        <x:v>1501</x:v>
      </x:c>
      <x:c r="B70" s="4" t="s">
        <x:v>1560</x:v>
      </x:c>
      <x:c r="C70" s="10" t="s">
        <x:v>1644</x:v>
      </x:c>
      <x:c r="D70" s="11">
        <x:f>CONCATENATE(HYPERLINK("CALLTO:%2B356%202765%201017", "+356 2765 1017"))</x:f>
      </x:c>
      <x:c r="E70" s="10" t="s">
        <x:v>1711</x:v>
      </x:c>
      <x:c r="F70" s="10" t="s">
        <x:v>5286</x:v>
      </x:c>
    </x:row>
    <x:row r="71" spans="1:7" s="3" customFormat="1">
      <x:c r="A71" s="3" t="s">
        <x:v>1501</x:v>
      </x:c>
      <x:c r="B71" s="3" t="s">
        <x:v>1561</x:v>
      </x:c>
      <x:c r="C71" s="6" t="s">
        <x:v>1645</x:v>
      </x:c>
      <x:c r="D71" s="7">
        <x:f>CONCATENATE(HYPERLINK("CALLTO:%2B356%202095%209595", "+356 2095 9595"))</x:f>
      </x:c>
      <x:c r="E71" s="6" t="s">
        <x:v>1712</x:v>
      </x:c>
      <x:c r="F71" s="6" t="s">
        <x:v>5287</x:v>
      </x:c>
    </x:row>
    <x:row r="72" spans="1:7" s="1" customFormat="1">
      <x:c r="A72" s="1" t="s">
        <x:v>1501</x:v>
      </x:c>
      <x:c r="B72" s="1" t="s">
        <x:v>1562</x:v>
      </x:c>
      <x:c r="C72" s="8" t="s">
        <x:v>1646</x:v>
      </x:c>
      <x:c r="D72" s="9">
        <x:f>CONCATENATE(HYPERLINK("CALLTO:%2B356%202149%209699", "+356 2149 9699"))</x:f>
      </x:c>
      <x:c r="E72" s="8" t="s">
        <x:v>1713</x:v>
      </x:c>
      <x:c r="F72" s="8" t="s">
        <x:v>5288</x:v>
      </x:c>
    </x:row>
    <x:row r="73" spans="1:7" s="4" customFormat="1">
      <x:c r="A73" s="4" t="s">
        <x:v>1501</x:v>
      </x:c>
      <x:c r="B73" s="4" t="s">
        <x:v>1563</x:v>
      </x:c>
      <x:c r="C73" s="10" t="s">
        <x:v>1647</x:v>
      </x:c>
      <x:c r="D73" s="11">
        <x:f>CONCATENATE(HYPERLINK("CALLTO:%2B356%202165%208358", "+356 2165 8358"))</x:f>
      </x:c>
      <x:c r="E73" s="10" t="s">
        <x:v>1741</x:v>
      </x:c>
      <x:c r="F73" s="10" t="s">
        <x:v>1813</x:v>
      </x:c>
    </x:row>
    <x:row r="74" spans="1:7" s="3" customFormat="1">
      <x:c r="A74" s="3" t="s">
        <x:v>1501</x:v>
      </x:c>
      <x:c r="B74" s="3" t="s">
        <x:v>1535</x:v>
      </x:c>
      <x:c r="C74" s="6" t="s">
        <x:v>1620</x:v>
      </x:c>
      <x:c r="D74" s="7">
        <x:f>CONCATENATE(HYPERLINK("CALLTO:%2B356%202141%200903", "+356 2141 0903"))</x:f>
      </x:c>
      <x:c r="E74" s="6" t="s">
        <x:v>1742</x:v>
      </x:c>
      <x:c r="F74" s="6" t="s">
        <x:v>5302</x:v>
      </x:c>
    </x:row>
    <x:row r="75" spans="1:7" s="1" customFormat="1">
      <x:c r="A75" s="1" t="s">
        <x:v>1502</x:v>
      </x:c>
      <x:c r="B75" s="1" t="s">
        <x:v>1536</x:v>
      </x:c>
      <x:c r="C75" s="8" t="s">
        <x:v>1621</x:v>
      </x:c>
      <x:c r="D75" s="9">
        <x:f>CONCATENATE(HYPERLINK("CALLTO:%2B356%202144%207266", "+356 2144 7266"))</x:f>
      </x:c>
      <x:c r="E75" s="8" t="s">
        <x:v>1717</x:v>
      </x:c>
      <x:c r="F75" s="8" t="s">
        <x:v>1790</x:v>
      </x:c>
    </x:row>
    <x:row r="76" spans="1:7" s="4" customFormat="1">
      <x:c r="A76" s="4" t="s">
        <x:v>1502</x:v>
      </x:c>
      <x:c r="B76" s="4" t="s">
        <x:v>1537</x:v>
      </x:c>
      <x:c r="C76" s="10" t="s">
        <x:v>1622</x:v>
      </x:c>
      <x:c r="D76" s="11">
        <x:f>CONCATENATE(HYPERLINK("CALLTO:%2B356%202766%206622", "+356 2766 6622"))</x:f>
      </x:c>
      <x:c r="E76" s="10" t="s">
        <x:v>1743</x:v>
      </x:c>
      <x:c r="F76" s="10" t="s">
        <x:v>1791</x:v>
      </x:c>
    </x:row>
    <x:row r="77" spans="1:7" s="3" customFormat="1">
      <x:c r="A77" s="3" t="s">
        <x:v>1502</x:v>
      </x:c>
      <x:c r="B77" s="3" t="s">
        <x:v>1564</x:v>
      </x:c>
      <x:c r="C77" s="6" t="s">
        <x:v>1648</x:v>
      </x:c>
      <x:c r="D77" s="7">
        <x:f>CONCATENATE(HYPERLINK("CALLTO:%2B356%202167%202432", "+356 2167 2432"))</x:f>
      </x:c>
      <x:c r="E77" s="6" t="s">
        <x:v>1719</x:v>
      </x:c>
      <x:c r="F77" s="6" t="s">
        <x:v>5291</x:v>
      </x:c>
    </x:row>
    <x:row r="78" spans="1:7" s="1" customFormat="1">
      <x:c r="A78" s="1" t="s">
        <x:v>1502</x:v>
      </x:c>
      <x:c r="B78" s="1" t="s">
        <x:v>1565</x:v>
      </x:c>
      <x:c r="C78" s="8" t="s">
        <x:v>1649</x:v>
      </x:c>
      <x:c r="D78" s="9">
        <x:f>CONCATENATE(HYPERLINK("CALLTO:%2B356%202165%208152", "+356 2165 8152"))</x:f>
      </x:c>
      <x:c r="E78" s="8" t="s">
        <x:v>1744</x:v>
      </x:c>
      <x:c r="F78" s="8" t="s">
        <x:v>1793</x:v>
      </x:c>
    </x:row>
    <x:row r="79" spans="1:7" s="4" customFormat="1">
      <x:c r="A79" s="4" t="s">
        <x:v>1502</x:v>
      </x:c>
      <x:c r="B79" s="4" t="s">
        <x:v>1483</x:v>
      </x:c>
      <x:c r="C79" s="10" t="s">
        <x:v>1495</x:v>
      </x:c>
      <x:c r="D79" s="11">
        <x:f>CONCATENATE(HYPERLINK("CALLTO:%2B356%202166%207106", "+356 2166 7106"))</x:f>
      </x:c>
      <x:c r="E79" s="10" t="s">
        <x:v>1721</x:v>
      </x:c>
      <x:c r="F79" s="10" t="s">
        <x:v>5293</x:v>
      </x:c>
    </x:row>
    <x:row r="80" spans="1:7" s="3" customFormat="1">
      <x:c r="A80" s="3" t="s">
        <x:v>1502</x:v>
      </x:c>
      <x:c r="B80" s="3" t="s">
        <x:v>1566</x:v>
      </x:c>
      <x:c r="C80" s="6" t="s">
        <x:v>1650</x:v>
      </x:c>
      <x:c r="D80" s="7">
        <x:f>CONCATENATE(HYPERLINK("CALLTO:%2B356%202148%202662", "+356 2148 2662"))</x:f>
      </x:c>
      <x:c r="E80" s="6" t="s">
        <x:v>1738</x:v>
      </x:c>
      <x:c r="F80" s="6" t="s">
        <x:v>1810</x:v>
      </x:c>
    </x:row>
    <x:row r="81" spans="1:7" s="1" customFormat="1">
      <x:c r="A81" s="1" t="s">
        <x:v>1502</x:v>
      </x:c>
      <x:c r="B81" s="1" t="s">
        <x:v>1542</x:v>
      </x:c>
      <x:c r="C81" s="8" t="s">
        <x:v>1627</x:v>
      </x:c>
      <x:c r="D81" s="9">
        <x:f>CONCATENATE(HYPERLINK("CALLTO:%2B356%202152%204262", "+356 2152 4262"))</x:f>
      </x:c>
      <x:c r="E81" s="8" t="s">
        <x:v>1722</x:v>
      </x:c>
      <x:c r="F81" s="8" t="s">
        <x:v>5294</x:v>
      </x:c>
    </x:row>
    <x:row r="82" spans="1:7" s="4" customFormat="1">
      <x:c r="A82" s="4" t="s">
        <x:v>1502</x:v>
      </x:c>
      <x:c r="B82" s="4" t="s">
        <x:v>1567</x:v>
      </x:c>
      <x:c r="C82" s="10" t="s">
        <x:v>1651</x:v>
      </x:c>
      <x:c r="D82" s="11">
        <x:f>CONCATENATE(HYPERLINK("CALLTO:%2B356%202010%206917", "+356 2010 6917"))</x:f>
      </x:c>
      <x:c r="E82" s="10" t="s">
        <x:v>1724</x:v>
      </x:c>
      <x:c r="F82" s="4" t="s">
        <x:v>144</x:v>
      </x:c>
    </x:row>
    <x:row r="83" spans="1:7" s="3" customFormat="1">
      <x:c r="A83" s="3" t="s">
        <x:v>1502</x:v>
      </x:c>
      <x:c r="B83" s="3" t="s">
        <x:v>1544</x:v>
      </x:c>
      <x:c r="C83" s="6" t="s">
        <x:v>1629</x:v>
      </x:c>
      <x:c r="D83" s="7">
        <x:f>CONCATENATE(HYPERLINK("CALLTO:%2B356%202124%209763", "+356 2124 9763"))</x:f>
      </x:c>
      <x:c r="E83" s="6" t="s">
        <x:v>1745</x:v>
      </x:c>
      <x:c r="F83" s="6" t="s">
        <x:v>1796</x:v>
      </x:c>
    </x:row>
    <x:row r="84" spans="1:7" s="1" customFormat="1">
      <x:c r="A84" s="1" t="s">
        <x:v>1502</x:v>
      </x:c>
      <x:c r="B84" s="1" t="s">
        <x:v>1561</x:v>
      </x:c>
      <x:c r="C84" s="8" t="s">
        <x:v>1645</x:v>
      </x:c>
      <x:c r="D84" s="9">
        <x:f>CONCATENATE(HYPERLINK("CALLTO:%2B356%209940%208444", "+356 9940 8444"))</x:f>
      </x:c>
      <x:c r="E84" s="8" t="s">
        <x:v>1746</x:v>
      </x:c>
      <x:c r="F84" s="8" t="s">
        <x:v>1795</x:v>
      </x:c>
    </x:row>
    <x:row r="85" spans="1:7" s="4" customFormat="1">
      <x:c r="A85" s="4" t="s">
        <x:v>1502</x:v>
      </x:c>
      <x:c r="B85" s="4" t="s">
        <x:v>1545</x:v>
      </x:c>
      <x:c r="C85" s="10" t="s">
        <x:v>1630</x:v>
      </x:c>
      <x:c r="D85" s="11">
        <x:f>CONCATENATE(HYPERLINK("CALLTO:%2B356%202148%203614", "+356 2148 3614"))</x:f>
      </x:c>
      <x:c r="E85" s="10" t="s">
        <x:v>1747</x:v>
      </x:c>
      <x:c r="F85" s="10" t="s">
        <x:v>1797</x:v>
      </x:c>
    </x:row>
    <x:row r="86" spans="1:7" s="3" customFormat="1">
      <x:c r="A86" s="3" t="s">
        <x:v>1502</x:v>
      </x:c>
      <x:c r="B86" s="3" t="s">
        <x:v>1547</x:v>
      </x:c>
      <x:c r="C86" s="6" t="s">
        <x:v>1632</x:v>
      </x:c>
      <x:c r="D86" s="7">
        <x:f>CONCATENATE(HYPERLINK("CALLTO:%2B356%202395%207630", "+356 2395 7630"))</x:f>
      </x:c>
      <x:c r="E86" s="6" t="s">
        <x:v>1748</x:v>
      </x:c>
      <x:c r="F86" s="6" t="s">
        <x:v>1819</x:v>
      </x:c>
    </x:row>
    <x:row r="87" spans="1:7" s="1" customFormat="1">
      <x:c r="A87" s="1" t="s">
        <x:v>1502</x:v>
      </x:c>
      <x:c r="B87" s="1" t="s">
        <x:v>1568</x:v>
      </x:c>
      <x:c r="C87" s="8" t="s">
        <x:v>1652</x:v>
      </x:c>
      <x:c r="D87" s="9">
        <x:f>CONCATENATE(HYPERLINK("CALLTO:%2B356%202156%203364", "+356 2156 3364"))</x:f>
      </x:c>
      <x:c r="E87" s="8" t="s">
        <x:v>1749</x:v>
      </x:c>
      <x:c r="F87" s="8" t="s">
        <x:v>1820</x:v>
      </x:c>
    </x:row>
    <x:row r="88" spans="1:7" s="4" customFormat="1">
      <x:c r="A88" s="4" t="s">
        <x:v>1502</x:v>
      </x:c>
      <x:c r="B88" s="4" t="s">
        <x:v>1569</x:v>
      </x:c>
      <x:c r="C88" s="10" t="s">
        <x:v>1653</x:v>
      </x:c>
      <x:c r="D88" s="11">
        <x:f>CONCATENATE(HYPERLINK("CALLTO:%2B356%202141%208984", "+356 2141 8984"))</x:f>
      </x:c>
      <x:c r="E88" s="10" t="s">
        <x:v>1750</x:v>
      </x:c>
      <x:c r="F88" s="10" t="s">
        <x:v>1821</x:v>
      </x:c>
    </x:row>
    <x:row r="89" spans="1:7" s="3" customFormat="1">
      <x:c r="A89" s="3" t="s">
        <x:v>1502</x:v>
      </x:c>
      <x:c r="B89" s="3" t="s">
        <x:v>1570</x:v>
      </x:c>
      <x:c r="C89" s="6" t="s">
        <x:v>1654</x:v>
      </x:c>
      <x:c r="D89" s="7">
        <x:f>CONCATENATE(HYPERLINK("CALLTO:%2B356%202123%200933", "+356 2123 0933"))</x:f>
      </x:c>
      <x:c r="E89" s="6" t="s">
        <x:v>1751</x:v>
      </x:c>
      <x:c r="F89" s="6" t="s">
        <x:v>1800</x:v>
      </x:c>
    </x:row>
    <x:row r="90" spans="1:7" s="1" customFormat="1">
      <x:c r="A90" s="1" t="s">
        <x:v>1502</x:v>
      </x:c>
      <x:c r="B90" s="1" t="s">
        <x:v>1548</x:v>
      </x:c>
      <x:c r="C90" s="8" t="s">
        <x:v>1633</x:v>
      </x:c>
      <x:c r="D90" s="9">
        <x:f>CONCATENATE(HYPERLINK("CALLTO:%2B356%207936%209176", "+356 7936 9176"))</x:f>
      </x:c>
      <x:c r="E90" s="8" t="s">
        <x:v>1752</x:v>
      </x:c>
      <x:c r="F90" s="8" t="s">
        <x:v>1429</x:v>
      </x:c>
    </x:row>
    <x:row r="91" spans="1:7" s="4" customFormat="1">
      <x:c r="A91" s="4" t="s">
        <x:v>1502</x:v>
      </x:c>
      <x:c r="B91" s="4" t="s">
        <x:v>1571</x:v>
      </x:c>
      <x:c r="C91" s="10" t="s">
        <x:v>1655</x:v>
      </x:c>
      <x:c r="D91" s="11">
        <x:f>CONCATENATE(HYPERLINK("CALLTO:%2B356%202152%202390", "+356 2152 2390"))</x:f>
      </x:c>
      <x:c r="E91" s="10" t="s">
        <x:v>1690</x:v>
      </x:c>
      <x:c r="F91" s="10" t="s">
        <x:v>5298</x:v>
      </x:c>
    </x:row>
    <x:row r="92" spans="1:7" s="3" customFormat="1">
      <x:c r="A92" s="3" t="s">
        <x:v>1502</x:v>
      </x:c>
      <x:c r="B92" s="3" t="s">
        <x:v>1572</x:v>
      </x:c>
      <x:c r="C92" s="6" t="s">
        <x:v>1656</x:v>
      </x:c>
      <x:c r="D92" s="7">
        <x:f>CONCATENATE(HYPERLINK("CALLTO:%2B356%202713%207364", "+356 2713 7364"))</x:f>
      </x:c>
      <x:c r="E92" s="6" t="s">
        <x:v>1729</x:v>
      </x:c>
      <x:c r="F92" s="6" t="s">
        <x:v>1803</x:v>
      </x:c>
    </x:row>
    <x:row r="93" spans="1:7" s="1" customFormat="1">
      <x:c r="A93" s="1" t="s">
        <x:v>1502</x:v>
      </x:c>
      <x:c r="B93" s="1" t="s">
        <x:v>1573</x:v>
      </x:c>
      <x:c r="C93" s="8" t="s">
        <x:v>1657</x:v>
      </x:c>
      <x:c r="D93" s="9">
        <x:f>CONCATENATE(HYPERLINK("CALLTO:%2B356%209944%206951", "+356 9944 6951"))</x:f>
      </x:c>
      <x:c r="E93" s="8" t="s">
        <x:v>1753</x:v>
      </x:c>
      <x:c r="F93" s="8" t="s">
        <x:v>1802</x:v>
      </x:c>
    </x:row>
    <x:row r="94" spans="1:7" s="4" customFormat="1">
      <x:c r="A94" s="4" t="s">
        <x:v>1502</x:v>
      </x:c>
      <x:c r="B94" s="4" t="s">
        <x:v>1551</x:v>
      </x:c>
      <x:c r="C94" s="10" t="s">
        <x:v>1636</x:v>
      </x:c>
      <x:c r="D94" s="11">
        <x:f>CONCATENATE(HYPERLINK("CALLTO:%2B356%209964%203810", "+356 9964 3810"))</x:f>
      </x:c>
      <x:c r="E94" s="10" t="s">
        <x:v>1754</x:v>
      </x:c>
      <x:c r="F94" s="10" t="s">
        <x:v>1823</x:v>
      </x:c>
    </x:row>
    <x:row r="95" spans="1:7" s="3" customFormat="1">
      <x:c r="A95" s="3" t="s">
        <x:v>1502</x:v>
      </x:c>
      <x:c r="B95" s="3" t="s">
        <x:v>1254</x:v>
      </x:c>
      <x:c r="C95" s="6" t="s">
        <x:v>1321</x:v>
      </x:c>
      <x:c r="D95" s="7">
        <x:f>CONCATENATE(HYPERLINK("CALLTO:%2B356%207959%203666", "+356 7959 3666"))</x:f>
      </x:c>
      <x:c r="E95" s="6" t="s">
        <x:v>1755</x:v>
      </x:c>
      <x:c r="F95" s="3" t="s">
        <x:v>144</x:v>
      </x:c>
    </x:row>
    <x:row r="96" spans="1:7" s="1" customFormat="1">
      <x:c r="A96" s="1" t="s">
        <x:v>1502</x:v>
      </x:c>
      <x:c r="B96" s="1" t="s">
        <x:v>1552</x:v>
      </x:c>
      <x:c r="C96" s="8" t="s">
        <x:v>1637</x:v>
      </x:c>
      <x:c r="D96" s="9">
        <x:f>CONCATENATE(HYPERLINK("CALLTO:%2B356%202122%204103", "+356 2122 4103"))</x:f>
      </x:c>
      <x:c r="E96" s="8" t="s">
        <x:v>1756</x:v>
      </x:c>
      <x:c r="F96" s="8" t="s">
        <x:v>1822</x:v>
      </x:c>
    </x:row>
    <x:row r="97" spans="1:7" s="4" customFormat="1">
      <x:c r="A97" s="4" t="s">
        <x:v>1502</x:v>
      </x:c>
      <x:c r="B97" s="4" t="s">
        <x:v>1554</x:v>
      </x:c>
      <x:c r="C97" s="10" t="s">
        <x:v>1639</x:v>
      </x:c>
      <x:c r="D97" s="11">
        <x:f>CONCATENATE(HYPERLINK("CALLTO:%2B356%209942%205609", "+356 9942 5609"))</x:f>
      </x:c>
      <x:c r="E97" s="10" t="s">
        <x:v>1757</x:v>
      </x:c>
      <x:c r="F97" s="10" t="s">
        <x:v>5303</x:v>
      </x:c>
    </x:row>
    <x:row r="98" spans="1:7" s="3" customFormat="1">
      <x:c r="A98" s="3" t="s">
        <x:v>1502</x:v>
      </x:c>
      <x:c r="B98" s="3" t="s">
        <x:v>1574</x:v>
      </x:c>
      <x:c r="C98" s="6" t="s">
        <x:v>1658</x:v>
      </x:c>
      <x:c r="D98" s="7">
        <x:f>CONCATENATE(HYPERLINK("CALLTO:%2B356%202123%200982", "+356 2123 0982"))</x:f>
      </x:c>
      <x:c r="E98" s="6" t="s">
        <x:v>1758</x:v>
      </x:c>
      <x:c r="F98" s="6" t="s">
        <x:v>1826</x:v>
      </x:c>
    </x:row>
    <x:row r="99" spans="1:7" s="1" customFormat="1">
      <x:c r="A99" s="1" t="s">
        <x:v>1502</x:v>
      </x:c>
      <x:c r="B99" s="1" t="s">
        <x:v>1575</x:v>
      </x:c>
      <x:c r="C99" s="8" t="s">
        <x:v>1659</x:v>
      </x:c>
      <x:c r="D99" s="9">
        <x:f>CONCATENATE(HYPERLINK("CALLTO:%2B356%202144%202455", "+356 2144 2455"))</x:f>
      </x:c>
      <x:c r="E99" s="8" t="s">
        <x:v>1759</x:v>
      </x:c>
      <x:c r="F99" s="8" t="s">
        <x:v>5304</x:v>
      </x:c>
    </x:row>
    <x:row r="100" spans="1:7" s="4" customFormat="1">
      <x:c r="A100" s="4" t="s">
        <x:v>1502</x:v>
      </x:c>
      <x:c r="B100" s="4" t="s">
        <x:v>1576</x:v>
      </x:c>
      <x:c r="C100" s="10" t="s">
        <x:v>1660</x:v>
      </x:c>
      <x:c r="D100" s="11">
        <x:f>CONCATENATE(HYPERLINK("CALLTO:%2B356%202149%206473", "+356 2149 6473"))</x:f>
      </x:c>
      <x:c r="E100" s="10" t="s">
        <x:v>1760</x:v>
      </x:c>
      <x:c r="F100" s="10" t="s">
        <x:v>5305</x:v>
      </x:c>
    </x:row>
    <x:row r="101" spans="1:7" s="3" customFormat="1">
      <x:c r="A101" s="3" t="s">
        <x:v>1502</x:v>
      </x:c>
      <x:c r="B101" s="3" t="s">
        <x:v>1577</x:v>
      </x:c>
      <x:c r="C101" s="6" t="s">
        <x:v>1661</x:v>
      </x:c>
      <x:c r="D101" s="7">
        <x:f>CONCATENATE(HYPERLINK("CALLTO:%2B356%202142%200226", "+356 2142 0226"))</x:f>
      </x:c>
      <x:c r="E101" s="6" t="s">
        <x:v>1761</x:v>
      </x:c>
      <x:c r="F101" s="6" t="s">
        <x:v>1441</x:v>
      </x:c>
    </x:row>
    <x:row r="102" spans="1:7" s="1" customFormat="1">
      <x:c r="A102" s="1" t="s">
        <x:v>1502</x:v>
      </x:c>
      <x:c r="B102" s="1" t="s">
        <x:v>1578</x:v>
      </x:c>
      <x:c r="C102" s="8" t="s">
        <x:v>1662</x:v>
      </x:c>
      <x:c r="D102" s="9">
        <x:f>CONCATENATE(HYPERLINK("CALLTO:%2B356%202144%204665", "+356 2144 4665"))</x:f>
      </x:c>
      <x:c r="E102" s="8" t="s">
        <x:v>1762</x:v>
      </x:c>
      <x:c r="F102" s="8" t="s">
        <x:v>1780</x:v>
      </x:c>
    </x:row>
    <x:row r="103" spans="1:7" s="4" customFormat="1">
      <x:c r="A103" s="4" t="s">
        <x:v>1502</x:v>
      </x:c>
      <x:c r="B103" s="4" t="s">
        <x:v>1579</x:v>
      </x:c>
      <x:c r="C103" s="10" t="s">
        <x:v>1663</x:v>
      </x:c>
      <x:c r="D103" s="11">
        <x:f>CONCATENATE(HYPERLINK("CALLTO:%2B356%202146%201961", "+356 2146 1961"))</x:f>
      </x:c>
      <x:c r="E103" s="10" t="s">
        <x:v>1763</x:v>
      </x:c>
      <x:c r="F103" s="10" t="s">
        <x:v>5296</x:v>
      </x:c>
    </x:row>
    <x:row r="104" spans="1:7" s="3" customFormat="1">
      <x:c r="A104" s="3" t="s">
        <x:v>1502</x:v>
      </x:c>
      <x:c r="B104" s="3" t="s">
        <x:v>1580</x:v>
      </x:c>
      <x:c r="C104" s="6" t="s">
        <x:v>1664</x:v>
      </x:c>
      <x:c r="D104" s="7">
        <x:f>CONCATENATE(HYPERLINK("CALLTO:%2B356%202143%206407", "+356 2143 6407"))</x:f>
      </x:c>
      <x:c r="E104" s="6" t="s">
        <x:v>1764</x:v>
      </x:c>
      <x:c r="F104" s="6" t="s">
        <x:v>1799</x:v>
      </x:c>
    </x:row>
    <x:row r="105" spans="1:7" s="1" customFormat="1">
      <x:c r="A105" s="1" t="s">
        <x:v>1502</x:v>
      </x:c>
      <x:c r="B105" s="1" t="s">
        <x:v>1581</x:v>
      </x:c>
      <x:c r="C105" s="8" t="s">
        <x:v>1665</x:v>
      </x:c>
      <x:c r="D105" s="9">
        <x:f>CONCATENATE(HYPERLINK("CALLTO:%2B356%202144%206000", "+356 2144 6000"))</x:f>
      </x:c>
      <x:c r="E105" s="8" t="s">
        <x:v>1765</x:v>
      </x:c>
      <x:c r="F105" s="8" t="s">
        <x:v>1781</x:v>
      </x:c>
    </x:row>
    <x:row r="106" spans="1:7" s="4" customFormat="1">
      <x:c r="A106" s="4" t="s">
        <x:v>1502</x:v>
      </x:c>
      <x:c r="B106" s="4" t="s">
        <x:v>1582</x:v>
      </x:c>
      <x:c r="C106" s="10" t="s">
        <x:v>1600</x:v>
      </x:c>
      <x:c r="D106" s="11">
        <x:f>CONCATENATE(HYPERLINK("CALLTO:%2B356%202148%202843", "+356 2148 2843"))</x:f>
      </x:c>
      <x:c r="E106" s="10" t="s">
        <x:v>1766</x:v>
      </x:c>
      <x:c r="F106" s="10" t="s">
        <x:v>1783</x:v>
      </x:c>
    </x:row>
    <x:row r="107" spans="1:7" s="3" customFormat="1">
      <x:c r="A107" s="3" t="s">
        <x:v>1503</x:v>
      </x:c>
      <x:c r="B107" s="3" t="s">
        <x:v>1583</x:v>
      </x:c>
      <x:c r="C107" s="6" t="s">
        <x:v>1666</x:v>
      </x:c>
      <x:c r="D107" s="7">
        <x:f>CONCATENATE(HYPERLINK("CALLTO:%2B356%202124%200022", "+356 2124 0022"))</x:f>
      </x:c>
      <x:c r="E107" s="6" t="s">
        <x:v>1767</x:v>
      </x:c>
      <x:c r="F107" s="6" t="s">
        <x:v>1439</x:v>
      </x:c>
    </x:row>
    <x:row r="108" spans="1:7" s="1" customFormat="1">
      <x:c r="A108" s="1" t="s">
        <x:v>1503</x:v>
      </x:c>
      <x:c r="B108" s="1" t="s">
        <x:v>1584</x:v>
      </x:c>
      <x:c r="C108" s="8" t="s">
        <x:v>1667</x:v>
      </x:c>
      <x:c r="D108" s="9">
        <x:f>CONCATENATE(HYPERLINK("CALLTO:%2B356%202131%206678", "+356 2131 6678"))</x:f>
      </x:c>
      <x:c r="E108" s="8" t="s">
        <x:v>1768</x:v>
      </x:c>
      <x:c r="F108" s="8" t="s">
        <x:v>1672</x:v>
      </x:c>
    </x:row>
    <x:row r="109" spans="1:7" s="4" customFormat="1">
      <x:c r="A109" s="4" t="s">
        <x:v>1503</x:v>
      </x:c>
      <x:c r="B109" s="4" t="s">
        <x:v>1585</x:v>
      </x:c>
      <x:c r="C109" s="10" t="s">
        <x:v>1668</x:v>
      </x:c>
      <x:c r="D109" s="11">
        <x:f>CONCATENATE(HYPERLINK("CALLTO:%2B356%202144%209253", "+356 2144 9253"))</x:f>
      </x:c>
      <x:c r="E109" s="10" t="s">
        <x:v>1769</x:v>
      </x:c>
      <x:c r="F109" s="10" t="s">
        <x:v>5281</x:v>
      </x:c>
    </x:row>
    <x:row r="110" spans="1:7" s="3" customFormat="1">
      <x:c r="A110" s="3" t="s">
        <x:v>1503</x:v>
      </x:c>
      <x:c r="B110" s="3" t="s">
        <x:v>1516</x:v>
      </x:c>
      <x:c r="C110" s="6" t="s">
        <x:v>1602</x:v>
      </x:c>
      <x:c r="D110" s="7">
        <x:f>CONCATENATE(HYPERLINK("CALLTO:%2B356%202123%202159", "+356 2123 2159"))</x:f>
      </x:c>
      <x:c r="E110" s="6" t="s">
        <x:v>1770</x:v>
      </x:c>
      <x:c r="F110" s="6" t="s">
        <x:v>5280</x:v>
      </x:c>
    </x:row>
    <x:row r="111" spans="1:7" s="1" customFormat="1">
      <x:c r="A111" s="1" t="s">
        <x:v>1503</x:v>
      </x:c>
      <x:c r="B111" s="1" t="s">
        <x:v>1586</x:v>
      </x:c>
      <x:c r="C111" s="8" t="s">
        <x:v>1611</x:v>
      </x:c>
      <x:c r="D111" s="9">
        <x:f>CONCATENATE(HYPERLINK("CALLTO:%2B356%202166%206488", "+356 2166 6488"))</x:f>
      </x:c>
      <x:c r="E111" s="8" t="s">
        <x:v>1702</x:v>
      </x:c>
      <x:c r="F111" s="8" t="s">
        <x:v>1436</x:v>
      </x:c>
    </x:row>
    <x:row r="112" spans="1:7" s="4" customFormat="1">
      <x:c r="A112" s="4" t="s">
        <x:v>1503</x:v>
      </x:c>
      <x:c r="B112" s="4" t="s">
        <x:v>1515</x:v>
      </x:c>
      <x:c r="C112" s="10" t="s">
        <x:v>1601</x:v>
      </x:c>
      <x:c r="D112" s="11">
        <x:f>CONCATENATE(HYPERLINK("CALLTO:%2B356%202148%204992", "+356 2148 4992"))</x:f>
      </x:c>
      <x:c r="E112" s="10" t="s">
        <x:v>1771</x:v>
      </x:c>
      <x:c r="F112" s="10" t="s">
        <x:v>1429</x:v>
      </x:c>
    </x:row>
    <x:row r="113" spans="1:7" s="3" customFormat="1">
      <x:c r="A113" s="3" t="s">
        <x:v>1503</x:v>
      </x:c>
      <x:c r="B113" s="3" t="s">
        <x:v>1587</x:v>
      </x:c>
      <x:c r="C113" s="6" t="s">
        <x:v>1593</x:v>
      </x:c>
      <x:c r="D113" s="7">
        <x:f>CONCATENATE(HYPERLINK("CALLTO:%2B356%202799%205234", "+356 2799 5234"))</x:f>
      </x:c>
      <x:c r="E113" s="6" t="s">
        <x:v>1772</x:v>
      </x:c>
      <x:c r="F113" s="6" t="s">
        <x:v>5282</x:v>
      </x:c>
    </x:row>
    <x:row r="114" spans="1:7" s="1" customFormat="1">
      <x:c r="A114" s="1" t="s">
        <x:v>1503</x:v>
      </x:c>
      <x:c r="B114" s="1" t="s">
        <x:v>1523</x:v>
      </x:c>
      <x:c r="C114" s="8" t="s">
        <x:v>1609</x:v>
      </x:c>
      <x:c r="D114" s="9">
        <x:f>CONCATENATE(HYPERLINK("CALLTO:%2B356%202713%207364", "+356 2713 7364"))</x:f>
      </x:c>
      <x:c r="E114" s="8" t="s">
        <x:v>530</x:v>
      </x:c>
    </x:row>
    <x:row r="115" spans="1:7" s="4" customFormat="1">
      <x:c r="A115" s="4" t="s">
        <x:v>1503</x:v>
      </x:c>
      <x:c r="B115" s="4" t="s">
        <x:v>1588</x:v>
      </x:c>
      <x:c r="C115" s="10" t="s">
        <x:v>1608</x:v>
      </x:c>
      <x:c r="D115" s="11">
        <x:f>CONCATENATE(HYPERLINK("CALLTO:%2B356%202164%202343", "+356 2164 2343"))</x:f>
      </x:c>
    </x:row>
    <x:row r="116" spans="1:7" s="3" customFormat="1">
      <x:c r="A116" s="3" t="s">
        <x:v>1503</x:v>
      </x:c>
      <x:c r="B116" s="3" t="s">
        <x:v>1517</x:v>
      </x:c>
      <x:c r="C116" s="6" t="s">
        <x:v>1603</x:v>
      </x:c>
    </x:row>
    <x:row r="117" spans="1:7" s="1" customFormat="1">
      <x:c r="A117" s="1" t="s">
        <x:v>1503</x:v>
      </x:c>
      <x:c r="B117" s="1" t="s">
        <x:v>1589</x:v>
      </x:c>
      <x:c r="C117" s="8" t="s">
        <x:v>1321</x:v>
      </x:c>
    </x:row>
    <x:row r="118" spans="1:7" s="4" customFormat="1">
      <x:c r="A118" s="4" t="s">
        <x:v>1503</x:v>
      </x:c>
      <x:c r="B118" s="4" t="s">
        <x:v>1524</x:v>
      </x:c>
      <x:c r="C118" s="10" t="s">
        <x:v>1610</x:v>
      </x:c>
    </x:row>
    <x:row r="119" spans="1:7" s="3" customFormat="1">
      <x:c r="A119" s="3" t="s">
        <x:v>1503</x:v>
      </x:c>
      <x:c r="B119" s="3" t="s">
        <x:v>1518</x:v>
      </x:c>
      <x:c r="C119" s="6" t="s">
        <x:v>1604</x:v>
      </x:c>
    </x:row>
    <x:row r="120" spans="1:7" s="1" customFormat="1">
      <x:c r="A120" s="1" t="s">
        <x:v>1503</x:v>
      </x:c>
    </x:row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  <x:row r="231" spans="1:7" s="1" customFormat="1"/>
    <x:row r="232" spans="1:7" s="4" customFormat="1"/>
    <x:row r="233" spans="1:7" s="3" customFormat="1"/>
    <x:row r="234" spans="1:7" s="1" customFormat="1"/>
    <x:row r="235" spans="1:7" s="4" customFormat="1"/>
    <x:row r="236" spans="1:7" s="3" customFormat="1"/>
    <x:row r="237" spans="1:7" s="1" customFormat="1"/>
    <x:row r="238" spans="1:7" s="4" customFormat="1"/>
    <x:row r="239" spans="1:7" s="3" customFormat="1"/>
    <x:row r="240" spans="1:7" s="1" customFormat="1"/>
    <x:row r="241" spans="1:7" s="4" customFormat="1"/>
    <x:row r="242" spans="1:7" s="3" customFormat="1"/>
    <x:row r="243" spans="1:7" s="1" customFormat="1"/>
    <x:row r="244" spans="1:7" s="4" customFormat="1"/>
    <x:row r="245" spans="1:7" s="3" customFormat="1"/>
    <x:row r="246" spans="1:7" s="1" customFormat="1"/>
    <x:row r="247" spans="1:7" s="4" customFormat="1"/>
    <x:row r="248" spans="1:7" s="3" customFormat="1"/>
    <x:row r="249" spans="1:7" s="1" customFormat="1"/>
    <x:row r="250" spans="1:7" s="4" customFormat="1"/>
    <x:row r="251" spans="1:7" s="3" customFormat="1"/>
    <x:row r="252" spans="1:7" s="1" customFormat="1"/>
    <x:row r="253" spans="1:7" s="4" customFormat="1"/>
    <x:row r="254" spans="1:7" s="3" customFormat="1"/>
    <x:row r="255" spans="1:7" s="1" customFormat="1"/>
    <x:row r="256" spans="1:7" s="4" customFormat="1"/>
    <x:row r="257" spans="1:7" s="3" customFormat="1"/>
    <x:row r="258" spans="1:7" s="1" customFormat="1"/>
    <x:row r="259" spans="1:7" s="4" customFormat="1"/>
    <x:row r="260" spans="1:7" s="3" customFormat="1"/>
    <x:row r="261" spans="1:7" s="1" customFormat="1"/>
    <x:row r="262" spans="1:7" s="4" customFormat="1"/>
    <x:row r="263" spans="1:7" s="3" customFormat="1"/>
    <x:row r="264" spans="1:7" s="1" customFormat="1"/>
    <x:row r="265" spans="1:7" s="4" customFormat="1"/>
    <x:row r="266" spans="1:7" s="3" customFormat="1"/>
    <x:row r="267" spans="1:7" s="1" customFormat="1"/>
    <x:row r="268" spans="1:7" s="4" customFormat="1"/>
    <x:row r="269" spans="1:7" s="3" customFormat="1"/>
    <x:row r="270" spans="1:7" s="1" customFormat="1"/>
    <x:row r="271" spans="1:7" s="4" customFormat="1"/>
    <x:row r="272" spans="1:7" s="3" customFormat="1"/>
    <x:row r="273" spans="1:7" s="1" customFormat="1"/>
    <x:row r="274" spans="1:7" s="4" customFormat="1"/>
    <x:row r="275" spans="1:7" s="3" customFormat="1"/>
    <x:row r="276" spans="1:7" s="1" customFormat="1"/>
    <x:row r="277" spans="1:7" s="4" customFormat="1"/>
    <x:row r="278" spans="1:7" s="3" customFormat="1"/>
    <x:row r="279" spans="1:7" s="1" customFormat="1"/>
    <x:row r="280" spans="1:7" s="4" customFormat="1"/>
    <x:row r="281" spans="1:7" s="3" customFormat="1"/>
    <x:row r="282" spans="1:7" s="1" customFormat="1"/>
    <x:row r="283" spans="1:7" s="4" customFormat="1"/>
    <x:row r="284" spans="1:7" s="3" customFormat="1"/>
    <x:row r="285" spans="1:7" s="1" customFormat="1"/>
    <x:row r="286" spans="1:7" s="4" customFormat="1"/>
    <x:row r="287" spans="1:7" s="3" customFormat="1"/>
    <x:row r="288" spans="1:7" s="1" customFormat="1"/>
    <x:row r="289" spans="1:7" s="4" customFormat="1"/>
    <x:row r="290" spans="1:7" s="3" customFormat="1"/>
    <x:row r="291" spans="1:7" s="1" customFormat="1"/>
    <x:row r="292" spans="1:7" s="4" customFormat="1"/>
    <x:row r="293" spans="1:7" s="3" customFormat="1"/>
    <x:row r="294" spans="1:7" s="1" customFormat="1"/>
    <x:row r="295" spans="1:7" s="4" customFormat="1"/>
    <x:row r="296" spans="1:7" s="3" customFormat="1"/>
    <x:row r="297" spans="1:7" s="1" customFormat="1"/>
    <x:row r="298" spans="1:7" s="4" customFormat="1"/>
    <x:row r="299" spans="1:7" s="3" customFormat="1"/>
    <x:row r="300" spans="1:7" s="1" customFormat="1"/>
    <x:row r="301" spans="1:7" s="4" customFormat="1"/>
    <x:row r="302" spans="1:7" s="3" customFormat="1"/>
    <x:row r="303" spans="1:7" s="1" customFormat="1"/>
    <x:row r="304" spans="1:7" s="4" customFormat="1"/>
    <x:row r="305" spans="1:7" s="3" customFormat="1"/>
    <x:row r="306" spans="1:7" s="1" customFormat="1"/>
    <x:row r="307" spans="1:7" s="4" customFormat="1"/>
    <x:row r="308" spans="1:7" s="3" customFormat="1"/>
    <x:row r="309" spans="1:7" s="1" customFormat="1"/>
    <x:row r="310" spans="1:7" s="4" customFormat="1"/>
    <x:row r="311" spans="1:7" s="3" customFormat="1"/>
    <x:row r="312" spans="1:7" s="1" customFormat="1"/>
    <x:row r="313" spans="1:7" s="4" customFormat="1"/>
    <x:row r="314" spans="1:7" s="3" customFormat="1"/>
    <x:row r="315" spans="1:7" s="1" customFormat="1"/>
    <x:row r="316" spans="1:7" s="4" customFormat="1"/>
    <x:row r="317" spans="1:7" s="3" customFormat="1"/>
    <x:row r="318" spans="1:7" s="1" customFormat="1"/>
    <x:row r="319" spans="1:7" s="4" customFormat="1"/>
    <x:row r="320" spans="1:7" s="3" customFormat="1"/>
    <x:row r="321" spans="1:7" s="1" customFormat="1"/>
    <x:row r="322" spans="1:7" s="4" customFormat="1"/>
    <x:row r="323" spans="1:7" s="3" customFormat="1"/>
    <x:row r="324" spans="1:7" s="1" customFormat="1"/>
    <x:row r="325" spans="1:7" s="4" customFormat="1"/>
    <x:row r="326" spans="1:7" s="3" customFormat="1"/>
    <x:row r="327" spans="1:7" s="1" customFormat="1"/>
    <x:row r="328" spans="1:7" s="4" customFormat="1"/>
    <x:row r="329" spans="1:7" s="3" customFormat="1"/>
    <x:row r="330" spans="1:7" s="1" customFormat="1"/>
    <x:row r="331" spans="1:7" s="4" customFormat="1"/>
    <x:row r="332" spans="1:7" s="3" customFormat="1"/>
    <x:row r="333" spans="1:7" s="1" customFormat="1"/>
    <x:row r="334" spans="1:7" s="4" customFormat="1"/>
    <x:row r="335" spans="1:7" s="3" customFormat="1"/>
    <x:row r="336" spans="1:7" s="1" customFormat="1"/>
    <x:row r="337" spans="1:7" s="4" customFormat="1"/>
    <x:row r="338" spans="1:7" s="3" customFormat="1"/>
    <x:row r="339" spans="1:7" s="1" customFormat="1"/>
    <x:row r="340" spans="1:7" s="4" customFormat="1"/>
    <x:row r="341" spans="1:7" s="3" customFormat="1"/>
    <x:row r="342" spans="1:7" s="1" customFormat="1"/>
    <x:row r="343" spans="1:7" s="4" customFormat="1"/>
    <x:row r="344" spans="1:7" s="3" customFormat="1"/>
    <x:row r="345" spans="1:7" s="1" customFormat="1"/>
    <x:row r="346" spans="1:7" s="4" customFormat="1"/>
    <x:row r="347" spans="1:7" s="3" customFormat="1"/>
    <x:row r="348" spans="1:7" s="1" customFormat="1"/>
    <x:row r="349" spans="1:7" s="4" customFormat="1"/>
    <x:row r="350" spans="1:7" s="3" customFormat="1"/>
    <x:row r="351" spans="1:7" s="1" customFormat="1"/>
    <x:row r="352" spans="1:7" s="4" customFormat="1"/>
    <x:row r="353" spans="1:7" s="3" customFormat="1"/>
    <x:row r="354" spans="1:7" s="1" customFormat="1"/>
    <x:row r="355" spans="1:7" s="4" customFormat="1"/>
    <x:row r="356" spans="1:7" s="3" customFormat="1"/>
    <x:row r="357" spans="1:7" s="1" customFormat="1"/>
    <x:row r="358" spans="1:7" s="4" customFormat="1"/>
    <x:row r="359" spans="1:7" s="3" customFormat="1"/>
    <x:row r="360" spans="1:7" s="1" customFormat="1"/>
    <x:row r="361" spans="1:7" s="4" customFormat="1"/>
    <x:row r="362" spans="1:7" s="3" customFormat="1"/>
    <x:row r="363" spans="1:7" s="1" customFormat="1"/>
    <x:row r="364" spans="1:7" s="4" customFormat="1"/>
    <x:row r="365" spans="1:7" s="3" customFormat="1"/>
    <x:row r="366" spans="1:7" s="1" customFormat="1"/>
    <x:row r="367" spans="1:7" s="4" customFormat="1"/>
    <x:row r="368" spans="1:7" s="3" customFormat="1"/>
    <x:row r="369" spans="1:7" s="1" customFormat="1"/>
    <x:row r="370" spans="1:7" s="4" customFormat="1"/>
    <x:row r="371" spans="1:7" s="3" customFormat="1"/>
    <x:row r="372" spans="1:7" s="1" customFormat="1"/>
    <x:row r="373" spans="1:7" s="4" customFormat="1"/>
    <x:row r="374" spans="1:7" s="3" customFormat="1"/>
    <x:row r="375" spans="1:7" s="1" customFormat="1"/>
    <x:row r="376" spans="1:7" s="4" customFormat="1"/>
    <x:row r="377" spans="1:7" s="3" customFormat="1"/>
    <x:row r="378" spans="1:7" s="1" customFormat="1"/>
    <x:row r="379" spans="1:7" s="4" customFormat="1"/>
    <x:row r="380" spans="1:7" s="3" customFormat="1"/>
    <x:row r="381" spans="1:7" s="1" customFormat="1"/>
    <x:row r="382" spans="1:7" s="4" customFormat="1"/>
    <x:row r="383" spans="1:7" s="3" customFormat="1"/>
    <x:row r="384" spans="1:7" s="1" customFormat="1"/>
    <x:row r="385" spans="1:7" s="4" customFormat="1"/>
    <x:row r="386" spans="1:7" s="3" customFormat="1"/>
    <x:row r="387" spans="1:7" s="1" customFormat="1"/>
    <x:row r="388" spans="1:7" s="4" customFormat="1"/>
    <x:row r="389" spans="1:7" s="3" customFormat="1"/>
    <x:row r="390" spans="1:7" s="1" customFormat="1"/>
    <x:row r="391" spans="1:7" s="4" customFormat="1"/>
    <x:row r="392" spans="1:7" s="3" customFormat="1"/>
    <x:row r="393" spans="1:7" s="1" customFormat="1"/>
    <x:row r="394" spans="1:7" s="4" customFormat="1"/>
    <x:row r="395" spans="1:7" s="3" customFormat="1"/>
    <x:row r="396" spans="1:7" s="1" customFormat="1"/>
    <x:row r="397" spans="1:7" s="4" customFormat="1"/>
    <x:row r="398" spans="1:7" s="3" customFormat="1"/>
    <x:row r="399" spans="1:7" s="1" customFormat="1"/>
    <x:row r="400" spans="1:7" s="4" customFormat="1"/>
    <x:row r="401" spans="1:7" s="3" customFormat="1"/>
    <x:row r="402" spans="1:7" s="1" customFormat="1"/>
    <x:row r="403" spans="1:7" s="4" customFormat="1"/>
    <x:row r="404" spans="1:7" s="3" customFormat="1"/>
    <x:row r="405" spans="1:7" s="1" customFormat="1"/>
    <x:row r="406" spans="1:7" s="4" customFormat="1"/>
    <x:row r="407" spans="1:7" s="3" customFormat="1"/>
    <x:row r="408" spans="1:7" s="1" customFormat="1"/>
    <x:row r="409" spans="1:7" s="4" customFormat="1"/>
    <x:row r="410" spans="1:7" s="3" customFormat="1"/>
    <x:row r="411" spans="1:7" s="1" customFormat="1"/>
    <x:row r="412" spans="1:7" s="4" customFormat="1"/>
    <x:row r="413" spans="1:7" s="3" customFormat="1"/>
    <x:row r="414" spans="1:7" s="1" customFormat="1"/>
    <x:row r="415" spans="1:7" s="4" customFormat="1"/>
    <x:row r="416" spans="1:7" s="3" customFormat="1"/>
    <x:row r="417" spans="1:7" s="1" customFormat="1"/>
    <x:row r="418" spans="1:7" s="4" customFormat="1"/>
    <x:row r="419" spans="1:7" s="3" customFormat="1"/>
    <x:row r="420" spans="1:7" s="1" customFormat="1"/>
    <x:row r="421" spans="1:7" s="4" customFormat="1"/>
    <x:row r="422" spans="1:7" s="3" customFormat="1"/>
    <x:row r="423" spans="1:7" s="1" customFormat="1"/>
    <x:row r="424" spans="1:7" s="4" customFormat="1"/>
    <x:row r="425" spans="1:7" s="3" customFormat="1"/>
    <x:row r="426" spans="1:7" s="1" customFormat="1"/>
    <x:row r="427" spans="1:7" s="4" customFormat="1"/>
    <x:row r="428" spans="1:7" s="3" customFormat="1"/>
    <x:row r="429" spans="1:7" s="1" customFormat="1"/>
    <x:row r="430" spans="1:7" s="4" customFormat="1"/>
    <x:row r="431" spans="1:7" s="3" customFormat="1"/>
    <x:row r="432" spans="1:7" s="1" customFormat="1"/>
    <x:row r="433" spans="1:7" s="4" customFormat="1"/>
    <x:row r="434" spans="1:7" s="3" customFormat="1"/>
    <x:row r="435" spans="1:7" s="1" customFormat="1"/>
    <x:row r="436" spans="1:7" s="4" customFormat="1"/>
    <x:row r="437" spans="1:7" s="3" customFormat="1"/>
    <x:row r="438" spans="1:7" s="1" customFormat="1"/>
    <x:row r="439" spans="1:7" s="4" customFormat="1"/>
    <x:row r="440" spans="1:7" s="3" customFormat="1"/>
    <x:row r="441" spans="1:7" s="1" customFormat="1"/>
    <x:row r="442" spans="1:7" s="4" customFormat="1"/>
    <x:row r="443" spans="1:7" s="3" customFormat="1"/>
    <x:row r="444" spans="1:7" s="1" customFormat="1"/>
    <x:row r="445" spans="1:7" s="4" customFormat="1"/>
    <x:row r="446" spans="1:7" s="3" customFormat="1"/>
    <x:row r="447" spans="1:7" s="1" customFormat="1"/>
    <x:row r="448" spans="1:7" s="4" customFormat="1"/>
    <x:row r="449" spans="1:7" s="3" customFormat="1"/>
    <x:row r="450" spans="1:7" s="1" customFormat="1"/>
    <x:row r="451" spans="1:7" s="4" customFormat="1"/>
    <x:row r="452" spans="1:7" s="3" customFormat="1"/>
    <x:row r="453" spans="1:7" s="1" customFormat="1"/>
    <x:row r="454" spans="1:7" s="4" customFormat="1"/>
    <x:row r="455" spans="1:7" s="3" customFormat="1"/>
    <x:row r="456" spans="1:7" s="1" customFormat="1"/>
    <x:row r="457" spans="1:7" s="4" customFormat="1"/>
    <x:row r="458" spans="1:7" s="3" customFormat="1"/>
    <x:row r="459" spans="1:7" s="1" customFormat="1"/>
    <x:row r="460" spans="1:7" s="4" customFormat="1"/>
    <x:row r="461" spans="1:7" s="3" customFormat="1"/>
    <x:row r="462" spans="1:7" s="1" customFormat="1"/>
    <x:row r="463" spans="1:7" s="4" customFormat="1"/>
    <x:row r="464" spans="1:7" s="3" customFormat="1"/>
    <x:row r="465" spans="1:7" s="1" customFormat="1"/>
    <x:row r="466" spans="1:7" s="4" customFormat="1"/>
    <x:row r="467" spans="1:7" s="3" customFormat="1"/>
    <x:row r="468" spans="1:7" s="1" customFormat="1"/>
    <x:row r="469" spans="1:7" s="4" customFormat="1"/>
    <x:row r="470" spans="1:7" s="3" customFormat="1"/>
    <x:row r="471" spans="1:7" s="1" customFormat="1"/>
    <x:row r="472" spans="1:7" s="4" customFormat="1"/>
    <x:row r="473" spans="1:7" s="3" customFormat="1"/>
    <x:row r="474" spans="1:7" s="1" customFormat="1"/>
    <x:row r="475" spans="1:7" s="4" customFormat="1"/>
    <x:row r="476" spans="1:7" s="3" customFormat="1"/>
    <x:row r="477" spans="1:7" s="1" customFormat="1"/>
    <x:row r="478" spans="1:7" s="4" customFormat="1"/>
    <x:row r="479" spans="1:7" s="3" customFormat="1"/>
    <x:row r="480" spans="1:7" s="1" customFormat="1"/>
    <x:row r="481" spans="1:7" s="4" customFormat="1"/>
    <x:row r="482" spans="1:7" s="3" customFormat="1"/>
    <x:row r="483" spans="1:7" s="1" customFormat="1"/>
    <x:row r="484" spans="1:7" s="4" customFormat="1"/>
    <x:row r="485" spans="1:7" s="3" customFormat="1"/>
    <x:row r="486" spans="1:7" s="1" customFormat="1"/>
    <x:row r="487" spans="1:7" s="4" customFormat="1"/>
    <x:row r="488" spans="1:7" s="3" customFormat="1"/>
    <x:row r="489" spans="1:7" s="1" customFormat="1"/>
    <x:row r="490" spans="1:7" s="4" customFormat="1"/>
    <x:row r="491" spans="1:7" s="3" customFormat="1"/>
    <x:row r="492" spans="1:7" s="1" customFormat="1"/>
    <x:row r="493" spans="1:7" s="4" customFormat="1"/>
    <x:row r="494" spans="1:7" s="3" customFormat="1"/>
    <x:row r="495" spans="1:7" s="1" customFormat="1"/>
    <x:row r="496" spans="1:7" s="4" customFormat="1"/>
    <x:row r="497" spans="1:7" s="3" customFormat="1"/>
    <x:row r="498" spans="1:7" s="1" customFormat="1"/>
    <x:row r="499" spans="1:7" s="4" customFormat="1"/>
    <x:row r="500" spans="1:7" s="3" customFormat="1"/>
    <x:row r="501" spans="1:7" s="1" customFormat="1"/>
    <x:row r="502" spans="1:7" s="4" customFormat="1"/>
    <x:row r="503" spans="1:7" s="3" customFormat="1"/>
    <x:row r="504" spans="1:7" s="1" customFormat="1"/>
    <x:row r="505" spans="1:7" s="4" customFormat="1"/>
    <x:row r="506" spans="1:7" s="3" customFormat="1"/>
    <x:row r="507" spans="1:7" s="1" customFormat="1"/>
    <x:row r="508" spans="1:7" s="4" customFormat="1"/>
    <x:row r="509" spans="1:7" s="3" customFormat="1"/>
    <x:row r="510" spans="1:7" s="1" customFormat="1"/>
    <x:row r="511" spans="1:7" s="4" customFormat="1"/>
    <x:row r="512" spans="1:7" s="3" customFormat="1"/>
    <x:row r="513" spans="1:7" s="1" customFormat="1"/>
    <x:row r="514" spans="1:7" s="4" customFormat="1"/>
    <x:row r="515" spans="1:7" s="3" customFormat="1"/>
    <x:row r="516" spans="1:7" s="1" customFormat="1"/>
    <x:row r="517" spans="1:7" s="4" customFormat="1"/>
    <x:row r="518" spans="1:7" s="3" customFormat="1"/>
    <x:row r="519" spans="1:7" s="1" customFormat="1"/>
    <x:row r="520" spans="1:7" s="4" customFormat="1"/>
    <x:row r="521" spans="1:7" s="3" customFormat="1"/>
    <x:row r="522" spans="1:7" s="1" customFormat="1"/>
    <x:row r="523" spans="1:7" s="4" customFormat="1"/>
    <x:row r="524" spans="1:7" s="3" customFormat="1"/>
    <x:row r="525" spans="1:7" s="1" customFormat="1"/>
    <x:row r="526" spans="1:7" s="4" customFormat="1"/>
    <x:row r="527" spans="1:7" s="3" customFormat="1"/>
    <x:row r="528" spans="1:7" s="1" customFormat="1"/>
    <x:row r="529" spans="1:7" s="4" customFormat="1"/>
    <x:row r="530" spans="1:7" s="3" customFormat="1"/>
    <x:row r="531" spans="1:7" s="1" customFormat="1"/>
    <x:row r="532" spans="1:7" s="4" customFormat="1"/>
    <x:row r="533" spans="1:7" s="3" customFormat="1"/>
    <x:row r="534" spans="1:7" s="1" customFormat="1"/>
    <x:row r="535" spans="1:7" s="4" customFormat="1"/>
    <x:row r="536" spans="1:7" s="3" customFormat="1"/>
    <x:row r="537" spans="1:7" s="1" customFormat="1"/>
    <x:row r="538" spans="1:7" s="4" customFormat="1"/>
    <x:row r="539" spans="1:7" s="3" customFormat="1"/>
    <x:row r="540" spans="1:7" s="1" customFormat="1"/>
    <x:row r="541" spans="1:7" s="4" customFormat="1"/>
    <x:row r="542" spans="1:7" s="3" customFormat="1"/>
    <x:row r="543" spans="1:7" s="1" customFormat="1"/>
    <x:row r="544" spans="1:7" s="4" customFormat="1"/>
    <x:row r="545" spans="1:7" s="3" customFormat="1"/>
    <x:row r="546" spans="1:7" s="1" customFormat="1"/>
    <x:row r="547" spans="1:7" s="4" customFormat="1"/>
    <x:row r="548" spans="1:7" s="3" customFormat="1"/>
    <x:row r="549" spans="1:7" s="1" customFormat="1"/>
    <x:row r="550" spans="1:7" s="4" customFormat="1"/>
    <x:row r="551" spans="1:7" s="3" customFormat="1"/>
    <x:row r="552" spans="1:7" s="1" customFormat="1"/>
    <x:row r="553" spans="1:7" s="4" customFormat="1"/>
    <x:row r="554" spans="1:7" s="3" customFormat="1"/>
    <x:row r="555" spans="1:7" s="1" customFormat="1"/>
    <x:row r="556" spans="1:7" s="4" customFormat="1"/>
    <x:row r="557" spans="1:7" s="3" customFormat="1"/>
    <x:row r="558" spans="1:7" s="1" customFormat="1"/>
    <x:row r="559" spans="1:7" s="4" customFormat="1"/>
    <x:row r="560" spans="1:7" s="3" customFormat="1"/>
    <x:row r="561" spans="1:7" s="1" customFormat="1"/>
    <x:row r="562" spans="1:7" s="4" customFormat="1"/>
    <x:row r="563" spans="1:7" s="3" customFormat="1"/>
    <x:row r="564" spans="1:7" s="1" customFormat="1"/>
    <x:row r="565" spans="1:7" s="4" customFormat="1"/>
    <x:row r="566" spans="1:7" s="3" customFormat="1"/>
    <x:row r="567" spans="1:7" s="1" customFormat="1"/>
    <x:row r="568" spans="1:7" s="4" customFormat="1"/>
    <x:row r="569" spans="1:7" s="3" customFormat="1"/>
    <x:row r="570" spans="1:7" s="1" customFormat="1"/>
    <x:row r="571" spans="1:7" s="4" customFormat="1"/>
    <x:row r="572" spans="1:7" s="3" customFormat="1"/>
    <x:row r="573" spans="1:7" s="1" customFormat="1"/>
    <x:row r="574" spans="1:7" s="4" customFormat="1"/>
    <x:row r="575" spans="1:7" s="3" customFormat="1"/>
    <x:row r="576" spans="1:7" s="1" customFormat="1"/>
    <x:row r="577" spans="1:7" s="4" customFormat="1"/>
    <x:row r="578" spans="1:7" s="3" customFormat="1"/>
    <x:row r="579" spans="1:7" s="1" customFormat="1"/>
    <x:row r="580" spans="1:7" s="4" customFormat="1"/>
    <x:row r="581" spans="1:7" s="3" customFormat="1"/>
    <x:row r="582" spans="1:7" s="1" customFormat="1"/>
    <x:row r="583" spans="1:7" s="4" customFormat="1"/>
    <x:row r="584" spans="1:7" s="3" customFormat="1"/>
    <x:row r="585" spans="1:7" s="1" customFormat="1"/>
    <x:row r="586" spans="1:7" s="4" customFormat="1"/>
    <x:row r="587" spans="1:7" s="3" customFormat="1"/>
    <x:row r="588" spans="1:7" s="1" customFormat="1"/>
    <x:row r="589" spans="1:7" s="4" customFormat="1"/>
    <x:row r="590" spans="1:7" s="3" customFormat="1"/>
    <x:row r="591" spans="1:7" s="1" customFormat="1"/>
    <x:row r="592" spans="1:7" s="4" customFormat="1"/>
    <x:row r="593" spans="1:7" s="3" customFormat="1"/>
    <x:row r="594" spans="1:7" s="1" customFormat="1"/>
    <x:row r="595" spans="1:7" s="4" customFormat="1"/>
    <x:row r="596" spans="1:7" s="3" customFormat="1"/>
    <x:row r="597" spans="1:7" s="1" customFormat="1"/>
    <x:row r="598" spans="1:7" s="4" customFormat="1"/>
    <x:row r="599" spans="1:7" s="3" customFormat="1"/>
    <x:row r="600" spans="1:7" s="1" customFormat="1"/>
    <x:row r="601" spans="1:7" s="4" customFormat="1"/>
    <x:row r="602" spans="1:7" s="3" customFormat="1"/>
    <x:row r="603" spans="1:7" s="1" customFormat="1"/>
    <x:row r="604" spans="1:7" s="4" customFormat="1"/>
    <x:row r="605" spans="1:7" s="3" customFormat="1"/>
    <x:row r="606" spans="1:7" s="1" customFormat="1"/>
    <x:row r="607" spans="1:7" s="4" customFormat="1"/>
    <x:row r="608" spans="1:7" s="3" customFormat="1"/>
    <x:row r="609" spans="1:7" s="1" customFormat="1"/>
    <x:row r="610" spans="1:7" s="4" customFormat="1"/>
    <x:row r="611" spans="1:7" s="3" customFormat="1"/>
    <x:row r="612" spans="1:7" s="1" customFormat="1"/>
    <x:row r="613" spans="1:7" s="4" customFormat="1"/>
    <x:row r="614" spans="1:7" s="3" customFormat="1"/>
    <x:row r="615" spans="1:7" s="1" customFormat="1"/>
    <x:row r="616" spans="1:7" s="4" customFormat="1"/>
    <x:row r="617" spans="1:7" s="3" customFormat="1"/>
    <x:row r="618" spans="1:7" s="1" customFormat="1"/>
    <x:row r="619" spans="1:7" s="4" customFormat="1"/>
    <x:row r="620" spans="1:7" s="3" customFormat="1"/>
    <x:row r="621" spans="1:7" s="1" customFormat="1"/>
    <x:row r="622" spans="1:7" s="4" customFormat="1"/>
    <x:row r="623" spans="1:7" s="3" customFormat="1"/>
    <x:row r="624" spans="1:7" s="1" customFormat="1"/>
    <x:row r="625" spans="1:7" s="4" customFormat="1"/>
    <x:row r="626" spans="1:7" s="3" customFormat="1"/>
    <x:row r="627" spans="1:7" s="1" customFormat="1"/>
    <x:row r="628" spans="1:7" s="4" customFormat="1"/>
    <x:row r="629" spans="1:7" s="3" customFormat="1"/>
    <x:row r="630" spans="1:7" s="1" customFormat="1"/>
    <x:row r="631" spans="1:7" s="4" customFormat="1"/>
    <x:row r="632" spans="1:7" s="3" customFormat="1"/>
    <x:row r="633" spans="1:7" s="1" customFormat="1"/>
    <x:row r="634" spans="1:7" s="4" customFormat="1"/>
    <x:row r="635" spans="1:7" s="3" customFormat="1"/>
    <x:row r="636" spans="1:7" s="1" customFormat="1"/>
    <x:row r="637" spans="1:7" s="4" customFormat="1"/>
    <x:row r="638" spans="1:7" s="3" customFormat="1"/>
    <x:row r="639" spans="1:7" s="1" customFormat="1"/>
    <x:row r="640" spans="1:7" s="4" customFormat="1"/>
    <x:row r="641" spans="1:7" s="3" customFormat="1"/>
    <x:row r="642" spans="1:7" s="1" customFormat="1"/>
    <x:row r="643" spans="1:7" s="4" customFormat="1"/>
    <x:row r="644" spans="1:7" s="3" customFormat="1"/>
    <x:row r="645" spans="1:7" s="1" customFormat="1"/>
    <x:row r="646" spans="1:7" s="4" customFormat="1"/>
    <x:row r="647" spans="1:7" s="3" customFormat="1"/>
    <x:row r="648" spans="1:7" s="1" customFormat="1"/>
    <x:row r="649" spans="1:7" s="4" customFormat="1"/>
    <x:row r="650" spans="1:7" s="3" customFormat="1"/>
    <x:row r="651" spans="1:7" s="1" customFormat="1"/>
    <x:row r="652" spans="1:7" s="4" customFormat="1"/>
    <x:row r="653" spans="1:7" s="3" customFormat="1"/>
    <x:row r="654" spans="1:7" s="1" customFormat="1"/>
    <x:row r="655" spans="1:7" s="4" customFormat="1"/>
    <x:row r="656" spans="1:7" s="3" customFormat="1"/>
    <x:row r="657" spans="1:7" s="1" customFormat="1"/>
    <x:row r="658" spans="1:7" s="4" customFormat="1"/>
    <x:row r="659" spans="1:7" s="3" customFormat="1"/>
    <x:row r="660" spans="1:7" s="1" customFormat="1"/>
    <x:row r="661" spans="1:7" s="4" customFormat="1"/>
    <x:row r="662" spans="1:7" s="3" customFormat="1"/>
    <x:row r="663" spans="1:7" s="1" customFormat="1"/>
    <x:row r="664" spans="1:7" s="4" customFormat="1"/>
    <x:row r="665" spans="1:7" s="3" customFormat="1"/>
    <x:row r="666" spans="1:7" s="1" customFormat="1"/>
    <x:row r="667" spans="1:7" s="4" customFormat="1"/>
    <x:row r="668" spans="1:7" s="3" customFormat="1"/>
    <x:row r="669" spans="1:7" s="1" customFormat="1"/>
    <x:row r="670" spans="1:7" s="4" customFormat="1"/>
    <x:row r="671" spans="1:7" s="3" customFormat="1"/>
    <x:row r="672" spans="1:7" s="1" customFormat="1"/>
    <x:row r="673" spans="1:7" s="4" customFormat="1"/>
    <x:row r="674" spans="1:7" s="3" customFormat="1"/>
    <x:row r="675" spans="1:7" s="1" customFormat="1"/>
    <x:row r="676" spans="1:7" s="4" customFormat="1"/>
    <x:row r="677" spans="1:7" s="3" customFormat="1"/>
    <x:row r="678" spans="1:7" s="1" customFormat="1"/>
    <x:row r="679" spans="1:7" s="4" customFormat="1"/>
    <x:row r="680" spans="1:7" s="3" customFormat="1"/>
    <x:row r="681" spans="1:7" s="1" customFormat="1"/>
    <x:row r="682" spans="1:7" s="4" customFormat="1"/>
    <x:row r="683" spans="1:7" s="3" customFormat="1"/>
    <x:row r="684" spans="1:7" s="1" customFormat="1"/>
    <x:row r="685" spans="1:7" s="4" customFormat="1"/>
    <x:row r="686" spans="1:7" s="3" customFormat="1"/>
    <x:row r="687" spans="1:7" s="1" customFormat="1"/>
    <x:row r="688" spans="1:7" s="4" customFormat="1"/>
    <x:row r="689" spans="1:7" s="3" customFormat="1"/>
    <x:row r="690" spans="1:7" s="1" customFormat="1"/>
    <x:row r="691" spans="1:7" s="4" customFormat="1"/>
    <x:row r="692" spans="1:7" s="3" customFormat="1"/>
    <x:row r="693" spans="1:7" s="1" customFormat="1"/>
    <x:row r="694" spans="1:7" s="4" customFormat="1"/>
    <x:row r="695" spans="1:7" s="3" customFormat="1"/>
    <x:row r="696" spans="1:7" s="1" customFormat="1"/>
    <x:row r="697" spans="1:7" s="4" customFormat="1"/>
    <x:row r="698" spans="1:7" s="3" customFormat="1"/>
    <x:row r="699" spans="1:7" s="1" customFormat="1"/>
    <x:row r="700" spans="1:7" s="4" customFormat="1"/>
    <x:row r="701" spans="1:7" s="3" customFormat="1"/>
    <x:row r="702" spans="1:7" s="1" customFormat="1"/>
    <x:row r="703" spans="1:7" s="4" customFormat="1"/>
    <x:row r="704" spans="1:7" s="3" customFormat="1"/>
    <x:row r="705" spans="1:7" s="1" customFormat="1"/>
    <x:row r="706" spans="1:7" s="4" customFormat="1"/>
    <x:row r="707" spans="1:7" s="3" customFormat="1"/>
    <x:row r="708" spans="1:7" s="1" customFormat="1"/>
    <x:row r="709" spans="1:7" s="4" customFormat="1"/>
    <x:row r="710" spans="1:7" s="3" customFormat="1"/>
    <x:row r="711" spans="1:7" s="1" customFormat="1"/>
    <x:row r="712" spans="1:7" s="4" customFormat="1"/>
    <x:row r="713" spans="1:7" s="3" customFormat="1"/>
    <x:row r="714" spans="1:7" s="1" customFormat="1"/>
    <x:row r="715" spans="1:7" s="4" customFormat="1"/>
    <x:row r="716" spans="1:7" s="3" customFormat="1"/>
    <x:row r="717" spans="1:7" s="1" customFormat="1"/>
    <x:row r="718" spans="1:7" s="4" customFormat="1"/>
    <x:row r="719" spans="1:7" s="3" customFormat="1"/>
    <x:row r="720" spans="1:7" s="1" customFormat="1"/>
    <x:row r="721" spans="1:7" s="4" customFormat="1"/>
    <x:row r="722" spans="1:7" s="3" customFormat="1"/>
    <x:row r="723" spans="1:7" s="1" customFormat="1"/>
    <x:row r="724" spans="1:7" s="4" customFormat="1"/>
    <x:row r="725" spans="1:7" s="3" customFormat="1"/>
    <x:row r="726" spans="1:7" s="1" customFormat="1"/>
    <x:row r="727" spans="1:7" s="4" customFormat="1"/>
    <x:row r="728" spans="1:7" s="3" customFormat="1"/>
    <x:row r="729" spans="1:7" s="1" customFormat="1"/>
    <x:row r="730" spans="1:7" s="4" customFormat="1"/>
    <x:row r="731" spans="1:7" s="3" customFormat="1"/>
    <x:row r="732" spans="1:7" s="1" customFormat="1"/>
    <x:row r="733" spans="1:7" s="4" customFormat="1"/>
    <x:row r="734" spans="1:7" s="3" customFormat="1"/>
    <x:row r="735" spans="1:7" s="1" customFormat="1"/>
    <x:row r="736" spans="1:7" s="4" customFormat="1"/>
    <x:row r="737" spans="1:7" s="3" customFormat="1"/>
    <x:row r="738" spans="1:7" s="1" customFormat="1"/>
    <x:row r="739" spans="1:7" s="4" customFormat="1"/>
    <x:row r="740" spans="1:7" s="3" customFormat="1"/>
    <x:row r="741" spans="1:7" s="1" customFormat="1"/>
    <x:row r="742" spans="1:7" s="4" customFormat="1"/>
    <x:row r="743" spans="1:7" s="3" customFormat="1"/>
    <x:row r="744" spans="1:7" s="1" customFormat="1"/>
    <x:row r="745" spans="1:7" s="4" customFormat="1"/>
  </x:sheetData>
  <x:hyperlinks>
    <x:hyperlink ref="C2" r:id="rId1353" tooltip="Send a mail to sales@euroimjsm.com"/>
    <x:hyperlink ref="C3" r:id="rId1354" tooltip="Send a mail to info@styleinterni.com"/>
    <x:hyperlink ref="C4" r:id="rId1355" tooltip="Send a mail to homistic@yahoo.com"/>
    <x:hyperlink ref="C5" r:id="rId1356" tooltip="Send a mail to foam.leather@gmail.com"/>
    <x:hyperlink ref="C6" r:id="rId1357" tooltip="Send a mail to cbrltd1@go.net.mt"/>
    <x:hyperlink ref="C7" r:id="rId1358" tooltip="Send a mail to lawrenceagalea@yahoo.com"/>
    <x:hyperlink ref="C8" r:id="rId1359" tooltip="Send a mail to marketing@form.com.mt"/>
    <x:hyperlink ref="C9" r:id="rId1360" tooltip="Send a mail to sales@powerhousemalta.eu"/>
    <x:hyperlink ref="C10" r:id="rId1361" tooltip="Send a mail to info@krea.com.mt"/>
    <x:hyperlink ref="C11" r:id="rId1362" tooltip="Send a mail to jysk@jysk.com.mt"/>
    <x:hyperlink ref="C12" r:id="rId1363" tooltip="Send a mail to info@dinofino.com"/>
    <x:hyperlink ref="C13" r:id="rId1364" tooltip="Send a mail to help@mattresscollection.com.mt"/>
    <x:hyperlink ref="C14" r:id="rId1365" tooltip="Send a mail to info@royaltybedding.com"/>
    <x:hyperlink ref="C15" r:id="rId1366" tooltip="Send a mail to sales@shaker.com.mt"/>
    <x:hyperlink ref="C16" r:id="rId1367" tooltip="Send a mail to info@dreamsmalta.com"/>
    <x:hyperlink ref="C17" r:id="rId1368" tooltip="Send a mail to estevan@morfeus.com.mt"/>
    <x:hyperlink ref="C18" r:id="rId1369" tooltip="Send a mail to info@oxfordhouse.com.mt"/>
    <x:hyperlink ref="C19" r:id="rId1370" tooltip="Send a mail to info@okhome.com.mt"/>
    <x:hyperlink ref="C20" r:id="rId1371" tooltip="Send a mail to contactus@theatrium.com.mt"/>
    <x:hyperlink ref="C21" r:id="rId1372" tooltip="Send a mail to info@fino.com.mt"/>
    <x:hyperlink ref="C22" r:id="rId1373" tooltip="Send a mail to mosta@homemate.com.mt"/>
    <x:hyperlink ref="C23" r:id="rId1374" tooltip="Send a mail to info@vitafoammalta.com"/>
    <x:hyperlink ref="C24" r:id="rId1375" tooltip="Send a mail to sales@sylviabazaar.com"/>
    <x:hyperlink ref="C25" r:id="rId1376" tooltip="Send a mail to sales@omajco.net"/>
    <x:hyperlink ref="C27" r:id="rId1377" tooltip="Send a mail to help@wellbeingbedding.com"/>
    <x:hyperlink ref="C28" r:id="rId1378" tooltip="Send a mail to info@ctmliving.com"/>
    <x:hyperlink ref="C29" r:id="rId1379" tooltip="Send a mail to info@pcs.com.mt"/>
    <x:hyperlink ref="C30" r:id="rId1380" tooltip="Send a mail to sales@malta-design.com"/>
    <x:hyperlink ref="C31" r:id="rId1381" tooltip="Send a mail to info@promaninteriors.com"/>
    <x:hyperlink ref="C32" r:id="rId1382" tooltip="Send a mail to info@dari.mt"/>
    <x:hyperlink ref="C33" r:id="rId1383" tooltip="Send a mail to info@fairdealfurniture.com.mt"/>
    <x:hyperlink ref="C34" r:id="rId1384" tooltip="Send a mail to info@bdi.com.mt"/>
    <x:hyperlink ref="C35" r:id="rId1385" tooltip="Send a mail to info@boconcept.com.mt"/>
    <x:hyperlink ref="C36" r:id="rId1386" tooltip="Send a mail to info@brands.com.mt"/>
    <x:hyperlink ref="C37" r:id="rId1387" tooltip="Send a mail to stephen@rliving.com.mt"/>
    <x:hyperlink ref="C38" r:id="rId1388" tooltip="Send a mail to info@kubekgroup.com"/>
    <x:hyperlink ref="C39" r:id="rId1389" tooltip="Send a mail to abelanorbertjoiners@gmail.com"/>
    <x:hyperlink ref="C40" r:id="rId1390" tooltip="Send a mail to info@antoniocaruso.it"/>
    <x:hyperlink ref="C41" r:id="rId1391" tooltip="Send a mail to bedandsofamalta@gmail.com"/>
    <x:hyperlink ref="C42" r:id="rId1392" tooltip="Send a mail to sales@casafini.com.mt"/>
    <x:hyperlink ref="C43" r:id="rId1393" tooltip="Send a mail to info@casconehome.com"/>
    <x:hyperlink ref="C44" r:id="rId1394" tooltip="Send a mail to cieffejoinery@fsh.com.mt"/>
    <x:hyperlink ref="C45" r:id="rId1395" tooltip="Send a mail to info@constructfurniture.com.mt"/>
    <x:hyperlink ref="C46" r:id="rId1396" tooltip="Send a mail to sales@domal.mt"/>
    <x:hyperlink ref="C47" r:id="rId1397" tooltip="Send a mail to rachel@erickuster.com"/>
    <x:hyperlink ref="C48" r:id="rId1398" tooltip="Send a mail to gaspare@esteamt.com"/>
    <x:hyperlink ref="C49" r:id="rId1399" tooltip="Send a mail to agius65@hotmail.com"/>
    <x:hyperlink ref="C50" r:id="rId1400" tooltip="Send a mail to info@gozoarts.com.mt"/>
    <x:hyperlink ref="C51" r:id="rId1401" tooltip="Send a mail to info@formltd.com"/>
    <x:hyperlink ref="C52" r:id="rId1402" tooltip="Send a mail to info@immaginecasamalta.com"/>
    <x:hyperlink ref="C53" r:id="rId1403" tooltip="Send a mail to info@jdsfurniture.com"/>
    <x:hyperlink ref="C54" r:id="rId1404" tooltip="Send a mail to jurgen@jtstrading.com"/>
    <x:hyperlink ref="C55" r:id="rId1405" tooltip="Send a mail to marvinfurniture@gmail.com"/>
    <x:hyperlink ref="C56" r:id="rId1406" tooltip="Send a mail to info@mucciomobili.it"/>
    <x:hyperlink ref="C57" r:id="rId1407" tooltip="Send a mail to info@onepercent.com.mt"/>
    <x:hyperlink ref="C58" r:id="rId1408" tooltip="Send a mail to realwoodworks1@gmail.com"/>
    <x:hyperlink ref="C59" r:id="rId1409" tooltip="Send a mail to info@rusticahome.com.mt"/>
    <x:hyperlink ref="C60" r:id="rId1410" tooltip="Send a mail to info@promaninteriors.com"/>
    <x:hyperlink ref="C61" r:id="rId1411" tooltip="Send a mail to sales@powerhousemalta.eu"/>
    <x:hyperlink ref="C62" r:id="rId1412" tooltip="Send a mail to contactus@theatrium.com.mt"/>
    <x:hyperlink ref="C63" r:id="rId1413" tooltip="Send a mail to mosta@homemate.com.mt"/>
    <x:hyperlink ref="C64" r:id="rId1414" tooltip="Send a mail to jysk@jysk.com.mt"/>
    <x:hyperlink ref="C65" r:id="rId1415" tooltip="Send a mail to info@okhome.com.mt"/>
    <x:hyperlink ref="C66" r:id="rId1416" tooltip="Send a mail to sales@karrari.shop"/>
    <x:hyperlink ref="C67" r:id="rId1417" tooltip="Send a mail to info@fino.com.mt"/>
    <x:hyperlink ref="C69" r:id="rId1418" tooltip="Send a mail to newlineliving@gmail.com"/>
    <x:hyperlink ref="C70" r:id="rId1419" tooltip="Send a mail to info@luxonas.com"/>
    <x:hyperlink ref="C71" r:id="rId1420" tooltip="Send a mail to info@ecasa.com.mt"/>
    <x:hyperlink ref="C72" r:id="rId1421" tooltip="Send a mail to restorer@glreclaim.com"/>
    <x:hyperlink ref="C73" r:id="rId1422" tooltip="Send a mail to sales@objects.mt"/>
    <x:hyperlink ref="C74" r:id="rId1423" tooltip="Send a mail to info@brands.com.mt"/>
    <x:hyperlink ref="C75" r:id="rId1424" tooltip="Send a mail to stephen@rliving.com.mt"/>
    <x:hyperlink ref="C76" r:id="rId1425" tooltip="Send a mail to info@kubekgroup.com"/>
    <x:hyperlink ref="C77" r:id="rId1426" tooltip="Send a mail to topdrawer@topdrawermalta.com"/>
    <x:hyperlink ref="C78" r:id="rId1427" tooltip="Send a mail to casaform@onvol.net"/>
    <x:hyperlink ref="C79" r:id="rId1428" tooltip="Send a mail to sales@casafini.com.mt"/>
    <x:hyperlink ref="C80" r:id="rId1429" tooltip="Send a mail to jasoakwalnut@yahoo.com"/>
    <x:hyperlink ref="C81" r:id="rId1430" tooltip="Send a mail to cieffejoinery@fsh.com.mt"/>
    <x:hyperlink ref="C82" r:id="rId1431" tooltip="Send a mail to danwoodworks@yahoo.co.uk"/>
    <x:hyperlink ref="C83" r:id="rId1432" tooltip="Send a mail to sales@domal.mt"/>
    <x:hyperlink ref="C84" r:id="rId1433" tooltip="Send a mail to info@ecasa.com.mt"/>
    <x:hyperlink ref="C85" r:id="rId1434" tooltip="Send a mail to rachel@erickuster.com"/>
    <x:hyperlink ref="C86" r:id="rId1435" tooltip="Send a mail to agius65@hotmail.com"/>
    <x:hyperlink ref="C87" r:id="rId1436" tooltip="Send a mail to info@farrugiagroup.com"/>
    <x:hyperlink ref="C88" r:id="rId1437" tooltip="Send a mail to info@ferraramalta.com"/>
    <x:hyperlink ref="C89" r:id="rId1438" tooltip="Send a mail to sales@flamant.com.mt"/>
    <x:hyperlink ref="C90" r:id="rId1439" tooltip="Send a mail to info@gozoarts.com.mt"/>
    <x:hyperlink ref="C91" r:id="rId1440" tooltip="Send a mail to info@grannysmithshop.com"/>
    <x:hyperlink ref="C92" r:id="rId1441" tooltip="Send a mail to info@jcrfurniture.com"/>
    <x:hyperlink ref="C93" r:id="rId1442" tooltip="Send a mail to info@jagiuswoodworks.com"/>
    <x:hyperlink ref="C94" r:id="rId1443" tooltip="Send a mail to info@jdsfurniture.com"/>
    <x:hyperlink ref="C95" r:id="rId1444" tooltip="Send a mail to jysk@jysk.com.mt"/>
    <x:hyperlink ref="C96" r:id="rId1445" tooltip="Send a mail to jurgen@jtstrading.com"/>
    <x:hyperlink ref="C97" r:id="rId1446" tooltip="Send a mail to info@mucciomobili.it"/>
    <x:hyperlink ref="C98" r:id="rId1447" tooltip="Send a mail to ragsandrichesbuyandsell@gmail.com"/>
    <x:hyperlink ref="C99" r:id="rId1448" tooltip="Send a mail to seguna@onvol.net"/>
    <x:hyperlink ref="C100" r:id="rId1449" tooltip="Send a mail to ronaldmarmara@gmail.com"/>
    <x:hyperlink ref="C101" r:id="rId1450" tooltip="Send a mail to info@spaces.com.mt"/>
    <x:hyperlink ref="C102" r:id="rId1451" tooltip="Send a mail to deals@shabbychicmalta.com"/>
    <x:hyperlink ref="C103" r:id="rId1452" tooltip="Send a mail to info@stylefurnituremalta.com"/>
    <x:hyperlink ref="C104" r:id="rId1453" tooltip="Send a mail to marketing@tal-lira.com"/>
    <x:hyperlink ref="C105" r:id="rId1454" tooltip="Send a mail to lcwoodcreations@gmail.com"/>
    <x:hyperlink ref="C106" r:id="rId1455" tooltip="Send a mail to help@mattresscollection.com.mt"/>
    <x:hyperlink ref="C107" r:id="rId1456" tooltip="Send a mail to info@bondsmalta.com"/>
    <x:hyperlink ref="C108" r:id="rId1457" tooltip="Send a mail to info@form.com.mt"/>
    <x:hyperlink ref="C109" r:id="rId1458" tooltip="Send a mail to eurotexmalta@gmail.com"/>
    <x:hyperlink ref="C110" r:id="rId1459" tooltip="Send a mail to info@dreamsmalta.com"/>
    <x:hyperlink ref="C111" r:id="rId1460" tooltip="Send a mail to help@wellbeingbedding.com"/>
    <x:hyperlink ref="C112" r:id="rId1461" tooltip="Send a mail to info@royaltybedding.com"/>
    <x:hyperlink ref="C113" r:id="rId1462" tooltip="Send a mail to foam.leather@gmail.com"/>
    <x:hyperlink ref="C114" r:id="rId1463" tooltip="Send a mail to sales@sylviabazaar.com"/>
    <x:hyperlink ref="C115" r:id="rId1464" tooltip="Send a mail to info@vitafoammalta.com"/>
    <x:hyperlink ref="C116" r:id="rId1465" tooltip="Send a mail to estevan@morfeus.com.mt"/>
    <x:hyperlink ref="C117" r:id="rId1466" tooltip="Send a mail to jysk@jysk.com.mt"/>
    <x:hyperlink ref="C118" r:id="rId1467" tooltip="Send a mail to sales@omajco.net"/>
    <x:hyperlink ref="C119" r:id="rId1468" tooltip="Send a mail to info@oxfordhouse.com.mt"/>
    <x:hyperlink ref="E2" r:id="rId1469" tooltip="Search 2, Industrial Estate&#10;Mdina Road&#10;Attard, ATD3000 on Google Maps"/>
    <x:hyperlink ref="E3" r:id="rId1470" tooltip="Search 260 Old Railway Track, Santa Venera SVR 9019 on Google Maps"/>
    <x:hyperlink ref="E4" r:id="rId1471" tooltip="Search 22/23 Triq hal mula Haz-zebbug ZBG on Google Maps"/>
    <x:hyperlink ref="E5" r:id="rId1472" tooltip="Search 836, 838 Triq il-Kbira San Guzepp, Hamrun, Malta HMR 1018 on Google Maps"/>
    <x:hyperlink ref="E6" r:id="rId1473" tooltip="Search Triq Hal Tarxien, Luqa, Malta LQA 1814 on Google Maps"/>
    <x:hyperlink ref="E7" r:id="rId1474" tooltip="Search City Pearl Shopping Arcades Triq Fortunato Mizzi, Victoria-Gozo, Gozo VCT 2571 on Google Maps"/>
    <x:hyperlink ref="E8" r:id="rId1475" tooltip="Search Triq il-Wied ta' I-Imsida, Msida, Malta MSD 9023 on Google Maps"/>
    <x:hyperlink ref="E9" r:id="rId1476" tooltip="Search 13 Censu Bugeja, L-Iklin BZN 1170 on Google Maps"/>
    <x:hyperlink ref="E10" r:id="rId1477" tooltip="Search Triq I-Imdina, Qormi, Malta QRM 9011 on Google Maps"/>
    <x:hyperlink ref="E11" r:id="rId1478" tooltip="Search Triq il-Mosta, Lija, Malta LIJA 9012 on Google Maps"/>
    <x:hyperlink ref="E12" r:id="rId1479" tooltip="Search Triq il-Wied Ta' L-Imsida, B'Kara, Malta BKR 9025 on Google Maps"/>
    <x:hyperlink ref="E13" r:id="rId1480" tooltip="Search Mdina Road Zebbug, Malta on Google Maps"/>
    <x:hyperlink ref="E14" r:id="rId1481" tooltip="Search Zone 5, Central Business District Triq il-Kummerc Qormi, CBD 5050 on Google Maps"/>
    <x:hyperlink ref="E15" r:id="rId1482" tooltip="Search 3, Triq il Dibjun, San Gwann, SGN 052, Malta on Google Maps"/>
    <x:hyperlink ref="E16" r:id="rId1483" tooltip="Search GB Building Triq il-Watar, Ta' Xbiex XBX1301 Malta on Google Maps"/>
    <x:hyperlink ref="E17" r:id="rId1484" tooltip="Search Triq San Pawl tal-Qliegha, MST9096 Mosta, Malta on Google Maps"/>
    <x:hyperlink ref="E18" r:id="rId1485" tooltip="Search Triq L-mdina, Zone 2, Central Business District, Birkirkara CBD 2010, Malta on Google Maps"/>
    <x:hyperlink ref="E19" r:id="rId1486" tooltip="Search Pantar Road, Lija, Malta on Google Maps"/>
    <x:hyperlink ref="E20" r:id="rId1487" tooltip="Search Giovanni Felice Street, Zone 3, Central Business District, Birkirkara CBD 3120 on Google Maps"/>
    <x:hyperlink ref="E21" r:id="rId1488" tooltip="Search Triq I-Imdina, Zone 4, Mriehel/Central Business District CBD 4010, Malta on Google Maps"/>
    <x:hyperlink ref="E22" r:id="rId1489" tooltip="Search Vjal 25 ta' Novembru, Tal-Barrani, Zejtun on Google Maps"/>
    <x:hyperlink ref="E23" r:id="rId1490" tooltip="Search Galeas, San Gwann on Google Maps"/>
    <x:hyperlink ref="E24" r:id="rId1491" tooltip="Search Triq A Caligari Zabbar Malta ZBR 2806 on Google Maps"/>
    <x:hyperlink ref="E25" r:id="rId1492" tooltip="Search San Gwann Nexxar Road on Google Maps"/>
    <x:hyperlink ref="E26" r:id="rId1493" tooltip="Search 233 Tower Road, Sliema SLM 1601 on Google Maps"/>
    <x:hyperlink ref="E27" r:id="rId1494" tooltip="Search 5/6 Msida Valley Road Birkirkara BKR 9022 Malta on Google Maps"/>
    <x:hyperlink ref="E28" r:id="rId1495" tooltip="Search 5/7 Triq Censu Bugeja, L-Iklin on Google Maps"/>
    <x:hyperlink ref="E29" r:id="rId1496" tooltip="Search 31, Cross Road, Marsa MRS 1548, Malta on Google Maps"/>
    <x:hyperlink ref="E30" r:id="rId1497" tooltip="Search Malta Design&#10;33 Triq l-Oleandru ,&#10;San Giljan, Malta on Google Maps"/>
    <x:hyperlink ref="E31" r:id="rId1498" tooltip="Search Proman Interiors,&#10;115, Valley Road,&#10;B'Kara. BKR 9022.&#10;Malta. on Google Maps"/>
    <x:hyperlink ref="E32" r:id="rId1499" tooltip="Search Triq tal-Balal, San Gwann, Malta SGN 9016 on Google Maps"/>
    <x:hyperlink ref="E33" r:id="rId1500" tooltip="Search Dawert I-Imriehel, Qormi, Malta QRM 9052 on Google Maps"/>
    <x:hyperlink ref="E34" r:id="rId1501" tooltip="Search HF 5A Qasam Industrijali, Hal Far, B'Bugia, Malta BBG 3000 on Google Maps"/>
    <x:hyperlink ref="E35" r:id="rId1502" tooltip="Search 59 Triq in-Nahal, Mellieha, Malta MLH 2166 on Google Maps"/>
    <x:hyperlink ref="E36" r:id="rId1503" tooltip="Search 119 Triq il-Kappillan Mifsud, Sta Venera, Malta on Google Maps"/>
    <x:hyperlink ref="E37" r:id="rId1504" tooltip="Search 57 Naxxar road, San Gwann sgn 9032, Malta on Google Maps"/>
    <x:hyperlink ref="E38" r:id="rId1505" tooltip="Search 146, Balzan Valley, Hal Balzan, Malta on Google Maps"/>
    <x:hyperlink ref="E39" r:id="rId1506" tooltip="Search Triq il-Wied Ta' L-Imsida, B'Kara, Malta BKR 9022 on Google Maps"/>
    <x:hyperlink ref="E40" r:id="rId1507" tooltip="Search Triq Hal Far, B'Budia, Malta on Google Maps"/>
    <x:hyperlink ref="E41" r:id="rId1508" tooltip="Search 40 Qasam Industrijali, Luqa, Malta LQA 3000 on Google Maps"/>
    <x:hyperlink ref="E42" r:id="rId1509" tooltip="Search 192 Triq in-Naxxar, B'Kara, Malta BKR 9044 on Google Maps"/>
    <x:hyperlink ref="E43" r:id="rId1510" tooltip="Search Triq Wied Ghomor, San Giljan, Malta STJ 2040 on Google Maps"/>
    <x:hyperlink ref="E44" r:id="rId1511" tooltip="Search Monpalau Building Triq it-Torri, Msida, Malta on Google Maps"/>
    <x:hyperlink ref="E45" r:id="rId1512" tooltip="Search 69 Triq Hal Qormi, Hamrun, Malta HMR 2183 on Google Maps"/>
    <x:hyperlink ref="E46" r:id="rId1513" tooltip="Search Triq Gorg Borg Olivier, Vicotria-Gozo, Gozo VCT 2515 on Google Maps"/>
    <x:hyperlink ref="E47" r:id="rId1514" tooltip="Search Triq il-Wied ta'lmsida, Msida, Malta MSD 9023 on Google Maps"/>
    <x:hyperlink ref="E48" r:id="rId1515" tooltip="Search Triq il-Wied Ta' L'lmsida, B'Kara, Malta BKR 3000 on Google Maps"/>
    <x:hyperlink ref="E49" r:id="rId1516" tooltip="Search Triq il-Kbira, Mellieha, Malta MLH 2317 on Google Maps"/>
    <x:hyperlink ref="E50" r:id="rId1517" tooltip="Search Zone 5 Triq ll-Kummerc Central Business District, Qormi, Malta on Google Maps"/>
    <x:hyperlink ref="E51" r:id="rId1518" tooltip="Search Triq il-Qoton, Sta Lucija, Malta SLC 1010 on Google Maps"/>
    <x:hyperlink ref="E52" r:id="rId1519" tooltip="Search 154 Triq il-Kappilan Mifsud, Sta Venera, Malta on Google Maps"/>
    <x:hyperlink ref="E53" r:id="rId1520" tooltip="Search Triq il-Wied ta' I-Imsida, Msida, Malta MSD 9022 on Google Maps"/>
    <x:hyperlink ref="E54" r:id="rId1521" tooltip="Search Binja San Guzepp Haddiem Triq Indri Psaila, Qormi Malta on Google Maps"/>
    <x:hyperlink ref="E55" r:id="rId1522" tooltip="Search 32 II-Moll tal-Hatab, Marsa, Malta MRS 1440 on Google Maps"/>
    <x:hyperlink ref="E56" r:id="rId1523" tooltip="Search Proman Interiors,&#10;115, Valley Road,&#10;B'Kara. BKR 9022.&#10;Malta. on Google Maps"/>
    <x:hyperlink ref="E57" r:id="rId1524" tooltip="Search 13 Censu Bugeja, L-Iklin BZN 1170 on Google Maps"/>
    <x:hyperlink ref="E58" r:id="rId1525" tooltip="Search Giovanni Felice Street, Zone 3, Central Business District, Birkirkara CBD 3120 on Google Maps"/>
    <x:hyperlink ref="E59" r:id="rId1526" tooltip="Search Vjal 25 ta' Novembru, Tal-Barrani, Zejtun on Google Maps"/>
    <x:hyperlink ref="E60" r:id="rId1527" tooltip="Search Triq il-Mosta, Lija, Malta LIJA 9012 on Google Maps"/>
    <x:hyperlink ref="E61" r:id="rId1528" tooltip="Search Pantar Road, Lija, Malta on Google Maps"/>
    <x:hyperlink ref="E62" r:id="rId1529" tooltip="Search 77 Commerce St, Birkirkara, CBD3010 on Google Maps"/>
    <x:hyperlink ref="E63" r:id="rId1530" tooltip="Search Triq I-Imdina, Zone 4, Mriehel/Central Business District CBD 4010, Malta on Google Maps"/>
    <x:hyperlink ref="E64" r:id="rId1531" tooltip="Search Triq L-Imdina, Zone 2, Central Business District, Birkirkara on Google Maps"/>
    <x:hyperlink ref="E65" r:id="rId1532" tooltip="Search Triq Papa Gwanni Pawlu ll, Victoria-Gozo, Gozo VCT 9046 on Google Maps"/>
    <x:hyperlink ref="E66" r:id="rId1533" tooltip="Search Triq L-Mdina, Haz-Zebbug, ZBG09018 on Google Maps"/>
    <x:hyperlink ref="E67" r:id="rId1534" tooltip="Search San Gwakkin Building Triq Gwakkin Central Business District, B'Kara, Malta CBD 4020 on Google Maps"/>
    <x:hyperlink ref="E68" r:id="rId1535" tooltip="Search Blk A No 7, Upper Level, Midland Mico Enterprise Park, Burmarrad Road, Naxxar on Google Maps"/>
    <x:hyperlink ref="E69" r:id="rId1536" tooltip="Search 25, Triq San Gorg, Naxxar, Malta on Google Maps"/>
    <x:hyperlink ref="E70" r:id="rId1537" tooltip="Search Triq tal-Balal, San Gwann, Malta SGN 9016 on Google Maps"/>
    <x:hyperlink ref="E71" r:id="rId1538" tooltip="Search Dawert I-Imriehel, Qormi, Malta QRM 9052 on Google Maps"/>
    <x:hyperlink ref="E72" r:id="rId1539" tooltip="Search HF 5A Qasam Industrijali, Hal Far, B'Bugia, Malta BBG 3000 on Google Maps"/>
    <x:hyperlink ref="E73" r:id="rId1540" tooltip="Search Triq il-Kappar, Mosta, Malta MST 4003 on Google Maps"/>
    <x:hyperlink ref="E74" r:id="rId1541" tooltip="Search T/G fi triq l-Imdina, Zebbug, Malta ZBG 5011 on Google Maps"/>
    <x:hyperlink ref="E75" r:id="rId1542" tooltip="Search 146, Balzan Valley, Hal Balzan, Malta on Google Maps"/>
    <x:hyperlink ref="E76" r:id="rId1543" tooltip="Search Triq I-Isqof Buhagiar, Paola, Malta PLA 1111 on Google Maps"/>
    <x:hyperlink ref="E77" r:id="rId1544" tooltip="Search Triq Hal Far, B'Budia, Malta on Google Maps"/>
    <x:hyperlink ref="E78" r:id="rId1545" tooltip="Search 86 Triq Valletta Hal Luqa, Malta LQA 1762 on Google Maps"/>
    <x:hyperlink ref="E79" r:id="rId1546" tooltip="Search 192 Triq in-Naxxar, B'Kara, Malta BKR 9044 on Google Maps"/>
    <x:hyperlink ref="E80" r:id="rId1547" tooltip="Search San Gwakkin Building Triq Gwakkin Central Business District, B'Kara, Malta CBD 4020 on Google Maps"/>
    <x:hyperlink ref="E81" r:id="rId1548" tooltip="Search Triq Wied Ghomor, San Giljan, Malta STJ 2040 on Google Maps"/>
    <x:hyperlink ref="E82" r:id="rId1549" tooltip="Search 69 Triq Hal Qormi, Hamrun, Malta HMR 2183 on Google Maps"/>
    <x:hyperlink ref="E83" r:id="rId1550" tooltip="Search 61 St Liberata Triq Santa Liberata, Kalkara, Malta KKR 1612 on Google Maps"/>
    <x:hyperlink ref="E84" r:id="rId1551" tooltip="Search Triq il-Wied, B'Kara, Malta on Google Maps"/>
    <x:hyperlink ref="E85" r:id="rId1552" tooltip="Search Pjazza Tigne' Tigne' Point, Slimea, Malta on Google Maps"/>
    <x:hyperlink ref="E86" r:id="rId1553" tooltip="Search Triq Gorg Borg Olivier, Victoria-Gozo, Gozo VCT 2515 on Google Maps"/>
    <x:hyperlink ref="E87" r:id="rId1554" tooltip="Search Triq San Pawl, Naxxar, Malta NXR 4016 on Google Maps"/>
    <x:hyperlink ref="E88" r:id="rId1555" tooltip="Search Triq il-Labour, Marsa, Malta MRS 9030 on Google Maps"/>
    <x:hyperlink ref="E89" r:id="rId1556" tooltip="Search 28 Qasam Industrijali, Luqa, Malta LQA 3000 on Google Maps"/>
    <x:hyperlink ref="E90" r:id="rId1557" tooltip="Search Triq il-Kbita, Mellieha, Malta on Google Maps"/>
    <x:hyperlink ref="E91" r:id="rId1558" tooltip="Search Triq il-Mosta, Lija, Malta LIJA 9012 on Google Maps"/>
    <x:hyperlink ref="E92" r:id="rId1559" tooltip="Search Zone 5 Triq ll-Kummerc Central Business District, Qormi, Malta on Google Maps"/>
    <x:hyperlink ref="E93" r:id="rId1560" tooltip="Search 154 Triq il-Kappillan Mifsud, Sta Venera, Malta on Google Maps"/>
    <x:hyperlink ref="E94" r:id="rId1561" tooltip="Search Flat 9, Harmony Court Triq tal-Gardiel, M'Skala, Malta MSK 3807 on Google Maps"/>
    <x:hyperlink ref="E95" r:id="rId1562" tooltip="Search 91 Triq il-Kbira San Guzepp, Hamrun, Malta HMR 1017 on Google Maps"/>
    <x:hyperlink ref="E96" r:id="rId1563" tooltip="Search 210 Triq il-Ferrovija, Sta Venera, Malta SVR 9019 on Google Maps"/>
    <x:hyperlink ref="E97" r:id="rId1564" tooltip="Search Triq il-Wied, B'Kara, Malta BKR 9021 on Google Maps"/>
    <x:hyperlink ref="E98" r:id="rId1565" tooltip="Search 17 Triq Ganu, B'Kara on Google Maps"/>
    <x:hyperlink ref="E99" r:id="rId1566" tooltip="Search Triq il-Ferrovija, Sta Venera, Malta SVR 9019 on Google Maps"/>
    <x:hyperlink ref="E100" r:id="rId1567" tooltip="Search Triq Ponosonby, Mosta, Malta MST 4039 on Google Maps"/>
    <x:hyperlink ref="E101" r:id="rId1568" tooltip="Search Triq il-Kungress Ewkaristiku on Google Maps"/>
    <x:hyperlink ref="E102" r:id="rId1569" tooltip="Search Mdina Road, Zebbug on Google Maps"/>
    <x:hyperlink ref="E103" r:id="rId1570" tooltip="Search Mdina Road, Attard on Google Maps"/>
    <x:hyperlink ref="E104" r:id="rId1571" tooltip="Search Triq il-Wied ta' (multiple) on Google Maps"/>
    <x:hyperlink ref="E105" r:id="rId1572" tooltip="Search 163 Triq il-Ferrovija, Santa Venera on Google Maps"/>
    <x:hyperlink ref="E106" r:id="rId1573" tooltip="Search Abate Rigord St, Ta' Xbiex on Google Maps"/>
    <x:hyperlink ref="E107" r:id="rId1574" tooltip="Search 5/6 Msida Valley Road, Birkirkara on Google Maps"/>
    <x:hyperlink ref="E108" r:id="rId1575" tooltip="Search Triq il-Kummerc, Qormi on Google Maps"/>
    <x:hyperlink ref="E109" r:id="rId1576" tooltip="Search 836/838 High Street, Hamrun on Google Maps"/>
    <x:hyperlink ref="E110" r:id="rId1577" tooltip="Search Triq A Caligari, Zabbar on Google Maps"/>
    <x:hyperlink ref="E111" r:id="rId1578" tooltip="Search Galeas, San Gwann on Google Maps"/>
    <x:hyperlink ref="E112" r:id="rId1579" tooltip="Search Triq San Pawl, Mosta on Google Maps"/>
    <x:hyperlink ref="E113" r:id="rId1580" tooltip="Search Lija / Qormi stores on Google Maps"/>
    <x:hyperlink ref="E114" r:id="rId1581" tooltip="Search San Gwann on Google Maps"/>
    <x:hyperlink ref="F2" r:id="rId1582" tooltip="Visit euroimjsm.com/"/>
    <x:hyperlink ref="F3" r:id="rId1583" tooltip="Visit styleinterni.com/"/>
    <x:hyperlink ref="F4" r:id="rId1584" tooltip="Visit homisticrooms.com/"/>
    <x:hyperlink ref="F5" r:id="rId1585" tooltip="Visit foamandleather.com"/>
    <x:hyperlink ref="F6" r:id="rId1586" tooltip="Visit cbrltd.com"/>
    <x:hyperlink ref="F8" r:id="rId1587" tooltip="Visit facebook.com/4mHome"/>
    <x:hyperlink ref="F9" r:id="rId1588" tooltip="Visit powerhousemalta.eu"/>
    <x:hyperlink ref="F10" r:id="rId1589" tooltip="Visit krea.com.mt"/>
    <x:hyperlink ref="F11" r:id="rId1590" tooltip="Visit jysk.com.mt"/>
    <x:hyperlink ref="F12" r:id="rId1591" tooltip="Visit dinofino.com"/>
    <x:hyperlink ref="F13" r:id="rId1592" tooltip="Visit mattresscollection.com.mt"/>
    <x:hyperlink ref="F14" r:id="rId1593" tooltip="Visit royaltybedding.com"/>
    <x:hyperlink ref="F15" r:id="rId1594" tooltip="Visit shaker.com.mt"/>
    <x:hyperlink ref="F16" r:id="rId1595" tooltip="Visit dreamsmalta.com"/>
    <x:hyperlink ref="F17" r:id="rId1596" tooltip="Visit morfeus.com.mt"/>
    <x:hyperlink ref="F18" r:id="rId1597" tooltip="Visit oxfordhouse.com.mt"/>
    <x:hyperlink ref="F19" r:id="rId1598" tooltip="Visit okhome.com.mt"/>
    <x:hyperlink ref="F20" r:id="rId1599" tooltip="Visit theatrium.com.mt"/>
    <x:hyperlink ref="F21" r:id="rId1600" tooltip="Visit fino.com.mt"/>
    <x:hyperlink ref="F22" r:id="rId1601" tooltip="Visit homemate.com.mt"/>
    <x:hyperlink ref="F23" r:id="rId1602" tooltip="Visit vitafoammalta.com"/>
    <x:hyperlink ref="F24" r:id="rId1603" tooltip="Visit sylviabazaar.com"/>
    <x:hyperlink ref="F25" r:id="rId1604" tooltip="Visit omajcobedding.com"/>
    <x:hyperlink ref="F26" r:id="rId1605" tooltip="Visit borisarcidiacono.com"/>
    <x:hyperlink ref="F27" r:id="rId1606" tooltip="Visit wellbeingbedding.com"/>
    <x:hyperlink ref="F28" r:id="rId1607" tooltip="Visit ctmliving.com"/>
    <x:hyperlink ref="F29" r:id="rId1608" tooltip="Visit pcs.com.mt"/>
    <x:hyperlink ref="F30" r:id="rId1609" tooltip="Visit malta-design.com"/>
    <x:hyperlink ref="F31" r:id="rId1610" tooltip="Visit promaninteriors.com/"/>
    <x:hyperlink ref="F32" r:id="rId1611" tooltip="Visit brands.com.mt"/>
    <x:hyperlink ref="F33" r:id="rId1612" tooltip="Visit rliving.com.mt"/>
    <x:hyperlink ref="F34" r:id="rId1613" tooltip="Visit kubekgroup.com"/>
    <x:hyperlink ref="F35" r:id="rId1614" tooltip="Visit facebook.com/people/Abela-Norbert-Joiners/100057636902110/"/>
    <x:hyperlink ref="F36" r:id="rId1615" tooltip="Visit facebook.com/photo/?fbid=518605750070651&amp;set=a.518605710070655"/>
    <x:hyperlink ref="F37" r:id="rId1616" tooltip="Visit bedsofa.mypos.site/en"/>
    <x:hyperlink ref="F38" r:id="rId1617" tooltip="Visit instagram.com/casafini_malta/?hl=en"/>
    <x:hyperlink ref="F39" r:id="rId1618" tooltip="Visit casconehome.com"/>
    <x:hyperlink ref="F40" r:id="rId1619" tooltip="Visit cieffeprojects.com.mt"/>
    <x:hyperlink ref="F41" r:id="rId1620" tooltip="Visit constructfurniture.com.mt"/>
    <x:hyperlink ref="F42" r:id="rId1621" tooltip="Visit domal.com.mt"/>
    <x:hyperlink ref="F43" r:id="rId1622" tooltip="Visit erickuster.com"/>
    <x:hyperlink ref="F44" r:id="rId1623" tooltip="Visit esteamt.com"/>
    <x:hyperlink ref="F46" r:id="rId1624" tooltip="Visit gozoarts.com.mt"/>
    <x:hyperlink ref="F47" r:id="rId1625" tooltip="Visit form.com.mt"/>
    <x:hyperlink ref="F48" r:id="rId1626" tooltip="Visit imaginecasamalta.com"/>
    <x:hyperlink ref="F49" r:id="rId1627" tooltip="Visit jdsfurniture.com"/>
    <x:hyperlink ref="F50" r:id="rId1628" tooltip="Visit jtstrading.com"/>
    <x:hyperlink ref="F51" r:id="rId1629" tooltip="Visit facebook.com/MarvinsWarehouse"/>
    <x:hyperlink ref="F52" r:id="rId1630" tooltip="Visit mucciomobili.it"/>
    <x:hyperlink ref="F53" r:id="rId1631" tooltip="Visit onepercent.com.mt"/>
    <x:hyperlink ref="F54" r:id="rId1632" tooltip="Visit facebook.com/people/Real-woodworks/100057415459586/"/>
    <x:hyperlink ref="F55" r:id="rId1633" tooltip="Visit rusticahome.com.mt"/>
    <x:hyperlink ref="F56" r:id="rId1634" tooltip="Visit promaninteriors.com/"/>
    <x:hyperlink ref="F57" r:id="rId1635" tooltip="Visit powerhousemalta.eu"/>
    <x:hyperlink ref="F58" r:id="rId1636" tooltip="Visit theatrium.com.mt"/>
    <x:hyperlink ref="F59" r:id="rId1637" tooltip="Visit homemate.com.mt"/>
    <x:hyperlink ref="F60" r:id="rId1638" tooltip="Visit jysk.com.mt"/>
    <x:hyperlink ref="F61" r:id="rId1639" tooltip="Visit okhome.com.mt"/>
    <x:hyperlink ref="F62" r:id="rId1640" tooltip="Visit karrari.shop"/>
    <x:hyperlink ref="F63" r:id="rId1641" tooltip="Visit fino.com.mt"/>
    <x:hyperlink ref="F64" r:id="rId1642" tooltip="Visit orienta.mt"/>
    <x:hyperlink ref="F65" r:id="rId1643" tooltip="Visit newline.com.mt"/>
    <x:hyperlink ref="F66" r:id="rId1644" tooltip="Visit luxonas.com"/>
    <x:hyperlink ref="F67" r:id="rId1645" tooltip="Visit ecasa.com.mt"/>
    <x:hyperlink ref="F68" r:id="rId1646" tooltip="Visit glreclaim.com"/>
    <x:hyperlink ref="F69" r:id="rId1647" tooltip="Visit objects.mt"/>
    <x:hyperlink ref="F70" r:id="rId1648" tooltip="Visit brands.com.mt"/>
    <x:hyperlink ref="F71" r:id="rId1649" tooltip="Visit rliving.com.mt"/>
    <x:hyperlink ref="F72" r:id="rId1650" tooltip="Visit kubekgroup.com"/>
    <x:hyperlink ref="F73" r:id="rId1651" tooltip="Visit facebook.com/people/Top-Drawer-Ltd/100057222588942/"/>
    <x:hyperlink ref="F74" r:id="rId1652" tooltip="Visit casaformfurniture.com"/>
    <x:hyperlink ref="F75" r:id="rId1653" tooltip="Visit instagram.com/casafini_malta/?hl=en"/>
    <x:hyperlink ref="F76" r:id="rId1654" tooltip="Visit ciantarwoodworks.com"/>
    <x:hyperlink ref="F77" r:id="rId1655" tooltip="Visit cieffeprojects.com.mt"/>
    <x:hyperlink ref="F78" r:id="rId1656" tooltip="Visit danielwoodworksmalta.com"/>
    <x:hyperlink ref="F79" r:id="rId1657" tooltip="Visit domal.com.mt"/>
    <x:hyperlink ref="F80" r:id="rId1658" tooltip="Visit ecasa.com.mt"/>
    <x:hyperlink ref="F81" r:id="rId1659" tooltip="Visit erickuster.com"/>
    <x:hyperlink ref="F83" r:id="rId1660" tooltip="Visit fg.com.mt"/>
    <x:hyperlink ref="F84" r:id="rId1661" tooltip="Visit ferraracasa.com.mt"/>
    <x:hyperlink ref="F85" r:id="rId1662" tooltip="Visit gozoarts.com.mt"/>
    <x:hyperlink ref="F86" r:id="rId1663" tooltip="Visit facebook.com/grannysmithfurnitureandinteriors"/>
    <x:hyperlink ref="F87" r:id="rId1664" tooltip="Visit jcrfurniture.com"/>
    <x:hyperlink ref="F88" r:id="rId1665" tooltip="Visit jagiuswoodworks.com"/>
    <x:hyperlink ref="F89" r:id="rId1666" tooltip="Visit jdsfurniture.com"/>
    <x:hyperlink ref="F90" r:id="rId1667" tooltip="Visit jysk.com.mt"/>
    <x:hyperlink ref="F91" r:id="rId1668" tooltip="Visit jtstrading.com"/>
    <x:hyperlink ref="F92" r:id="rId1669" tooltip="Visit mucciomobili.it"/>
    <x:hyperlink ref="F93" r:id="rId1670" tooltip="Visit facebook.com/p/Rags-and-Riches-Buy-and-Sell-100041339592117/"/>
    <x:hyperlink ref="F94" r:id="rId1671" tooltip="Visit lepseg.wix.com/richard-furniture"/>
    <x:hyperlink ref="F96" r:id="rId1672" tooltip="Visit spaces.com.mt"/>
    <x:hyperlink ref="F97" r:id="rId1673" tooltip="Visit shabbychic.world/"/>
    <x:hyperlink ref="F98" r:id="rId1674" tooltip="Visit stylefurnituremalta.com"/>
    <x:hyperlink ref="F99" r:id="rId1675" tooltip="Visit tal-lira.com"/>
    <x:hyperlink ref="F100" r:id="rId1676" tooltip="Visit woodcreationsmalta.com"/>
    <x:hyperlink ref="F101" r:id="rId1677" tooltip="Visit mattresscollection.com.mt"/>
    <x:hyperlink ref="F102" r:id="rId1678" tooltip="Visit bondsmalta.com"/>
    <x:hyperlink ref="F103" r:id="rId1679" tooltip="Visit form.com.mt"/>
    <x:hyperlink ref="F104" r:id="rId1680" tooltip="Visit eurotexmalta.com"/>
    <x:hyperlink ref="F105" r:id="rId1681" tooltip="Visit dreamsmalta.com"/>
    <x:hyperlink ref="F106" r:id="rId1682" tooltip="Visit wellbeingbedding.com"/>
    <x:hyperlink ref="F107" r:id="rId1683" tooltip="Visit royaltybedding.com"/>
    <x:hyperlink ref="F108" r:id="rId1684" tooltip="Visit foamandleather.com"/>
    <x:hyperlink ref="F109" r:id="rId1685" tooltip="Visit sylviabazaar.com"/>
    <x:hyperlink ref="F110" r:id="rId1686" tooltip="Visit vitafoammalta.com"/>
    <x:hyperlink ref="F111" r:id="rId1687" tooltip="Visit morfeus.com.mt"/>
    <x:hyperlink ref="F112" r:id="rId1688" tooltip="Visit jysk.com.mt"/>
    <x:hyperlink ref="F113" r:id="rId1689" tooltip="Visit omajcobedding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152"/>
  <x:sheetViews>
    <x:sheetView workbookViewId="0"/>
  </x:sheetViews>
  <x:sheetFormatPr defaultRowHeight="15"/>
  <x:cols>
    <x:col min="1" max="1" width="15.567768" style="0" customWidth="1"/>
    <x:col min="2" max="2" width="36.139196" style="0" customWidth="1"/>
    <x:col min="3" max="3" width="48.710625" style="0" customWidth="1"/>
    <x:col min="4" max="4" width="45.282054" style="0" customWidth="1"/>
    <x:col min="5" max="5" width="76.282054" style="0" customWidth="1"/>
    <x:col min="6" max="6" width="134.567768" style="0" customWidth="1"/>
    <x:col min="7" max="7" width="19.424911" style="0" customWidth="1"/>
    <x:col min="8" max="8" width="20.996339" style="0" customWidth="1"/>
  </x:cols>
  <x:sheetData>
    <x:row r="1" spans="1:8" s="2" customFormat="1">
      <x:c r="A1" s="2" t="s">
        <x:v>579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2" t="s">
        <x:v>1830</x:v>
      </x:c>
      <x:c r="H1" s="5">
        <x:f>HYPERLINK("#'Summary List'!A29", "Back to Summary")</x:f>
      </x:c>
    </x:row>
    <x:row r="2" spans="1:8" s="3" customFormat="1">
      <x:c r="A2" s="3" t="s">
        <x:v>0</x:v>
      </x:c>
      <x:c r="B2" s="3" t="s">
        <x:v>1569</x:v>
      </x:c>
      <x:c r="C2" s="6" t="s">
        <x:v>1653</x:v>
      </x:c>
      <x:c r="D2" s="7">
        <x:f>CONCATENATE(HYPERLINK("CALLTO:%2B356%202148%203614", "+356 2148 3614"))</x:f>
      </x:c>
      <x:c r="E2" s="6" t="s">
        <x:v>1955</x:v>
      </x:c>
      <x:c r="F2" s="6" t="s">
        <x:v>1829</x:v>
      </x:c>
    </x:row>
    <x:row r="3" spans="1:8" s="1" customFormat="1">
      <x:c r="A3" s="1" t="s">
        <x:v>1831</x:v>
      </x:c>
      <x:c r="B3" s="1" t="s">
        <x:v>1505</x:v>
      </x:c>
      <x:c r="C3" s="8" t="s">
        <x:v>1591</x:v>
      </x:c>
      <x:c r="D3" s="9">
        <x:f>CONCATENATE(HYPERLINK("CALLTO:%2B356%202149%206473", "+356 2149 6473"))</x:f>
      </x:c>
      <x:c r="E3" s="8" t="s">
        <x:v>1682</x:v>
      </x:c>
      <x:c r="F3" s="8" t="s">
        <x:v>1673</x:v>
      </x:c>
    </x:row>
    <x:row r="4" spans="1:8" s="4" customFormat="1">
      <x:c r="A4" s="4" t="s">
        <x:v>1831</x:v>
      </x:c>
      <x:c r="B4" s="4" t="s">
        <x:v>1843</x:v>
      </x:c>
      <x:c r="C4" s="10" t="s">
        <x:v>1901</x:v>
      </x:c>
      <x:c r="D4" s="11">
        <x:f>CONCATENATE(HYPERLINK("CALLTO:%2B356%209922%20960099406580", "+356 9922 960099406580"))</x:f>
      </x:c>
      <x:c r="E4" s="10" t="s">
        <x:v>1956</x:v>
      </x:c>
      <x:c r="F4" s="10" t="s">
        <x:v>5306</x:v>
      </x:c>
    </x:row>
    <x:row r="5" spans="1:8" s="3" customFormat="1">
      <x:c r="A5" s="3" t="s">
        <x:v>1831</x:v>
      </x:c>
      <x:c r="B5" s="3" t="s">
        <x:v>681</x:v>
      </x:c>
      <x:c r="C5" s="6" t="s">
        <x:v>710</x:v>
      </x:c>
      <x:c r="D5" s="7">
        <x:f>CONCATENATE(HYPERLINK("CALLTO:%2B356%202145%201350", "+356 2145 1350"))</x:f>
      </x:c>
      <x:c r="E5" s="6" t="s">
        <x:v>1957</x:v>
      </x:c>
      <x:c r="F5" s="6" t="s">
        <x:v>4643</x:v>
      </x:c>
    </x:row>
    <x:row r="6" spans="1:8" s="1" customFormat="1">
      <x:c r="A6" s="1" t="s">
        <x:v>1831</x:v>
      </x:c>
      <x:c r="B6" s="1" t="s">
        <x:v>1844</x:v>
      </x:c>
      <x:c r="C6" s="8" t="s">
        <x:v>1617</x:v>
      </x:c>
      <x:c r="D6" s="9">
        <x:f>CONCATENATE(HYPERLINK("CALLTO:%2B356%202728%202828", "+356 2728 2828"))</x:f>
      </x:c>
      <x:c r="E6" s="8" t="s">
        <x:v>1958</x:v>
      </x:c>
      <x:c r="F6" s="8" t="s">
        <x:v>2026</x:v>
      </x:c>
    </x:row>
    <x:row r="7" spans="1:8" s="4" customFormat="1">
      <x:c r="A7" s="4" t="s">
        <x:v>1831</x:v>
      </x:c>
      <x:c r="B7" s="4" t="s">
        <x:v>1845</x:v>
      </x:c>
      <x:c r="C7" s="10" t="s">
        <x:v>1902</x:v>
      </x:c>
      <x:c r="D7" s="11">
        <x:f>CONCATENATE(HYPERLINK("CALLTO:%2B356%202141%207402", "+356 2141 7402"))</x:f>
      </x:c>
      <x:c r="E7" s="10" t="s">
        <x:v>1959</x:v>
      </x:c>
      <x:c r="F7" s="10" t="s">
        <x:v>5307</x:v>
      </x:c>
    </x:row>
    <x:row r="8" spans="1:8" s="3" customFormat="1">
      <x:c r="A8" s="3" t="s">
        <x:v>1831</x:v>
      </x:c>
      <x:c r="B8" s="3" t="s">
        <x:v>1846</x:v>
      </x:c>
      <x:c r="C8" s="6" t="s">
        <x:v>1903</x:v>
      </x:c>
      <x:c r="D8" s="7">
        <x:f>CONCATENATE(HYPERLINK("CALLTO:%2B356%202722%20777177729292", "+356 2722 777177729292"))</x:f>
      </x:c>
      <x:c r="E8" s="6" t="s">
        <x:v>1961</x:v>
      </x:c>
      <x:c r="F8" s="6" t="s">
        <x:v>2029</x:v>
      </x:c>
    </x:row>
    <x:row r="9" spans="1:8" s="1" customFormat="1">
      <x:c r="A9" s="1" t="s">
        <x:v>1831</x:v>
      </x:c>
      <x:c r="B9" s="1" t="s">
        <x:v>215</x:v>
      </x:c>
      <x:c r="C9" s="8" t="s">
        <x:v>225</x:v>
      </x:c>
      <x:c r="D9" s="9">
        <x:f>CONCATENATE(HYPERLINK("CALLTO:%2B356%207904%201733", "+356 7904 1733"))</x:f>
      </x:c>
      <x:c r="E9" s="8" t="s">
        <x:v>1960</x:v>
      </x:c>
      <x:c r="F9" s="8" t="s">
        <x:v>234</x:v>
      </x:c>
    </x:row>
    <x:row r="10" spans="1:8" s="4" customFormat="1">
      <x:c r="A10" s="4" t="s">
        <x:v>1831</x:v>
      </x:c>
      <x:c r="B10" s="4" t="s">
        <x:v>1564</x:v>
      </x:c>
      <x:c r="C10" s="10" t="s">
        <x:v>1648</x:v>
      </x:c>
      <x:c r="D10" s="11">
        <x:f>CONCATENATE(HYPERLINK("CALLTO:%2B356%202141%200903", "+356 2141 0903"))</x:f>
      </x:c>
      <x:c r="E10" s="10" t="s">
        <x:v>1741</x:v>
      </x:c>
      <x:c r="F10" s="10" t="s">
        <x:v>1813</x:v>
      </x:c>
    </x:row>
    <x:row r="11" spans="1:8" s="3" customFormat="1">
      <x:c r="A11" s="3" t="s">
        <x:v>1831</x:v>
      </x:c>
      <x:c r="B11" s="3" t="s">
        <x:v>1535</x:v>
      </x:c>
      <x:c r="C11" s="6" t="s">
        <x:v>1620</x:v>
      </x:c>
      <x:c r="D11" s="7">
        <x:f>CONCATENATE(HYPERLINK("CALLTO:%2B356%202095%209595", "+356 2095 9595"))</x:f>
      </x:c>
      <x:c r="E11" s="6" t="s">
        <x:v>1711</x:v>
      </x:c>
      <x:c r="F11" s="6" t="s">
        <x:v>5286</x:v>
      </x:c>
    </x:row>
    <x:row r="12" spans="1:8" s="1" customFormat="1">
      <x:c r="A12" s="1" t="s">
        <x:v>1831</x:v>
      </x:c>
      <x:c r="B12" s="1" t="s">
        <x:v>1847</x:v>
      </x:c>
      <x:c r="C12" s="8" t="s">
        <x:v>1904</x:v>
      </x:c>
      <x:c r="D12" s="9">
        <x:f>CONCATENATE(HYPERLINK("CALLTO:%2B356%207744%20761021447604", "+356 7744 761021447604"))</x:f>
      </x:c>
      <x:c r="E12" s="8" t="s">
        <x:v>1962</x:v>
      </x:c>
      <x:c r="F12" s="8" t="s">
        <x:v>4598</x:v>
      </x:c>
    </x:row>
    <x:row r="13" spans="1:8" s="4" customFormat="1">
      <x:c r="A13" s="4" t="s">
        <x:v>1831</x:v>
      </x:c>
      <x:c r="B13" s="4" t="s">
        <x:v>1848</x:v>
      </x:c>
      <x:c r="C13" s="10" t="s">
        <x:v>1905</x:v>
      </x:c>
      <x:c r="D13" s="11">
        <x:f>CONCATENATE(HYPERLINK("CALLTO:%2B356%202144%203449", "+356 2144 3449"))</x:f>
      </x:c>
      <x:c r="E13" s="10" t="s">
        <x:v>1963</x:v>
      </x:c>
      <x:c r="F13" s="10" t="s">
        <x:v>2030</x:v>
      </x:c>
    </x:row>
    <x:row r="14" spans="1:8" s="3" customFormat="1">
      <x:c r="A14" s="3" t="s">
        <x:v>1831</x:v>
      </x:c>
      <x:c r="B14" s="3" t="s">
        <x:v>1513</x:v>
      </x:c>
      <x:c r="C14" s="6" t="s">
        <x:v>1599</x:v>
      </x:c>
      <x:c r="D14" s="7">
        <x:f>CONCATENATE(HYPERLINK("CALLTO:%2B356%202124%200100", "+356 2124 0100"))</x:f>
      </x:c>
      <x:c r="E14" s="6" t="s">
        <x:v>1691</x:v>
      </x:c>
      <x:c r="F14" s="6" t="s">
        <x:v>1445</x:v>
      </x:c>
    </x:row>
    <x:row r="15" spans="1:8" s="1" customFormat="1">
      <x:c r="A15" s="1" t="s">
        <x:v>1831</x:v>
      </x:c>
      <x:c r="B15" s="1" t="s">
        <x:v>1849</x:v>
      </x:c>
      <x:c r="C15" s="8" t="s">
        <x:v>861</x:v>
      </x:c>
      <x:c r="D15" s="9">
        <x:f>CONCATENATE(HYPERLINK("CALLTO:%2B356%202155%201234", "+356 2155 1234"))</x:f>
      </x:c>
      <x:c r="E15" s="8" t="s">
        <x:v>1399</x:v>
      </x:c>
      <x:c r="F15" s="8" t="s">
        <x:v>2033</x:v>
      </x:c>
    </x:row>
    <x:row r="16" spans="1:8" s="4" customFormat="1">
      <x:c r="A16" s="4" t="s">
        <x:v>1831</x:v>
      </x:c>
      <x:c r="B16" s="4" t="s">
        <x:v>1850</x:v>
      </x:c>
      <x:c r="C16" s="10" t="s">
        <x:v>1906</x:v>
      </x:c>
      <x:c r="D16" s="11">
        <x:f>CONCATENATE(HYPERLINK("CALLTO:%2B356%202148%206511", "+356 2148 6511"))</x:f>
      </x:c>
      <x:c r="E16" s="10" t="s">
        <x:v>1964</x:v>
      </x:c>
      <x:c r="F16" s="10" t="s">
        <x:v>2034</x:v>
      </x:c>
    </x:row>
    <x:row r="17" spans="1:8" s="3" customFormat="1">
      <x:c r="A17" s="3" t="s">
        <x:v>1831</x:v>
      </x:c>
      <x:c r="B17" s="3" t="s">
        <x:v>1851</x:v>
      </x:c>
      <x:c r="C17" s="6" t="s">
        <x:v>1636</x:v>
      </x:c>
      <x:c r="D17" s="7">
        <x:f>CONCATENATE(HYPERLINK("CALLTO:%2B356%202152%202390", "+356 2152 2390"))</x:f>
      </x:c>
      <x:c r="E17" s="6" t="s">
        <x:v>1965</x:v>
      </x:c>
      <x:c r="F17" s="6" t="s">
        <x:v>1800</x:v>
      </x:c>
    </x:row>
    <x:row r="18" spans="1:8" s="1" customFormat="1">
      <x:c r="A18" s="1" t="s">
        <x:v>1831</x:v>
      </x:c>
      <x:c r="B18" s="1" t="s">
        <x:v>1512</x:v>
      </x:c>
      <x:c r="C18" s="8" t="s">
        <x:v>1598</x:v>
      </x:c>
      <x:c r="D18" s="9">
        <x:f>CONCATENATE(HYPERLINK("CALLTO:%2B356%202146%203501", "+356 2146 3501"))</x:f>
      </x:c>
      <x:c r="E18" s="8" t="s">
        <x:v>1689</x:v>
      </x:c>
      <x:c r="F18" s="8" t="s">
        <x:v>1446</x:v>
      </x:c>
    </x:row>
    <x:row r="19" spans="1:8" s="4" customFormat="1">
      <x:c r="A19" s="4" t="s">
        <x:v>1831</x:v>
      </x:c>
      <x:c r="B19" s="4" t="s">
        <x:v>1537</x:v>
      </x:c>
      <x:c r="C19" s="10" t="s">
        <x:v>1622</x:v>
      </x:c>
      <x:c r="D19" s="11">
        <x:f>CONCATENATE(HYPERLINK("CALLTO:%2B356%202165%208358", "+356 2165 8358"))</x:f>
      </x:c>
      <x:c r="E19" s="10" t="s">
        <x:v>1713</x:v>
      </x:c>
      <x:c r="F19" s="10" t="s">
        <x:v>5288</x:v>
      </x:c>
    </x:row>
    <x:row r="20" spans="1:8" s="3" customFormat="1">
      <x:c r="A20" s="3" t="s">
        <x:v>1831</x:v>
      </x:c>
      <x:c r="B20" s="3" t="s">
        <x:v>1852</x:v>
      </x:c>
      <x:c r="C20" s="3" t="s">
        <x:v>144</x:v>
      </x:c>
      <x:c r="D20" s="7">
        <x:f>CONCATENATE(HYPERLINK("CALLTO:%2B356%202156%204223", "+356 2156 4223"))</x:f>
      </x:c>
      <x:c r="E20" s="6" t="s">
        <x:v>1966</x:v>
      </x:c>
      <x:c r="F20" s="3" t="s">
        <x:v>144</x:v>
      </x:c>
    </x:row>
    <x:row r="21" spans="1:8" s="1" customFormat="1">
      <x:c r="A21" s="1" t="s">
        <x:v>1831</x:v>
      </x:c>
      <x:c r="B21" s="1" t="s">
        <x:v>1853</x:v>
      </x:c>
      <x:c r="C21" s="8" t="s">
        <x:v>895</x:v>
      </x:c>
      <x:c r="D21" s="9">
        <x:f>CONCATENATE(HYPERLINK("CALLTO:%2B356%202144%207763", "+356 2144 7763"))</x:f>
      </x:c>
      <x:c r="E21" s="8" t="s">
        <x:v>1732</x:v>
      </x:c>
      <x:c r="F21" s="8" t="s">
        <x:v>942</x:v>
      </x:c>
    </x:row>
    <x:row r="22" spans="1:8" s="4" customFormat="1">
      <x:c r="A22" s="4" t="s">
        <x:v>1831</x:v>
      </x:c>
      <x:c r="B22" s="4" t="s">
        <x:v>1854</x:v>
      </x:c>
      <x:c r="C22" s="10" t="s">
        <x:v>1907</x:v>
      </x:c>
      <x:c r="D22" s="11">
        <x:f>CONCATENATE(HYPERLINK("CALLTO:%2B356%202155%208450", "+356 2155 8450"))</x:f>
      </x:c>
      <x:c r="E22" s="10" t="s">
        <x:v>1967</x:v>
      </x:c>
      <x:c r="F22" s="10" t="s">
        <x:v>1779</x:v>
      </x:c>
    </x:row>
    <x:row r="23" spans="1:8" s="3" customFormat="1">
      <x:c r="A23" s="3" t="s">
        <x:v>1831</x:v>
      </x:c>
      <x:c r="B23" s="3" t="s">
        <x:v>1855</x:v>
      </x:c>
      <x:c r="C23" s="6" t="s">
        <x:v>1908</x:v>
      </x:c>
      <x:c r="D23" s="7">
        <x:f>CONCATENATE(HYPERLINK("CALLTO:%2B356%202143%202913", "+356 2143 2913"))</x:f>
      </x:c>
      <x:c r="E23" s="6" t="s">
        <x:v>1968</x:v>
      </x:c>
      <x:c r="F23" s="6" t="s">
        <x:v>2036</x:v>
      </x:c>
    </x:row>
    <x:row r="24" spans="1:8" s="1" customFormat="1">
      <x:c r="A24" s="1" t="s">
        <x:v>1831</x:v>
      </x:c>
      <x:c r="B24" s="1" t="s">
        <x:v>1518</x:v>
      </x:c>
      <x:c r="C24" s="8" t="s">
        <x:v>1604</x:v>
      </x:c>
      <x:c r="D24" s="9">
        <x:f>CONCATENATE(HYPERLINK("CALLTO:%2B356%202546%204000", "+356 2546 4000"))</x:f>
      </x:c>
      <x:c r="E24" s="8" t="s">
        <x:v>1969</x:v>
      </x:c>
      <x:c r="F24" s="8" t="s">
        <x:v>1431</x:v>
      </x:c>
    </x:row>
    <x:row r="25" spans="1:8" s="4" customFormat="1">
      <x:c r="A25" s="4" t="s">
        <x:v>1831</x:v>
      </x:c>
      <x:c r="B25" s="4" t="s">
        <x:v>1856</x:v>
      </x:c>
      <x:c r="C25" s="10" t="s">
        <x:v>1909</x:v>
      </x:c>
      <x:c r="D25" s="11">
        <x:f>CONCATENATE(HYPERLINK("CALLTO:%2B356%207944%205674", "+356 7944 5674"))</x:f>
      </x:c>
      <x:c r="E25" s="10" t="s">
        <x:v>1742</x:v>
      </x:c>
      <x:c r="F25" s="10" t="s">
        <x:v>2037</x:v>
      </x:c>
    </x:row>
    <x:row r="26" spans="1:8" s="3" customFormat="1">
      <x:c r="A26" s="3" t="s">
        <x:v>1831</x:v>
      </x:c>
      <x:c r="B26" s="3" t="s">
        <x:v>1565</x:v>
      </x:c>
      <x:c r="C26" s="6" t="s">
        <x:v>1649</x:v>
      </x:c>
      <x:c r="D26" s="7">
        <x:f>CONCATENATE(HYPERLINK("CALLTO:%2B356%202144%207266", "+356 2144 7266"))</x:f>
      </x:c>
      <x:c r="E26" s="6" t="s">
        <x:v>1970</x:v>
      </x:c>
      <x:c r="F26" s="6" t="s">
        <x:v>5302</x:v>
      </x:c>
    </x:row>
    <x:row r="27" spans="1:8" s="1" customFormat="1">
      <x:c r="A27" s="1" t="s">
        <x:v>1832</x:v>
      </x:c>
      <x:c r="B27" s="1" t="s">
        <x:v>1857</x:v>
      </x:c>
      <x:c r="C27" s="8" t="s">
        <x:v>1650</x:v>
      </x:c>
      <x:c r="D27" s="9">
        <x:f>CONCATENATE(HYPERLINK("CALLTO:%2B356%202167%202432", "+356 2167 2432"))</x:f>
      </x:c>
      <x:c r="E27" s="8" t="s">
        <x:v>1971</x:v>
      </x:c>
      <x:c r="F27" s="8" t="s">
        <x:v>1791</x:v>
      </x:c>
    </x:row>
    <x:row r="28" spans="1:8" s="4" customFormat="1">
      <x:c r="A28" s="4" t="s">
        <x:v>1832</x:v>
      </x:c>
      <x:c r="B28" s="4" t="s">
        <x:v>1567</x:v>
      </x:c>
      <x:c r="C28" s="10" t="s">
        <x:v>1650</x:v>
      </x:c>
      <x:c r="D28" s="11">
        <x:f>CONCATENATE(HYPERLINK("CALLTO:%2B356%202166%207106", "+356 2166 7106"))</x:f>
      </x:c>
      <x:c r="E28" s="10" t="s">
        <x:v>1690</x:v>
      </x:c>
      <x:c r="F28" s="10" t="s">
        <x:v>1793</x:v>
      </x:c>
    </x:row>
    <x:row r="29" spans="1:8" s="3" customFormat="1">
      <x:c r="A29" s="3" t="s">
        <x:v>1832</x:v>
      </x:c>
      <x:c r="B29" s="3" t="s">
        <x:v>1254</x:v>
      </x:c>
      <x:c r="C29" s="6" t="s">
        <x:v>1321</x:v>
      </x:c>
      <x:c r="D29" s="7">
        <x:f>CONCATENATE(HYPERLINK("CALLTO:%2B356%202713%207364", "+356 2713 7364"))</x:f>
      </x:c>
      <x:c r="E29" s="6" t="s">
        <x:v>1755</x:v>
      </x:c>
      <x:c r="F29" s="6" t="s">
        <x:v>1429</x:v>
      </x:c>
    </x:row>
    <x:row r="30" spans="1:8" s="1" customFormat="1">
      <x:c r="A30" s="1" t="s">
        <x:v>1832</x:v>
      </x:c>
      <x:c r="B30" s="1" t="s">
        <x:v>1575</x:v>
      </x:c>
      <x:c r="C30" s="8" t="s">
        <x:v>1659</x:v>
      </x:c>
      <x:c r="D30" s="9">
        <x:f>CONCATENATE(HYPERLINK("CALLTO:%2B356%202122%204103", "+356 2122 4103"))</x:f>
      </x:c>
      <x:c r="E30" s="8" t="s">
        <x:v>1972</x:v>
      </x:c>
      <x:c r="F30" s="8" t="s">
        <x:v>1823</x:v>
      </x:c>
    </x:row>
    <x:row r="31" spans="1:8" s="4" customFormat="1">
      <x:c r="A31" s="4" t="s">
        <x:v>1832</x:v>
      </x:c>
      <x:c r="B31" s="4" t="s">
        <x:v>1557</x:v>
      </x:c>
      <x:c r="C31" s="10" t="s">
        <x:v>1642</x:v>
      </x:c>
      <x:c r="D31" s="11">
        <x:f>CONCATENATE(HYPERLINK("CALLTO:%2B356%202123%208520", "+356 2123 8520"))</x:f>
      </x:c>
      <x:c r="E31" s="10" t="s">
        <x:v>1757</x:v>
      </x:c>
      <x:c r="F31" s="10" t="s">
        <x:v>1817</x:v>
      </x:c>
    </x:row>
    <x:row r="32" spans="1:8" s="3" customFormat="1">
      <x:c r="A32" s="3" t="s">
        <x:v>1832</x:v>
      </x:c>
      <x:c r="B32" s="3" t="s">
        <x:v>1577</x:v>
      </x:c>
      <x:c r="C32" s="6" t="s">
        <x:v>1661</x:v>
      </x:c>
      <x:c r="D32" s="7">
        <x:f>CONCATENATE(HYPERLINK("CALLTO:%2B356%202123%200982", "+356 2123 0982"))</x:f>
      </x:c>
      <x:c r="E32" s="6" t="s">
        <x:v>1712</x:v>
      </x:c>
      <x:c r="F32" s="6" t="s">
        <x:v>1822</x:v>
      </x:c>
    </x:row>
    <x:row r="33" spans="1:8" s="1" customFormat="1">
      <x:c r="A33" s="1" t="s">
        <x:v>1832</x:v>
      </x:c>
      <x:c r="B33" s="1" t="s">
        <x:v>1536</x:v>
      </x:c>
      <x:c r="C33" s="8" t="s">
        <x:v>1621</x:v>
      </x:c>
      <x:c r="D33" s="9">
        <x:f>CONCATENATE(HYPERLINK("CALLTO:%2B356%202149%209699", "+356 2149 9699"))</x:f>
      </x:c>
      <x:c r="E33" s="8" t="s">
        <x:v>1973</x:v>
      </x:c>
      <x:c r="F33" s="8" t="s">
        <x:v>5287</x:v>
      </x:c>
    </x:row>
    <x:row r="34" spans="1:8" s="4" customFormat="1">
      <x:c r="A34" s="4" t="s">
        <x:v>1832</x:v>
      </x:c>
      <x:c r="B34" s="4" t="s">
        <x:v>1856</x:v>
      </x:c>
      <x:c r="C34" s="10" t="s">
        <x:v>1909</x:v>
      </x:c>
      <x:c r="D34" s="11">
        <x:f>CONCATENATE(HYPERLINK("CALLTO:%2B356%207944%205674", "+356 7944 5674"))</x:f>
      </x:c>
      <x:c r="E34" s="10" t="s">
        <x:v>1957</x:v>
      </x:c>
      <x:c r="F34" s="10" t="s">
        <x:v>2037</x:v>
      </x:c>
    </x:row>
    <x:row r="35" spans="1:8" s="3" customFormat="1">
      <x:c r="A35" s="3" t="s">
        <x:v>1832</x:v>
      </x:c>
      <x:c r="B35" s="3" t="s">
        <x:v>1530</x:v>
      </x:c>
      <x:c r="C35" s="6" t="s">
        <x:v>1615</x:v>
      </x:c>
      <x:c r="D35" s="7">
        <x:f>CONCATENATE(HYPERLINK("CALLTO:%2B356%202131%200334", "+356 2131 0334"), " / ", HYPERLINK("CALLTO:%2B356%209943%201232", "+356 9943 1232"))</x:f>
      </x:c>
      <x:c r="E35" s="6" t="s">
        <x:v>1958</x:v>
      </x:c>
      <x:c r="F35" s="6" t="s">
        <x:v>1785</x:v>
      </x:c>
    </x:row>
    <x:row r="36" spans="1:8" s="1" customFormat="1">
      <x:c r="A36" s="1" t="s">
        <x:v>1832</x:v>
      </x:c>
      <x:c r="B36" s="1" t="s">
        <x:v>681</x:v>
      </x:c>
      <x:c r="C36" s="8" t="s">
        <x:v>710</x:v>
      </x:c>
      <x:c r="D36" s="9">
        <x:f>CONCATENATE(HYPERLINK("CALLTO:%2B356%202145%201350", "+356 2145 1350"))</x:f>
      </x:c>
      <x:c r="E36" s="8" t="s">
        <x:v>1711</x:v>
      </x:c>
      <x:c r="F36" s="8" t="s">
        <x:v>4643</x:v>
      </x:c>
    </x:row>
    <x:row r="37" spans="1:8" s="4" customFormat="1">
      <x:c r="A37" s="4" t="s">
        <x:v>1833</x:v>
      </x:c>
      <x:c r="B37" s="4" t="s">
        <x:v>1844</x:v>
      </x:c>
      <x:c r="C37" s="10" t="s">
        <x:v>1617</x:v>
      </x:c>
      <x:c r="D37" s="11">
        <x:f>CONCATENATE(HYPERLINK("CALLTO:%2B356%202728%202828", "+356 2728 2828"))</x:f>
      </x:c>
      <x:c r="E37" s="10" t="s">
        <x:v>1960</x:v>
      </x:c>
      <x:c r="F37" s="10" t="s">
        <x:v>2026</x:v>
      </x:c>
    </x:row>
    <x:row r="38" spans="1:8" s="3" customFormat="1">
      <x:c r="A38" s="3" t="s">
        <x:v>1833</x:v>
      </x:c>
      <x:c r="B38" s="3" t="s">
        <x:v>1535</x:v>
      </x:c>
      <x:c r="C38" s="6" t="s">
        <x:v>1620</x:v>
      </x:c>
      <x:c r="D38" s="7">
        <x:f>CONCATENATE(HYPERLINK("CALLTO:%2B356%202095%209595", "+356 2095 9595"))</x:f>
      </x:c>
      <x:c r="E38" s="6" t="s">
        <x:v>1741</x:v>
      </x:c>
      <x:c r="F38" s="6" t="s">
        <x:v>5286</x:v>
      </x:c>
    </x:row>
    <x:row r="39" spans="1:8" s="1" customFormat="1">
      <x:c r="A39" s="1" t="s">
        <x:v>1833</x:v>
      </x:c>
      <x:c r="B39" s="1" t="s">
        <x:v>215</x:v>
      </x:c>
      <x:c r="C39" s="8" t="s">
        <x:v>225</x:v>
      </x:c>
      <x:c r="D39" s="9">
        <x:f>CONCATENATE(HYPERLINK("CALLTO:%2B356%207904%201733", "+356 7904 1733"))</x:f>
      </x:c>
      <x:c r="E39" s="8" t="s">
        <x:v>1962</x:v>
      </x:c>
      <x:c r="F39" s="8" t="s">
        <x:v>234</x:v>
      </x:c>
    </x:row>
    <x:row r="40" spans="1:8" s="4" customFormat="1">
      <x:c r="A40" s="4" t="s">
        <x:v>1833</x:v>
      </x:c>
      <x:c r="B40" s="4" t="s">
        <x:v>1564</x:v>
      </x:c>
      <x:c r="C40" s="10" t="s">
        <x:v>1648</x:v>
      </x:c>
      <x:c r="D40" s="11">
        <x:f>CONCATENATE(HYPERLINK("CALLTO:%2B356%202141%200903", "+356 2141 0903"))</x:f>
      </x:c>
      <x:c r="E40" s="10" t="s">
        <x:v>1691</x:v>
      </x:c>
      <x:c r="F40" s="10" t="s">
        <x:v>1813</x:v>
      </x:c>
    </x:row>
    <x:row r="41" spans="1:8" s="3" customFormat="1">
      <x:c r="A41" s="3" t="s">
        <x:v>1833</x:v>
      </x:c>
      <x:c r="B41" s="3" t="s">
        <x:v>1847</x:v>
      </x:c>
      <x:c r="C41" s="6" t="s">
        <x:v>1904</x:v>
      </x:c>
      <x:c r="D41" s="7">
        <x:f>CONCATENATE(HYPERLINK("CALLTO:%2B356%207744%20761021447604", "+356 7744 761021447604"))</x:f>
      </x:c>
      <x:c r="E41" s="6" t="s">
        <x:v>1964</x:v>
      </x:c>
      <x:c r="F41" s="6" t="s">
        <x:v>4598</x:v>
      </x:c>
    </x:row>
    <x:row r="42" spans="1:8" s="1" customFormat="1">
      <x:c r="A42" s="1" t="s">
        <x:v>1833</x:v>
      </x:c>
      <x:c r="B42" s="1" t="s">
        <x:v>1513</x:v>
      </x:c>
      <x:c r="C42" s="8" t="s">
        <x:v>1599</x:v>
      </x:c>
      <x:c r="D42" s="9">
        <x:f>CONCATENATE(HYPERLINK("CALLTO:%2B356%202124%200100", "+356 2124 0100"))</x:f>
      </x:c>
      <x:c r="E42" s="8" t="s">
        <x:v>1713</x:v>
      </x:c>
      <x:c r="F42" s="8" t="s">
        <x:v>1445</x:v>
      </x:c>
    </x:row>
    <x:row r="43" spans="1:8" s="4" customFormat="1">
      <x:c r="A43" s="4" t="s">
        <x:v>1833</x:v>
      </x:c>
      <x:c r="B43" s="4" t="s">
        <x:v>1850</x:v>
      </x:c>
      <x:c r="C43" s="10" t="s">
        <x:v>1906</x:v>
      </x:c>
      <x:c r="D43" s="11">
        <x:f>CONCATENATE(HYPERLINK("CALLTO:%2B356%202148%206511", "+356 2148 6511"))</x:f>
      </x:c>
      <x:c r="E43" s="10" t="s">
        <x:v>1732</x:v>
      </x:c>
      <x:c r="F43" s="10" t="s">
        <x:v>2034</x:v>
      </x:c>
    </x:row>
    <x:row r="44" spans="1:8" s="3" customFormat="1">
      <x:c r="A44" s="3" t="s">
        <x:v>1833</x:v>
      </x:c>
      <x:c r="B44" s="3" t="s">
        <x:v>1537</x:v>
      </x:c>
      <x:c r="C44" s="6" t="s">
        <x:v>1622</x:v>
      </x:c>
      <x:c r="D44" s="7">
        <x:f>CONCATENATE(HYPERLINK("CALLTO:%2B356%202165%208358", "+356 2165 8358"))</x:f>
      </x:c>
      <x:c r="E44" s="6" t="s">
        <x:v>1974</x:v>
      </x:c>
      <x:c r="F44" s="6" t="s">
        <x:v>5288</x:v>
      </x:c>
    </x:row>
    <x:row r="45" spans="1:8" s="1" customFormat="1">
      <x:c r="A45" s="1" t="s">
        <x:v>1833</x:v>
      </x:c>
      <x:c r="B45" s="1" t="s">
        <x:v>1853</x:v>
      </x:c>
      <x:c r="C45" s="8" t="s">
        <x:v>895</x:v>
      </x:c>
      <x:c r="D45" s="9">
        <x:f>CONCATENATE(HYPERLINK("CALLTO:%2B356%202144%207763", "+356 2144 7763"))</x:f>
      </x:c>
      <x:c r="E45" s="8" t="s">
        <x:v>1975</x:v>
      </x:c>
      <x:c r="F45" s="8" t="s">
        <x:v>942</x:v>
      </x:c>
    </x:row>
    <x:row r="46" spans="1:8" s="4" customFormat="1">
      <x:c r="A46" s="4" t="s">
        <x:v>1833</x:v>
      </x:c>
      <x:c r="B46" s="4" t="s">
        <x:v>1856</x:v>
      </x:c>
      <x:c r="C46" s="10" t="s">
        <x:v>1909</x:v>
      </x:c>
      <x:c r="D46" s="11">
        <x:f>CONCATENATE(HYPERLINK("CALLTO:%2B356%207944%205674", "+356 7944 5674"))</x:f>
      </x:c>
      <x:c r="E46" s="10" t="s">
        <x:v>1976</x:v>
      </x:c>
      <x:c r="F46" s="10" t="s">
        <x:v>2037</x:v>
      </x:c>
    </x:row>
    <x:row r="47" spans="1:8" s="3" customFormat="1">
      <x:c r="A47" s="3" t="s">
        <x:v>1833</x:v>
      </x:c>
      <x:c r="B47" s="3" t="s">
        <x:v>1858</x:v>
      </x:c>
      <x:c r="C47" s="3" t="s">
        <x:v>1910</x:v>
      </x:c>
      <x:c r="D47" s="7">
        <x:f>CONCATENATE(HYPERLINK("CALLTO:%2B356%202144%208174", "+356 2144 8174"))</x:f>
      </x:c>
      <x:c r="E47" s="6" t="s">
        <x:v>1745</x:v>
      </x:c>
      <x:c r="F47" s="6" t="s">
        <x:v>1787</x:v>
      </x:c>
    </x:row>
    <x:row r="48" spans="1:8" s="1" customFormat="1">
      <x:c r="A48" s="1" t="s">
        <x:v>1834</x:v>
      </x:c>
      <x:c r="B48" s="1" t="s">
        <x:v>1859</x:v>
      </x:c>
      <x:c r="C48" s="8" t="s">
        <x:v>1911</x:v>
      </x:c>
      <x:c r="D48" s="9">
        <x:f>CONCATENATE(HYPERLINK("CALLTO:%2B356%207959%201793", "+356 7959 1793"))</x:f>
      </x:c>
      <x:c r="E48" s="8" t="s">
        <x:v>1977</x:v>
      </x:c>
      <x:c r="F48" s="8" t="s">
        <x:v>2040</x:v>
      </x:c>
    </x:row>
    <x:row r="49" spans="1:8" s="4" customFormat="1">
      <x:c r="A49" s="4" t="s">
        <x:v>1834</x:v>
      </x:c>
      <x:c r="B49" s="4" t="s">
        <x:v>1860</x:v>
      </x:c>
      <x:c r="C49" s="10" t="s">
        <x:v>1912</x:v>
      </x:c>
      <x:c r="D49" s="11">
        <x:f>CONCATENATE(HYPERLINK("CALLTO:%2B356%209945%204333", "+356 9945 4333"))</x:f>
      </x:c>
      <x:c r="E49" s="10" t="s">
        <x:v>1690</x:v>
      </x:c>
      <x:c r="F49" s="10" t="s">
        <x:v>2041</x:v>
      </x:c>
    </x:row>
    <x:row r="50" spans="1:8" s="3" customFormat="1">
      <x:c r="A50" s="3" t="s">
        <x:v>1834</x:v>
      </x:c>
      <x:c r="B50" s="3" t="s">
        <x:v>1568</x:v>
      </x:c>
      <x:c r="C50" s="6" t="s">
        <x:v>1652</x:v>
      </x:c>
      <x:c r="D50" s="7">
        <x:f>CONCATENATE(HYPERLINK("CALLTO:%2B356%209940%208444", "+356 9940 8444"))</x:f>
      </x:c>
      <x:c r="E50" s="6" t="s">
        <x:v>1969</x:v>
      </x:c>
      <x:c r="F50" s="6" t="s">
        <x:v>1796</x:v>
      </x:c>
    </x:row>
    <x:row r="51" spans="1:8" s="1" customFormat="1">
      <x:c r="A51" s="1" t="s">
        <x:v>1834</x:v>
      </x:c>
      <x:c r="B51" s="1" t="s">
        <x:v>1861</x:v>
      </x:c>
      <x:c r="C51" s="8" t="s">
        <x:v>1913</x:v>
      </x:c>
      <x:c r="D51" s="9">
        <x:f>CONCATENATE(HYPERLINK("CALLTO:%2B356%202124%202494", "+356 2124 2494"))</x:f>
      </x:c>
      <x:c r="E51" s="8" t="s">
        <x:v>1688</x:v>
      </x:c>
      <x:c r="F51" s="8" t="s">
        <x:v>2042</x:v>
      </x:c>
    </x:row>
    <x:row r="52" spans="1:8" s="4" customFormat="1">
      <x:c r="A52" s="4" t="s">
        <x:v>1834</x:v>
      </x:c>
      <x:c r="B52" s="4" t="s">
        <x:v>1254</x:v>
      </x:c>
      <x:c r="C52" s="10" t="s">
        <x:v>1321</x:v>
      </x:c>
      <x:c r="D52" s="11">
        <x:f>CONCATENATE(HYPERLINK("CALLTO:%2B356%202713%207364", "+356 2713 7364"))</x:f>
      </x:c>
      <x:c r="E52" s="10" t="s">
        <x:v>1691</x:v>
      </x:c>
      <x:c r="F52" s="10" t="s">
        <x:v>1429</x:v>
      </x:c>
    </x:row>
    <x:row r="53" spans="1:8" s="3" customFormat="1">
      <x:c r="A53" s="3" t="s">
        <x:v>1834</x:v>
      </x:c>
      <x:c r="B53" s="3" t="s">
        <x:v>1518</x:v>
      </x:c>
      <x:c r="C53" s="6" t="s">
        <x:v>1604</x:v>
      </x:c>
      <x:c r="D53" s="7">
        <x:f>CONCATENATE(HYPERLINK("CALLTO:%2B356%202546%204000", "+356 2546 4000"))</x:f>
      </x:c>
      <x:c r="E53" s="6" t="s">
        <x:v>1978</x:v>
      </x:c>
      <x:c r="F53" s="6" t="s">
        <x:v>1431</x:v>
      </x:c>
    </x:row>
    <x:row r="54" spans="1:8" s="1" customFormat="1">
      <x:c r="A54" s="1" t="s">
        <x:v>1834</x:v>
      </x:c>
      <x:c r="B54" s="1" t="s">
        <x:v>1511</x:v>
      </x:c>
      <x:c r="C54" s="8" t="s">
        <x:v>1597</x:v>
      </x:c>
      <x:c r="D54" s="9">
        <x:f>CONCATENATE(HYPERLINK("CALLTO:%2B356%202742%204632", "+356 2742 4632"))</x:f>
      </x:c>
      <x:c r="E54" s="8" t="s">
        <x:v>1979</x:v>
      </x:c>
      <x:c r="F54" s="8" t="s">
        <x:v>1777</x:v>
      </x:c>
    </x:row>
    <x:row r="55" spans="1:8" s="4" customFormat="1">
      <x:c r="A55" s="4" t="s">
        <x:v>1834</x:v>
      </x:c>
      <x:c r="B55" s="4" t="s">
        <x:v>1513</x:v>
      </x:c>
      <x:c r="C55" s="10" t="s">
        <x:v>1599</x:v>
      </x:c>
      <x:c r="D55" s="11">
        <x:f>CONCATENATE(HYPERLINK("CALLTO:%2B356%202124%200100", "+356 2124 0100"))</x:f>
      </x:c>
      <x:c r="E55" s="10" t="s">
        <x:v>1980</x:v>
      </x:c>
      <x:c r="F55" s="10" t="s">
        <x:v>1445</x:v>
      </x:c>
    </x:row>
    <x:row r="56" spans="1:8" s="3" customFormat="1">
      <x:c r="A56" s="3" t="s">
        <x:v>1834</x:v>
      </x:c>
      <x:c r="B56" s="3" t="s">
        <x:v>1862</x:v>
      </x:c>
      <x:c r="C56" s="6" t="s">
        <x:v>1618</x:v>
      </x:c>
      <x:c r="D56" s="7">
        <x:f>CONCATENATE(HYPERLINK("CALLTO:%2B356%202149%20172721491722", "+356 2149 172721491722"))</x:f>
      </x:c>
      <x:c r="E56" s="6" t="s">
        <x:v>1981</x:v>
      </x:c>
      <x:c r="F56" s="6" t="s">
        <x:v>1778</x:v>
      </x:c>
    </x:row>
    <x:row r="57" spans="1:8" s="1" customFormat="1">
      <x:c r="A57" s="1" t="s">
        <x:v>1834</x:v>
      </x:c>
      <x:c r="B57" s="1" t="s">
        <x:v>1863</x:v>
      </x:c>
      <x:c r="C57" s="8" t="s">
        <x:v>1914</x:v>
      </x:c>
      <x:c r="D57" s="9">
        <x:f>CONCATENATE(HYPERLINK("CALLTO:%2B356%202033%204532", "+356 2033 4532"))</x:f>
      </x:c>
      <x:c r="E57" s="8" t="s">
        <x:v>1982</x:v>
      </x:c>
      <x:c r="F57" s="8" t="s">
        <x:v>4790</x:v>
      </x:c>
    </x:row>
    <x:row r="58" spans="1:8" s="4" customFormat="1">
      <x:c r="A58" s="4" t="s">
        <x:v>1834</x:v>
      </x:c>
      <x:c r="B58" s="4" t="s">
        <x:v>1864</x:v>
      </x:c>
      <x:c r="C58" s="10" t="s">
        <x:v>1915</x:v>
      </x:c>
      <x:c r="D58" s="11">
        <x:f>CONCATENATE(HYPERLINK("CALLTO:%2B356%202141%20782179999330", "+356 2141 782179999330"))</x:f>
      </x:c>
      <x:c r="E58" s="10" t="s">
        <x:v>1958</x:v>
      </x:c>
      <x:c r="F58" s="10" t="s">
        <x:v>2044</x:v>
      </x:c>
    </x:row>
    <x:row r="59" spans="1:8" s="3" customFormat="1">
      <x:c r="A59" s="3" t="s">
        <x:v>1834</x:v>
      </x:c>
      <x:c r="B59" s="3" t="s">
        <x:v>1865</x:v>
      </x:c>
      <x:c r="C59" s="6" t="s">
        <x:v>1323</x:v>
      </x:c>
      <x:c r="D59" s="7">
        <x:f>CONCATENATE(HYPERLINK("CALLTO:%2B356%202549%203000", "+356 2549 3000"))</x:f>
      </x:c>
      <x:c r="E59" s="6" t="s">
        <x:v>1399</x:v>
      </x:c>
      <x:c r="F59" s="6" t="s">
        <x:v>2046</x:v>
      </x:c>
    </x:row>
    <x:row r="60" spans="1:8" s="1" customFormat="1">
      <x:c r="A60" s="1" t="s">
        <x:v>1834</x:v>
      </x:c>
      <x:c r="B60" s="1" t="s">
        <x:v>1866</x:v>
      </x:c>
      <x:c r="C60" s="1" t="s">
        <x:v>1916</x:v>
      </x:c>
      <x:c r="D60" s="9">
        <x:f>CONCATENATE(HYPERLINK("CALLTO:%2B356%202144%204478", "+356 2144 4478"))</x:f>
      </x:c>
      <x:c r="E60" s="8" t="s">
        <x:v>1711</x:v>
      </x:c>
      <x:c r="F60" s="8" t="s">
        <x:v>2043</x:v>
      </x:c>
    </x:row>
    <x:row r="61" spans="1:8" s="4" customFormat="1">
      <x:c r="A61" s="4" t="s">
        <x:v>1835</x:v>
      </x:c>
      <x:c r="B61" s="4" t="s">
        <x:v>1844</x:v>
      </x:c>
      <x:c r="C61" s="10" t="s">
        <x:v>1617</x:v>
      </x:c>
      <x:c r="D61" s="11">
        <x:f>CONCATENATE(HYPERLINK("CALLTO:%2B356%202728%202828", "+356 2728 2828"))</x:f>
      </x:c>
      <x:c r="E61" s="10" t="s">
        <x:v>1741</x:v>
      </x:c>
      <x:c r="F61" s="10" t="s">
        <x:v>2026</x:v>
      </x:c>
    </x:row>
    <x:row r="62" spans="1:8" s="3" customFormat="1">
      <x:c r="A62" s="3" t="s">
        <x:v>1836</x:v>
      </x:c>
      <x:c r="B62" s="3" t="s">
        <x:v>1238</x:v>
      </x:c>
      <x:c r="C62" s="6" t="s">
        <x:v>1311</x:v>
      </x:c>
      <x:c r="D62" s="7">
        <x:f>CONCATENATE(HYPERLINK("CALLTO:%2B356%202156%203966", "+356 2156 3966"))</x:f>
      </x:c>
      <x:c r="E62" s="6" t="s">
        <x:v>1711</x:v>
      </x:c>
      <x:c r="F62" s="6" t="s">
        <x:v>1463</x:v>
      </x:c>
    </x:row>
    <x:row r="63" spans="1:8" s="1" customFormat="1">
      <x:c r="A63" s="1" t="s">
        <x:v>1836</x:v>
      </x:c>
      <x:c r="B63" s="1" t="s">
        <x:v>1535</x:v>
      </x:c>
      <x:c r="C63" s="8" t="s">
        <x:v>1620</x:v>
      </x:c>
      <x:c r="D63" s="9">
        <x:f>CONCATENATE(HYPERLINK("CALLTO:%2B356%202095%209595", "+356 2095 9595"))</x:f>
      </x:c>
      <x:c r="E63" s="8" t="s">
        <x:v>1983</x:v>
      </x:c>
      <x:c r="F63" s="8" t="s">
        <x:v>5286</x:v>
      </x:c>
    </x:row>
    <x:row r="64" spans="1:8" s="4" customFormat="1">
      <x:c r="A64" s="4" t="s">
        <x:v>1836</x:v>
      </x:c>
      <x:c r="B64" s="4" t="s">
        <x:v>1564</x:v>
      </x:c>
      <x:c r="C64" s="10" t="s">
        <x:v>1648</x:v>
      </x:c>
      <x:c r="D64" s="11">
        <x:f>CONCATENATE(HYPERLINK("CALLTO:%2B356%202141%200903", "+356 2141 0903"))</x:f>
      </x:c>
      <x:c r="E64" s="10" t="s">
        <x:v>1984</x:v>
      </x:c>
      <x:c r="F64" s="10" t="s">
        <x:v>1813</x:v>
      </x:c>
    </x:row>
    <x:row r="65" spans="1:8" s="3" customFormat="1">
      <x:c r="A65" s="3" t="s">
        <x:v>1836</x:v>
      </x:c>
      <x:c r="B65" s="3" t="s">
        <x:v>1867</x:v>
      </x:c>
      <x:c r="C65" s="6" t="s">
        <x:v>1619</x:v>
      </x:c>
      <x:c r="D65" s="7">
        <x:f>CONCATENATE(HYPERLINK("CALLTO:%2B356%202137%20801120959595", "+356 2137 801120959595"))</x:f>
      </x:c>
      <x:c r="E65" s="6" t="s">
        <x:v>1712</x:v>
      </x:c>
      <x:c r="F65" s="6" t="s">
        <x:v>1814</x:v>
      </x:c>
    </x:row>
    <x:row r="66" spans="1:8" s="1" customFormat="1">
      <x:c r="A66" s="1" t="s">
        <x:v>1836</x:v>
      </x:c>
      <x:c r="B66" s="1" t="s">
        <x:v>1868</x:v>
      </x:c>
      <x:c r="C66" s="8" t="s">
        <x:v>1917</x:v>
      </x:c>
      <x:c r="D66" s="9">
        <x:f>CONCATENATE(HYPERLINK("CALLTO:%2B356%202180%206878", "+356 2180 6878"))</x:f>
      </x:c>
      <x:c r="E66" s="8" t="s">
        <x:v>1985</x:v>
      </x:c>
      <x:c r="F66" s="8" t="s">
        <x:v>2048</x:v>
      </x:c>
    </x:row>
    <x:row r="67" spans="1:8" s="4" customFormat="1">
      <x:c r="A67" s="4" t="s">
        <x:v>1836</x:v>
      </x:c>
      <x:c r="B67" s="4" t="s">
        <x:v>1529</x:v>
      </x:c>
      <x:c r="C67" s="10" t="s">
        <x:v>1614</x:v>
      </x:c>
      <x:c r="D67" s="11">
        <x:f>CONCATENATE(HYPERLINK("CALLTO:%2B356%207710%205385", "+356 7710 5385"))</x:f>
      </x:c>
      <x:c r="E67" s="10" t="s">
        <x:v>1986</x:v>
      </x:c>
      <x:c r="F67" s="10" t="s">
        <x:v>5285</x:v>
      </x:c>
    </x:row>
    <x:row r="68" spans="1:8" s="3" customFormat="1">
      <x:c r="A68" s="3" t="s">
        <x:v>1836</x:v>
      </x:c>
      <x:c r="B68" s="3" t="s">
        <x:v>1536</x:v>
      </x:c>
      <x:c r="C68" s="6" t="s">
        <x:v>1621</x:v>
      </x:c>
      <x:c r="D68" s="7">
        <x:f>CONCATENATE(HYPERLINK("CALLTO:%2B356%202149%209699", "+356 2149 9699"))</x:f>
      </x:c>
      <x:c r="E68" s="6" t="s">
        <x:v>1742</x:v>
      </x:c>
      <x:c r="F68" s="6" t="s">
        <x:v>5287</x:v>
      </x:c>
    </x:row>
    <x:row r="69" spans="1:8" s="1" customFormat="1">
      <x:c r="A69" s="1" t="s">
        <x:v>1836</x:v>
      </x:c>
      <x:c r="B69" s="1" t="s">
        <x:v>1869</x:v>
      </x:c>
      <x:c r="C69" s="8" t="s">
        <x:v>1918</x:v>
      </x:c>
      <x:c r="D69" s="9">
        <x:f>CONCATENATE(HYPERLINK("CALLTO:%2B356%209983%205390", "+356 9983 5390"))</x:f>
      </x:c>
      <x:c r="E69" s="8" t="s">
        <x:v>1718</x:v>
      </x:c>
      <x:c r="F69" s="8" t="s">
        <x:v>1786</x:v>
      </x:c>
    </x:row>
    <x:row r="70" spans="1:8" s="4" customFormat="1">
      <x:c r="A70" s="4" t="s">
        <x:v>1836</x:v>
      </x:c>
      <x:c r="B70" s="4" t="s">
        <x:v>1870</x:v>
      </x:c>
      <x:c r="C70" s="10" t="s">
        <x:v>1919</x:v>
      </x:c>
      <x:c r="D70" s="11">
        <x:f>CONCATENATE(HYPERLINK("CALLTO:%2B356%207980%209576", "+356 7980 9576"))</x:f>
      </x:c>
      <x:c r="E70" s="10" t="s">
        <x:v>1743</x:v>
      </x:c>
      <x:c r="F70" s="4" t="s">
        <x:v>144</x:v>
      </x:c>
    </x:row>
    <x:row r="71" spans="1:8" s="3" customFormat="1">
      <x:c r="A71" s="3" t="s">
        <x:v>1836</x:v>
      </x:c>
      <x:c r="B71" s="3" t="s">
        <x:v>1565</x:v>
      </x:c>
      <x:c r="C71" s="6" t="s">
        <x:v>1649</x:v>
      </x:c>
      <x:c r="D71" s="7">
        <x:f>CONCATENATE(HYPERLINK("CALLTO:%2B356%202144%207266", "+356 2144 7266"))</x:f>
      </x:c>
      <x:c r="E71" s="6" t="s">
        <x:v>1738</x:v>
      </x:c>
      <x:c r="F71" s="6" t="s">
        <x:v>5302</x:v>
      </x:c>
    </x:row>
    <x:row r="72" spans="1:8" s="1" customFormat="1">
      <x:c r="A72" s="1" t="s">
        <x:v>1836</x:v>
      </x:c>
      <x:c r="B72" s="1" t="s">
        <x:v>1541</x:v>
      </x:c>
      <x:c r="C72" s="8" t="s">
        <x:v>1626</x:v>
      </x:c>
      <x:c r="D72" s="9">
        <x:f>CONCATENATE(HYPERLINK("CALLTO:%2B356%202755%205525", "+356 2755 5525"))</x:f>
      </x:c>
      <x:c r="E72" s="8" t="s">
        <x:v>1720</x:v>
      </x:c>
      <x:c r="F72" s="8" t="s">
        <x:v>5290</x:v>
      </x:c>
    </x:row>
    <x:row r="73" spans="1:8" s="4" customFormat="1">
      <x:c r="A73" s="4" t="s">
        <x:v>1836</x:v>
      </x:c>
      <x:c r="B73" s="4" t="s">
        <x:v>1566</x:v>
      </x:c>
      <x:c r="C73" s="10" t="s">
        <x:v>1650</x:v>
      </x:c>
      <x:c r="D73" s="11">
        <x:f>CONCATENATE(HYPERLINK("CALLTO:%2B356%202167%202432", "+356 2167 2432"))</x:f>
      </x:c>
      <x:c r="E73" s="10" t="s">
        <x:v>1987</x:v>
      </x:c>
      <x:c r="F73" s="10" t="s">
        <x:v>1791</x:v>
      </x:c>
    </x:row>
    <x:row r="74" spans="1:8" s="3" customFormat="1">
      <x:c r="A74" s="3" t="s">
        <x:v>1836</x:v>
      </x:c>
      <x:c r="B74" s="3" t="s">
        <x:v>1561</x:v>
      </x:c>
      <x:c r="C74" s="6" t="s">
        <x:v>1645</x:v>
      </x:c>
      <x:c r="D74" s="7">
        <x:f>CONCATENATE(HYPERLINK("CALLTO:%2B356%202152%204262", "+356 2152 4262"))</x:f>
      </x:c>
      <x:c r="E74" s="6" t="s">
        <x:v>1745</x:v>
      </x:c>
      <x:c r="F74" s="6" t="s">
        <x:v>1810</x:v>
      </x:c>
    </x:row>
    <x:row r="75" spans="1:8" s="1" customFormat="1">
      <x:c r="A75" s="1" t="s">
        <x:v>1836</x:v>
      </x:c>
      <x:c r="B75" s="1" t="s">
        <x:v>1543</x:v>
      </x:c>
      <x:c r="C75" s="8" t="s">
        <x:v>1628</x:v>
      </x:c>
      <x:c r="D75" s="9">
        <x:f>CONCATENATE(HYPERLINK("CALLTO:%2B356%202122%200610", "+356 2122 0610"))</x:f>
      </x:c>
      <x:c r="E75" s="8" t="s">
        <x:v>1691</x:v>
      </x:c>
      <x:c r="F75" s="8" t="s">
        <x:v>5292</x:v>
      </x:c>
    </x:row>
    <x:row r="76" spans="1:8" s="4" customFormat="1">
      <x:c r="A76" s="4" t="s">
        <x:v>1836</x:v>
      </x:c>
      <x:c r="B76" s="4" t="s">
        <x:v>1871</x:v>
      </x:c>
      <x:c r="C76" s="10" t="s">
        <x:v>1920</x:v>
      </x:c>
      <x:c r="D76" s="11">
        <x:f>CONCATENATE(HYPERLINK("CALLTO:%2B356%209993%201111", "+356 9993 1111"))</x:f>
      </x:c>
      <x:c r="E76" s="10" t="s">
        <x:v>1724</x:v>
      </x:c>
      <x:c r="F76" s="4" t="s">
        <x:v>144</x:v>
      </x:c>
    </x:row>
    <x:row r="77" spans="1:8" s="3" customFormat="1">
      <x:c r="A77" s="3" t="s">
        <x:v>1836</x:v>
      </x:c>
      <x:c r="B77" s="3" t="s">
        <x:v>1568</x:v>
      </x:c>
      <x:c r="C77" s="6" t="s">
        <x:v>1652</x:v>
      </x:c>
      <x:c r="D77" s="7">
        <x:f>CONCATENATE(HYPERLINK("CALLTO:%2B356%209940%208444", "+356 9940 8444"))</x:f>
      </x:c>
      <x:c r="E77" s="6" t="s">
        <x:v>1988</x:v>
      </x:c>
      <x:c r="F77" s="6" t="s">
        <x:v>1796</x:v>
      </x:c>
    </x:row>
    <x:row r="78" spans="1:8" s="1" customFormat="1">
      <x:c r="A78" s="1" t="s">
        <x:v>1836</x:v>
      </x:c>
      <x:c r="B78" s="1" t="s">
        <x:v>1513</x:v>
      </x:c>
      <x:c r="C78" s="8" t="s">
        <x:v>1599</x:v>
      </x:c>
      <x:c r="D78" s="9">
        <x:f>CONCATENATE(HYPERLINK("CALLTO:%2B356%202124%200100", "+356 2124 0100"))</x:f>
      </x:c>
      <x:c r="E78" s="8" t="s">
        <x:v>1726</x:v>
      </x:c>
      <x:c r="F78" s="8" t="s">
        <x:v>1445</x:v>
      </x:c>
    </x:row>
    <x:row r="79" spans="1:8" s="4" customFormat="1">
      <x:c r="A79" s="4" t="s">
        <x:v>1836</x:v>
      </x:c>
      <x:c r="B79" s="4" t="s">
        <x:v>1547</x:v>
      </x:c>
      <x:c r="C79" s="10" t="s">
        <x:v>1632</x:v>
      </x:c>
      <x:c r="D79" s="11">
        <x:f>CONCATENATE(HYPERLINK("CALLTO:%2B356%202124%209763", "+356 2124 9763"))</x:f>
      </x:c>
      <x:c r="E79" s="10" t="s">
        <x:v>1728</x:v>
      </x:c>
      <x:c r="F79" s="4" t="s">
        <x:v>144</x:v>
      </x:c>
    </x:row>
    <x:row r="80" spans="1:8" s="3" customFormat="1">
      <x:c r="A80" s="3" t="s">
        <x:v>1836</x:v>
      </x:c>
      <x:c r="B80" s="3" t="s">
        <x:v>1872</x:v>
      </x:c>
      <x:c r="C80" s="6" t="s">
        <x:v>1921</x:v>
      </x:c>
      <x:c r="D80" s="7">
        <x:f>CONCATENATE(HYPERLINK("CALLTO:%2B356%202147%200047", "+356 2147 0047"))</x:f>
      </x:c>
      <x:c r="E80" s="6" t="s">
        <x:v>1690</x:v>
      </x:c>
      <x:c r="F80" s="6" t="s">
        <x:v>1818</x:v>
      </x:c>
    </x:row>
    <x:row r="81" spans="1:8" s="1" customFormat="1">
      <x:c r="A81" s="1" t="s">
        <x:v>1836</x:v>
      </x:c>
      <x:c r="B81" s="1" t="s">
        <x:v>1548</x:v>
      </x:c>
      <x:c r="C81" s="8" t="s">
        <x:v>1633</x:v>
      </x:c>
      <x:c r="D81" s="9">
        <x:f>CONCATENATE(HYPERLINK("CALLTO:%2B356%202156%203364", "+356 2156 3364"))</x:f>
      </x:c>
      <x:c r="E81" s="8" t="s">
        <x:v>1989</x:v>
      </x:c>
      <x:c r="F81" s="8" t="s">
        <x:v>1797</x:v>
      </x:c>
    </x:row>
    <x:row r="82" spans="1:8" s="4" customFormat="1">
      <x:c r="A82" s="4" t="s">
        <x:v>1836</x:v>
      </x:c>
      <x:c r="B82" s="4" t="s">
        <x:v>1873</x:v>
      </x:c>
      <x:c r="C82" s="10" t="s">
        <x:v>1636</x:v>
      </x:c>
      <x:c r="D82" s="11">
        <x:f>CONCATENATE(HYPERLINK("CALLTO:%2B356%202152%202390", "+356 2152 2390"))</x:f>
      </x:c>
      <x:c r="E82" s="10" t="s">
        <x:v>1731</x:v>
      </x:c>
      <x:c r="F82" s="10" t="s">
        <x:v>1800</x:v>
      </x:c>
    </x:row>
    <x:row r="83" spans="1:8" s="3" customFormat="1">
      <x:c r="A83" s="3" t="s">
        <x:v>1836</x:v>
      </x:c>
      <x:c r="B83" s="3" t="s">
        <x:v>1254</x:v>
      </x:c>
      <x:c r="C83" s="6" t="s">
        <x:v>1321</x:v>
      </x:c>
      <x:c r="D83" s="7">
        <x:f>CONCATENATE(HYPERLINK("CALLTO:%2B356%202713%207364", "+356 2713 7364"))</x:f>
      </x:c>
      <x:c r="E83" s="6" t="s">
        <x:v>1732</x:v>
      </x:c>
      <x:c r="F83" s="6" t="s">
        <x:v>1429</x:v>
      </x:c>
    </x:row>
    <x:row r="84" spans="1:8" s="1" customFormat="1">
      <x:c r="A84" s="1" t="s">
        <x:v>1836</x:v>
      </x:c>
      <x:c r="B84" s="1" t="s">
        <x:v>1874</x:v>
      </x:c>
      <x:c r="C84" s="8" t="s">
        <x:v>1922</x:v>
      </x:c>
      <x:c r="D84" s="9">
        <x:f>CONCATENATE(HYPERLINK("CALLTO:%2B356%202122%202094", "+356 2122 2094"))</x:f>
      </x:c>
      <x:c r="E84" s="8" t="s">
        <x:v>1990</x:v>
      </x:c>
      <x:c r="F84" s="8" t="s">
        <x:v>1801</x:v>
      </x:c>
    </x:row>
    <x:row r="85" spans="1:8" s="4" customFormat="1">
      <x:c r="A85" s="4" t="s">
        <x:v>1836</x:v>
      </x:c>
      <x:c r="B85" s="4" t="s">
        <x:v>1554</x:v>
      </x:c>
      <x:c r="C85" s="10" t="s">
        <x:v>1639</x:v>
      </x:c>
      <x:c r="D85" s="11">
        <x:f>CONCATENATE(HYPERLINK("CALLTO:%2B356%209964%203810", "+356 9964 3810"))</x:f>
      </x:c>
      <x:c r="E85" s="10" t="s">
        <x:v>1991</x:v>
      </x:c>
      <x:c r="F85" s="10" t="s">
        <x:v>1803</x:v>
      </x:c>
    </x:row>
    <x:row r="86" spans="1:8" s="3" customFormat="1">
      <x:c r="A86" s="3" t="s">
        <x:v>1836</x:v>
      </x:c>
      <x:c r="B86" s="3" t="s">
        <x:v>1555</x:v>
      </x:c>
      <x:c r="C86" s="6" t="s">
        <x:v>1640</x:v>
      </x:c>
      <x:c r="D86" s="7">
        <x:f>CONCATENATE(HYPERLINK("CALLTO:%2B356%202546%205000", "+356 2546 5000"))</x:f>
      </x:c>
      <x:c r="E86" s="6" t="s">
        <x:v>1755</x:v>
      </x:c>
      <x:c r="F86" s="6" t="s">
        <x:v>5300</x:v>
      </x:c>
    </x:row>
    <x:row r="87" spans="1:8" s="1" customFormat="1">
      <x:c r="A87" s="1" t="s">
        <x:v>1836</x:v>
      </x:c>
      <x:c r="B87" s="1" t="s">
        <x:v>1559</x:v>
      </x:c>
      <x:c r="C87" s="8" t="s">
        <x:v>1923</x:v>
      </x:c>
      <x:c r="D87" s="9">
        <x:f>CONCATENATE(HYPERLINK("CALLTO:%2B356%202144%205733", "+356 2144 5733"))</x:f>
      </x:c>
      <x:c r="E87" s="8" t="s">
        <x:v>1756</x:v>
      </x:c>
      <x:c r="F87" s="8" t="s">
        <x:v>1805</x:v>
      </x:c>
    </x:row>
    <x:row r="88" spans="1:8" s="4" customFormat="1">
      <x:c r="A88" s="4" t="s">
        <x:v>1836</x:v>
      </x:c>
      <x:c r="B88" s="4" t="s">
        <x:v>1875</x:v>
      </x:c>
      <x:c r="C88" s="10" t="s">
        <x:v>1924</x:v>
      </x:c>
      <x:c r="D88" s="11">
        <x:f>CONCATENATE(HYPERLINK("CALLTO:%2B356%202166%202940", "+356 2166 2940"))</x:f>
      </x:c>
      <x:c r="E88" s="10" t="s">
        <x:v>1757</x:v>
      </x:c>
      <x:c r="F88" s="10" t="s">
        <x:v>2054</x:v>
      </x:c>
    </x:row>
    <x:row r="89" spans="1:8" s="3" customFormat="1">
      <x:c r="A89" s="3" t="s">
        <x:v>1836</x:v>
      </x:c>
      <x:c r="B89" s="3" t="s">
        <x:v>1575</x:v>
      </x:c>
      <x:c r="C89" s="6" t="s">
        <x:v>1659</x:v>
      </x:c>
      <x:c r="D89" s="7">
        <x:f>CONCATENATE(HYPERLINK("CALLTO:%2B356%202122%204103", "+356 2122 4103"))</x:f>
      </x:c>
      <x:c r="E89" s="6" t="s">
        <x:v>1759</x:v>
      </x:c>
      <x:c r="F89" s="6" t="s">
        <x:v>1823</x:v>
      </x:c>
    </x:row>
    <x:row r="90" spans="1:8" s="1" customFormat="1">
      <x:c r="A90" s="1" t="s">
        <x:v>1836</x:v>
      </x:c>
      <x:c r="B90" s="1" t="s">
        <x:v>1576</x:v>
      </x:c>
      <x:c r="C90" s="8" t="s">
        <x:v>1660</x:v>
      </x:c>
      <x:c r="D90" s="9">
        <x:f>CONCATENATE(HYPERLINK("CALLTO:%2B356%209942%205609", "+356 9942 5609"))</x:f>
      </x:c>
      <x:c r="E90" s="8" t="s">
        <x:v>1760</x:v>
      </x:c>
      <x:c r="F90" s="1" t="s">
        <x:v>144</x:v>
      </x:c>
    </x:row>
    <x:row r="91" spans="1:8" s="4" customFormat="1">
      <x:c r="A91" s="4" t="s">
        <x:v>1836</x:v>
      </x:c>
      <x:c r="B91" s="4" t="s">
        <x:v>1577</x:v>
      </x:c>
      <x:c r="C91" s="10" t="s">
        <x:v>1661</x:v>
      </x:c>
      <x:c r="D91" s="11">
        <x:f>CONCATENATE(HYPERLINK("CALLTO:%2B356%202123%200982", "+356 2123 0982"))</x:f>
      </x:c>
      <x:c r="E91" s="10" t="s">
        <x:v>1992</x:v>
      </x:c>
      <x:c r="F91" s="10" t="s">
        <x:v>1822</x:v>
      </x:c>
    </x:row>
    <x:row r="92" spans="1:8" s="3" customFormat="1">
      <x:c r="A92" s="3" t="s">
        <x:v>1836</x:v>
      </x:c>
      <x:c r="B92" s="3" t="s">
        <x:v>1579</x:v>
      </x:c>
      <x:c r="C92" s="6" t="s">
        <x:v>1663</x:v>
      </x:c>
      <x:c r="D92" s="7">
        <x:f>CONCATENATE(HYPERLINK("CALLTO:%2B356%202149%206473", "+356 2149 6473"))</x:f>
      </x:c>
      <x:c r="E92" s="6" t="s">
        <x:v>1993</x:v>
      </x:c>
      <x:c r="F92" s="6" t="s">
        <x:v>1826</x:v>
      </x:c>
    </x:row>
    <x:row r="93" spans="1:8" s="1" customFormat="1">
      <x:c r="A93" s="1" t="s">
        <x:v>1836</x:v>
      </x:c>
      <x:c r="B93" s="1" t="s">
        <x:v>1580</x:v>
      </x:c>
      <x:c r="C93" s="8" t="s">
        <x:v>1664</x:v>
      </x:c>
      <x:c r="D93" s="9">
        <x:f>CONCATENATE(HYPERLINK("CALLTO:%2B356%202142%200226", "+356 2142 0226"))</x:f>
      </x:c>
      <x:c r="E93" s="8" t="s">
        <x:v>1732</x:v>
      </x:c>
      <x:c r="F93" s="8" t="s">
        <x:v>5304</x:v>
      </x:c>
    </x:row>
    <x:row r="94" spans="1:8" s="4" customFormat="1">
      <x:c r="A94" s="4" t="s">
        <x:v>1836</x:v>
      </x:c>
      <x:c r="B94" s="4" t="s">
        <x:v>1876</x:v>
      </x:c>
      <x:c r="C94" s="10" t="s">
        <x:v>1925</x:v>
      </x:c>
      <x:c r="D94" s="11">
        <x:f>CONCATENATE(HYPERLINK("CALLTO:%2B356%209910%200356", "+356 9910 0356"))</x:f>
      </x:c>
      <x:c r="E94" s="10" t="s">
        <x:v>1994</x:v>
      </x:c>
      <x:c r="F94" s="10" t="s">
        <x:v>1828</x:v>
      </x:c>
    </x:row>
    <x:row r="95" spans="1:8" s="3" customFormat="1">
      <x:c r="A95" s="3" t="s">
        <x:v>1836</x:v>
      </x:c>
      <x:c r="B95" s="3" t="s">
        <x:v>1856</x:v>
      </x:c>
      <x:c r="C95" s="6" t="s">
        <x:v>1909</x:v>
      </x:c>
      <x:c r="D95" s="7">
        <x:f>CONCATENATE(HYPERLINK("CALLTO:%2B356%207944%205674", "+356 7944 5674"))</x:f>
      </x:c>
      <x:c r="E95" s="6" t="s">
        <x:v>1995</x:v>
      </x:c>
      <x:c r="F95" s="6" t="s">
        <x:v>2037</x:v>
      </x:c>
    </x:row>
    <x:row r="96" spans="1:8" s="1" customFormat="1">
      <x:c r="A96" s="1" t="s">
        <x:v>1836</x:v>
      </x:c>
      <x:c r="B96" s="1" t="s">
        <x:v>886</x:v>
      </x:c>
      <x:c r="C96" s="1" t="s">
        <x:v>1926</x:v>
      </x:c>
      <x:c r="D96" s="9">
        <x:f>CONCATENATE(HYPERLINK("CALLTO:%2B356%202167%207798", "+356 2167 7798"), " / ", HYPERLINK("CALLTO:%2B356%202122%205608", "+356 2122 5608"), " / ", HYPERLINK("CALLTO:%2B356%202124%200938", "+356 2124 0938"))</x:f>
      </x:c>
      <x:c r="E96" s="8" t="s">
        <x:v>1996</x:v>
      </x:c>
      <x:c r="F96" s="8" t="s">
        <x:v>951</x:v>
      </x:c>
    </x:row>
    <x:row r="97" spans="1:8" s="4" customFormat="1">
      <x:c r="A97" s="4" t="s">
        <x:v>1837</x:v>
      </x:c>
      <x:c r="B97" s="4" t="s">
        <x:v>1853</x:v>
      </x:c>
      <x:c r="C97" s="10" t="s">
        <x:v>895</x:v>
      </x:c>
      <x:c r="D97" s="11">
        <x:f>CONCATENATE(HYPERLINK("CALLTO:%2B356%202144%207763", "+356 2144 7763"))</x:f>
      </x:c>
      <x:c r="E97" s="10" t="s">
        <x:v>1997</x:v>
      </x:c>
      <x:c r="F97" s="10" t="s">
        <x:v>942</x:v>
      </x:c>
    </x:row>
    <x:row r="98" spans="1:8" s="3" customFormat="1">
      <x:c r="A98" s="3" t="s">
        <x:v>1837</x:v>
      </x:c>
      <x:c r="B98" s="3" t="s">
        <x:v>889</x:v>
      </x:c>
      <x:c r="C98" s="6" t="s">
        <x:v>906</x:v>
      </x:c>
      <x:c r="D98" s="7">
        <x:f>CONCATENATE(HYPERLINK("CALLTO:%2B356%202143%200569", "+356 2143 0569"), " / ", HYPERLINK("CALLTO:%2B356%207945%204867", "+356 7945 4867"))</x:f>
      </x:c>
      <x:c r="E98" s="6" t="s">
        <x:v>1998</x:v>
      </x:c>
      <x:c r="F98" s="6" t="s">
        <x:v>2038</x:v>
      </x:c>
    </x:row>
    <x:row r="99" spans="1:8" s="1" customFormat="1">
      <x:c r="A99" s="1" t="s">
        <x:v>1837</x:v>
      </x:c>
      <x:c r="B99" s="1" t="s">
        <x:v>879</x:v>
      </x:c>
      <x:c r="C99" s="8" t="s">
        <x:v>898</x:v>
      </x:c>
      <x:c r="D99" s="9">
        <x:f>CONCATENATE(HYPERLINK("CALLTO:%2B356%202149%203285", "+356 2149 3285"))</x:f>
      </x:c>
      <x:c r="E99" s="8" t="s">
        <x:v>1999</x:v>
      </x:c>
      <x:c r="F99" s="8" t="s">
        <x:v>2056</x:v>
      </x:c>
    </x:row>
    <x:row r="100" spans="1:8" s="4" customFormat="1">
      <x:c r="A100" s="4" t="s">
        <x:v>1837</x:v>
      </x:c>
      <x:c r="B100" s="4" t="s">
        <x:v>564</x:v>
      </x:c>
      <x:c r="C100" s="10" t="s">
        <x:v>576</x:v>
      </x:c>
      <x:c r="D100" s="11">
        <x:f>CONCATENATE(HYPERLINK("CALLTO:%2B356%202736%206601", "+356 2736 6601"))</x:f>
      </x:c>
      <x:c r="E100" s="10" t="s">
        <x:v>2000</x:v>
      </x:c>
      <x:c r="F100" s="10" t="s">
        <x:v>1827</x:v>
      </x:c>
    </x:row>
    <x:row r="101" spans="1:8" s="3" customFormat="1">
      <x:c r="A101" s="3" t="s">
        <x:v>1837</x:v>
      </x:c>
      <x:c r="B101" s="3" t="s">
        <x:v>1877</x:v>
      </x:c>
      <x:c r="C101" s="6" t="s">
        <x:v>1927</x:v>
      </x:c>
      <x:c r="D101" s="7">
        <x:f>CONCATENATE(HYPERLINK("CALLTO:%2B356%202789%208230", "+356 2789 8230"))</x:f>
      </x:c>
      <x:c r="E101" s="6" t="s">
        <x:v>2001</x:v>
      </x:c>
      <x:c r="F101" s="6" t="s">
        <x:v>1825</x:v>
      </x:c>
    </x:row>
    <x:row r="102" spans="1:8" s="1" customFormat="1">
      <x:c r="A102" s="1" t="s">
        <x:v>1837</x:v>
      </x:c>
      <x:c r="B102" s="1" t="s">
        <x:v>1878</x:v>
      </x:c>
      <x:c r="C102" s="8" t="s">
        <x:v>1928</x:v>
      </x:c>
      <x:c r="D102" s="9">
        <x:f>CONCATENATE(HYPERLINK("CALLTO:%2B356%202145%204379", "+356 2145 4379"))</x:f>
      </x:c>
      <x:c r="E102" s="8" t="s">
        <x:v>2002</x:v>
      </x:c>
      <x:c r="F102" s="8" t="s">
        <x:v>1824</x:v>
      </x:c>
    </x:row>
    <x:row r="103" spans="1:8" s="4" customFormat="1">
      <x:c r="A103" s="4" t="s">
        <x:v>1837</x:v>
      </x:c>
      <x:c r="B103" s="4" t="s">
        <x:v>958</x:v>
      </x:c>
      <x:c r="C103" s="10" t="s">
        <x:v>1929</x:v>
      </x:c>
      <x:c r="D103" s="11">
        <x:f>CONCATENATE(HYPERLINK("CALLTO:%2B356%202123%207601", "+356 2123 7601"))</x:f>
      </x:c>
      <x:c r="E103" s="10" t="s">
        <x:v>2003</x:v>
      </x:c>
      <x:c r="F103" s="10" t="s">
        <x:v>2055</x:v>
      </x:c>
    </x:row>
    <x:row r="104" spans="1:8" s="3" customFormat="1">
      <x:c r="A104" s="3" t="s">
        <x:v>1837</x:v>
      </x:c>
      <x:c r="B104" s="3" t="s">
        <x:v>1879</x:v>
      </x:c>
      <x:c r="C104" s="6" t="s">
        <x:v>1930</x:v>
      </x:c>
      <x:c r="D104" s="7">
        <x:f>CONCATENATE(HYPERLINK("CALLTO:%2B356%202180%200638", "+356 2180 0638"))</x:f>
      </x:c>
      <x:c r="E104" s="6" t="s">
        <x:v>2004</x:v>
      </x:c>
      <x:c r="F104" s="6" t="s">
        <x:v>1804</x:v>
      </x:c>
    </x:row>
    <x:row r="105" spans="1:8" s="1" customFormat="1">
      <x:c r="A105" s="1" t="s">
        <x:v>1837</x:v>
      </x:c>
      <x:c r="B105" s="1" t="s">
        <x:v>559</x:v>
      </x:c>
      <x:c r="C105" s="8" t="s">
        <x:v>573</x:v>
      </x:c>
      <x:c r="D105" s="9">
        <x:f>CONCATENATE(HYPERLINK("CALLTO:%2B356%202334%202000", "+356 2334 2000"))</x:f>
      </x:c>
      <x:c r="E105" s="8" t="s">
        <x:v>2005</x:v>
      </x:c>
      <x:c r="F105" s="8" t="s">
        <x:v>941</x:v>
      </x:c>
    </x:row>
    <x:row r="106" spans="1:8" s="4" customFormat="1">
      <x:c r="A106" s="4" t="s">
        <x:v>1837</x:v>
      </x:c>
      <x:c r="B106" s="4" t="s">
        <x:v>890</x:v>
      </x:c>
      <x:c r="C106" s="10" t="s">
        <x:v>907</x:v>
      </x:c>
      <x:c r="D106" s="11">
        <x:f>CONCATENATE(HYPERLINK("CALLTO:%2B356%202137%207181", "+356 2137 7181"))</x:f>
      </x:c>
      <x:c r="E106" s="10" t="s">
        <x:v>2006</x:v>
      </x:c>
      <x:c r="F106" s="10" t="s">
        <x:v>2053</x:v>
      </x:c>
    </x:row>
    <x:row r="107" spans="1:8" s="3" customFormat="1">
      <x:c r="A107" s="3" t="s">
        <x:v>1837</x:v>
      </x:c>
      <x:c r="B107" s="3" t="s">
        <x:v>1880</x:v>
      </x:c>
      <x:c r="C107" s="6" t="s">
        <x:v>1931</x:v>
      </x:c>
      <x:c r="D107" s="7">
        <x:f>CONCATENATE(HYPERLINK("CALLTO:%2B356%202125%200980", "+356 2125 0980"))</x:f>
      </x:c>
      <x:c r="E107" s="6" t="s">
        <x:v>2007</x:v>
      </x:c>
      <x:c r="F107" s="6" t="s">
        <x:v>1798</x:v>
      </x:c>
    </x:row>
    <x:row r="108" spans="1:8" s="1" customFormat="1">
      <x:c r="A108" s="1" t="s">
        <x:v>1837</x:v>
      </x:c>
      <x:c r="B108" s="1" t="s">
        <x:v>30</x:v>
      </x:c>
      <x:c r="C108" s="8" t="s">
        <x:v>56</x:v>
      </x:c>
      <x:c r="D108" s="9">
        <x:f>CONCATENATE(HYPERLINK("CALLTO:%2B356%202143%207403", "+356 2143 7403"))</x:f>
      </x:c>
      <x:c r="E108" s="8" t="s">
        <x:v>2008</x:v>
      </x:c>
      <x:c r="F108" s="8" t="s">
        <x:v>2052</x:v>
      </x:c>
    </x:row>
    <x:row r="109" spans="1:8" s="4" customFormat="1">
      <x:c r="A109" s="4" t="s">
        <x:v>1837</x:v>
      </x:c>
      <x:c r="B109" s="4" t="s">
        <x:v>1881</x:v>
      </x:c>
      <x:c r="C109" s="10" t="s">
        <x:v>1932</x:v>
      </x:c>
      <x:c r="D109" s="11">
        <x:f>CONCATENATE(HYPERLINK("CALLTO:%2B356%202123%208356", "+356 2123 8356"))</x:f>
      </x:c>
      <x:c r="E109" s="10" t="s">
        <x:v>2009</x:v>
      </x:c>
      <x:c r="F109" s="10" t="s">
        <x:v>1794</x:v>
      </x:c>
    </x:row>
    <x:row r="110" spans="1:8" s="3" customFormat="1">
      <x:c r="A110" s="3" t="s">
        <x:v>1837</x:v>
      </x:c>
      <x:c r="B110" s="3" t="s">
        <x:v>1882</x:v>
      </x:c>
      <x:c r="C110" s="6" t="s">
        <x:v>1933</x:v>
      </x:c>
      <x:c r="D110" s="7">
        <x:f>CONCATENATE(HYPERLINK("CALLTO:%2B356%202146%204646", "+356 2146 4646"))</x:f>
      </x:c>
      <x:c r="E110" s="6" t="s">
        <x:v>2010</x:v>
      </x:c>
      <x:c r="F110" s="3" t="s">
        <x:v>144</x:v>
      </x:c>
    </x:row>
    <x:row r="111" spans="1:8" s="1" customFormat="1">
      <x:c r="A111" s="1" t="s">
        <x:v>1837</x:v>
      </x:c>
      <x:c r="B111" s="1" t="s">
        <x:v>1883</x:v>
      </x:c>
      <x:c r="C111" s="8" t="s">
        <x:v>1934</x:v>
      </x:c>
      <x:c r="D111" s="9">
        <x:f>CONCATENATE(HYPERLINK("CALLTO:%2B356%202166%204414", "+356 2166 4414"))</x:f>
      </x:c>
      <x:c r="E111" s="8" t="s">
        <x:v>2011</x:v>
      </x:c>
      <x:c r="F111" s="8" t="s">
        <x:v>1811</x:v>
      </x:c>
    </x:row>
    <x:row r="112" spans="1:8" s="4" customFormat="1">
      <x:c r="A112" s="4" t="s">
        <x:v>1837</x:v>
      </x:c>
      <x:c r="B112" s="4" t="s">
        <x:v>1884</x:v>
      </x:c>
      <x:c r="C112" s="10" t="s">
        <x:v>1935</x:v>
      </x:c>
      <x:c r="D112" s="11">
        <x:f>CONCATENATE(HYPERLINK("CALLTO:%2B356%202279%204216", "+356 2279 4216"))</x:f>
      </x:c>
      <x:c r="E112" s="10" t="s">
        <x:v>2012</x:v>
      </x:c>
      <x:c r="F112" s="10" t="s">
        <x:v>939</x:v>
      </x:c>
    </x:row>
    <x:row r="113" spans="1:8" s="3" customFormat="1">
      <x:c r="A113" s="3" t="s">
        <x:v>1837</x:v>
      </x:c>
      <x:c r="B113" s="3" t="s">
        <x:v>1885</x:v>
      </x:c>
      <x:c r="C113" s="6" t="s">
        <x:v>572</x:v>
      </x:c>
      <x:c r="D113" s="7">
        <x:f>CONCATENATE(HYPERLINK("CALLTO:%2B356%202343%206000", "+356 2343 6000"))</x:f>
      </x:c>
      <x:c r="E113" s="6" t="s">
        <x:v>2013</x:v>
      </x:c>
      <x:c r="F113" s="6" t="s">
        <x:v>1816</x:v>
      </x:c>
    </x:row>
    <x:row r="114" spans="1:8" s="1" customFormat="1">
      <x:c r="A114" s="1" t="s">
        <x:v>1837</x:v>
      </x:c>
      <x:c r="B114" s="1" t="s">
        <x:v>1886</x:v>
      </x:c>
      <x:c r="C114" s="8" t="s">
        <x:v>909</x:v>
      </x:c>
      <x:c r="D114" s="9">
        <x:f>CONCATENATE(HYPERLINK("CALLTO:%2B356%202143%202863", "+356 2143 2863"))</x:f>
      </x:c>
      <x:c r="E114" s="8" t="s">
        <x:v>2014</x:v>
      </x:c>
      <x:c r="F114" s="8" t="s">
        <x:v>1792</x:v>
      </x:c>
    </x:row>
    <x:row r="115" spans="1:8" s="4" customFormat="1">
      <x:c r="A115" s="4" t="s">
        <x:v>1837</x:v>
      </x:c>
      <x:c r="B115" s="4" t="s">
        <x:v>1887</x:v>
      </x:c>
      <x:c r="C115" s="10" t="s">
        <x:v>1936</x:v>
      </x:c>
      <x:c r="D115" s="11">
        <x:f>CONCATENATE(HYPERLINK("CALLTO:%2B356%202155%204062", "+356 2155 4062"))</x:f>
      </x:c>
      <x:c r="E115" s="10" t="s">
        <x:v>2000</x:v>
      </x:c>
      <x:c r="F115" s="10" t="s">
        <x:v>1815</x:v>
      </x:c>
    </x:row>
    <x:row r="116" spans="1:8" s="3" customFormat="1">
      <x:c r="A116" s="3" t="s">
        <x:v>1837</x:v>
      </x:c>
      <x:c r="B116" s="3" t="s">
        <x:v>1888</x:v>
      </x:c>
      <x:c r="C116" s="6" t="s">
        <x:v>900</x:v>
      </x:c>
      <x:c r="D116" s="7">
        <x:f>CONCATENATE(HYPERLINK("CALLTO:%2B356%202343%206343", "+356 2343 6343"))</x:f>
      </x:c>
      <x:c r="E116" s="6" t="s">
        <x:v>2015</x:v>
      </x:c>
      <x:c r="F116" s="6" t="s">
        <x:v>947</x:v>
      </x:c>
    </x:row>
    <x:row r="117" spans="1:8" s="1" customFormat="1">
      <x:c r="A117" s="1" t="s">
        <x:v>1837</x:v>
      </x:c>
      <x:c r="B117" s="1" t="s">
        <x:v>1889</x:v>
      </x:c>
      <x:c r="C117" s="8" t="s">
        <x:v>1937</x:v>
      </x:c>
      <x:c r="D117" s="9">
        <x:f>CONCATENATE(HYPERLINK("CALLTO:%2B356%202124%201307", "+356 2124 1307"))</x:f>
      </x:c>
      <x:c r="E117" s="8" t="s">
        <x:v>2016</x:v>
      </x:c>
      <x:c r="F117" s="8" t="s">
        <x:v>2051</x:v>
      </x:c>
    </x:row>
    <x:row r="118" spans="1:8" s="4" customFormat="1">
      <x:c r="A118" s="4" t="s">
        <x:v>1837</x:v>
      </x:c>
      <x:c r="B118" s="4" t="s">
        <x:v>1890</x:v>
      </x:c>
      <x:c r="C118" s="10" t="s">
        <x:v>1604</x:v>
      </x:c>
      <x:c r="D118" s="11">
        <x:f>CONCATENATE(HYPERLINK("CALLTO:%2B356%202546%204000", "+356 2546 4000"))</x:f>
      </x:c>
      <x:c r="E118" s="10" t="s">
        <x:v>1993</x:v>
      </x:c>
      <x:c r="F118" s="10" t="s">
        <x:v>1431</x:v>
      </x:c>
    </x:row>
    <x:row r="119" spans="1:8" s="3" customFormat="1">
      <x:c r="A119" s="3" t="s">
        <x:v>1837</x:v>
      </x:c>
      <x:c r="B119" s="3" t="s">
        <x:v>1879</x:v>
      </x:c>
      <x:c r="C119" s="6" t="s">
        <x:v>1930</x:v>
      </x:c>
      <x:c r="D119" s="7">
        <x:f>CONCATENATE(HYPERLINK("CALLTO:%2B356%202180%200638", "+356 2180 0638"))</x:f>
      </x:c>
      <x:c r="E119" s="6" t="s">
        <x:v>1732</x:v>
      </x:c>
      <x:c r="F119" s="6" t="s">
        <x:v>1804</x:v>
      </x:c>
    </x:row>
    <x:row r="120" spans="1:8" s="1" customFormat="1">
      <x:c r="A120" s="1" t="s">
        <x:v>1837</x:v>
      </x:c>
      <x:c r="B120" s="1" t="s">
        <x:v>1891</x:v>
      </x:c>
      <x:c r="C120" s="8" t="s">
        <x:v>1938</x:v>
      </x:c>
      <x:c r="D120" s="9">
        <x:f>CONCATENATE(HYPERLINK("CALLTO:%2B356%202141%201197", "+356 2141 1197"))</x:f>
      </x:c>
      <x:c r="E120" s="8" t="s">
        <x:v>1994</x:v>
      </x:c>
      <x:c r="F120" s="1" t="s">
        <x:v>144</x:v>
      </x:c>
    </x:row>
    <x:row r="121" spans="1:8" s="4" customFormat="1">
      <x:c r="A121" s="4" t="s">
        <x:v>1837</x:v>
      </x:c>
      <x:c r="B121" s="4" t="s">
        <x:v>563</x:v>
      </x:c>
      <x:c r="C121" s="10" t="s">
        <x:v>1939</x:v>
      </x:c>
      <x:c r="D121" s="11">
        <x:f>CONCATENATE(HYPERLINK("CALLTO:%2B356%202167%202663", "+356 2167 2663"))</x:f>
      </x:c>
      <x:c r="E121" s="10" t="s">
        <x:v>1995</x:v>
      </x:c>
      <x:c r="F121" s="10" t="s">
        <x:v>2049</x:v>
      </x:c>
    </x:row>
    <x:row r="122" spans="1:8" s="3" customFormat="1">
      <x:c r="A122" s="3" t="s">
        <x:v>1837</x:v>
      </x:c>
      <x:c r="B122" s="3" t="s">
        <x:v>886</x:v>
      </x:c>
      <x:c r="C122" s="3" t="s">
        <x:v>1926</x:v>
      </x:c>
      <x:c r="D122" s="7">
        <x:f>CONCATENATE(HYPERLINK("CALLTO:%2B356%202167%207798", "+356 2167 7798"), " / ", HYPERLINK("CALLTO:%2B356%202122%205608", "+356 2122 5608"), " / ", HYPERLINK("CALLTO:%2B356%202124%200938", "+356 2124 0938"))</x:f>
      </x:c>
      <x:c r="E122" s="6" t="s">
        <x:v>1996</x:v>
      </x:c>
      <x:c r="F122" s="6" t="s">
        <x:v>951</x:v>
      </x:c>
    </x:row>
    <x:row r="123" spans="1:8" s="1" customFormat="1">
      <x:c r="A123" s="1" t="s">
        <x:v>1838</x:v>
      </x:c>
      <x:c r="B123" s="1" t="s">
        <x:v>1853</x:v>
      </x:c>
      <x:c r="C123" s="8" t="s">
        <x:v>895</x:v>
      </x:c>
      <x:c r="D123" s="9">
        <x:f>CONCATENATE(HYPERLINK("CALLTO:%2B356%202144%207763", "+356 2144 7763"))</x:f>
      </x:c>
      <x:c r="E123" s="8" t="s">
        <x:v>2002</x:v>
      </x:c>
      <x:c r="F123" s="8" t="s">
        <x:v>942</x:v>
      </x:c>
    </x:row>
    <x:row r="124" spans="1:8" s="4" customFormat="1">
      <x:c r="A124" s="4" t="s">
        <x:v>1838</x:v>
      </x:c>
      <x:c r="B124" s="4" t="s">
        <x:v>889</x:v>
      </x:c>
      <x:c r="C124" s="10" t="s">
        <x:v>906</x:v>
      </x:c>
      <x:c r="D124" s="11">
        <x:f>CONCATENATE(HYPERLINK("CALLTO:%2B356%202143%200569", "+356 2143 0569"), " / ", HYPERLINK("CALLTO:%2B356%207945%204867", "+356 7945 4867"))</x:f>
      </x:c>
      <x:c r="E124" s="10" t="s">
        <x:v>2004</x:v>
      </x:c>
      <x:c r="F124" s="10" t="s">
        <x:v>2038</x:v>
      </x:c>
    </x:row>
    <x:row r="125" spans="1:8" s="3" customFormat="1">
      <x:c r="A125" s="3" t="s">
        <x:v>1838</x:v>
      </x:c>
      <x:c r="B125" s="3" t="s">
        <x:v>879</x:v>
      </x:c>
      <x:c r="C125" s="6" t="s">
        <x:v>898</x:v>
      </x:c>
      <x:c r="D125" s="7">
        <x:f>CONCATENATE(HYPERLINK("CALLTO:%2B356%202149%203285", "+356 2149 3285"))</x:f>
      </x:c>
      <x:c r="E125" s="6" t="s">
        <x:v>2005</x:v>
      </x:c>
      <x:c r="F125" s="6" t="s">
        <x:v>2056</x:v>
      </x:c>
    </x:row>
    <x:row r="126" spans="1:8" s="1" customFormat="1">
      <x:c r="A126" s="1" t="s">
        <x:v>1838</x:v>
      </x:c>
      <x:c r="B126" s="1" t="s">
        <x:v>564</x:v>
      </x:c>
      <x:c r="C126" s="8" t="s">
        <x:v>576</x:v>
      </x:c>
      <x:c r="D126" s="9">
        <x:f>CONCATENATE(HYPERLINK("CALLTO:%2B356%202736%206601", "+356 2736 6601"))</x:f>
      </x:c>
      <x:c r="E126" s="8" t="s">
        <x:v>2009</x:v>
      </x:c>
      <x:c r="F126" s="8" t="s">
        <x:v>1827</x:v>
      </x:c>
    </x:row>
    <x:row r="127" spans="1:8" s="4" customFormat="1">
      <x:c r="A127" s="4" t="s">
        <x:v>1838</x:v>
      </x:c>
      <x:c r="B127" s="4" t="s">
        <x:v>890</x:v>
      </x:c>
      <x:c r="C127" s="10" t="s">
        <x:v>907</x:v>
      </x:c>
      <x:c r="D127" s="11">
        <x:f>CONCATENATE(HYPERLINK("CALLTO:%2B356%202137%207181", "+356 2137 7181"))</x:f>
      </x:c>
      <x:c r="E127" s="10" t="s">
        <x:v>2010</x:v>
      </x:c>
      <x:c r="F127" s="10" t="s">
        <x:v>2053</x:v>
      </x:c>
    </x:row>
    <x:row r="128" spans="1:8" s="3" customFormat="1">
      <x:c r="A128" s="3" t="s">
        <x:v>1838</x:v>
      </x:c>
      <x:c r="B128" s="3" t="s">
        <x:v>30</x:v>
      </x:c>
      <x:c r="C128" s="6" t="s">
        <x:v>56</x:v>
      </x:c>
      <x:c r="D128" s="7">
        <x:f>CONCATENATE(HYPERLINK("CALLTO:%2B356%202143%207403", "+356 2143 7403"))</x:f>
      </x:c>
      <x:c r="E128" s="6" t="s">
        <x:v>2012</x:v>
      </x:c>
      <x:c r="F128" s="6" t="s">
        <x:v>2052</x:v>
      </x:c>
    </x:row>
    <x:row r="129" spans="1:8" s="1" customFormat="1">
      <x:c r="A129" s="1" t="s">
        <x:v>1838</x:v>
      </x:c>
      <x:c r="B129" s="1" t="s">
        <x:v>1881</x:v>
      </x:c>
      <x:c r="C129" s="8" t="s">
        <x:v>1932</x:v>
      </x:c>
      <x:c r="D129" s="9">
        <x:f>CONCATENATE(HYPERLINK("CALLTO:%2B356%202123%208356", "+356 2123 8356"))</x:f>
      </x:c>
      <x:c r="E129" s="8" t="s">
        <x:v>2013</x:v>
      </x:c>
      <x:c r="F129" s="8" t="s">
        <x:v>1794</x:v>
      </x:c>
    </x:row>
    <x:row r="130" spans="1:8" s="4" customFormat="1">
      <x:c r="A130" s="4" t="s">
        <x:v>1838</x:v>
      </x:c>
      <x:c r="B130" s="4" t="s">
        <x:v>1885</x:v>
      </x:c>
      <x:c r="C130" s="10" t="s">
        <x:v>572</x:v>
      </x:c>
      <x:c r="D130" s="11">
        <x:f>CONCATENATE(HYPERLINK("CALLTO:%2B356%202343%206000", "+356 2343 6000"))</x:f>
      </x:c>
      <x:c r="E130" s="10" t="s">
        <x:v>2017</x:v>
      </x:c>
      <x:c r="F130" s="10" t="s">
        <x:v>2028</x:v>
      </x:c>
    </x:row>
    <x:row r="131" spans="1:8" s="3" customFormat="1">
      <x:c r="A131" s="3" t="s">
        <x:v>1838</x:v>
      </x:c>
      <x:c r="B131" s="3" t="s">
        <x:v>1886</x:v>
      </x:c>
      <x:c r="C131" s="6" t="s">
        <x:v>909</x:v>
      </x:c>
      <x:c r="D131" s="7">
        <x:f>CONCATENATE(HYPERLINK("CALLTO:%2B356%202143%202863", "+356 2143 2863"))</x:f>
      </x:c>
      <x:c r="E131" s="6" t="s">
        <x:v>2000</x:v>
      </x:c>
      <x:c r="F131" s="6" t="s">
        <x:v>1792</x:v>
      </x:c>
    </x:row>
    <x:row r="132" spans="1:8" s="1" customFormat="1">
      <x:c r="A132" s="1" t="s">
        <x:v>1838</x:v>
      </x:c>
      <x:c r="B132" s="1" t="s">
        <x:v>1888</x:v>
      </x:c>
      <x:c r="C132" s="8" t="s">
        <x:v>900</x:v>
      </x:c>
      <x:c r="D132" s="9">
        <x:f>CONCATENATE(HYPERLINK("CALLTO:%2B356%202343%206343", "+356 2343 6343"))</x:f>
      </x:c>
      <x:c r="E132" s="8" t="s">
        <x:v>2015</x:v>
      </x:c>
      <x:c r="F132" s="8" t="s">
        <x:v>947</x:v>
      </x:c>
    </x:row>
    <x:row r="133" spans="1:8" s="4" customFormat="1">
      <x:c r="A133" s="4" t="s">
        <x:v>1838</x:v>
      </x:c>
      <x:c r="B133" s="4" t="s">
        <x:v>1889</x:v>
      </x:c>
      <x:c r="C133" s="10" t="s">
        <x:v>1937</x:v>
      </x:c>
      <x:c r="D133" s="11">
        <x:f>CONCATENATE(HYPERLINK("CALLTO:%2B356%202124%201307", "+356 2124 1307"))</x:f>
      </x:c>
      <x:c r="E133" s="10" t="s">
        <x:v>1993</x:v>
      </x:c>
      <x:c r="F133" s="10" t="s">
        <x:v>2051</x:v>
      </x:c>
    </x:row>
    <x:row r="134" spans="1:8" s="3" customFormat="1">
      <x:c r="A134" s="3" t="s">
        <x:v>1838</x:v>
      </x:c>
      <x:c r="B134" s="3" t="s">
        <x:v>881</x:v>
      </x:c>
      <x:c r="C134" s="6" t="s">
        <x:v>899</x:v>
      </x:c>
      <x:c r="D134" s="7">
        <x:f>CONCATENATE(HYPERLINK("CALLTO:%2B356%202166%204949", "+356 2166 4949"))</x:f>
      </x:c>
      <x:c r="E134" s="6" t="s">
        <x:v>1732</x:v>
      </x:c>
      <x:c r="F134" s="6" t="s">
        <x:v>2035</x:v>
      </x:c>
    </x:row>
    <x:row r="135" spans="1:8" s="1" customFormat="1">
      <x:c r="A135" s="1" t="s">
        <x:v>1838</x:v>
      </x:c>
      <x:c r="B135" s="1" t="s">
        <x:v>1879</x:v>
      </x:c>
      <x:c r="C135" s="8" t="s">
        <x:v>1930</x:v>
      </x:c>
      <x:c r="D135" s="9">
        <x:f>CONCATENATE(HYPERLINK("CALLTO:%2B356%202180%200638", "+356 2180 0638"))</x:f>
      </x:c>
      <x:c r="E135" s="8" t="s">
        <x:v>1994</x:v>
      </x:c>
      <x:c r="F135" s="8" t="s">
        <x:v>1804</x:v>
      </x:c>
    </x:row>
    <x:row r="136" spans="1:8" s="4" customFormat="1">
      <x:c r="A136" s="4" t="s">
        <x:v>1838</x:v>
      </x:c>
      <x:c r="B136" s="4" t="s">
        <x:v>1891</x:v>
      </x:c>
      <x:c r="C136" s="10" t="s">
        <x:v>1938</x:v>
      </x:c>
      <x:c r="D136" s="11">
        <x:f>CONCATENATE(HYPERLINK("CALLTO:%2B356%202141%201197", "+356 2141 1197"))</x:f>
      </x:c>
      <x:c r="E136" s="10" t="s">
        <x:v>1995</x:v>
      </x:c>
      <x:c r="F136" s="4" t="s">
        <x:v>144</x:v>
      </x:c>
    </x:row>
    <x:row r="137" spans="1:8" s="3" customFormat="1">
      <x:c r="A137" s="3" t="s">
        <x:v>1838</x:v>
      </x:c>
      <x:c r="B137" s="3" t="s">
        <x:v>886</x:v>
      </x:c>
      <x:c r="C137" s="3" t="s">
        <x:v>1926</x:v>
      </x:c>
      <x:c r="D137" s="7">
        <x:f>CONCATENATE(HYPERLINK("CALLTO:%2B356%202167%207798", "+356 2167 7798"), " / ", HYPERLINK("CALLTO:%2B356%202122%205608", "+356 2122 5608"), " / ", HYPERLINK("CALLTO:%2B356%202124%200938", "+356 2124 0938"))</x:f>
      </x:c>
      <x:c r="E137" s="6" t="s">
        <x:v>1996</x:v>
      </x:c>
      <x:c r="F137" s="6" t="s">
        <x:v>951</x:v>
      </x:c>
    </x:row>
    <x:row r="138" spans="1:8" s="1" customFormat="1">
      <x:c r="A138" s="1" t="s">
        <x:v>1839</x:v>
      </x:c>
      <x:c r="B138" s="1" t="s">
        <x:v>1853</x:v>
      </x:c>
      <x:c r="C138" s="8" t="s">
        <x:v>895</x:v>
      </x:c>
      <x:c r="D138" s="9">
        <x:f>CONCATENATE(HYPERLINK("CALLTO:%2B356%202144%207763", "+356 2144 7763"))</x:f>
      </x:c>
      <x:c r="E138" s="8" t="s">
        <x:v>2002</x:v>
      </x:c>
      <x:c r="F138" s="8" t="s">
        <x:v>942</x:v>
      </x:c>
    </x:row>
    <x:row r="139" spans="1:8" s="4" customFormat="1">
      <x:c r="A139" s="4" t="s">
        <x:v>1839</x:v>
      </x:c>
      <x:c r="B139" s="4" t="s">
        <x:v>889</x:v>
      </x:c>
      <x:c r="C139" s="10" t="s">
        <x:v>906</x:v>
      </x:c>
      <x:c r="D139" s="11">
        <x:f>CONCATENATE(HYPERLINK("CALLTO:%2B356%202143%200569", "+356 2143 0569"), " / ", HYPERLINK("CALLTO:%2B356%207945%204867", "+356 7945 4867"))</x:f>
      </x:c>
      <x:c r="E139" s="10" t="s">
        <x:v>1997</x:v>
      </x:c>
      <x:c r="F139" s="10" t="s">
        <x:v>2038</x:v>
      </x:c>
    </x:row>
    <x:row r="140" spans="1:8" s="3" customFormat="1">
      <x:c r="A140" s="3" t="s">
        <x:v>1839</x:v>
      </x:c>
      <x:c r="B140" s="3" t="s">
        <x:v>879</x:v>
      </x:c>
      <x:c r="C140" s="6" t="s">
        <x:v>898</x:v>
      </x:c>
      <x:c r="D140" s="7">
        <x:f>CONCATENATE(HYPERLINK("CALLTO:%2B356%202149%203285", "+356 2149 3285"))</x:f>
      </x:c>
      <x:c r="E140" s="6" t="s">
        <x:v>1998</x:v>
      </x:c>
      <x:c r="F140" s="6" t="s">
        <x:v>2056</x:v>
      </x:c>
    </x:row>
    <x:row r="141" spans="1:8" s="1" customFormat="1">
      <x:c r="A141" s="1" t="s">
        <x:v>1839</x:v>
      </x:c>
      <x:c r="B141" s="1" t="s">
        <x:v>564</x:v>
      </x:c>
      <x:c r="C141" s="8" t="s">
        <x:v>576</x:v>
      </x:c>
      <x:c r="D141" s="9">
        <x:f>CONCATENATE(HYPERLINK("CALLTO:%2B356%202736%206601", "+356 2736 6601"))</x:f>
      </x:c>
      <x:c r="E141" s="8" t="s">
        <x:v>2003</x:v>
      </x:c>
      <x:c r="F141" s="8" t="s">
        <x:v>1827</x:v>
      </x:c>
    </x:row>
    <x:row r="142" spans="1:8" s="4" customFormat="1">
      <x:c r="A142" s="4" t="s">
        <x:v>1839</x:v>
      </x:c>
      <x:c r="B142" s="4" t="s">
        <x:v>890</x:v>
      </x:c>
      <x:c r="C142" s="10" t="s">
        <x:v>907</x:v>
      </x:c>
      <x:c r="D142" s="11">
        <x:f>CONCATENATE(HYPERLINK("CALLTO:%2B356%202137%207181", "+356 2137 7181"))</x:f>
      </x:c>
      <x:c r="E142" s="10" t="s">
        <x:v>2004</x:v>
      </x:c>
      <x:c r="F142" s="10" t="s">
        <x:v>2053</x:v>
      </x:c>
    </x:row>
    <x:row r="143" spans="1:8" s="3" customFormat="1">
      <x:c r="A143" s="3" t="s">
        <x:v>1839</x:v>
      </x:c>
      <x:c r="B143" s="3" t="s">
        <x:v>1877</x:v>
      </x:c>
      <x:c r="C143" s="6" t="s">
        <x:v>1927</x:v>
      </x:c>
      <x:c r="D143" s="7">
        <x:f>CONCATENATE(HYPERLINK("CALLTO:%2B356%202789%208230", "+356 2789 8230"))</x:f>
      </x:c>
      <x:c r="E143" s="6" t="s">
        <x:v>2005</x:v>
      </x:c>
      <x:c r="F143" s="6" t="s">
        <x:v>1825</x:v>
      </x:c>
    </x:row>
    <x:row r="144" spans="1:8" s="1" customFormat="1">
      <x:c r="A144" s="1" t="s">
        <x:v>1839</x:v>
      </x:c>
      <x:c r="B144" s="1" t="s">
        <x:v>1878</x:v>
      </x:c>
      <x:c r="C144" s="8" t="s">
        <x:v>1928</x:v>
      </x:c>
      <x:c r="D144" s="9">
        <x:f>CONCATENATE(HYPERLINK("CALLTO:%2B356%202145%204379", "+356 2145 4379"))</x:f>
      </x:c>
      <x:c r="E144" s="8" t="s">
        <x:v>2007</x:v>
      </x:c>
      <x:c r="F144" s="8" t="s">
        <x:v>1824</x:v>
      </x:c>
    </x:row>
    <x:row r="145" spans="1:8" s="4" customFormat="1">
      <x:c r="A145" s="4" t="s">
        <x:v>1839</x:v>
      </x:c>
      <x:c r="B145" s="4" t="s">
        <x:v>1880</x:v>
      </x:c>
      <x:c r="C145" s="10" t="s">
        <x:v>1931</x:v>
      </x:c>
      <x:c r="D145" s="11">
        <x:f>CONCATENATE(HYPERLINK("CALLTO:%2B356%202125%200980", "+356 2125 0980"))</x:f>
      </x:c>
      <x:c r="E145" s="10" t="s">
        <x:v>2018</x:v>
      </x:c>
      <x:c r="F145" s="10" t="s">
        <x:v>1798</x:v>
      </x:c>
    </x:row>
    <x:row r="146" spans="1:8" s="3" customFormat="1">
      <x:c r="A146" s="3" t="s">
        <x:v>1839</x:v>
      </x:c>
      <x:c r="B146" s="3" t="s">
        <x:v>30</x:v>
      </x:c>
      <x:c r="C146" s="6" t="s">
        <x:v>56</x:v>
      </x:c>
      <x:c r="D146" s="7">
        <x:f>CONCATENATE(HYPERLINK("CALLTO:%2B356%202143%207403", "+356 2143 7403"))</x:f>
      </x:c>
      <x:c r="E146" s="6" t="s">
        <x:v>2008</x:v>
      </x:c>
      <x:c r="F146" s="6" t="s">
        <x:v>2052</x:v>
      </x:c>
    </x:row>
    <x:row r="147" spans="1:8" s="1" customFormat="1">
      <x:c r="A147" s="1" t="s">
        <x:v>1839</x:v>
      </x:c>
      <x:c r="B147" s="1" t="s">
        <x:v>1881</x:v>
      </x:c>
      <x:c r="C147" s="8" t="s">
        <x:v>1932</x:v>
      </x:c>
      <x:c r="D147" s="9">
        <x:f>CONCATENATE(HYPERLINK("CALLTO:%2B356%202123%208356", "+356 2123 8356"))</x:f>
      </x:c>
      <x:c r="E147" s="8" t="s">
        <x:v>2009</x:v>
      </x:c>
      <x:c r="F147" s="8" t="s">
        <x:v>1794</x:v>
      </x:c>
    </x:row>
    <x:row r="148" spans="1:8" s="4" customFormat="1">
      <x:c r="A148" s="4" t="s">
        <x:v>1839</x:v>
      </x:c>
      <x:c r="B148" s="4" t="s">
        <x:v>1883</x:v>
      </x:c>
      <x:c r="C148" s="10" t="s">
        <x:v>1934</x:v>
      </x:c>
      <x:c r="D148" s="11">
        <x:f>CONCATENATE(HYPERLINK("CALLTO:%2B356%202166%204414", "+356 2166 4414"))</x:f>
      </x:c>
      <x:c r="E148" s="10" t="s">
        <x:v>2010</x:v>
      </x:c>
      <x:c r="F148" s="10" t="s">
        <x:v>1811</x:v>
      </x:c>
    </x:row>
    <x:row r="149" spans="1:8" s="3" customFormat="1">
      <x:c r="A149" s="3" t="s">
        <x:v>1839</x:v>
      </x:c>
      <x:c r="B149" s="3" t="s">
        <x:v>1892</x:v>
      </x:c>
      <x:c r="C149" s="6" t="s">
        <x:v>1940</x:v>
      </x:c>
      <x:c r="D149" s="7">
        <x:f>CONCATENATE(HYPERLINK("CALLTO:%2B356%202155%200437", "+356 2155 0437"))</x:f>
      </x:c>
      <x:c r="E149" s="6" t="s">
        <x:v>2012</x:v>
      </x:c>
      <x:c r="F149" s="6" t="s">
        <x:v>2032</x:v>
      </x:c>
    </x:row>
    <x:row r="150" spans="1:8" s="1" customFormat="1">
      <x:c r="A150" s="1" t="s">
        <x:v>1839</x:v>
      </x:c>
      <x:c r="B150" s="1" t="s">
        <x:v>1884</x:v>
      </x:c>
      <x:c r="C150" s="8" t="s">
        <x:v>1935</x:v>
      </x:c>
      <x:c r="D150" s="9">
        <x:f>CONCATENATE(HYPERLINK("CALLTO:%2B356%202279%204216", "+356 2279 4216"))</x:f>
      </x:c>
      <x:c r="E150" s="8" t="s">
        <x:v>2013</x:v>
      </x:c>
      <x:c r="F150" s="8" t="s">
        <x:v>939</x:v>
      </x:c>
    </x:row>
    <x:row r="151" spans="1:8" s="4" customFormat="1">
      <x:c r="A151" s="4" t="s">
        <x:v>1839</x:v>
      </x:c>
      <x:c r="B151" s="4" t="s">
        <x:v>1885</x:v>
      </x:c>
      <x:c r="C151" s="10" t="s">
        <x:v>572</x:v>
      </x:c>
      <x:c r="D151" s="11">
        <x:f>CONCATENATE(HYPERLINK("CALLTO:%2B356%202343%206000", "+356 2343 6000"))</x:f>
      </x:c>
      <x:c r="E151" s="10" t="s">
        <x:v>2017</x:v>
      </x:c>
      <x:c r="F151" s="10" t="s">
        <x:v>2028</x:v>
      </x:c>
    </x:row>
    <x:row r="152" spans="1:8" s="3" customFormat="1">
      <x:c r="A152" s="3" t="s">
        <x:v>1839</x:v>
      </x:c>
      <x:c r="B152" s="3" t="s">
        <x:v>1886</x:v>
      </x:c>
      <x:c r="C152" s="6" t="s">
        <x:v>909</x:v>
      </x:c>
      <x:c r="D152" s="7">
        <x:f>CONCATENATE(HYPERLINK("CALLTO:%2B356%202143%202863", "+356 2143 2863"))</x:f>
      </x:c>
      <x:c r="E152" s="6" t="s">
        <x:v>2000</x:v>
      </x:c>
      <x:c r="F152" s="6" t="s">
        <x:v>1792</x:v>
      </x:c>
    </x:row>
    <x:row r="153" spans="1:8" s="1" customFormat="1">
      <x:c r="A153" s="1" t="s">
        <x:v>1839</x:v>
      </x:c>
      <x:c r="B153" s="1" t="s">
        <x:v>1888</x:v>
      </x:c>
      <x:c r="C153" s="8" t="s">
        <x:v>900</x:v>
      </x:c>
      <x:c r="D153" s="9">
        <x:f>CONCATENATE(HYPERLINK("CALLTO:%2B356%202343%206343", "+356 2343 6343"))</x:f>
      </x:c>
      <x:c r="E153" s="8" t="s">
        <x:v>2015</x:v>
      </x:c>
      <x:c r="F153" s="8" t="s">
        <x:v>947</x:v>
      </x:c>
    </x:row>
    <x:row r="154" spans="1:8" s="4" customFormat="1">
      <x:c r="A154" s="4" t="s">
        <x:v>1839</x:v>
      </x:c>
      <x:c r="B154" s="4" t="s">
        <x:v>1889</x:v>
      </x:c>
      <x:c r="C154" s="10" t="s">
        <x:v>1937</x:v>
      </x:c>
      <x:c r="D154" s="11">
        <x:f>CONCATENATE(HYPERLINK("CALLTO:%2B356%202124%201307", "+356 2124 1307"))</x:f>
      </x:c>
      <x:c r="E154" s="10" t="s">
        <x:v>2001</x:v>
      </x:c>
      <x:c r="F154" s="10" t="s">
        <x:v>2051</x:v>
      </x:c>
    </x:row>
    <x:row r="155" spans="1:8" s="3" customFormat="1">
      <x:c r="A155" s="3" t="s">
        <x:v>1839</x:v>
      </x:c>
      <x:c r="B155" s="3" t="s">
        <x:v>881</x:v>
      </x:c>
      <x:c r="C155" s="6" t="s">
        <x:v>899</x:v>
      </x:c>
      <x:c r="D155" s="7">
        <x:f>CONCATENATE(HYPERLINK("CALLTO:%2B356%202166%204949", "+356 2166 4949"))</x:f>
      </x:c>
      <x:c r="E155" s="6" t="s">
        <x:v>2018</x:v>
      </x:c>
      <x:c r="F155" s="6" t="s">
        <x:v>2035</x:v>
      </x:c>
    </x:row>
    <x:row r="156" spans="1:8" s="1" customFormat="1">
      <x:c r="A156" s="1" t="s">
        <x:v>1839</x:v>
      </x:c>
      <x:c r="B156" s="1" t="s">
        <x:v>1879</x:v>
      </x:c>
      <x:c r="C156" s="8" t="s">
        <x:v>1930</x:v>
      </x:c>
      <x:c r="D156" s="9">
        <x:f>CONCATENATE(HYPERLINK("CALLTO:%2B356%202180%200638", "+356 2180 0638"))</x:f>
      </x:c>
      <x:c r="E156" s="8" t="s">
        <x:v>1993</x:v>
      </x:c>
      <x:c r="F156" s="8" t="s">
        <x:v>1804</x:v>
      </x:c>
    </x:row>
    <x:row r="157" spans="1:8" s="4" customFormat="1">
      <x:c r="A157" s="4" t="s">
        <x:v>1839</x:v>
      </x:c>
      <x:c r="B157" s="4" t="s">
        <x:v>1891</x:v>
      </x:c>
      <x:c r="C157" s="10" t="s">
        <x:v>1938</x:v>
      </x:c>
      <x:c r="D157" s="11">
        <x:f>CONCATENATE(HYPERLINK("CALLTO:%2B356%202141%201197", "+356 2141 1197"))</x:f>
      </x:c>
      <x:c r="E157" s="10" t="s">
        <x:v>1732</x:v>
      </x:c>
      <x:c r="F157" s="4" t="s">
        <x:v>144</x:v>
      </x:c>
    </x:row>
    <x:row r="158" spans="1:8" s="3" customFormat="1">
      <x:c r="A158" s="3" t="s">
        <x:v>1839</x:v>
      </x:c>
      <x:c r="B158" s="3" t="s">
        <x:v>559</x:v>
      </x:c>
      <x:c r="C158" s="6" t="s">
        <x:v>573</x:v>
      </x:c>
      <x:c r="D158" s="7">
        <x:f>CONCATENATE(HYPERLINK("CALLTO:%2B356%202334%202000", "+356 2334 2000"))</x:f>
      </x:c>
      <x:c r="E158" s="6" t="s">
        <x:v>1994</x:v>
      </x:c>
      <x:c r="F158" s="6" t="s">
        <x:v>941</x:v>
      </x:c>
    </x:row>
    <x:row r="159" spans="1:8" s="1" customFormat="1">
      <x:c r="A159" s="1" t="s">
        <x:v>1839</x:v>
      </x:c>
      <x:c r="B159" s="1" t="s">
        <x:v>1893</x:v>
      </x:c>
      <x:c r="C159" s="8" t="s">
        <x:v>1941</x:v>
      </x:c>
      <x:c r="D159" s="9">
        <x:f>CONCATENATE(HYPERLINK("CALLTO:%2B356%202155%203611", "+356 2155 3611"))</x:f>
      </x:c>
      <x:c r="E159" s="8" t="s">
        <x:v>1995</x:v>
      </x:c>
      <x:c r="F159" s="8" t="s">
        <x:v>2031</x:v>
      </x:c>
    </x:row>
    <x:row r="160" spans="1:8" s="4" customFormat="1">
      <x:c r="A160" s="4" t="s">
        <x:v>1839</x:v>
      </x:c>
      <x:c r="B160" s="4" t="s">
        <x:v>886</x:v>
      </x:c>
      <x:c r="C160" s="4" t="s">
        <x:v>1926</x:v>
      </x:c>
      <x:c r="D160" s="11">
        <x:f>CONCATENATE(HYPERLINK("CALLTO:%2B356%202167%207798", "+356 2167 7798"), " / ", HYPERLINK("CALLTO:%2B356%202122%205608", "+356 2122 5608"), " / ", HYPERLINK("CALLTO:%2B356%202124%200938", "+356 2124 0938"))</x:f>
      </x:c>
      <x:c r="E160" s="10" t="s">
        <x:v>1996</x:v>
      </x:c>
      <x:c r="F160" s="10" t="s">
        <x:v>951</x:v>
      </x:c>
    </x:row>
    <x:row r="161" spans="1:8" s="3" customFormat="1">
      <x:c r="A161" s="3" t="s">
        <x:v>1840</x:v>
      </x:c>
      <x:c r="B161" s="3" t="s">
        <x:v>1853</x:v>
      </x:c>
      <x:c r="C161" s="6" t="s">
        <x:v>895</x:v>
      </x:c>
      <x:c r="D161" s="7">
        <x:f>CONCATENATE(HYPERLINK("CALLTO:%2B356%202144%207763", "+356 2144 7763"))</x:f>
      </x:c>
      <x:c r="E161" s="6" t="s">
        <x:v>2002</x:v>
      </x:c>
      <x:c r="F161" s="6" t="s">
        <x:v>942</x:v>
      </x:c>
    </x:row>
    <x:row r="162" spans="1:8" s="1" customFormat="1">
      <x:c r="A162" s="1" t="s">
        <x:v>1840</x:v>
      </x:c>
      <x:c r="B162" s="1" t="s">
        <x:v>889</x:v>
      </x:c>
      <x:c r="C162" s="8" t="s">
        <x:v>906</x:v>
      </x:c>
      <x:c r="D162" s="9">
        <x:f>CONCATENATE(HYPERLINK("CALLTO:%2B356%202143%200569", "+356 2143 0569"), " / ", HYPERLINK("CALLTO:%2B356%207945%204867", "+356 7945 4867"))</x:f>
      </x:c>
      <x:c r="E162" s="8" t="s">
        <x:v>1997</x:v>
      </x:c>
      <x:c r="F162" s="8" t="s">
        <x:v>2038</x:v>
      </x:c>
    </x:row>
    <x:row r="163" spans="1:8" s="4" customFormat="1">
      <x:c r="A163" s="4" t="s">
        <x:v>1840</x:v>
      </x:c>
      <x:c r="B163" s="4" t="s">
        <x:v>879</x:v>
      </x:c>
      <x:c r="C163" s="10" t="s">
        <x:v>898</x:v>
      </x:c>
      <x:c r="D163" s="11">
        <x:f>CONCATENATE(HYPERLINK("CALLTO:%2B356%202149%203285", "+356 2149 3285"))</x:f>
      </x:c>
      <x:c r="E163" s="10" t="s">
        <x:v>2003</x:v>
      </x:c>
      <x:c r="F163" s="10" t="s">
        <x:v>2056</x:v>
      </x:c>
    </x:row>
    <x:row r="164" spans="1:8" s="3" customFormat="1">
      <x:c r="A164" s="3" t="s">
        <x:v>1840</x:v>
      </x:c>
      <x:c r="B164" s="3" t="s">
        <x:v>564</x:v>
      </x:c>
      <x:c r="C164" s="6" t="s">
        <x:v>576</x:v>
      </x:c>
      <x:c r="D164" s="7">
        <x:f>CONCATENATE(HYPERLINK("CALLTO:%2B356%202736%206601", "+356 2736 6601"))</x:f>
      </x:c>
      <x:c r="E164" s="6" t="s">
        <x:v>2005</x:v>
      </x:c>
      <x:c r="F164" s="6" t="s">
        <x:v>1827</x:v>
      </x:c>
    </x:row>
    <x:row r="165" spans="1:8" s="1" customFormat="1">
      <x:c r="A165" s="1" t="s">
        <x:v>1840</x:v>
      </x:c>
      <x:c r="B165" s="1" t="s">
        <x:v>890</x:v>
      </x:c>
      <x:c r="C165" s="8" t="s">
        <x:v>907</x:v>
      </x:c>
      <x:c r="D165" s="9">
        <x:f>CONCATENATE(HYPERLINK("CALLTO:%2B356%202137%207181", "+356 2137 7181"))</x:f>
      </x:c>
      <x:c r="E165" s="8" t="s">
        <x:v>2007</x:v>
      </x:c>
      <x:c r="F165" s="8" t="s">
        <x:v>2053</x:v>
      </x:c>
    </x:row>
    <x:row r="166" spans="1:8" s="4" customFormat="1">
      <x:c r="A166" s="4" t="s">
        <x:v>1840</x:v>
      </x:c>
      <x:c r="B166" s="4" t="s">
        <x:v>1877</x:v>
      </x:c>
      <x:c r="C166" s="10" t="s">
        <x:v>1927</x:v>
      </x:c>
      <x:c r="D166" s="11">
        <x:f>CONCATENATE(HYPERLINK("CALLTO:%2B356%202789%208230", "+356 2789 8230"))</x:f>
      </x:c>
      <x:c r="E166" s="10" t="s">
        <x:v>2018</x:v>
      </x:c>
      <x:c r="F166" s="10" t="s">
        <x:v>1825</x:v>
      </x:c>
    </x:row>
    <x:row r="167" spans="1:8" s="3" customFormat="1">
      <x:c r="A167" s="3" t="s">
        <x:v>1840</x:v>
      </x:c>
      <x:c r="B167" s="3" t="s">
        <x:v>1880</x:v>
      </x:c>
      <x:c r="C167" s="6" t="s">
        <x:v>1931</x:v>
      </x:c>
      <x:c r="D167" s="7">
        <x:f>CONCATENATE(HYPERLINK("CALLTO:%2B356%202125%200980", "+356 2125 0980"))</x:f>
      </x:c>
      <x:c r="E167" s="6" t="s">
        <x:v>2008</x:v>
      </x:c>
      <x:c r="F167" s="6" t="s">
        <x:v>1798</x:v>
      </x:c>
    </x:row>
    <x:row r="168" spans="1:8" s="1" customFormat="1">
      <x:c r="A168" s="1" t="s">
        <x:v>1840</x:v>
      </x:c>
      <x:c r="B168" s="1" t="s">
        <x:v>1881</x:v>
      </x:c>
      <x:c r="C168" s="8" t="s">
        <x:v>1932</x:v>
      </x:c>
      <x:c r="D168" s="9">
        <x:f>CONCATENATE(HYPERLINK("CALLTO:%2B356%202123%208356", "+356 2123 8356"))</x:f>
      </x:c>
      <x:c r="E168" s="8" t="s">
        <x:v>2010</x:v>
      </x:c>
      <x:c r="F168" s="8" t="s">
        <x:v>1794</x:v>
      </x:c>
    </x:row>
    <x:row r="169" spans="1:8" s="4" customFormat="1">
      <x:c r="A169" s="4" t="s">
        <x:v>1840</x:v>
      </x:c>
      <x:c r="B169" s="4" t="s">
        <x:v>1883</x:v>
      </x:c>
      <x:c r="C169" s="10" t="s">
        <x:v>1934</x:v>
      </x:c>
      <x:c r="D169" s="11">
        <x:f>CONCATENATE(HYPERLINK("CALLTO:%2B356%202166%204414", "+356 2166 4414"))</x:f>
      </x:c>
      <x:c r="E169" s="10" t="s">
        <x:v>2011</x:v>
      </x:c>
      <x:c r="F169" s="10" t="s">
        <x:v>1811</x:v>
      </x:c>
    </x:row>
    <x:row r="170" spans="1:8" s="3" customFormat="1">
      <x:c r="A170" s="3" t="s">
        <x:v>1840</x:v>
      </x:c>
      <x:c r="B170" s="3" t="s">
        <x:v>1892</x:v>
      </x:c>
      <x:c r="C170" s="6" t="s">
        <x:v>1940</x:v>
      </x:c>
      <x:c r="D170" s="7">
        <x:f>CONCATENATE(HYPERLINK("CALLTO:%2B356%202155%200437", "+356 2155 0437"))</x:f>
      </x:c>
      <x:c r="E170" s="6" t="s">
        <x:v>2012</x:v>
      </x:c>
      <x:c r="F170" s="6" t="s">
        <x:v>2032</x:v>
      </x:c>
    </x:row>
    <x:row r="171" spans="1:8" s="1" customFormat="1">
      <x:c r="A171" s="1" t="s">
        <x:v>1840</x:v>
      </x:c>
      <x:c r="B171" s="1" t="s">
        <x:v>1884</x:v>
      </x:c>
      <x:c r="C171" s="8" t="s">
        <x:v>1935</x:v>
      </x:c>
      <x:c r="D171" s="9">
        <x:f>CONCATENATE(HYPERLINK("CALLTO:%2B356%202279%204216", "+356 2279 4216"))</x:f>
      </x:c>
      <x:c r="E171" s="8" t="s">
        <x:v>2013</x:v>
      </x:c>
      <x:c r="F171" s="8" t="s">
        <x:v>939</x:v>
      </x:c>
    </x:row>
    <x:row r="172" spans="1:8" s="4" customFormat="1">
      <x:c r="A172" s="4" t="s">
        <x:v>1840</x:v>
      </x:c>
      <x:c r="B172" s="4" t="s">
        <x:v>1886</x:v>
      </x:c>
      <x:c r="C172" s="10" t="s">
        <x:v>909</x:v>
      </x:c>
      <x:c r="D172" s="11">
        <x:f>CONCATENATE(HYPERLINK("CALLTO:%2B356%202143%202863", "+356 2143 2863"))</x:f>
      </x:c>
      <x:c r="E172" s="10" t="s">
        <x:v>2019</x:v>
      </x:c>
      <x:c r="F172" s="10" t="s">
        <x:v>1792</x:v>
      </x:c>
    </x:row>
    <x:row r="173" spans="1:8" s="3" customFormat="1">
      <x:c r="A173" s="3" t="s">
        <x:v>1840</x:v>
      </x:c>
      <x:c r="B173" s="3" t="s">
        <x:v>1887</x:v>
      </x:c>
      <x:c r="C173" s="6" t="s">
        <x:v>1936</x:v>
      </x:c>
      <x:c r="D173" s="7">
        <x:f>CONCATENATE(HYPERLINK("CALLTO:%2B356%202155%204062", "+356 2155 4062"))</x:f>
      </x:c>
      <x:c r="E173" s="6" t="s">
        <x:v>2000</x:v>
      </x:c>
      <x:c r="F173" s="6" t="s">
        <x:v>1815</x:v>
      </x:c>
    </x:row>
    <x:row r="174" spans="1:8" s="1" customFormat="1">
      <x:c r="A174" s="1" t="s">
        <x:v>1840</x:v>
      </x:c>
      <x:c r="B174" s="1" t="s">
        <x:v>1888</x:v>
      </x:c>
      <x:c r="C174" s="8" t="s">
        <x:v>900</x:v>
      </x:c>
      <x:c r="D174" s="9">
        <x:f>CONCATENATE(HYPERLINK("CALLTO:%2B356%202343%206343", "+356 2343 6343"))</x:f>
      </x:c>
      <x:c r="E174" s="8" t="s">
        <x:v>2015</x:v>
      </x:c>
      <x:c r="F174" s="8" t="s">
        <x:v>947</x:v>
      </x:c>
    </x:row>
    <x:row r="175" spans="1:8" s="4" customFormat="1">
      <x:c r="A175" s="4" t="s">
        <x:v>1840</x:v>
      </x:c>
      <x:c r="B175" s="4" t="s">
        <x:v>1889</x:v>
      </x:c>
      <x:c r="C175" s="10" t="s">
        <x:v>1937</x:v>
      </x:c>
      <x:c r="D175" s="11">
        <x:f>CONCATENATE(HYPERLINK("CALLTO:%2B356%202124%201307", "+356 2124 1307"))</x:f>
      </x:c>
      <x:c r="E175" s="10" t="s">
        <x:v>2020</x:v>
      </x:c>
      <x:c r="F175" s="10" t="s">
        <x:v>2051</x:v>
      </x:c>
    </x:row>
    <x:row r="176" spans="1:8" s="3" customFormat="1">
      <x:c r="A176" s="3" t="s">
        <x:v>1840</x:v>
      </x:c>
      <x:c r="B176" s="3" t="s">
        <x:v>1894</x:v>
      </x:c>
      <x:c r="C176" s="6" t="s">
        <x:v>1942</x:v>
      </x:c>
      <x:c r="D176" s="7">
        <x:f>CONCATENATE(HYPERLINK("CALLTO:%2B356%202156%204000", "+356 2156 4000"))</x:f>
      </x:c>
      <x:c r="E176" s="6" t="s">
        <x:v>2021</x:v>
      </x:c>
      <x:c r="F176" s="6" t="s">
        <x:v>2027</x:v>
      </x:c>
    </x:row>
    <x:row r="177" spans="1:8" s="1" customFormat="1">
      <x:c r="A177" s="1" t="s">
        <x:v>1840</x:v>
      </x:c>
      <x:c r="B177" s="1" t="s">
        <x:v>1879</x:v>
      </x:c>
      <x:c r="C177" s="8" t="s">
        <x:v>1930</x:v>
      </x:c>
      <x:c r="D177" s="9">
        <x:f>CONCATENATE(HYPERLINK("CALLTO:%2B356%202180%200638", "+356 2180 0638"))</x:f>
      </x:c>
      <x:c r="E177" s="8" t="s">
        <x:v>2022</x:v>
      </x:c>
      <x:c r="F177" s="8" t="s">
        <x:v>1804</x:v>
      </x:c>
    </x:row>
    <x:row r="178" spans="1:8" s="4" customFormat="1">
      <x:c r="A178" s="4" t="s">
        <x:v>1840</x:v>
      </x:c>
      <x:c r="B178" s="4" t="s">
        <x:v>1891</x:v>
      </x:c>
      <x:c r="C178" s="10" t="s">
        <x:v>1938</x:v>
      </x:c>
      <x:c r="D178" s="11">
        <x:f>CONCATENATE(HYPERLINK("CALLTO:%2B356%202141%201197", "+356 2141 1197"))</x:f>
      </x:c>
      <x:c r="E178" s="10" t="s">
        <x:v>2023</x:v>
      </x:c>
      <x:c r="F178" s="4" t="s">
        <x:v>144</x:v>
      </x:c>
    </x:row>
    <x:row r="179" spans="1:8" s="3" customFormat="1">
      <x:c r="A179" s="3" t="s">
        <x:v>1840</x:v>
      </x:c>
      <x:c r="B179" s="3" t="s">
        <x:v>1065</x:v>
      </x:c>
      <x:c r="C179" s="6" t="s">
        <x:v>1072</x:v>
      </x:c>
      <x:c r="D179" s="7">
        <x:f>CONCATENATE(HYPERLINK("CALLTO:%2B356%207938%207690", "+356 7938 7690"), " / ", HYPERLINK("CALLTO:%2B356%202138%207686", "+356 2138 7686"))</x:f>
      </x:c>
      <x:c r="E179" s="6" t="s">
        <x:v>2024</x:v>
      </x:c>
      <x:c r="F179" s="6" t="s">
        <x:v>2039</x:v>
      </x:c>
    </x:row>
    <x:row r="180" spans="1:8" s="1" customFormat="1">
      <x:c r="A180" s="1" t="s">
        <x:v>1841</x:v>
      </x:c>
      <x:c r="B180" s="1" t="s">
        <x:v>1895</x:v>
      </x:c>
      <x:c r="C180" s="8" t="s">
        <x:v>1617</x:v>
      </x:c>
      <x:c r="D180" s="9">
        <x:f>CONCATENATE(HYPERLINK("CALLTO:%2B356%202728%202828", "+356 2728 2828"))</x:f>
      </x:c>
      <x:c r="E180" s="8" t="s">
        <x:v>2025</x:v>
      </x:c>
      <x:c r="F180" s="8" t="s">
        <x:v>5308</x:v>
      </x:c>
    </x:row>
    <x:row r="181" spans="1:8" s="4" customFormat="1">
      <x:c r="A181" s="4" t="s">
        <x:v>1842</x:v>
      </x:c>
      <x:c r="B181" s="4" t="s">
        <x:v>1896</x:v>
      </x:c>
      <x:c r="C181" s="10" t="s">
        <x:v>1943</x:v>
      </x:c>
      <x:c r="D181" s="11">
        <x:f>CONCATENATE(HYPERLINK("CALLTO:%2B356%202278%202000", "+356 2278 2000"))</x:f>
      </x:c>
      <x:c r="F181" s="10" t="s">
        <x:v>2067</x:v>
      </x:c>
    </x:row>
    <x:row r="182" spans="1:8" s="3" customFormat="1">
      <x:c r="A182" s="3" t="s">
        <x:v>1842</x:v>
      </x:c>
      <x:c r="B182" s="3" t="s">
        <x:v>1520</x:v>
      </x:c>
      <x:c r="C182" s="6" t="s">
        <x:v>1606</x:v>
      </x:c>
      <x:c r="D182" s="7">
        <x:f>CONCATENATE(HYPERLINK("CALLTO:%2B356%202549%205000", "+356 2549 5000"))</x:f>
      </x:c>
      <x:c r="F182" s="6" t="s">
        <x:v>2068</x:v>
      </x:c>
    </x:row>
    <x:row r="183" spans="1:8" s="1" customFormat="1">
      <x:c r="A183" s="1" t="s">
        <x:v>1842</x:v>
      </x:c>
      <x:c r="B183" s="1" t="s">
        <x:v>1897</x:v>
      </x:c>
      <x:c r="C183" s="8" t="s">
        <x:v>1944</x:v>
      </x:c>
      <x:c r="D183" s="9">
        <x:f>CONCATENATE(HYPERLINK("CALLTO:%2B356%202144%206000", "+356 2144 6000"))</x:f>
      </x:c>
      <x:c r="F183" s="8" t="s">
        <x:v>2069</x:v>
      </x:c>
    </x:row>
    <x:row r="184" spans="1:8" s="4" customFormat="1">
      <x:c r="A184" s="4" t="s">
        <x:v>1842</x:v>
      </x:c>
      <x:c r="B184" s="4" t="s">
        <x:v>1898</x:v>
      </x:c>
      <x:c r="C184" s="10" t="s">
        <x:v>1323</x:v>
      </x:c>
      <x:c r="D184" s="11">
        <x:f>CONCATENATE(HYPERLINK("CALLTO:%2B356%202549%203000", "+356 2549 3000"))</x:f>
      </x:c>
      <x:c r="F184" s="10" t="s">
        <x:v>2046</x:v>
      </x:c>
    </x:row>
    <x:row r="185" spans="1:8" s="3" customFormat="1">
      <x:c r="A185" s="3" t="s">
        <x:v>1842</x:v>
      </x:c>
      <x:c r="B185" s="3" t="s">
        <x:v>1899</x:v>
      </x:c>
      <x:c r="C185" s="6" t="s">
        <x:v>1945</x:v>
      </x:c>
      <x:c r="D185" s="7">
        <x:f>CONCATENATE(HYPERLINK("CALLTO:%2B356%202546%205000", "+356 2546 5000"))</x:f>
      </x:c>
      <x:c r="F185" s="6" t="s">
        <x:v>2070</x:v>
      </x:c>
    </x:row>
    <x:row r="186" spans="1:8" s="1" customFormat="1">
      <x:c r="A186" s="1" t="s">
        <x:v>1842</x:v>
      </x:c>
      <x:c r="B186" s="1" t="s">
        <x:v>1900</x:v>
      </x:c>
      <x:c r="C186" s="8" t="s">
        <x:v>1946</x:v>
      </x:c>
      <x:c r="D186" s="9">
        <x:f>CONCATENATE(HYPERLINK("CALLTO:%2B356%202147%202882", "+356 2147 2882"))</x:f>
      </x:c>
      <x:c r="F186" s="8" t="s">
        <x:v>2071</x:v>
      </x:c>
    </x:row>
    <x:row r="187" spans="1:8" s="4" customFormat="1">
      <x:c r="A187" s="4" t="s">
        <x:v>1842</x:v>
      </x:c>
    </x:row>
    <x:row r="188" spans="1:8" s="3" customFormat="1"/>
    <x:row r="189" spans="1:8" s="1" customFormat="1"/>
    <x:row r="190" spans="1:8" s="4" customFormat="1"/>
    <x:row r="191" spans="1:8" s="3" customFormat="1"/>
    <x:row r="192" spans="1:8" s="1" customFormat="1"/>
    <x:row r="193" spans="1:8" s="4" customFormat="1"/>
    <x:row r="194" spans="1:8" s="3" customFormat="1"/>
    <x:row r="195" spans="1:8" s="1" customFormat="1"/>
    <x:row r="196" spans="1:8" s="4" customFormat="1"/>
    <x:row r="197" spans="1:8" s="3" customFormat="1"/>
    <x:row r="198" spans="1:8" s="1" customFormat="1"/>
    <x:row r="199" spans="1:8" s="4" customFormat="1"/>
    <x:row r="200" spans="1:8" s="3" customFormat="1"/>
    <x:row r="201" spans="1:8" s="1" customFormat="1"/>
    <x:row r="202" spans="1:8" s="4" customFormat="1"/>
    <x:row r="203" spans="1:8" s="3" customFormat="1"/>
    <x:row r="204" spans="1:8" s="1" customFormat="1"/>
    <x:row r="205" spans="1:8" s="4" customFormat="1"/>
    <x:row r="206" spans="1:8" s="3" customFormat="1"/>
    <x:row r="207" spans="1:8" s="1" customFormat="1"/>
    <x:row r="208" spans="1:8" s="4" customFormat="1"/>
    <x:row r="209" spans="1:8" s="3" customFormat="1"/>
    <x:row r="210" spans="1:8" s="1" customFormat="1"/>
    <x:row r="211" spans="1:8" s="4" customFormat="1"/>
    <x:row r="212" spans="1:8" s="3" customFormat="1"/>
    <x:row r="213" spans="1:8" s="1" customFormat="1"/>
    <x:row r="214" spans="1:8" s="4" customFormat="1"/>
    <x:row r="215" spans="1:8" s="3" customFormat="1"/>
    <x:row r="216" spans="1:8" s="1" customFormat="1"/>
    <x:row r="217" spans="1:8" s="4" customFormat="1"/>
    <x:row r="218" spans="1:8" s="3" customFormat="1"/>
    <x:row r="219" spans="1:8" s="1" customFormat="1"/>
    <x:row r="220" spans="1:8" s="4" customFormat="1"/>
    <x:row r="221" spans="1:8" s="3" customFormat="1"/>
    <x:row r="222" spans="1:8" s="1" customFormat="1"/>
    <x:row r="223" spans="1:8" s="4" customFormat="1"/>
    <x:row r="224" spans="1:8" s="3" customFormat="1"/>
    <x:row r="225" spans="1:8" s="1" customFormat="1"/>
    <x:row r="226" spans="1:8" s="4" customFormat="1"/>
    <x:row r="227" spans="1:8" s="3" customFormat="1"/>
    <x:row r="228" spans="1:8" s="1" customFormat="1"/>
    <x:row r="229" spans="1:8" s="4" customFormat="1"/>
    <x:row r="230" spans="1:8" s="3" customFormat="1"/>
    <x:row r="231" spans="1:8" s="1" customFormat="1"/>
    <x:row r="232" spans="1:8" s="4" customFormat="1"/>
    <x:row r="233" spans="1:8" s="3" customFormat="1"/>
    <x:row r="234" spans="1:8" s="1" customFormat="1"/>
    <x:row r="235" spans="1:8" s="4" customFormat="1"/>
    <x:row r="236" spans="1:8" s="3" customFormat="1"/>
    <x:row r="237" spans="1:8" s="1" customFormat="1"/>
    <x:row r="238" spans="1:8" s="4" customFormat="1"/>
    <x:row r="239" spans="1:8" s="3" customFormat="1"/>
    <x:row r="240" spans="1:8" s="1" customFormat="1"/>
    <x:row r="241" spans="1:8" s="4" customFormat="1"/>
    <x:row r="242" spans="1:8" s="3" customFormat="1"/>
    <x:row r="243" spans="1:8" s="1" customFormat="1"/>
    <x:row r="244" spans="1:8" s="4" customFormat="1"/>
    <x:row r="245" spans="1:8" s="3" customFormat="1"/>
    <x:row r="246" spans="1:8" s="1" customFormat="1"/>
    <x:row r="247" spans="1:8" s="4" customFormat="1"/>
    <x:row r="248" spans="1:8" s="3" customFormat="1"/>
    <x:row r="249" spans="1:8" s="1" customFormat="1"/>
    <x:row r="250" spans="1:8" s="4" customFormat="1"/>
    <x:row r="251" spans="1:8" s="3" customFormat="1"/>
    <x:row r="252" spans="1:8" s="1" customFormat="1"/>
    <x:row r="253" spans="1:8" s="4" customFormat="1"/>
    <x:row r="254" spans="1:8" s="3" customFormat="1"/>
    <x:row r="255" spans="1:8" s="1" customFormat="1"/>
    <x:row r="256" spans="1:8" s="4" customFormat="1"/>
    <x:row r="257" spans="1:8" s="3" customFormat="1"/>
    <x:row r="258" spans="1:8" s="1" customFormat="1"/>
    <x:row r="259" spans="1:8" s="4" customFormat="1"/>
    <x:row r="260" spans="1:8" s="3" customFormat="1"/>
    <x:row r="261" spans="1:8" s="1" customFormat="1"/>
    <x:row r="262" spans="1:8" s="4" customFormat="1"/>
    <x:row r="263" spans="1:8" s="3" customFormat="1"/>
    <x:row r="264" spans="1:8" s="1" customFormat="1"/>
    <x:row r="265" spans="1:8" s="4" customFormat="1"/>
    <x:row r="266" spans="1:8" s="3" customFormat="1"/>
    <x:row r="267" spans="1:8" s="1" customFormat="1"/>
    <x:row r="268" spans="1:8" s="4" customFormat="1"/>
    <x:row r="269" spans="1:8" s="3" customFormat="1"/>
    <x:row r="270" spans="1:8" s="1" customFormat="1"/>
    <x:row r="271" spans="1:8" s="4" customFormat="1"/>
    <x:row r="272" spans="1:8" s="3" customFormat="1"/>
    <x:row r="273" spans="1:8" s="1" customFormat="1"/>
    <x:row r="274" spans="1:8" s="4" customFormat="1"/>
    <x:row r="275" spans="1:8" s="3" customFormat="1"/>
    <x:row r="276" spans="1:8" s="1" customFormat="1"/>
    <x:row r="277" spans="1:8" s="4" customFormat="1"/>
    <x:row r="278" spans="1:8" s="3" customFormat="1"/>
    <x:row r="279" spans="1:8" s="1" customFormat="1"/>
    <x:row r="280" spans="1:8" s="4" customFormat="1"/>
    <x:row r="281" spans="1:8" s="3" customFormat="1"/>
    <x:row r="282" spans="1:8" s="1" customFormat="1"/>
    <x:row r="283" spans="1:8" s="4" customFormat="1"/>
    <x:row r="284" spans="1:8" s="3" customFormat="1"/>
    <x:row r="285" spans="1:8" s="1" customFormat="1"/>
    <x:row r="286" spans="1:8" s="4" customFormat="1"/>
    <x:row r="287" spans="1:8" s="3" customFormat="1"/>
    <x:row r="288" spans="1:8" s="1" customFormat="1"/>
    <x:row r="289" spans="1:8" s="4" customFormat="1"/>
    <x:row r="290" spans="1:8" s="3" customFormat="1"/>
    <x:row r="291" spans="1:8" s="1" customFormat="1"/>
    <x:row r="292" spans="1:8" s="4" customFormat="1"/>
    <x:row r="293" spans="1:8" s="3" customFormat="1"/>
    <x:row r="294" spans="1:8" s="1" customFormat="1"/>
    <x:row r="295" spans="1:8" s="4" customFormat="1"/>
    <x:row r="296" spans="1:8" s="3" customFormat="1"/>
    <x:row r="297" spans="1:8" s="1" customFormat="1"/>
    <x:row r="298" spans="1:8" s="4" customFormat="1"/>
    <x:row r="299" spans="1:8" s="3" customFormat="1"/>
    <x:row r="300" spans="1:8" s="1" customFormat="1"/>
    <x:row r="301" spans="1:8" s="4" customFormat="1"/>
    <x:row r="302" spans="1:8" s="3" customFormat="1"/>
    <x:row r="303" spans="1:8" s="1" customFormat="1"/>
    <x:row r="304" spans="1:8" s="4" customFormat="1"/>
    <x:row r="305" spans="1:8" s="3" customFormat="1"/>
    <x:row r="306" spans="1:8" s="1" customFormat="1"/>
    <x:row r="307" spans="1:8" s="4" customFormat="1"/>
    <x:row r="308" spans="1:8" s="3" customFormat="1"/>
    <x:row r="309" spans="1:8" s="1" customFormat="1"/>
    <x:row r="310" spans="1:8" s="4" customFormat="1"/>
    <x:row r="311" spans="1:8" s="3" customFormat="1"/>
    <x:row r="312" spans="1:8" s="1" customFormat="1"/>
    <x:row r="313" spans="1:8" s="4" customFormat="1"/>
    <x:row r="314" spans="1:8" s="3" customFormat="1"/>
    <x:row r="315" spans="1:8" s="1" customFormat="1"/>
    <x:row r="316" spans="1:8" s="4" customFormat="1"/>
    <x:row r="317" spans="1:8" s="3" customFormat="1"/>
    <x:row r="318" spans="1:8" s="1" customFormat="1"/>
    <x:row r="319" spans="1:8" s="4" customFormat="1"/>
    <x:row r="320" spans="1:8" s="3" customFormat="1"/>
    <x:row r="321" spans="1:8" s="1" customFormat="1"/>
    <x:row r="322" spans="1:8" s="4" customFormat="1"/>
    <x:row r="323" spans="1:8" s="3" customFormat="1"/>
    <x:row r="324" spans="1:8" s="1" customFormat="1"/>
    <x:row r="325" spans="1:8" s="4" customFormat="1"/>
    <x:row r="326" spans="1:8" s="3" customFormat="1"/>
    <x:row r="327" spans="1:8" s="1" customFormat="1"/>
    <x:row r="328" spans="1:8" s="4" customFormat="1"/>
    <x:row r="329" spans="1:8" s="3" customFormat="1"/>
    <x:row r="330" spans="1:8" s="1" customFormat="1"/>
    <x:row r="331" spans="1:8" s="4" customFormat="1"/>
    <x:row r="332" spans="1:8" s="3" customFormat="1"/>
    <x:row r="333" spans="1:8" s="1" customFormat="1"/>
    <x:row r="334" spans="1:8" s="4" customFormat="1"/>
    <x:row r="335" spans="1:8" s="3" customFormat="1"/>
    <x:row r="336" spans="1:8" s="1" customFormat="1"/>
    <x:row r="337" spans="1:8" s="4" customFormat="1"/>
    <x:row r="338" spans="1:8" s="3" customFormat="1"/>
    <x:row r="339" spans="1:8" s="1" customFormat="1"/>
    <x:row r="340" spans="1:8" s="4" customFormat="1"/>
    <x:row r="341" spans="1:8" s="3" customFormat="1"/>
    <x:row r="342" spans="1:8" s="1" customFormat="1"/>
    <x:row r="343" spans="1:8" s="4" customFormat="1"/>
    <x:row r="344" spans="1:8" s="3" customFormat="1"/>
    <x:row r="345" spans="1:8" s="1" customFormat="1"/>
    <x:row r="346" spans="1:8" s="4" customFormat="1"/>
    <x:row r="347" spans="1:8" s="3" customFormat="1"/>
    <x:row r="348" spans="1:8" s="1" customFormat="1"/>
    <x:row r="349" spans="1:8" s="4" customFormat="1"/>
    <x:row r="350" spans="1:8" s="3" customFormat="1"/>
    <x:row r="351" spans="1:8" s="1" customFormat="1"/>
    <x:row r="352" spans="1:8" s="4" customFormat="1"/>
    <x:row r="353" spans="1:8" s="3" customFormat="1"/>
    <x:row r="354" spans="1:8" s="1" customFormat="1"/>
    <x:row r="355" spans="1:8" s="4" customFormat="1"/>
    <x:row r="356" spans="1:8" s="3" customFormat="1"/>
    <x:row r="357" spans="1:8" s="1" customFormat="1"/>
    <x:row r="358" spans="1:8" s="4" customFormat="1"/>
    <x:row r="359" spans="1:8" s="3" customFormat="1"/>
    <x:row r="360" spans="1:8" s="1" customFormat="1"/>
    <x:row r="361" spans="1:8" s="4" customFormat="1"/>
    <x:row r="362" spans="1:8" s="3" customFormat="1"/>
    <x:row r="363" spans="1:8" s="1" customFormat="1"/>
    <x:row r="364" spans="1:8" s="4" customFormat="1"/>
    <x:row r="365" spans="1:8" s="3" customFormat="1"/>
    <x:row r="366" spans="1:8" s="1" customFormat="1"/>
    <x:row r="367" spans="1:8" s="4" customFormat="1"/>
    <x:row r="368" spans="1:8" s="3" customFormat="1"/>
    <x:row r="369" spans="1:8" s="1" customFormat="1"/>
    <x:row r="370" spans="1:8" s="4" customFormat="1"/>
    <x:row r="371" spans="1:8" s="3" customFormat="1"/>
    <x:row r="372" spans="1:8" s="1" customFormat="1"/>
    <x:row r="373" spans="1:8" s="4" customFormat="1"/>
    <x:row r="374" spans="1:8" s="3" customFormat="1"/>
    <x:row r="375" spans="1:8" s="1" customFormat="1"/>
    <x:row r="376" spans="1:8" s="4" customFormat="1"/>
    <x:row r="377" spans="1:8" s="3" customFormat="1"/>
    <x:row r="378" spans="1:8" s="1" customFormat="1"/>
    <x:row r="379" spans="1:8" s="4" customFormat="1"/>
    <x:row r="380" spans="1:8" s="3" customFormat="1"/>
    <x:row r="381" spans="1:8" s="1" customFormat="1"/>
    <x:row r="382" spans="1:8" s="4" customFormat="1"/>
    <x:row r="383" spans="1:8" s="3" customFormat="1"/>
    <x:row r="384" spans="1:8" s="1" customFormat="1"/>
    <x:row r="385" spans="1:8" s="4" customFormat="1"/>
    <x:row r="386" spans="1:8" s="3" customFormat="1"/>
    <x:row r="387" spans="1:8" s="1" customFormat="1"/>
    <x:row r="388" spans="1:8" s="4" customFormat="1"/>
    <x:row r="389" spans="1:8" s="3" customFormat="1"/>
    <x:row r="390" spans="1:8" s="1" customFormat="1"/>
    <x:row r="391" spans="1:8" s="4" customFormat="1"/>
    <x:row r="392" spans="1:8" s="3" customFormat="1"/>
    <x:row r="393" spans="1:8" s="1" customFormat="1"/>
    <x:row r="394" spans="1:8" s="4" customFormat="1"/>
    <x:row r="395" spans="1:8" s="3" customFormat="1"/>
    <x:row r="396" spans="1:8" s="1" customFormat="1"/>
    <x:row r="397" spans="1:8" s="4" customFormat="1"/>
    <x:row r="398" spans="1:8" s="3" customFormat="1"/>
    <x:row r="399" spans="1:8" s="1" customFormat="1"/>
    <x:row r="400" spans="1:8" s="4" customFormat="1"/>
    <x:row r="401" spans="1:8" s="3" customFormat="1"/>
    <x:row r="402" spans="1:8" s="1" customFormat="1"/>
    <x:row r="403" spans="1:8" s="4" customFormat="1"/>
    <x:row r="404" spans="1:8" s="3" customFormat="1"/>
    <x:row r="405" spans="1:8" s="1" customFormat="1"/>
    <x:row r="406" spans="1:8" s="4" customFormat="1"/>
    <x:row r="407" spans="1:8" s="3" customFormat="1"/>
    <x:row r="408" spans="1:8" s="1" customFormat="1"/>
    <x:row r="409" spans="1:8" s="4" customFormat="1"/>
    <x:row r="410" spans="1:8" s="3" customFormat="1"/>
    <x:row r="411" spans="1:8" s="1" customFormat="1"/>
    <x:row r="412" spans="1:8" s="4" customFormat="1"/>
    <x:row r="413" spans="1:8" s="3" customFormat="1"/>
    <x:row r="414" spans="1:8" s="1" customFormat="1"/>
    <x:row r="415" spans="1:8" s="4" customFormat="1"/>
    <x:row r="416" spans="1:8" s="3" customFormat="1"/>
    <x:row r="417" spans="1:8" s="1" customFormat="1"/>
    <x:row r="418" spans="1:8" s="4" customFormat="1"/>
    <x:row r="419" spans="1:8" s="3" customFormat="1"/>
    <x:row r="420" spans="1:8" s="1" customFormat="1"/>
    <x:row r="421" spans="1:8" s="4" customFormat="1"/>
    <x:row r="422" spans="1:8" s="3" customFormat="1"/>
    <x:row r="423" spans="1:8" s="1" customFormat="1"/>
    <x:row r="424" spans="1:8" s="4" customFormat="1"/>
    <x:row r="425" spans="1:8" s="3" customFormat="1"/>
    <x:row r="426" spans="1:8" s="1" customFormat="1"/>
    <x:row r="427" spans="1:8" s="4" customFormat="1"/>
    <x:row r="428" spans="1:8" s="3" customFormat="1"/>
    <x:row r="429" spans="1:8" s="1" customFormat="1"/>
    <x:row r="430" spans="1:8" s="4" customFormat="1"/>
    <x:row r="431" spans="1:8" s="3" customFormat="1"/>
    <x:row r="432" spans="1:8" s="1" customFormat="1"/>
    <x:row r="433" spans="1:8" s="4" customFormat="1"/>
    <x:row r="434" spans="1:8" s="3" customFormat="1"/>
    <x:row r="435" spans="1:8" s="1" customFormat="1"/>
    <x:row r="436" spans="1:8" s="4" customFormat="1"/>
    <x:row r="437" spans="1:8" s="3" customFormat="1"/>
    <x:row r="438" spans="1:8" s="1" customFormat="1"/>
    <x:row r="439" spans="1:8" s="4" customFormat="1"/>
    <x:row r="440" spans="1:8" s="3" customFormat="1"/>
    <x:row r="441" spans="1:8" s="1" customFormat="1"/>
    <x:row r="442" spans="1:8" s="4" customFormat="1"/>
    <x:row r="443" spans="1:8" s="3" customFormat="1"/>
    <x:row r="444" spans="1:8" s="1" customFormat="1"/>
    <x:row r="445" spans="1:8" s="4" customFormat="1"/>
    <x:row r="446" spans="1:8" s="3" customFormat="1"/>
    <x:row r="447" spans="1:8" s="1" customFormat="1"/>
    <x:row r="448" spans="1:8" s="4" customFormat="1"/>
    <x:row r="449" spans="1:8" s="3" customFormat="1"/>
    <x:row r="450" spans="1:8" s="1" customFormat="1"/>
    <x:row r="451" spans="1:8" s="4" customFormat="1"/>
    <x:row r="452" spans="1:8" s="3" customFormat="1"/>
    <x:row r="453" spans="1:8" s="1" customFormat="1"/>
    <x:row r="454" spans="1:8" s="4" customFormat="1"/>
    <x:row r="455" spans="1:8" s="3" customFormat="1"/>
    <x:row r="456" spans="1:8" s="1" customFormat="1"/>
    <x:row r="457" spans="1:8" s="4" customFormat="1"/>
    <x:row r="458" spans="1:8" s="3" customFormat="1"/>
    <x:row r="459" spans="1:8" s="1" customFormat="1"/>
    <x:row r="460" spans="1:8" s="4" customFormat="1"/>
    <x:row r="461" spans="1:8" s="3" customFormat="1"/>
    <x:row r="462" spans="1:8" s="1" customFormat="1"/>
    <x:row r="463" spans="1:8" s="4" customFormat="1"/>
    <x:row r="464" spans="1:8" s="3" customFormat="1"/>
    <x:row r="465" spans="1:8" s="1" customFormat="1"/>
    <x:row r="466" spans="1:8" s="4" customFormat="1"/>
    <x:row r="467" spans="1:8" s="3" customFormat="1"/>
    <x:row r="468" spans="1:8" s="1" customFormat="1"/>
    <x:row r="469" spans="1:8" s="4" customFormat="1"/>
    <x:row r="470" spans="1:8" s="3" customFormat="1"/>
    <x:row r="471" spans="1:8" s="1" customFormat="1"/>
    <x:row r="472" spans="1:8" s="4" customFormat="1"/>
    <x:row r="473" spans="1:8" s="3" customFormat="1"/>
    <x:row r="474" spans="1:8" s="1" customFormat="1"/>
    <x:row r="475" spans="1:8" s="4" customFormat="1"/>
    <x:row r="476" spans="1:8" s="3" customFormat="1"/>
    <x:row r="477" spans="1:8" s="1" customFormat="1"/>
    <x:row r="478" spans="1:8" s="4" customFormat="1"/>
    <x:row r="479" spans="1:8" s="3" customFormat="1"/>
    <x:row r="480" spans="1:8" s="1" customFormat="1"/>
    <x:row r="481" spans="1:8" s="4" customFormat="1"/>
    <x:row r="482" spans="1:8" s="3" customFormat="1"/>
    <x:row r="483" spans="1:8" s="1" customFormat="1"/>
    <x:row r="484" spans="1:8" s="4" customFormat="1"/>
    <x:row r="485" spans="1:8" s="3" customFormat="1"/>
    <x:row r="486" spans="1:8" s="1" customFormat="1"/>
    <x:row r="487" spans="1:8" s="4" customFormat="1"/>
    <x:row r="488" spans="1:8" s="3" customFormat="1"/>
    <x:row r="489" spans="1:8" s="1" customFormat="1"/>
    <x:row r="490" spans="1:8" s="4" customFormat="1"/>
    <x:row r="491" spans="1:8" s="3" customFormat="1"/>
    <x:row r="492" spans="1:8" s="1" customFormat="1"/>
    <x:row r="493" spans="1:8" s="4" customFormat="1"/>
    <x:row r="494" spans="1:8" s="3" customFormat="1"/>
    <x:row r="495" spans="1:8" s="1" customFormat="1"/>
    <x:row r="496" spans="1:8" s="4" customFormat="1"/>
    <x:row r="497" spans="1:8" s="3" customFormat="1"/>
    <x:row r="498" spans="1:8" s="1" customFormat="1"/>
    <x:row r="499" spans="1:8" s="4" customFormat="1"/>
    <x:row r="500" spans="1:8" s="3" customFormat="1"/>
    <x:row r="501" spans="1:8" s="1" customFormat="1"/>
    <x:row r="502" spans="1:8" s="4" customFormat="1"/>
    <x:row r="503" spans="1:8" s="3" customFormat="1"/>
    <x:row r="504" spans="1:8" s="1" customFormat="1"/>
    <x:row r="505" spans="1:8" s="4" customFormat="1"/>
    <x:row r="506" spans="1:8" s="3" customFormat="1"/>
    <x:row r="507" spans="1:8" s="1" customFormat="1"/>
    <x:row r="508" spans="1:8" s="4" customFormat="1"/>
    <x:row r="509" spans="1:8" s="3" customFormat="1"/>
    <x:row r="510" spans="1:8" s="1" customFormat="1"/>
    <x:row r="511" spans="1:8" s="4" customFormat="1"/>
    <x:row r="512" spans="1:8" s="3" customFormat="1"/>
    <x:row r="513" spans="1:8" s="1" customFormat="1"/>
    <x:row r="514" spans="1:8" s="4" customFormat="1"/>
    <x:row r="515" spans="1:8" s="3" customFormat="1"/>
    <x:row r="516" spans="1:8" s="1" customFormat="1"/>
    <x:row r="517" spans="1:8" s="4" customFormat="1"/>
    <x:row r="518" spans="1:8" s="3" customFormat="1"/>
    <x:row r="519" spans="1:8" s="1" customFormat="1"/>
    <x:row r="520" spans="1:8" s="4" customFormat="1"/>
    <x:row r="521" spans="1:8" s="3" customFormat="1"/>
    <x:row r="522" spans="1:8" s="1" customFormat="1"/>
    <x:row r="523" spans="1:8" s="4" customFormat="1"/>
    <x:row r="524" spans="1:8" s="3" customFormat="1"/>
    <x:row r="525" spans="1:8" s="1" customFormat="1"/>
    <x:row r="526" spans="1:8" s="4" customFormat="1"/>
    <x:row r="527" spans="1:8" s="3" customFormat="1"/>
    <x:row r="528" spans="1:8" s="1" customFormat="1"/>
    <x:row r="529" spans="1:8" s="4" customFormat="1"/>
    <x:row r="530" spans="1:8" s="3" customFormat="1"/>
    <x:row r="531" spans="1:8" s="1" customFormat="1"/>
    <x:row r="532" spans="1:8" s="4" customFormat="1"/>
    <x:row r="533" spans="1:8" s="3" customFormat="1"/>
    <x:row r="534" spans="1:8" s="1" customFormat="1"/>
    <x:row r="535" spans="1:8" s="4" customFormat="1"/>
    <x:row r="536" spans="1:8" s="3" customFormat="1"/>
    <x:row r="537" spans="1:8" s="1" customFormat="1"/>
    <x:row r="538" spans="1:8" s="4" customFormat="1"/>
    <x:row r="539" spans="1:8" s="3" customFormat="1"/>
    <x:row r="540" spans="1:8" s="1" customFormat="1"/>
    <x:row r="541" spans="1:8" s="4" customFormat="1"/>
    <x:row r="542" spans="1:8" s="3" customFormat="1"/>
    <x:row r="543" spans="1:8" s="1" customFormat="1"/>
    <x:row r="544" spans="1:8" s="4" customFormat="1"/>
    <x:row r="545" spans="1:8" s="3" customFormat="1"/>
    <x:row r="546" spans="1:8" s="1" customFormat="1"/>
    <x:row r="547" spans="1:8" s="4" customFormat="1"/>
    <x:row r="548" spans="1:8" s="3" customFormat="1"/>
    <x:row r="549" spans="1:8" s="1" customFormat="1"/>
    <x:row r="550" spans="1:8" s="4" customFormat="1"/>
    <x:row r="551" spans="1:8" s="3" customFormat="1"/>
    <x:row r="552" spans="1:8" s="1" customFormat="1"/>
    <x:row r="553" spans="1:8" s="4" customFormat="1"/>
    <x:row r="554" spans="1:8" s="3" customFormat="1"/>
    <x:row r="555" spans="1:8" s="1" customFormat="1"/>
    <x:row r="556" spans="1:8" s="4" customFormat="1"/>
    <x:row r="557" spans="1:8" s="3" customFormat="1"/>
    <x:row r="558" spans="1:8" s="1" customFormat="1"/>
    <x:row r="559" spans="1:8" s="4" customFormat="1"/>
    <x:row r="560" spans="1:8" s="3" customFormat="1"/>
    <x:row r="561" spans="1:8" s="1" customFormat="1"/>
    <x:row r="562" spans="1:8" s="4" customFormat="1"/>
    <x:row r="563" spans="1:8" s="3" customFormat="1"/>
    <x:row r="564" spans="1:8" s="1" customFormat="1"/>
    <x:row r="565" spans="1:8" s="4" customFormat="1"/>
    <x:row r="566" spans="1:8" s="3" customFormat="1"/>
    <x:row r="567" spans="1:8" s="1" customFormat="1"/>
    <x:row r="568" spans="1:8" s="4" customFormat="1"/>
    <x:row r="569" spans="1:8" s="3" customFormat="1"/>
    <x:row r="570" spans="1:8" s="1" customFormat="1"/>
    <x:row r="571" spans="1:8" s="4" customFormat="1"/>
    <x:row r="572" spans="1:8" s="3" customFormat="1"/>
    <x:row r="573" spans="1:8" s="1" customFormat="1"/>
    <x:row r="574" spans="1:8" s="4" customFormat="1"/>
    <x:row r="575" spans="1:8" s="3" customFormat="1"/>
    <x:row r="576" spans="1:8" s="1" customFormat="1"/>
    <x:row r="577" spans="1:8" s="4" customFormat="1"/>
    <x:row r="578" spans="1:8" s="3" customFormat="1"/>
    <x:row r="579" spans="1:8" s="1" customFormat="1"/>
    <x:row r="580" spans="1:8" s="4" customFormat="1"/>
    <x:row r="581" spans="1:8" s="3" customFormat="1"/>
    <x:row r="582" spans="1:8" s="1" customFormat="1"/>
    <x:row r="583" spans="1:8" s="4" customFormat="1"/>
    <x:row r="584" spans="1:8" s="3" customFormat="1"/>
    <x:row r="585" spans="1:8" s="1" customFormat="1"/>
    <x:row r="586" spans="1:8" s="4" customFormat="1"/>
    <x:row r="587" spans="1:8" s="3" customFormat="1"/>
    <x:row r="588" spans="1:8" s="1" customFormat="1"/>
    <x:row r="589" spans="1:8" s="4" customFormat="1"/>
    <x:row r="590" spans="1:8" s="3" customFormat="1"/>
    <x:row r="591" spans="1:8" s="1" customFormat="1"/>
    <x:row r="592" spans="1:8" s="4" customFormat="1"/>
    <x:row r="593" spans="1:8" s="3" customFormat="1"/>
    <x:row r="594" spans="1:8" s="1" customFormat="1"/>
    <x:row r="595" spans="1:8" s="4" customFormat="1"/>
    <x:row r="596" spans="1:8" s="3" customFormat="1"/>
    <x:row r="597" spans="1:8" s="1" customFormat="1"/>
    <x:row r="598" spans="1:8" s="4" customFormat="1"/>
    <x:row r="599" spans="1:8" s="3" customFormat="1"/>
    <x:row r="600" spans="1:8" s="1" customFormat="1"/>
    <x:row r="601" spans="1:8" s="4" customFormat="1"/>
    <x:row r="602" spans="1:8" s="3" customFormat="1"/>
    <x:row r="603" spans="1:8" s="1" customFormat="1"/>
    <x:row r="604" spans="1:8" s="4" customFormat="1"/>
    <x:row r="605" spans="1:8" s="3" customFormat="1"/>
    <x:row r="606" spans="1:8" s="1" customFormat="1"/>
    <x:row r="607" spans="1:8" s="4" customFormat="1"/>
    <x:row r="608" spans="1:8" s="3" customFormat="1"/>
    <x:row r="609" spans="1:8" s="1" customFormat="1"/>
    <x:row r="610" spans="1:8" s="4" customFormat="1"/>
    <x:row r="611" spans="1:8" s="3" customFormat="1"/>
    <x:row r="612" spans="1:8" s="1" customFormat="1"/>
    <x:row r="613" spans="1:8" s="4" customFormat="1"/>
    <x:row r="614" spans="1:8" s="3" customFormat="1"/>
    <x:row r="615" spans="1:8" s="1" customFormat="1"/>
    <x:row r="616" spans="1:8" s="4" customFormat="1"/>
    <x:row r="617" spans="1:8" s="3" customFormat="1"/>
    <x:row r="618" spans="1:8" s="1" customFormat="1"/>
    <x:row r="619" spans="1:8" s="4" customFormat="1"/>
    <x:row r="620" spans="1:8" s="3" customFormat="1"/>
    <x:row r="621" spans="1:8" s="1" customFormat="1"/>
    <x:row r="622" spans="1:8" s="4" customFormat="1"/>
    <x:row r="623" spans="1:8" s="3" customFormat="1"/>
    <x:row r="624" spans="1:8" s="1" customFormat="1"/>
    <x:row r="625" spans="1:8" s="4" customFormat="1"/>
    <x:row r="626" spans="1:8" s="3" customFormat="1"/>
    <x:row r="627" spans="1:8" s="1" customFormat="1"/>
    <x:row r="628" spans="1:8" s="4" customFormat="1"/>
    <x:row r="629" spans="1:8" s="3" customFormat="1"/>
    <x:row r="630" spans="1:8" s="1" customFormat="1"/>
    <x:row r="631" spans="1:8" s="4" customFormat="1"/>
    <x:row r="632" spans="1:8" s="3" customFormat="1"/>
    <x:row r="633" spans="1:8" s="1" customFormat="1"/>
    <x:row r="634" spans="1:8" s="4" customFormat="1"/>
    <x:row r="635" spans="1:8" s="3" customFormat="1"/>
    <x:row r="636" spans="1:8" s="1" customFormat="1"/>
    <x:row r="637" spans="1:8" s="4" customFormat="1"/>
    <x:row r="638" spans="1:8" s="3" customFormat="1"/>
    <x:row r="639" spans="1:8" s="1" customFormat="1"/>
    <x:row r="640" spans="1:8" s="4" customFormat="1"/>
    <x:row r="641" spans="1:8" s="3" customFormat="1"/>
    <x:row r="642" spans="1:8" s="1" customFormat="1"/>
    <x:row r="643" spans="1:8" s="4" customFormat="1"/>
    <x:row r="644" spans="1:8" s="3" customFormat="1"/>
    <x:row r="645" spans="1:8" s="1" customFormat="1"/>
    <x:row r="646" spans="1:8" s="4" customFormat="1"/>
    <x:row r="647" spans="1:8" s="3" customFormat="1"/>
    <x:row r="648" spans="1:8" s="1" customFormat="1"/>
    <x:row r="649" spans="1:8" s="4" customFormat="1"/>
    <x:row r="650" spans="1:8" s="3" customFormat="1"/>
    <x:row r="651" spans="1:8" s="1" customFormat="1"/>
    <x:row r="652" spans="1:8" s="4" customFormat="1"/>
    <x:row r="653" spans="1:8" s="3" customFormat="1"/>
    <x:row r="654" spans="1:8" s="1" customFormat="1"/>
    <x:row r="655" spans="1:8" s="4" customFormat="1"/>
    <x:row r="656" spans="1:8" s="3" customFormat="1"/>
    <x:row r="657" spans="1:8" s="1" customFormat="1"/>
    <x:row r="658" spans="1:8" s="4" customFormat="1"/>
    <x:row r="659" spans="1:8" s="3" customFormat="1"/>
    <x:row r="660" spans="1:8" s="1" customFormat="1"/>
    <x:row r="661" spans="1:8" s="4" customFormat="1"/>
    <x:row r="662" spans="1:8" s="3" customFormat="1"/>
    <x:row r="663" spans="1:8" s="1" customFormat="1"/>
    <x:row r="664" spans="1:8" s="4" customFormat="1"/>
    <x:row r="665" spans="1:8" s="3" customFormat="1"/>
    <x:row r="666" spans="1:8" s="1" customFormat="1"/>
    <x:row r="667" spans="1:8" s="4" customFormat="1"/>
    <x:row r="668" spans="1:8" s="3" customFormat="1"/>
    <x:row r="669" spans="1:8" s="1" customFormat="1"/>
    <x:row r="670" spans="1:8" s="4" customFormat="1"/>
    <x:row r="671" spans="1:8" s="3" customFormat="1"/>
    <x:row r="672" spans="1:8" s="1" customFormat="1"/>
    <x:row r="673" spans="1:8" s="4" customFormat="1"/>
    <x:row r="674" spans="1:8" s="3" customFormat="1"/>
    <x:row r="675" spans="1:8" s="1" customFormat="1"/>
    <x:row r="676" spans="1:8" s="4" customFormat="1"/>
    <x:row r="677" spans="1:8" s="3" customFormat="1"/>
    <x:row r="678" spans="1:8" s="1" customFormat="1"/>
    <x:row r="679" spans="1:8" s="4" customFormat="1"/>
    <x:row r="680" spans="1:8" s="3" customFormat="1"/>
    <x:row r="681" spans="1:8" s="1" customFormat="1"/>
    <x:row r="682" spans="1:8" s="4" customFormat="1"/>
    <x:row r="683" spans="1:8" s="3" customFormat="1"/>
    <x:row r="684" spans="1:8" s="1" customFormat="1"/>
    <x:row r="685" spans="1:8" s="4" customFormat="1"/>
    <x:row r="686" spans="1:8" s="3" customFormat="1"/>
    <x:row r="687" spans="1:8" s="1" customFormat="1"/>
    <x:row r="688" spans="1:8" s="4" customFormat="1"/>
    <x:row r="689" spans="1:8" s="3" customFormat="1"/>
    <x:row r="690" spans="1:8" s="1" customFormat="1"/>
    <x:row r="691" spans="1:8" s="4" customFormat="1"/>
    <x:row r="692" spans="1:8" s="3" customFormat="1"/>
    <x:row r="693" spans="1:8" s="1" customFormat="1"/>
    <x:row r="694" spans="1:8" s="4" customFormat="1"/>
    <x:row r="695" spans="1:8" s="3" customFormat="1"/>
    <x:row r="696" spans="1:8" s="1" customFormat="1"/>
    <x:row r="697" spans="1:8" s="4" customFormat="1"/>
    <x:row r="698" spans="1:8" s="3" customFormat="1"/>
    <x:row r="699" spans="1:8" s="1" customFormat="1"/>
    <x:row r="700" spans="1:8" s="4" customFormat="1"/>
    <x:row r="701" spans="1:8" s="3" customFormat="1"/>
    <x:row r="702" spans="1:8" s="1" customFormat="1"/>
    <x:row r="703" spans="1:8" s="4" customFormat="1"/>
    <x:row r="704" spans="1:8" s="3" customFormat="1"/>
    <x:row r="705" spans="1:8" s="1" customFormat="1"/>
    <x:row r="706" spans="1:8" s="4" customFormat="1"/>
    <x:row r="707" spans="1:8" s="3" customFormat="1"/>
    <x:row r="708" spans="1:8" s="1" customFormat="1"/>
    <x:row r="709" spans="1:8" s="4" customFormat="1"/>
    <x:row r="710" spans="1:8" s="3" customFormat="1"/>
    <x:row r="711" spans="1:8" s="1" customFormat="1"/>
    <x:row r="712" spans="1:8" s="4" customFormat="1"/>
    <x:row r="713" spans="1:8" s="3" customFormat="1"/>
    <x:row r="714" spans="1:8" s="1" customFormat="1"/>
    <x:row r="715" spans="1:8" s="4" customFormat="1"/>
    <x:row r="716" spans="1:8" s="3" customFormat="1"/>
    <x:row r="717" spans="1:8" s="1" customFormat="1"/>
    <x:row r="718" spans="1:8" s="4" customFormat="1"/>
    <x:row r="719" spans="1:8" s="3" customFormat="1"/>
    <x:row r="720" spans="1:8" s="1" customFormat="1"/>
    <x:row r="721" spans="1:8" s="4" customFormat="1"/>
    <x:row r="722" spans="1:8" s="3" customFormat="1"/>
    <x:row r="723" spans="1:8" s="1" customFormat="1"/>
    <x:row r="724" spans="1:8" s="4" customFormat="1"/>
    <x:row r="725" spans="1:8" s="3" customFormat="1"/>
    <x:row r="726" spans="1:8" s="1" customFormat="1"/>
    <x:row r="727" spans="1:8" s="4" customFormat="1"/>
    <x:row r="728" spans="1:8" s="3" customFormat="1"/>
    <x:row r="729" spans="1:8" s="1" customFormat="1"/>
    <x:row r="730" spans="1:8" s="4" customFormat="1"/>
    <x:row r="731" spans="1:8" s="3" customFormat="1"/>
    <x:row r="732" spans="1:8" s="1" customFormat="1"/>
    <x:row r="733" spans="1:8" s="4" customFormat="1"/>
    <x:row r="734" spans="1:8" s="3" customFormat="1"/>
    <x:row r="735" spans="1:8" s="1" customFormat="1"/>
    <x:row r="736" spans="1:8" s="4" customFormat="1"/>
    <x:row r="737" spans="1:8" s="3" customFormat="1"/>
    <x:row r="738" spans="1:8" s="1" customFormat="1"/>
    <x:row r="739" spans="1:8" s="4" customFormat="1"/>
    <x:row r="740" spans="1:8" s="3" customFormat="1"/>
    <x:row r="741" spans="1:8" s="1" customFormat="1"/>
    <x:row r="742" spans="1:8" s="4" customFormat="1"/>
    <x:row r="743" spans="1:8" s="3" customFormat="1"/>
    <x:row r="744" spans="1:8" s="1" customFormat="1"/>
    <x:row r="745" spans="1:8" s="4" customFormat="1"/>
    <x:row r="746" spans="1:8" s="3" customFormat="1"/>
    <x:row r="747" spans="1:8" s="1" customFormat="1"/>
    <x:row r="748" spans="1:8" s="4" customFormat="1"/>
    <x:row r="749" spans="1:8" s="3" customFormat="1"/>
    <x:row r="750" spans="1:8" s="1" customFormat="1"/>
    <x:row r="751" spans="1:8" s="4" customFormat="1"/>
    <x:row r="752" spans="1:8" s="3" customFormat="1"/>
    <x:row r="753" spans="1:8" s="1" customFormat="1"/>
    <x:row r="754" spans="1:8" s="4" customFormat="1"/>
    <x:row r="755" spans="1:8" s="3" customFormat="1"/>
    <x:row r="756" spans="1:8" s="1" customFormat="1"/>
    <x:row r="757" spans="1:8" s="4" customFormat="1"/>
    <x:row r="758" spans="1:8" s="3" customFormat="1"/>
    <x:row r="759" spans="1:8" s="1" customFormat="1"/>
    <x:row r="760" spans="1:8" s="4" customFormat="1"/>
    <x:row r="761" spans="1:8" s="3" customFormat="1"/>
    <x:row r="762" spans="1:8" s="1" customFormat="1"/>
    <x:row r="763" spans="1:8" s="4" customFormat="1"/>
    <x:row r="764" spans="1:8" s="3" customFormat="1"/>
    <x:row r="765" spans="1:8" s="1" customFormat="1"/>
    <x:row r="766" spans="1:8" s="4" customFormat="1"/>
    <x:row r="767" spans="1:8" s="3" customFormat="1"/>
    <x:row r="768" spans="1:8" s="1" customFormat="1"/>
    <x:row r="769" spans="1:8" s="4" customFormat="1"/>
    <x:row r="770" spans="1:8" s="3" customFormat="1"/>
    <x:row r="771" spans="1:8" s="1" customFormat="1"/>
    <x:row r="772" spans="1:8" s="4" customFormat="1"/>
    <x:row r="773" spans="1:8" s="3" customFormat="1"/>
    <x:row r="774" spans="1:8" s="1" customFormat="1"/>
    <x:row r="775" spans="1:8" s="4" customFormat="1"/>
    <x:row r="776" spans="1:8" s="3" customFormat="1"/>
    <x:row r="777" spans="1:8" s="1" customFormat="1"/>
    <x:row r="778" spans="1:8" s="4" customFormat="1"/>
    <x:row r="779" spans="1:8" s="3" customFormat="1"/>
    <x:row r="780" spans="1:8" s="1" customFormat="1"/>
    <x:row r="781" spans="1:8" s="4" customFormat="1"/>
    <x:row r="782" spans="1:8" s="3" customFormat="1"/>
    <x:row r="783" spans="1:8" s="1" customFormat="1"/>
    <x:row r="784" spans="1:8" s="4" customFormat="1"/>
    <x:row r="785" spans="1:8" s="3" customFormat="1"/>
    <x:row r="786" spans="1:8" s="1" customFormat="1"/>
    <x:row r="787" spans="1:8" s="4" customFormat="1"/>
    <x:row r="788" spans="1:8" s="3" customFormat="1"/>
    <x:row r="789" spans="1:8" s="1" customFormat="1"/>
    <x:row r="790" spans="1:8" s="4" customFormat="1"/>
    <x:row r="791" spans="1:8" s="3" customFormat="1"/>
    <x:row r="792" spans="1:8" s="1" customFormat="1"/>
    <x:row r="793" spans="1:8" s="4" customFormat="1"/>
    <x:row r="794" spans="1:8" s="3" customFormat="1"/>
    <x:row r="795" spans="1:8" s="1" customFormat="1"/>
    <x:row r="796" spans="1:8" s="4" customFormat="1"/>
    <x:row r="797" spans="1:8" s="3" customFormat="1"/>
    <x:row r="798" spans="1:8" s="1" customFormat="1"/>
    <x:row r="799" spans="1:8" s="4" customFormat="1"/>
    <x:row r="800" spans="1:8" s="3" customFormat="1"/>
    <x:row r="801" spans="1:8" s="1" customFormat="1"/>
    <x:row r="802" spans="1:8" s="4" customFormat="1"/>
    <x:row r="803" spans="1:8" s="3" customFormat="1"/>
    <x:row r="804" spans="1:8" s="1" customFormat="1"/>
    <x:row r="805" spans="1:8" s="4" customFormat="1"/>
    <x:row r="806" spans="1:8" s="3" customFormat="1"/>
    <x:row r="807" spans="1:8" s="1" customFormat="1"/>
    <x:row r="808" spans="1:8" s="4" customFormat="1"/>
    <x:row r="809" spans="1:8" s="3" customFormat="1"/>
    <x:row r="810" spans="1:8" s="1" customFormat="1"/>
    <x:row r="811" spans="1:8" s="4" customFormat="1"/>
    <x:row r="812" spans="1:8" s="3" customFormat="1"/>
    <x:row r="813" spans="1:8" s="1" customFormat="1"/>
    <x:row r="814" spans="1:8" s="4" customFormat="1"/>
    <x:row r="815" spans="1:8" s="3" customFormat="1"/>
    <x:row r="816" spans="1:8" s="1" customFormat="1"/>
    <x:row r="817" spans="1:8" s="4" customFormat="1"/>
    <x:row r="818" spans="1:8" s="3" customFormat="1"/>
    <x:row r="819" spans="1:8" s="1" customFormat="1"/>
    <x:row r="820" spans="1:8" s="4" customFormat="1"/>
    <x:row r="821" spans="1:8" s="3" customFormat="1"/>
    <x:row r="822" spans="1:8" s="1" customFormat="1"/>
    <x:row r="823" spans="1:8" s="4" customFormat="1"/>
    <x:row r="824" spans="1:8" s="3" customFormat="1"/>
    <x:row r="825" spans="1:8" s="1" customFormat="1"/>
    <x:row r="826" spans="1:8" s="4" customFormat="1"/>
    <x:row r="827" spans="1:8" s="3" customFormat="1"/>
    <x:row r="828" spans="1:8" s="1" customFormat="1"/>
    <x:row r="829" spans="1:8" s="4" customFormat="1"/>
    <x:row r="830" spans="1:8" s="3" customFormat="1"/>
    <x:row r="831" spans="1:8" s="1" customFormat="1"/>
    <x:row r="832" spans="1:8" s="4" customFormat="1"/>
    <x:row r="833" spans="1:8" s="3" customFormat="1"/>
    <x:row r="834" spans="1:8" s="1" customFormat="1"/>
    <x:row r="835" spans="1:8" s="4" customFormat="1"/>
    <x:row r="836" spans="1:8" s="3" customFormat="1"/>
    <x:row r="837" spans="1:8" s="1" customFormat="1"/>
    <x:row r="838" spans="1:8" s="4" customFormat="1"/>
    <x:row r="839" spans="1:8" s="3" customFormat="1"/>
    <x:row r="840" spans="1:8" s="1" customFormat="1"/>
    <x:row r="841" spans="1:8" s="4" customFormat="1"/>
    <x:row r="842" spans="1:8" s="3" customFormat="1"/>
    <x:row r="843" spans="1:8" s="1" customFormat="1"/>
    <x:row r="844" spans="1:8" s="4" customFormat="1"/>
    <x:row r="845" spans="1:8" s="3" customFormat="1"/>
    <x:row r="846" spans="1:8" s="1" customFormat="1"/>
    <x:row r="847" spans="1:8" s="4" customFormat="1"/>
    <x:row r="848" spans="1:8" s="3" customFormat="1"/>
    <x:row r="849" spans="1:8" s="1" customFormat="1"/>
    <x:row r="850" spans="1:8" s="4" customFormat="1"/>
    <x:row r="851" spans="1:8" s="3" customFormat="1"/>
    <x:row r="852" spans="1:8" s="1" customFormat="1"/>
    <x:row r="853" spans="1:8" s="4" customFormat="1"/>
    <x:row r="854" spans="1:8" s="3" customFormat="1"/>
    <x:row r="855" spans="1:8" s="1" customFormat="1"/>
    <x:row r="856" spans="1:8" s="4" customFormat="1"/>
    <x:row r="857" spans="1:8" s="3" customFormat="1"/>
    <x:row r="858" spans="1:8" s="1" customFormat="1"/>
    <x:row r="859" spans="1:8" s="4" customFormat="1"/>
    <x:row r="860" spans="1:8" s="3" customFormat="1"/>
    <x:row r="861" spans="1:8" s="1" customFormat="1"/>
    <x:row r="862" spans="1:8" s="4" customFormat="1"/>
    <x:row r="863" spans="1:8" s="3" customFormat="1"/>
    <x:row r="864" spans="1:8" s="1" customFormat="1"/>
    <x:row r="865" spans="1:8" s="4" customFormat="1"/>
    <x:row r="866" spans="1:8" s="3" customFormat="1"/>
    <x:row r="867" spans="1:8" s="1" customFormat="1"/>
    <x:row r="868" spans="1:8" s="4" customFormat="1"/>
    <x:row r="869" spans="1:8" s="3" customFormat="1"/>
    <x:row r="870" spans="1:8" s="1" customFormat="1"/>
    <x:row r="871" spans="1:8" s="4" customFormat="1"/>
    <x:row r="872" spans="1:8" s="3" customFormat="1"/>
    <x:row r="873" spans="1:8" s="1" customFormat="1"/>
    <x:row r="874" spans="1:8" s="4" customFormat="1"/>
    <x:row r="875" spans="1:8" s="3" customFormat="1"/>
    <x:row r="876" spans="1:8" s="1" customFormat="1"/>
    <x:row r="877" spans="1:8" s="4" customFormat="1"/>
    <x:row r="878" spans="1:8" s="3" customFormat="1"/>
    <x:row r="879" spans="1:8" s="1" customFormat="1"/>
    <x:row r="880" spans="1:8" s="4" customFormat="1"/>
    <x:row r="881" spans="1:8" s="3" customFormat="1"/>
    <x:row r="882" spans="1:8" s="1" customFormat="1"/>
    <x:row r="883" spans="1:8" s="4" customFormat="1"/>
    <x:row r="884" spans="1:8" s="3" customFormat="1"/>
    <x:row r="885" spans="1:8" s="1" customFormat="1"/>
    <x:row r="886" spans="1:8" s="4" customFormat="1"/>
    <x:row r="887" spans="1:8" s="3" customFormat="1"/>
    <x:row r="888" spans="1:8" s="1" customFormat="1"/>
    <x:row r="889" spans="1:8" s="4" customFormat="1"/>
    <x:row r="890" spans="1:8" s="3" customFormat="1"/>
    <x:row r="891" spans="1:8" s="1" customFormat="1"/>
    <x:row r="892" spans="1:8" s="4" customFormat="1"/>
    <x:row r="893" spans="1:8" s="3" customFormat="1"/>
    <x:row r="894" spans="1:8" s="1" customFormat="1"/>
    <x:row r="895" spans="1:8" s="4" customFormat="1"/>
    <x:row r="896" spans="1:8" s="3" customFormat="1"/>
    <x:row r="897" spans="1:8" s="1" customFormat="1"/>
    <x:row r="898" spans="1:8" s="4" customFormat="1"/>
    <x:row r="899" spans="1:8" s="3" customFormat="1"/>
    <x:row r="900" spans="1:8" s="1" customFormat="1"/>
    <x:row r="901" spans="1:8" s="4" customFormat="1"/>
    <x:row r="902" spans="1:8" s="3" customFormat="1"/>
    <x:row r="903" spans="1:8" s="1" customFormat="1"/>
    <x:row r="904" spans="1:8" s="4" customFormat="1"/>
    <x:row r="905" spans="1:8" s="3" customFormat="1"/>
    <x:row r="906" spans="1:8" s="1" customFormat="1"/>
    <x:row r="907" spans="1:8" s="4" customFormat="1"/>
    <x:row r="908" spans="1:8" s="3" customFormat="1"/>
    <x:row r="909" spans="1:8" s="1" customFormat="1"/>
    <x:row r="910" spans="1:8" s="4" customFormat="1"/>
    <x:row r="911" spans="1:8" s="3" customFormat="1"/>
    <x:row r="912" spans="1:8" s="1" customFormat="1"/>
    <x:row r="913" spans="1:8" s="4" customFormat="1"/>
    <x:row r="914" spans="1:8" s="3" customFormat="1"/>
    <x:row r="915" spans="1:8" s="1" customFormat="1"/>
    <x:row r="916" spans="1:8" s="4" customFormat="1"/>
    <x:row r="917" spans="1:8" s="3" customFormat="1"/>
    <x:row r="918" spans="1:8" s="1" customFormat="1"/>
    <x:row r="919" spans="1:8" s="4" customFormat="1"/>
    <x:row r="920" spans="1:8" s="3" customFormat="1"/>
    <x:row r="921" spans="1:8" s="1" customFormat="1"/>
    <x:row r="922" spans="1:8" s="4" customFormat="1"/>
    <x:row r="923" spans="1:8" s="3" customFormat="1"/>
    <x:row r="924" spans="1:8" s="1" customFormat="1"/>
    <x:row r="925" spans="1:8" s="4" customFormat="1"/>
    <x:row r="926" spans="1:8" s="3" customFormat="1"/>
    <x:row r="927" spans="1:8" s="1" customFormat="1"/>
    <x:row r="928" spans="1:8" s="4" customFormat="1"/>
    <x:row r="929" spans="1:8" s="3" customFormat="1"/>
    <x:row r="930" spans="1:8" s="1" customFormat="1"/>
    <x:row r="931" spans="1:8" s="4" customFormat="1"/>
    <x:row r="932" spans="1:8" s="3" customFormat="1"/>
    <x:row r="933" spans="1:8" s="1" customFormat="1"/>
    <x:row r="934" spans="1:8" s="4" customFormat="1"/>
    <x:row r="935" spans="1:8" s="3" customFormat="1"/>
    <x:row r="936" spans="1:8" s="1" customFormat="1"/>
    <x:row r="937" spans="1:8" s="4" customFormat="1"/>
    <x:row r="938" spans="1:8" s="3" customFormat="1"/>
    <x:row r="939" spans="1:8" s="1" customFormat="1"/>
    <x:row r="940" spans="1:8" s="4" customFormat="1"/>
    <x:row r="941" spans="1:8" s="3" customFormat="1"/>
    <x:row r="942" spans="1:8" s="1" customFormat="1"/>
    <x:row r="943" spans="1:8" s="4" customFormat="1"/>
    <x:row r="944" spans="1:8" s="3" customFormat="1"/>
    <x:row r="945" spans="1:8" s="1" customFormat="1"/>
    <x:row r="946" spans="1:8" s="4" customFormat="1"/>
    <x:row r="947" spans="1:8" s="3" customFormat="1"/>
    <x:row r="948" spans="1:8" s="1" customFormat="1"/>
    <x:row r="949" spans="1:8" s="4" customFormat="1"/>
    <x:row r="950" spans="1:8" s="3" customFormat="1"/>
    <x:row r="951" spans="1:8" s="1" customFormat="1"/>
    <x:row r="952" spans="1:8" s="4" customFormat="1"/>
    <x:row r="953" spans="1:8" s="3" customFormat="1"/>
    <x:row r="954" spans="1:8" s="1" customFormat="1"/>
    <x:row r="955" spans="1:8" s="4" customFormat="1"/>
    <x:row r="956" spans="1:8" s="3" customFormat="1"/>
    <x:row r="957" spans="1:8" s="1" customFormat="1"/>
    <x:row r="958" spans="1:8" s="4" customFormat="1"/>
    <x:row r="959" spans="1:8" s="3" customFormat="1"/>
    <x:row r="960" spans="1:8" s="1" customFormat="1"/>
    <x:row r="961" spans="1:8" s="4" customFormat="1"/>
    <x:row r="962" spans="1:8" s="3" customFormat="1"/>
    <x:row r="963" spans="1:8" s="1" customFormat="1"/>
    <x:row r="964" spans="1:8" s="4" customFormat="1"/>
    <x:row r="965" spans="1:8" s="3" customFormat="1"/>
    <x:row r="966" spans="1:8" s="1" customFormat="1"/>
    <x:row r="967" spans="1:8" s="4" customFormat="1"/>
    <x:row r="968" spans="1:8" s="3" customFormat="1"/>
    <x:row r="969" spans="1:8" s="1" customFormat="1"/>
    <x:row r="970" spans="1:8" s="4" customFormat="1"/>
    <x:row r="971" spans="1:8" s="3" customFormat="1"/>
    <x:row r="972" spans="1:8" s="1" customFormat="1"/>
    <x:row r="973" spans="1:8" s="4" customFormat="1"/>
    <x:row r="974" spans="1:8" s="3" customFormat="1"/>
    <x:row r="975" spans="1:8" s="1" customFormat="1"/>
    <x:row r="976" spans="1:8" s="4" customFormat="1"/>
    <x:row r="977" spans="1:8" s="3" customFormat="1"/>
    <x:row r="978" spans="1:8" s="1" customFormat="1"/>
    <x:row r="979" spans="1:8" s="4" customFormat="1"/>
    <x:row r="980" spans="1:8" s="3" customFormat="1"/>
    <x:row r="981" spans="1:8" s="1" customFormat="1"/>
    <x:row r="982" spans="1:8" s="4" customFormat="1"/>
    <x:row r="983" spans="1:8" s="3" customFormat="1"/>
    <x:row r="984" spans="1:8" s="1" customFormat="1"/>
    <x:row r="985" spans="1:8" s="4" customFormat="1"/>
    <x:row r="986" spans="1:8" s="3" customFormat="1"/>
    <x:row r="987" spans="1:8" s="1" customFormat="1"/>
    <x:row r="988" spans="1:8" s="4" customFormat="1"/>
    <x:row r="989" spans="1:8" s="3" customFormat="1"/>
    <x:row r="990" spans="1:8" s="1" customFormat="1"/>
    <x:row r="991" spans="1:8" s="4" customFormat="1"/>
    <x:row r="992" spans="1:8" s="3" customFormat="1"/>
    <x:row r="993" spans="1:8" s="1" customFormat="1"/>
    <x:row r="994" spans="1:8" s="4" customFormat="1"/>
    <x:row r="995" spans="1:8" s="3" customFormat="1"/>
    <x:row r="996" spans="1:8" s="1" customFormat="1"/>
    <x:row r="997" spans="1:8" s="4" customFormat="1"/>
    <x:row r="998" spans="1:8" s="3" customFormat="1"/>
    <x:row r="999" spans="1:8" s="1" customFormat="1"/>
    <x:row r="1000" spans="1:8" s="4" customFormat="1"/>
    <x:row r="1001" spans="1:8" s="3" customFormat="1"/>
    <x:row r="1002" spans="1:8" s="1" customFormat="1"/>
    <x:row r="1003" spans="1:8" s="4" customFormat="1"/>
    <x:row r="1004" spans="1:8" s="3" customFormat="1"/>
    <x:row r="1005" spans="1:8" s="1" customFormat="1"/>
    <x:row r="1006" spans="1:8" s="4" customFormat="1"/>
    <x:row r="1007" spans="1:8" s="3" customFormat="1"/>
    <x:row r="1008" spans="1:8" s="1" customFormat="1"/>
    <x:row r="1009" spans="1:8" s="4" customFormat="1"/>
    <x:row r="1010" spans="1:8" s="3" customFormat="1"/>
    <x:row r="1011" spans="1:8" s="1" customFormat="1"/>
    <x:row r="1012" spans="1:8" s="4" customFormat="1"/>
    <x:row r="1013" spans="1:8" s="3" customFormat="1"/>
    <x:row r="1014" spans="1:8" s="1" customFormat="1"/>
    <x:row r="1015" spans="1:8" s="4" customFormat="1"/>
    <x:row r="1016" spans="1:8" s="3" customFormat="1"/>
    <x:row r="1017" spans="1:8" s="1" customFormat="1"/>
    <x:row r="1018" spans="1:8" s="4" customFormat="1"/>
    <x:row r="1019" spans="1:8" s="3" customFormat="1"/>
    <x:row r="1020" spans="1:8" s="1" customFormat="1"/>
    <x:row r="1021" spans="1:8" s="4" customFormat="1"/>
    <x:row r="1022" spans="1:8" s="3" customFormat="1"/>
    <x:row r="1023" spans="1:8" s="1" customFormat="1"/>
    <x:row r="1024" spans="1:8" s="4" customFormat="1"/>
    <x:row r="1025" spans="1:8" s="3" customFormat="1"/>
    <x:row r="1026" spans="1:8" s="1" customFormat="1"/>
    <x:row r="1027" spans="1:8" s="4" customFormat="1"/>
    <x:row r="1028" spans="1:8" s="3" customFormat="1"/>
    <x:row r="1029" spans="1:8" s="1" customFormat="1"/>
    <x:row r="1030" spans="1:8" s="4" customFormat="1"/>
    <x:row r="1031" spans="1:8" s="3" customFormat="1"/>
    <x:row r="1032" spans="1:8" s="1" customFormat="1"/>
    <x:row r="1033" spans="1:8" s="4" customFormat="1"/>
    <x:row r="1034" spans="1:8" s="3" customFormat="1"/>
    <x:row r="1035" spans="1:8" s="1" customFormat="1"/>
    <x:row r="1036" spans="1:8" s="4" customFormat="1"/>
    <x:row r="1037" spans="1:8" s="3" customFormat="1"/>
    <x:row r="1038" spans="1:8" s="1" customFormat="1"/>
    <x:row r="1039" spans="1:8" s="4" customFormat="1"/>
    <x:row r="1040" spans="1:8" s="3" customFormat="1"/>
    <x:row r="1041" spans="1:8" s="1" customFormat="1"/>
    <x:row r="1042" spans="1:8" s="4" customFormat="1"/>
    <x:row r="1043" spans="1:8" s="3" customFormat="1"/>
    <x:row r="1044" spans="1:8" s="1" customFormat="1"/>
    <x:row r="1045" spans="1:8" s="4" customFormat="1"/>
    <x:row r="1046" spans="1:8" s="3" customFormat="1"/>
    <x:row r="1047" spans="1:8" s="1" customFormat="1"/>
    <x:row r="1048" spans="1:8" s="4" customFormat="1"/>
    <x:row r="1049" spans="1:8" s="3" customFormat="1"/>
    <x:row r="1050" spans="1:8" s="1" customFormat="1"/>
    <x:row r="1051" spans="1:8" s="4" customFormat="1"/>
    <x:row r="1052" spans="1:8" s="3" customFormat="1"/>
    <x:row r="1053" spans="1:8" s="1" customFormat="1"/>
    <x:row r="1054" spans="1:8" s="4" customFormat="1"/>
    <x:row r="1055" spans="1:8" s="3" customFormat="1"/>
    <x:row r="1056" spans="1:8" s="1" customFormat="1"/>
    <x:row r="1057" spans="1:8" s="4" customFormat="1"/>
    <x:row r="1058" spans="1:8" s="3" customFormat="1"/>
    <x:row r="1059" spans="1:8" s="1" customFormat="1"/>
    <x:row r="1060" spans="1:8" s="4" customFormat="1"/>
    <x:row r="1061" spans="1:8" s="3" customFormat="1"/>
    <x:row r="1062" spans="1:8" s="1" customFormat="1"/>
    <x:row r="1063" spans="1:8" s="4" customFormat="1"/>
    <x:row r="1064" spans="1:8" s="3" customFormat="1"/>
    <x:row r="1065" spans="1:8" s="1" customFormat="1"/>
    <x:row r="1066" spans="1:8" s="4" customFormat="1"/>
    <x:row r="1067" spans="1:8" s="3" customFormat="1"/>
    <x:row r="1068" spans="1:8" s="1" customFormat="1"/>
    <x:row r="1069" spans="1:8" s="4" customFormat="1"/>
    <x:row r="1070" spans="1:8" s="3" customFormat="1"/>
    <x:row r="1071" spans="1:8" s="1" customFormat="1"/>
    <x:row r="1072" spans="1:8" s="4" customFormat="1"/>
    <x:row r="1073" spans="1:8" s="3" customFormat="1"/>
    <x:row r="1074" spans="1:8" s="1" customFormat="1"/>
    <x:row r="1075" spans="1:8" s="4" customFormat="1"/>
    <x:row r="1076" spans="1:8" s="3" customFormat="1"/>
    <x:row r="1077" spans="1:8" s="1" customFormat="1"/>
    <x:row r="1078" spans="1:8" s="4" customFormat="1"/>
    <x:row r="1079" spans="1:8" s="3" customFormat="1"/>
    <x:row r="1080" spans="1:8" s="1" customFormat="1"/>
    <x:row r="1081" spans="1:8" s="4" customFormat="1"/>
    <x:row r="1082" spans="1:8" s="3" customFormat="1"/>
    <x:row r="1083" spans="1:8" s="1" customFormat="1"/>
    <x:row r="1084" spans="1:8" s="4" customFormat="1"/>
    <x:row r="1085" spans="1:8" s="3" customFormat="1"/>
    <x:row r="1086" spans="1:8" s="1" customFormat="1"/>
    <x:row r="1087" spans="1:8" s="4" customFormat="1"/>
    <x:row r="1088" spans="1:8" s="3" customFormat="1"/>
    <x:row r="1089" spans="1:8" s="1" customFormat="1"/>
    <x:row r="1090" spans="1:8" s="4" customFormat="1"/>
    <x:row r="1091" spans="1:8" s="3" customFormat="1"/>
    <x:row r="1092" spans="1:8" s="1" customFormat="1"/>
    <x:row r="1093" spans="1:8" s="4" customFormat="1"/>
    <x:row r="1094" spans="1:8" s="3" customFormat="1"/>
    <x:row r="1095" spans="1:8" s="1" customFormat="1"/>
    <x:row r="1096" spans="1:8" s="4" customFormat="1"/>
    <x:row r="1097" spans="1:8" s="3" customFormat="1"/>
    <x:row r="1098" spans="1:8" s="1" customFormat="1"/>
    <x:row r="1099" spans="1:8" s="4" customFormat="1"/>
    <x:row r="1100" spans="1:8" s="3" customFormat="1"/>
    <x:row r="1101" spans="1:8" s="1" customFormat="1"/>
    <x:row r="1102" spans="1:8" s="4" customFormat="1"/>
    <x:row r="1103" spans="1:8" s="3" customFormat="1"/>
    <x:row r="1104" spans="1:8" s="1" customFormat="1"/>
    <x:row r="1105" spans="1:8" s="4" customFormat="1"/>
    <x:row r="1106" spans="1:8" s="3" customFormat="1"/>
    <x:row r="1107" spans="1:8" s="1" customFormat="1"/>
    <x:row r="1108" spans="1:8" s="4" customFormat="1"/>
    <x:row r="1109" spans="1:8" s="3" customFormat="1"/>
    <x:row r="1110" spans="1:8" s="1" customFormat="1"/>
    <x:row r="1111" spans="1:8" s="4" customFormat="1"/>
    <x:row r="1112" spans="1:8" s="3" customFormat="1"/>
    <x:row r="1113" spans="1:8" s="1" customFormat="1"/>
    <x:row r="1114" spans="1:8" s="4" customFormat="1"/>
    <x:row r="1115" spans="1:8" s="3" customFormat="1"/>
    <x:row r="1116" spans="1:8" s="1" customFormat="1"/>
    <x:row r="1117" spans="1:8" s="4" customFormat="1"/>
    <x:row r="1118" spans="1:8" s="3" customFormat="1"/>
    <x:row r="1119" spans="1:8" s="1" customFormat="1"/>
    <x:row r="1120" spans="1:8" s="4" customFormat="1"/>
    <x:row r="1121" spans="1:8" s="3" customFormat="1"/>
    <x:row r="1122" spans="1:8" s="1" customFormat="1"/>
    <x:row r="1123" spans="1:8" s="4" customFormat="1"/>
    <x:row r="1124" spans="1:8" s="3" customFormat="1"/>
    <x:row r="1125" spans="1:8" s="1" customFormat="1"/>
    <x:row r="1126" spans="1:8" s="4" customFormat="1"/>
    <x:row r="1127" spans="1:8" s="3" customFormat="1"/>
    <x:row r="1128" spans="1:8" s="1" customFormat="1"/>
    <x:row r="1129" spans="1:8" s="4" customFormat="1"/>
    <x:row r="1130" spans="1:8" s="3" customFormat="1"/>
    <x:row r="1131" spans="1:8" s="1" customFormat="1"/>
    <x:row r="1132" spans="1:8" s="4" customFormat="1"/>
    <x:row r="1133" spans="1:8" s="3" customFormat="1"/>
    <x:row r="1134" spans="1:8" s="1" customFormat="1"/>
    <x:row r="1135" spans="1:8" s="4" customFormat="1"/>
    <x:row r="1136" spans="1:8" s="3" customFormat="1"/>
    <x:row r="1137" spans="1:8" s="1" customFormat="1"/>
    <x:row r="1138" spans="1:8" s="4" customFormat="1"/>
    <x:row r="1139" spans="1:8" s="3" customFormat="1"/>
    <x:row r="1140" spans="1:8" s="1" customFormat="1"/>
    <x:row r="1141" spans="1:8" s="4" customFormat="1"/>
    <x:row r="1142" spans="1:8" s="3" customFormat="1"/>
    <x:row r="1143" spans="1:8" s="1" customFormat="1"/>
    <x:row r="1144" spans="1:8" s="4" customFormat="1"/>
    <x:row r="1145" spans="1:8" s="3" customFormat="1"/>
    <x:row r="1146" spans="1:8" s="1" customFormat="1"/>
    <x:row r="1147" spans="1:8" s="4" customFormat="1"/>
    <x:row r="1148" spans="1:8" s="3" customFormat="1"/>
    <x:row r="1149" spans="1:8" s="1" customFormat="1"/>
    <x:row r="1150" spans="1:8" s="4" customFormat="1"/>
    <x:row r="1151" spans="1:8" s="3" customFormat="1"/>
    <x:row r="1152" spans="1:8" s="1" customFormat="1"/>
  </x:sheetData>
  <x:hyperlinks>
    <x:hyperlink ref="C2" r:id="rId1690" tooltip="Send a mail to info@ferraramalta.com"/>
    <x:hyperlink ref="C3" r:id="rId1691" tooltip="Send a mail to info@styleinterni.com"/>
    <x:hyperlink ref="C4" r:id="rId1692" tooltip="Send a mail to info@sghendowoodworks.com"/>
    <x:hyperlink ref="C5" r:id="rId1693" tooltip="Send a mail to info@desanamarbles.com"/>
    <x:hyperlink ref="C6" r:id="rId1694" tooltip="Send a mail to info@fairdealfurniture.com.mt"/>
    <x:hyperlink ref="C7" r:id="rId1695" tooltip="Send a mail to artathomeltd@gmail.com"/>
    <x:hyperlink ref="C8" r:id="rId1696" tooltip="Send a mail to arnold@lowcostfurniture.com.mt"/>
    <x:hyperlink ref="C9" r:id="rId1697" tooltip="Send a mail to fran@fvcarpentry.com"/>
    <x:hyperlink ref="C10" r:id="rId1698" tooltip="Send a mail to topdrawer@topdrawermalta.com"/>
    <x:hyperlink ref="C11" r:id="rId1699" tooltip="Send a mail to info@brands.com.mt"/>
    <x:hyperlink ref="C12" r:id="rId1700" tooltip="Send a mail to igor@domestica.com.mt"/>
    <x:hyperlink ref="C13" r:id="rId1701" tooltip="Send a mail to info@core.com.mt"/>
    <x:hyperlink ref="C14" r:id="rId1702" tooltip="Send a mail to info@dinofino.com"/>
    <x:hyperlink ref="C15" r:id="rId1703" tooltip="Send a mail to info@distincthomes.com.mt"/>
    <x:hyperlink ref="C16" r:id="rId1704" tooltip="Send a mail to sales@grixtimobili.com"/>
    <x:hyperlink ref="C17" r:id="rId1705" tooltip="Send a mail to info@jdsfurniture.com"/>
    <x:hyperlink ref="C18" r:id="rId1706" tooltip="Send a mail to info@krea.com.mt"/>
    <x:hyperlink ref="C19" r:id="rId1707" tooltip="Send a mail to info@kubekgroup.com"/>
    <x:hyperlink ref="C21" r:id="rId1708" tooltip="Send a mail to info@petroni.com.mt"/>
    <x:hyperlink ref="C22" r:id="rId1709" tooltip="Send a mail to snfgrima@maltanet.net"/>
    <x:hyperlink ref="C23" r:id="rId1710" tooltip="Send a mail to bjorn@wellmadewoodworks.com.mt"/>
    <x:hyperlink ref="C24" r:id="rId1711" tooltip="Send a mail to info@oxfordhouse.com.mt"/>
    <x:hyperlink ref="C25" r:id="rId1712" tooltip="Send a mail to info@treedfurniture.com"/>
    <x:hyperlink ref="C26" r:id="rId1713" tooltip="Send a mail to casaform@onvol.net"/>
    <x:hyperlink ref="C27" r:id="rId1714" tooltip="Send a mail to jasoakwalnut@yahoo.com"/>
    <x:hyperlink ref="C28" r:id="rId1715" tooltip="Send a mail to jasoakwalnut@yahoo.com"/>
    <x:hyperlink ref="C29" r:id="rId1716" tooltip="Send a mail to jysk@jysk.com.mt"/>
    <x:hyperlink ref="C30" r:id="rId1717" tooltip="Send a mail to seguna@onvol.net"/>
    <x:hyperlink ref="C31" r:id="rId1718" tooltip="Send a mail to info@rusticahome.com.mt"/>
    <x:hyperlink ref="C32" r:id="rId1719" tooltip="Send a mail to info@spaces.com.mt"/>
    <x:hyperlink ref="C33" r:id="rId1720" tooltip="Send a mail to stephen@rliving.com.mt"/>
    <x:hyperlink ref="C34" r:id="rId1721" tooltip="Send a mail to info@treedfurniture.com"/>
    <x:hyperlink ref="C35" r:id="rId1722" tooltip="Send a mail to info@promaninteriors.com"/>
    <x:hyperlink ref="C36" r:id="rId1723" tooltip="Send a mail to info@desanamarbles.com"/>
    <x:hyperlink ref="C37" r:id="rId1724" tooltip="Send a mail to info@fairdealfurniture.com.mt"/>
    <x:hyperlink ref="C38" r:id="rId1725" tooltip="Send a mail to info@brands.com.mt"/>
    <x:hyperlink ref="C39" r:id="rId1726" tooltip="Send a mail to fran@fvcarpentry.com"/>
    <x:hyperlink ref="C40" r:id="rId1727" tooltip="Send a mail to topdrawer@topdrawermalta.com"/>
    <x:hyperlink ref="C41" r:id="rId1728" tooltip="Send a mail to igor@domestica.com.mt"/>
    <x:hyperlink ref="C42" r:id="rId1729" tooltip="Send a mail to info@dinofino.com"/>
    <x:hyperlink ref="C43" r:id="rId1730" tooltip="Send a mail to sales@grixtimobili.com"/>
    <x:hyperlink ref="C44" r:id="rId1731" tooltip="Send a mail to info@kubekgroup.com"/>
    <x:hyperlink ref="C45" r:id="rId1732" tooltip="Send a mail to info@petroni.com.mt"/>
    <x:hyperlink ref="C46" r:id="rId1733" tooltip="Send a mail to info@treedfurniture.com"/>
    <x:hyperlink ref="C48" r:id="rId1734" tooltip="Send a mail to mchire4@gmail.com"/>
    <x:hyperlink ref="C49" r:id="rId1735" tooltip="Send a mail to silviochairs@gmail.com"/>
    <x:hyperlink ref="C50" r:id="rId1736" tooltip="Send a mail to info@farrugiagroup.com"/>
    <x:hyperlink ref="C51" r:id="rId1737" tooltip="Send a mail to office.mfcoltd@gmail.com"/>
    <x:hyperlink ref="C52" r:id="rId1738" tooltip="Send a mail to jysk@jysk.com.mt"/>
    <x:hyperlink ref="C53" r:id="rId1739" tooltip="Send a mail to info@oxfordhouse.com.mt"/>
    <x:hyperlink ref="C54" r:id="rId1740" tooltip="Send a mail to sales@powerhousemalta.eu"/>
    <x:hyperlink ref="C55" r:id="rId1741" tooltip="Send a mail to info@dinofino.com"/>
    <x:hyperlink ref="C56" r:id="rId1742" tooltip="Send a mail to info@bdi.com.mt"/>
    <x:hyperlink ref="C57" r:id="rId1743" tooltip="Send a mail to sales@maltashopper.com"/>
    <x:hyperlink ref="C58" r:id="rId1744" tooltip="Send a mail to info@abra.com.mt"/>
    <x:hyperlink ref="C59" r:id="rId1745" tooltip="Send a mail to info@fino.com.mt"/>
    <x:hyperlink ref="C61" r:id="rId1746" tooltip="Send a mail to info@fairdealfurniture.com.mt"/>
    <x:hyperlink ref="C62" r:id="rId1747" tooltip="Send a mail to newlineliving@gmail.com"/>
    <x:hyperlink ref="C63" r:id="rId1748" tooltip="Send a mail to info@brands.com.mt"/>
    <x:hyperlink ref="C64" r:id="rId1749" tooltip="Send a mail to topdrawer@topdrawermalta.com"/>
    <x:hyperlink ref="C65" r:id="rId1750" tooltip="Send a mail to info@boconcept.com.mt"/>
    <x:hyperlink ref="C66" r:id="rId1751" tooltip="Send a mail to info@indexmalta.com"/>
    <x:hyperlink ref="C67" r:id="rId1752" tooltip="Send a mail to sales@malta-design.com"/>
    <x:hyperlink ref="C68" r:id="rId1753" tooltip="Send a mail to stephen@rliving.com.mt"/>
    <x:hyperlink ref="C69" r:id="rId1754" tooltip="Send a mail to fava@maltanet.net"/>
    <x:hyperlink ref="C70" r:id="rId1755" tooltip="Send a mail to acf1@melita.com"/>
    <x:hyperlink ref="C71" r:id="rId1756" tooltip="Send a mail to casaform@onvol.net"/>
    <x:hyperlink ref="C72" r:id="rId1757" tooltip="Send a mail to info@casconehome.com"/>
    <x:hyperlink ref="C73" r:id="rId1758" tooltip="Send a mail to jasoakwalnut@yahoo.com"/>
    <x:hyperlink ref="C74" r:id="rId1759" tooltip="Send a mail to info@ecasa.com.mt"/>
    <x:hyperlink ref="C75" r:id="rId1760" tooltip="Send a mail to info@constructfurniture.com.mt"/>
    <x:hyperlink ref="C76" r:id="rId1761" tooltip="Send a mail to epack@onvol.net"/>
    <x:hyperlink ref="C77" r:id="rId1762" tooltip="Send a mail to info@farrugiagroup.com"/>
    <x:hyperlink ref="C78" r:id="rId1763" tooltip="Send a mail to info@dinofino.com"/>
    <x:hyperlink ref="C79" r:id="rId1764" tooltip="Send a mail to agius65@hotmail.com"/>
    <x:hyperlink ref="C80" r:id="rId1765" tooltip="Send a mail to sales@fxb.com.mt"/>
    <x:hyperlink ref="C81" r:id="rId1766" tooltip="Send a mail to info@gozoarts.com.mt"/>
    <x:hyperlink ref="C82" r:id="rId1767" tooltip="Send a mail to info@jdsfurniture.com"/>
    <x:hyperlink ref="C83" r:id="rId1768" tooltip="Send a mail to jysk@jysk.com.mt"/>
    <x:hyperlink ref="C84" r:id="rId1769" tooltip="Send a mail to info@mobiliapenza.com"/>
    <x:hyperlink ref="C85" r:id="rId1770" tooltip="Send a mail to info@mucciomobili.it"/>
    <x:hyperlink ref="C86" r:id="rId1771" tooltip="Send a mail to info@onepercent.com.mt"/>
    <x:hyperlink ref="C87" r:id="rId1772" tooltip="Send a mail to info@orienta.com.mt"/>
    <x:hyperlink ref="C88" r:id="rId1773" tooltip="Send a mail to info@queensfurniture.com"/>
    <x:hyperlink ref="C89" r:id="rId1774" tooltip="Send a mail to seguna@onvol.net"/>
    <x:hyperlink ref="C90" r:id="rId1775" tooltip="Send a mail to ronaldmarmara@gmail.com"/>
    <x:hyperlink ref="C91" r:id="rId1776" tooltip="Send a mail to info@spaces.com.mt"/>
    <x:hyperlink ref="C92" r:id="rId1777" tooltip="Send a mail to info@stylefurnituremalta.com"/>
    <x:hyperlink ref="C93" r:id="rId1778" tooltip="Send a mail to marketing@tal-lira.com"/>
    <x:hyperlink ref="C94" r:id="rId1779" tooltip="Send a mail to info@tornelli.net"/>
    <x:hyperlink ref="C95" r:id="rId1780" tooltip="Send a mail to info@treedfurniture.com"/>
    <x:hyperlink ref="C97" r:id="rId1781" tooltip="Send a mail to info@petroni.com.mt"/>
    <x:hyperlink ref="C98" r:id="rId1782" tooltip="Send a mail to info@soundsmart.com.mt"/>
    <x:hyperlink ref="C99" r:id="rId1783" tooltip="Send a mail to info@kcl.com.mt"/>
    <x:hyperlink ref="C100" r:id="rId1784" tooltip="Send a mail to tabletsandmoreelectronics@yahoo.com"/>
    <x:hyperlink ref="C101" r:id="rId1785" tooltip="Send a mail to camrugun@hotmail.com"/>
    <x:hyperlink ref="C102" r:id="rId1786" tooltip="Send a mail to tagulinu@onvol.net"/>
    <x:hyperlink ref="C103" r:id="rId1787" tooltip="Send a mail to etv@etvhomeline.com"/>
    <x:hyperlink ref="C104" r:id="rId1788" tooltip="Send a mail to rightdealcosp@onvol.net"/>
    <x:hyperlink ref="C105" r:id="rId1789" tooltip="Send a mail to info@topchoice.com.mt"/>
    <x:hyperlink ref="C106" r:id="rId1790" tooltip="Send a mail to futurahomeappliances@gmail.com"/>
    <x:hyperlink ref="C107" r:id="rId1791" tooltip="Send a mail to sales@jjscerri.com"/>
    <x:hyperlink ref="C108" r:id="rId1792" tooltip="Send a mail to dpcomfortek@gmail.com"/>
    <x:hyperlink ref="C109" r:id="rId1793" tooltip="Send a mail to consigliohomeappliances@gmail.com"/>
    <x:hyperlink ref="C110" r:id="rId1794" tooltip="Send a mail to bakerspoint1@gmail.com"/>
    <x:hyperlink ref="C111" r:id="rId1795" tooltip="Send a mail to cutajarhifivideocentre@outlook.com"/>
    <x:hyperlink ref="C112" r:id="rId1796" tooltip="Send a mail to sales@flamingo.com.mt"/>
    <x:hyperlink ref="C113" r:id="rId1797" tooltip="Send a mail to info@forestals.com"/>
    <x:hyperlink ref="C114" r:id="rId1798" tooltip="Send a mail to freddies@onvol.net"/>
    <x:hyperlink ref="C115" r:id="rId1799" tooltip="Send a mail to gdatrade@waldonet.net.mt"/>
    <x:hyperlink ref="C116" r:id="rId1800" tooltip="Send a mail to info@hotpointmalta.com"/>
    <x:hyperlink ref="C117" r:id="rId1801" tooltip="Send a mail to showroom@itc-malta.com"/>
    <x:hyperlink ref="C118" r:id="rId1802" tooltip="Send a mail to info@oxfordhouse.com.mt"/>
    <x:hyperlink ref="C119" r:id="rId1803" tooltip="Send a mail to rightdealcosp@onvol.net"/>
    <x:hyperlink ref="C120" r:id="rId1804" tooltip="Send a mail to rotunda@maltanet.net"/>
    <x:hyperlink ref="C121" r:id="rId1805" tooltip="Send a mail to info@ultimate.com.mt"/>
    <x:hyperlink ref="C123" r:id="rId1806" tooltip="Send a mail to info@petroni.com.mt"/>
    <x:hyperlink ref="C124" r:id="rId1807" tooltip="Send a mail to info@soundsmart.com.mt"/>
    <x:hyperlink ref="C125" r:id="rId1808" tooltip="Send a mail to info@kcl.com.mt"/>
    <x:hyperlink ref="C126" r:id="rId1809" tooltip="Send a mail to tabletsandmoreelectronics@yahoo.com"/>
    <x:hyperlink ref="C127" r:id="rId1810" tooltip="Send a mail to futurahomeappliances@gmail.com"/>
    <x:hyperlink ref="C128" r:id="rId1811" tooltip="Send a mail to dpcomfortek@gmail.com"/>
    <x:hyperlink ref="C129" r:id="rId1812" tooltip="Send a mail to consigliohomeappliances@gmail.com"/>
    <x:hyperlink ref="C130" r:id="rId1813" tooltip="Send a mail to info@forestals.com"/>
    <x:hyperlink ref="C131" r:id="rId1814" tooltip="Send a mail to freddies@onvol.net"/>
    <x:hyperlink ref="C132" r:id="rId1815" tooltip="Send a mail to info@hotpointmalta.com"/>
    <x:hyperlink ref="C133" r:id="rId1816" tooltip="Send a mail to showroom@itc-malta.com"/>
    <x:hyperlink ref="C134" r:id="rId1817" tooltip="Send a mail to info@jshousehold.com"/>
    <x:hyperlink ref="C135" r:id="rId1818" tooltip="Send a mail to rightdealcosp@onvol.net"/>
    <x:hyperlink ref="C136" r:id="rId1819" tooltip="Send a mail to rotunda@maltanet.net"/>
    <x:hyperlink ref="C138" r:id="rId1820" tooltip="Send a mail to info@petroni.com.mt"/>
    <x:hyperlink ref="C139" r:id="rId1821" tooltip="Send a mail to info@soundsmart.com.mt"/>
    <x:hyperlink ref="C140" r:id="rId1822" tooltip="Send a mail to info@kcl.com.mt"/>
    <x:hyperlink ref="C141" r:id="rId1823" tooltip="Send a mail to tabletsandmoreelectronics@yahoo.com"/>
    <x:hyperlink ref="C142" r:id="rId1824" tooltip="Send a mail to futurahomeappliances@gmail.com"/>
    <x:hyperlink ref="C143" r:id="rId1825" tooltip="Send a mail to camrugun@hotmail.com"/>
    <x:hyperlink ref="C144" r:id="rId1826" tooltip="Send a mail to tagulinu@onvol.net"/>
    <x:hyperlink ref="C145" r:id="rId1827" tooltip="Send a mail to sales@jjscerri.com"/>
    <x:hyperlink ref="C146" r:id="rId1828" tooltip="Send a mail to dpcomfortek@gmail.com"/>
    <x:hyperlink ref="C147" r:id="rId1829" tooltip="Send a mail to consigliohomeappliances@gmail.com"/>
    <x:hyperlink ref="C148" r:id="rId1830" tooltip="Send a mail to cutajarhifivideocentre@outlook.com"/>
    <x:hyperlink ref="C149" r:id="rId1831" tooltip="Send a mail to info@divine.com.mt"/>
    <x:hyperlink ref="C150" r:id="rId1832" tooltip="Send a mail to sales@flamingo.com.mt"/>
    <x:hyperlink ref="C151" r:id="rId1833" tooltip="Send a mail to info@forestals.com"/>
    <x:hyperlink ref="C152" r:id="rId1834" tooltip="Send a mail to freddies@onvol.net"/>
    <x:hyperlink ref="C153" r:id="rId1835" tooltip="Send a mail to info@hotpointmalta.com"/>
    <x:hyperlink ref="C154" r:id="rId1836" tooltip="Send a mail to showroom@itc-malta.com"/>
    <x:hyperlink ref="C155" r:id="rId1837" tooltip="Send a mail to info@jshousehold.com"/>
    <x:hyperlink ref="C156" r:id="rId1838" tooltip="Send a mail to rightdealcosp@onvol.net"/>
    <x:hyperlink ref="C157" r:id="rId1839" tooltip="Send a mail to rotunda@maltanet.net"/>
    <x:hyperlink ref="C158" r:id="rId1840" tooltip="Send a mail to info@topchoice.com.mt"/>
    <x:hyperlink ref="C159" r:id="rId1841" tooltip="Send a mail to x.treme@onvol.net"/>
    <x:hyperlink ref="C161" r:id="rId1842" tooltip="Send a mail to info@petroni.com.mt"/>
    <x:hyperlink ref="C162" r:id="rId1843" tooltip="Send a mail to info@soundsmart.com.mt"/>
    <x:hyperlink ref="C163" r:id="rId1844" tooltip="Send a mail to info@kcl.com.mt"/>
    <x:hyperlink ref="C164" r:id="rId1845" tooltip="Send a mail to tabletsandmoreelectronics@yahoo.com"/>
    <x:hyperlink ref="C165" r:id="rId1846" tooltip="Send a mail to futurahomeappliances@gmail.com"/>
    <x:hyperlink ref="C166" r:id="rId1847" tooltip="Send a mail to camrugun@hotmail.com"/>
    <x:hyperlink ref="C167" r:id="rId1848" tooltip="Send a mail to sales@jjscerri.com"/>
    <x:hyperlink ref="C168" r:id="rId1849" tooltip="Send a mail to consigliohomeappliances@gmail.com"/>
    <x:hyperlink ref="C169" r:id="rId1850" tooltip="Send a mail to cutajarhifivideocentre@outlook.com"/>
    <x:hyperlink ref="C170" r:id="rId1851" tooltip="Send a mail to info@divine.com.mt"/>
    <x:hyperlink ref="C171" r:id="rId1852" tooltip="Send a mail to sales@flamingo.com.mt"/>
    <x:hyperlink ref="C172" r:id="rId1853" tooltip="Send a mail to freddies@onvol.net"/>
    <x:hyperlink ref="C173" r:id="rId1854" tooltip="Send a mail to gdatrade@waldonet.net.mt"/>
    <x:hyperlink ref="C174" r:id="rId1855" tooltip="Send a mail to info@hotpointmalta.com"/>
    <x:hyperlink ref="C175" r:id="rId1856" tooltip="Send a mail to showroom@itc-malta.com"/>
    <x:hyperlink ref="C176" r:id="rId1857" tooltip="Send a mail to refcold@maltanet.net"/>
    <x:hyperlink ref="C177" r:id="rId1858" tooltip="Send a mail to rightdealcosp@onvol.net"/>
    <x:hyperlink ref="C178" r:id="rId1859" tooltip="Send a mail to rotunda@maltanet.net"/>
    <x:hyperlink ref="C179" r:id="rId1860" tooltip="Send a mail to sales@shaker.com.mt"/>
    <x:hyperlink ref="C180" r:id="rId1861" tooltip="Send a mail to info@fairdealfurniture.com.mt"/>
    <x:hyperlink ref="C181" r:id="rId1862" tooltip="Send a mail to info@joinwellfxb.com"/>
    <x:hyperlink ref="C182" r:id="rId1863" tooltip="Send a mail to contactus@theatrium.com.mt"/>
    <x:hyperlink ref="C183" r:id="rId1864" tooltip="Send a mail to infodesk@form.com.mt"/>
    <x:hyperlink ref="C184" r:id="rId1865" tooltip="Send a mail to info@fino.com.mt"/>
    <x:hyperlink ref="C185" r:id="rId1866" tooltip="Send a mail to info@scavolini.mt"/>
    <x:hyperlink ref="C186" r:id="rId1867" tooltip="Send a mail to info@carmelodelia.com"/>
    <x:hyperlink ref="E2" r:id="rId1868" tooltip="Search Ferraracasa Warehouse&#10;Triq is-Salib ta l-Mriehel&#10;CBD3020 Birkirkara&#10;Malta on Google Maps"/>
    <x:hyperlink ref="E3" r:id="rId1869" tooltip="Search 260 Old Railway Track, Santa Venera SVR 9019 on Google Maps"/>
    <x:hyperlink ref="E4" r:id="rId1870" tooltip="Search Triq Mastru Gorg Cachia Tal-Handaq, Qormi, Malta WRM 4000 on Google Maps"/>
    <x:hyperlink ref="E5" r:id="rId1871" tooltip="Search Triq il-Buskett, Dingli, Malta DGL 2709 on Google Maps"/>
    <x:hyperlink ref="E6" r:id="rId1872" tooltip="Search Triq I-Imdina, Zebbug, Malta ZBG 4351 on Google Maps"/>
    <x:hyperlink ref="E7" r:id="rId1873" tooltip="Search Triq I-Imdina, Attard, Malta ATD 9037 on Google Maps"/>
    <x:hyperlink ref="E8" r:id="rId1874" tooltip="Search Triq I-Imdina, Zebbug, Malta on Google Maps"/>
    <x:hyperlink ref="E9" r:id="rId1875" tooltip="Search 42 Triq ix-Xwieni Albert Town, Marsa, Malta on Google Maps"/>
    <x:hyperlink ref="E10" r:id="rId1876" tooltip="Search Triq il-Kappar, Mosta, Malta MST 4003 on Google Maps"/>
    <x:hyperlink ref="E11" r:id="rId1877" tooltip="Search Triq tal-Balal, San Gwann, Malta SGN 9016 on Google Maps"/>
    <x:hyperlink ref="E12" r:id="rId1878" tooltip="Search Triq il-Wied ta' I-Imsida, Msida, Malta MSD 9091 on Google Maps"/>
    <x:hyperlink ref="E13" r:id="rId1879" tooltip="Search Triq Mannarino, B'Kara, Malta BKR 9085 on Google Maps"/>
    <x:hyperlink ref="E14" r:id="rId1880" tooltip="Search Triq il-Wied Ta' L-Imsida, B'Kara, Malta BKR 9025 on Google Maps"/>
    <x:hyperlink ref="E15" r:id="rId1881" tooltip="Search Triq Papa Gwanni Pawlu ll, Victoria-Gozo, Gozo VCT 9046 on Google Maps"/>
    <x:hyperlink ref="E16" r:id="rId1882" tooltip="Search 1 Triq il-Kanun, Qormi, Malta QRM 9036 on Google Maps"/>
    <x:hyperlink ref="E17" r:id="rId1883" tooltip="Search A 23 Triq Giuseppe Garibaldi, Marsa, Malta MRS 9082 on Google Maps"/>
    <x:hyperlink ref="E18" r:id="rId1884" tooltip="Search Triq I-Imdina, Qormi, Malta QRM 9011 on Google Maps"/>
    <x:hyperlink ref="E19" r:id="rId1885" tooltip="Search HF 5A Qasam Industrijali, Hal Far, B'Bugia, Malta BBG 3000 on Google Maps"/>
    <x:hyperlink ref="E20" r:id="rId1886" tooltip="Search 135 Triq il-Kuncizzjoni, Qala-Gozo, Gozo QLA 1701 on Google Maps"/>
    <x:hyperlink ref="E21" r:id="rId1887" tooltip="Search Triq il-Wied ta' I-Imsida, Msida, Malta MSD 9022 on Google Maps"/>
    <x:hyperlink ref="E22" r:id="rId1888" tooltip="Search G G X 0053 Qasam Industrijali, Xewkija-Gozo, Gozo XWK 3000 on Google Maps"/>
    <x:hyperlink ref="E23" r:id="rId1889" tooltip="Search Triq Valletta Mosta Technopark, Mosta, Malta MST 3000 on Google Maps"/>
    <x:hyperlink ref="E24" r:id="rId1890" tooltip="Search Triq L-Imdina, Zone 2, Central Business District, Birkirkara CBD 2010, Malta on Google Maps"/>
    <x:hyperlink ref="E25" r:id="rId1891" tooltip="Search T/G fi triq l-Imdina, Zebbug, Malta ZBG 5011 on Google Maps"/>
    <x:hyperlink ref="E26" r:id="rId1892" tooltip="Search Triq l-Isqof Buhagiar, Paola, Malta PLA 1111 on Google Maps"/>
    <x:hyperlink ref="E27" r:id="rId1893" tooltip="Search 86 Triq Vallettaa, Luqa, Malta LQA 1762 on Google Maps"/>
    <x:hyperlink ref="E28" r:id="rId1894" tooltip="Search Triq il-Mosta, Lija, Malta LIJA 9012 on Google Maps"/>
    <x:hyperlink ref="E29" r:id="rId1895" tooltip="Search 91 Triq il-Kbira San Guzepp, Hamrun, Malta HMR 1017 on Google Maps"/>
    <x:hyperlink ref="E30" r:id="rId1896" tooltip="Search 32 ll-Moll tal-Hatab, Marsa, Malta MRS 1440 on Google Maps"/>
    <x:hyperlink ref="E31" r:id="rId1897" tooltip="Search Triq il-Wied, B'Kara, Malta BKR 9021 on Google Maps"/>
    <x:hyperlink ref="E32" r:id="rId1898" tooltip="Search Dawert I-Imriehel, Qormi, Malta QRM 9052 on Google Maps"/>
    <x:hyperlink ref="E33" r:id="rId1899" tooltip="Search Proman Interiors,&#10;115, Valley Road,&#10;B'Kara. BKR 9022.&#10;Malta on Google Maps"/>
    <x:hyperlink ref="E34" r:id="rId1900" tooltip="Search Triq il-Buskett, Dingli, Malta DGL 2709 on Google Maps"/>
    <x:hyperlink ref="E35" r:id="rId1901" tooltip="Search Triq I-Imdina, Zebbug, Malta ZBG 4351 on Google Maps"/>
    <x:hyperlink ref="E36" r:id="rId1902" tooltip="Search Triq tal-Balal, San Gwann, Malta SGN 9016 on Google Maps"/>
    <x:hyperlink ref="E37" r:id="rId1903" tooltip="Search 42 Triq ix-Xwieni Albert Town, Marsa, Malta on Google Maps"/>
    <x:hyperlink ref="E38" r:id="rId1904" tooltip="Search Triq il-Kappar, Mosta, Malta MST 4003 on Google Maps"/>
    <x:hyperlink ref="E39" r:id="rId1905" tooltip="Search Triq il-Wied ta' I-Imsida, Msida, Malta MSD 9091 on Google Maps"/>
    <x:hyperlink ref="E40" r:id="rId1906" tooltip="Search Triq il-Wied Ta' L-Imsida, B'Kara, Malta BKR 9025 on Google Maps"/>
    <x:hyperlink ref="E41" r:id="rId1907" tooltip="Search 1 Triq il-Kanun, Qormi, Malta QRM 9036 on Google Maps"/>
    <x:hyperlink ref="E42" r:id="rId1908" tooltip="Search HF 5A Qasam Industrijali, Hal Far, B'Bugia, Malta BBG 3000 on Google Maps"/>
    <x:hyperlink ref="E43" r:id="rId1909" tooltip="Search Triq il-Wied ta' I-Imsida, Msida, Malta MSD 9022 on Google Maps"/>
    <x:hyperlink ref="E44" r:id="rId1910" tooltip="Search Factory M 10, Zone 4 Triq ll-Furnara Central Business District on Google Maps"/>
    <x:hyperlink ref="E45" r:id="rId1911" tooltip="Search Casa Santa Rita Triq Santa Marta, Victoria-Gozo, Gozo VCT 2552 on Google Maps"/>
    <x:hyperlink ref="E46" r:id="rId1912" tooltip="Search 25 Triq il-Kataniz, Zebbug, Malta ZBG 2831 on Google Maps"/>
    <x:hyperlink ref="E47" r:id="rId1913" tooltip="Search 61 St Liberata Triq Santa Liberata, Kalkara, Malta KKR 1612 on Google Maps"/>
    <x:hyperlink ref="E48" r:id="rId1914" tooltip="Search 184, 186 Triq Qormi, Marsa, Malta MRS 9044 on Google Maps"/>
    <x:hyperlink ref="E49" r:id="rId1915" tooltip="Search Triq il-Mosta, Lija, Malta LIJA 9012 on Google Maps"/>
    <x:hyperlink ref="E50" r:id="rId1916" tooltip="Search Triq L-Imdina, Zone 2, Central Business District, Birkirkara CBD 2010, Malta on Google Maps"/>
    <x:hyperlink ref="E51" r:id="rId1917" tooltip="Search 13 Censu Bugeja, L-Iklin BZN 1170 on Google Maps"/>
    <x:hyperlink ref="E52" r:id="rId1918" tooltip="Search Triq il-Wied Ta' L-Imsida, B'Kara, Malta BKR 9025 on Google Maps"/>
    <x:hyperlink ref="E53" r:id="rId1919" tooltip="Search 1, Triq Pietru Felici, Qormi, Malta on Google Maps"/>
    <x:hyperlink ref="E54" r:id="rId1920" tooltip="Search 162 Cannon Road, Santa Venera, SVR 9034, Malta on Google Maps"/>
    <x:hyperlink ref="E55" r:id="rId1921" tooltip="Search ABRA, Triq L-Imdina ATTARD, ATD 9037 on Google Maps"/>
    <x:hyperlink ref="E56" r:id="rId1922" tooltip="Search Fino Buildings,&#10;Triq l-Imdina, Zone 4,&#10;Mriehel/Central Business District&#10;CBD 4010, Malta on Google Maps"/>
    <x:hyperlink ref="E57" r:id="rId1923" tooltip="Search Triq I-Isof Labini, B'Kara, Malta BKR 1275 on Google Maps"/>
    <x:hyperlink ref="E58" r:id="rId1924" tooltip="Search Triq I-Imdina, Zebbug, Malta ZBG 4351 on Google Maps"/>
    <x:hyperlink ref="E59" r:id="rId1925" tooltip="Search Triq Papa Gwanni Pawlu ll, Victoria-Gozo, Gozo VCT 9046 on Google Maps"/>
    <x:hyperlink ref="E60" r:id="rId1926" tooltip="Search Triq tal-Balal, San Gwann, Malta SGN 9016 on Google Maps"/>
    <x:hyperlink ref="E61" r:id="rId1927" tooltip="Search Triq il-Kappar, Mosta, Malta MST 4003 on Google Maps"/>
    <x:hyperlink ref="E62" r:id="rId1928" tooltip="Search Triq tal-Balal, San Gwann, Malta SGN 9016 on Google Maps"/>
    <x:hyperlink ref="E63" r:id="rId1929" tooltip="Search Tip Top Bldgs Triq Haz-Zabbar on Google Maps"/>
    <x:hyperlink ref="E64" r:id="rId1930" tooltip="Search 33 Triq l-Oleandru, San Giljan, Malta on Google Maps"/>
    <x:hyperlink ref="E65" r:id="rId1931" tooltip="Search Dawert I-Imriehel, Qormi, Malta QRM 9052 on Google Maps"/>
    <x:hyperlink ref="E66" r:id="rId1932" tooltip="Search KW 17b Qasam Industrijali, Kordin, Paola, Malta PLA 3000 on Google Maps"/>
    <x:hyperlink ref="E67" r:id="rId1933" tooltip="Search 117 Dalli Yard Triq Hal Tarxien, Gudja, Malta on Google Maps"/>
    <x:hyperlink ref="E68" r:id="rId1934" tooltip="Search T/G fi triq l-Imdina, Zebbug, Malta ZBG 5011 on Google Maps"/>
    <x:hyperlink ref="E69" r:id="rId1935" tooltip="Search Triq il-Wied Ta' L-Imsida, B'Kara, Malta BKR 9022 on Google Maps"/>
    <x:hyperlink ref="E70" r:id="rId1936" tooltip="Search Triq I-Isqof Buhagiar, Paola, Malta PLA 1111 on Google Maps"/>
    <x:hyperlink ref="E71" r:id="rId1937" tooltip="Search San Gwakkin Building Triq Gwakkin Central Business District, B'Kara, Malta CBD 4020 on Google Maps"/>
    <x:hyperlink ref="E72" r:id="rId1938" tooltip="Search 40 Qasam Industrijali, Luqa, Malta LQA 3000 on Google Maps"/>
    <x:hyperlink ref="E73" r:id="rId1939" tooltip="Search Triq il-Pitkali, Attard, Malta on Google Maps"/>
    <x:hyperlink ref="E74" r:id="rId1940" tooltip="Search 61 St Liberata Triq Santa Liberata, Kalkara, Malta KKR 1612 on Google Maps"/>
    <x:hyperlink ref="E75" r:id="rId1941" tooltip="Search Triq il-Wied Ta' L-Imsida, B'Kara, Malta BKR 9025 on Google Maps"/>
    <x:hyperlink ref="E76" r:id="rId1942" tooltip="Search 69 Triq Hal Qormi, Hamrun, Malta HMR 2183 on Google Maps"/>
    <x:hyperlink ref="E77" r:id="rId1943" tooltip="Search 346 Triq I-Imdina, Qormi, Malta QRM 9014 on Google Maps"/>
    <x:hyperlink ref="E78" r:id="rId1944" tooltip="Search Triq Gorg Borg Olivier, Vicotria-Gozo, Gozo VCT 2515 on Google Maps"/>
    <x:hyperlink ref="E79" r:id="rId1945" tooltip="Search Triq il-Kbira, Mellieha, Malta MLH 2317 on Google Maps"/>
    <x:hyperlink ref="E80" r:id="rId1946" tooltip="Search Triq il-Mosta, Lija, Malta LIJA 9012 on Google Maps"/>
    <x:hyperlink ref="E81" r:id="rId1947" tooltip="Search Qasam Industrijali, Luqa Malta LQA 3000 on Google Maps"/>
    <x:hyperlink ref="E82" r:id="rId1948" tooltip="Search 154 Triq il-Kappilan Mifsud, Sta Venera, Malta on Google Maps"/>
    <x:hyperlink ref="E83" r:id="rId1949" tooltip="Search Triq il-Wied ta' I-Imsida, Msida, Malta MSD 9022 on Google Maps"/>
    <x:hyperlink ref="E84" r:id="rId1950" tooltip="Search Qasam Industrijali Ta' Qali, Attard, Malta ATD 4000 on Google Maps"/>
    <x:hyperlink ref="E85" r:id="rId1951" tooltip="Search Kw 19D Qasam Industrijali, Kordin, Paola, Malta PLA 3000 on Google Maps"/>
    <x:hyperlink ref="E86" r:id="rId1952" tooltip="Search 91 Triq il-Kbira San Guzepp, Hamrun, Malta HMR 1017 on Google Maps"/>
    <x:hyperlink ref="E87" r:id="rId1953" tooltip="Search 210 Triq il-Ferrovija, Sta Venera, Malta SVR 9019 on Google Maps"/>
    <x:hyperlink ref="E88" r:id="rId1954" tooltip="Search Triq il-Wied, B'Kara, Malta BKR 9021 on Google Maps"/>
    <x:hyperlink ref="E89" r:id="rId1955" tooltip="Search Triq il-Ferrovija, Sta Venera, Malta SVR 9019 on Google Maps"/>
    <x:hyperlink ref="E90" r:id="rId1956" tooltip="Search Triq Ponosonby, Mosta, Malta MST 4039 on Google Maps"/>
    <x:hyperlink ref="E91" r:id="rId1957" tooltip="Search 197 Triq I-Imdina, Qormi, Malta QRM 9012 on Google Maps"/>
    <x:hyperlink ref="E92" r:id="rId1958" tooltip="Search BLB 021 Qasam Industrijali, Bulebel, Zejtun, Malta ZTN 3000 on Google Maps"/>
    <x:hyperlink ref="E93" r:id="rId1959" tooltip="Search Triq il-Wied ta' I-Imsida, Msida, Malta MSD 9022 on Google Maps"/>
    <x:hyperlink ref="E94" r:id="rId1960" tooltip="Search Triq il-Kostituzzjoni, Mosta, Malta MST 9050 on Google Maps"/>
    <x:hyperlink ref="E95" r:id="rId1961" tooltip="Search 22, Triq Sant' Elija, B'Kara, Malta BKR 2064 on Google Maps"/>
    <x:hyperlink ref="E96" r:id="rId1962" tooltip="Search 12 Triq il-Hammieri, Qormi, Malta on Google Maps"/>
    <x:hyperlink ref="E97" r:id="rId1963" tooltip="Search 18 Wesghat il-Knisja tan-Nattivita, Bormla, Malta BML 1650 on Google Maps"/>
    <x:hyperlink ref="E98" r:id="rId1964" tooltip="Search 10 Misrah I' Isle Adam, Rabat, Malta RBT 1169 on Google Maps"/>
    <x:hyperlink ref="E99" r:id="rId1965" tooltip="Search Triq San Tumas, Luqa, Malta LQA 9031 on Google Maps"/>
    <x:hyperlink ref="E100" r:id="rId1966" tooltip="Search Misrah Gavino Gulia, Bormla on Google Maps"/>
    <x:hyperlink ref="E101" r:id="rId1967" tooltip="Search 280 Triq il-Kbira San Guzepp, Hamrun on Google Maps"/>
    <x:hyperlink ref="E102" r:id="rId1968" tooltip="Search 220 Triq in-Naxxar, San Gwann, Malta SGN 9030 on Google Maps"/>
    <x:hyperlink ref="E103" r:id="rId1969" tooltip="Search Triq il-Kappillan Mifsud, Sta Venera on Google Maps"/>
    <x:hyperlink ref="E104" r:id="rId1970" tooltip="Search Vjal I-Infiprndenza, Mosta on Google Maps"/>
    <x:hyperlink ref="E105" r:id="rId1971" tooltip="Search Triq Valetta, Mosta, Malta on Google Maps"/>
    <x:hyperlink ref="E106" r:id="rId1972" tooltip="Search Triq it-Tabib Nikol Zammit, Siggiewi, Malta SHW 3075 on Google Maps"/>
    <x:hyperlink ref="E107" r:id="rId1973" tooltip="Search 91 Triq is-Santwarju, Zabbar on Google Maps"/>
    <x:hyperlink ref="E108" r:id="rId1974" tooltip="Search Zone 5 Triq ll-Kanun Central Business District, Qormi, Malta CBD 5060 on Google Maps"/>
    <x:hyperlink ref="E109" r:id="rId1975" tooltip="Search Zone 3 Triq L-Intornjatur Central Business District, B'Kara, Malta CBD 3050 on Google Maps"/>
    <x:hyperlink ref="E110" r:id="rId1976" tooltip="Search Triq il-Kungress Ewkaristiku, Mosta on Google Maps"/>
    <x:hyperlink ref="E111" r:id="rId1977" tooltip="Search 146 Triq Sant' Orsla Victoria-Gozo on Google Maps"/>
    <x:hyperlink ref="E112" r:id="rId1978" tooltip="Search Triq il-Wied, B'Kara on Google Maps"/>
    <x:hyperlink ref="E113" r:id="rId1979" tooltip="Search Triq Nazzjonali Blata L-Blajda, Hamrun, Malta HMR 9012 on Google Maps"/>
    <x:hyperlink ref="E114" r:id="rId1980" tooltip="Search Zone 2 Triq L-Imdina Central Business District, B'Kara, Malta CBD 2010 on Google Maps"/>
    <x:hyperlink ref="E115" r:id="rId1981" tooltip="Search Misrah Gavino Gulia, Bormla on Google Maps"/>
    <x:hyperlink ref="E116" r:id="rId1982" tooltip="Search 7, 9 Rotunda Dept Stores Triq il-Kungress Ewkaristiku, Mosta on Google Maps"/>
    <x:hyperlink ref="E117" r:id="rId1983" tooltip="Search Triq Salvu Busuttil, San Gwann on Google Maps"/>
    <x:hyperlink ref="E118" r:id="rId1984" tooltip="Search BLB 021 Qasam Industrijali, Bulebel, Zejtun, Malta ZTN 3000 on Google Maps"/>
    <x:hyperlink ref="E119" r:id="rId1985" tooltip="Search Triq il-Wied ta' I-Imsida, Msida, Malta MSD 9022 on Google Maps"/>
    <x:hyperlink ref="E120" r:id="rId1986" tooltip="Search Triq il-Kostituzzjoni, Mosta, Malta MST 9050 on Google Maps"/>
    <x:hyperlink ref="E121" r:id="rId1987" tooltip="Search 22, Triq Sant' Elija, B'Kara, Malta BKR 2064 on Google Maps"/>
    <x:hyperlink ref="E122" r:id="rId1988" tooltip="Search 12 Triq il-Hammieri, Qormi, Malta on Google Maps"/>
    <x:hyperlink ref="E123" r:id="rId1989" tooltip="Search 220 Triq in-Naxxar, San Gwann, Malta SGN 9030 on Google Maps"/>
    <x:hyperlink ref="E124" r:id="rId1990" tooltip="Search Vjal I-Infiprndenza, Mosta on Google Maps"/>
    <x:hyperlink ref="E125" r:id="rId1991" tooltip="Search Triq Valetta, Mosta, Malta on Google Maps"/>
    <x:hyperlink ref="E126" r:id="rId1992" tooltip="Search Zone 3 Triq L-Intornjatur Central Business District, B'Kara, Malta CBD 3050 on Google Maps"/>
    <x:hyperlink ref="E127" r:id="rId1993" tooltip="Search Triq il-Kungress Ewkaristiku, Mosta on Google Maps"/>
    <x:hyperlink ref="E128" r:id="rId1994" tooltip="Search Triq il-Wied, B'Kara on Google Maps"/>
    <x:hyperlink ref="E129" r:id="rId1995" tooltip="Search Triq Nazzjonali Blata L-Blajda, Hamrun, Malta HMR 9012 on Google Maps"/>
    <x:hyperlink ref="E130" r:id="rId1996" tooltip="Search 71 Triq il-Buqexrem, Fgura on Google Maps"/>
    <x:hyperlink ref="E131" r:id="rId1997" tooltip="Search Misrah Gavino Gulia, Bormla on Google Maps"/>
    <x:hyperlink ref="E132" r:id="rId1998" tooltip="Search 7, 9 Rotunda Dept Stores Triq il-Kungress Ewkaristiku, Mosta on Google Maps"/>
    <x:hyperlink ref="E133" r:id="rId1999" tooltip="Search BLB 021 Qasam Industrijali, Bulebel, Zejtun, Malta ZTN 3000 on Google Maps"/>
    <x:hyperlink ref="E134" r:id="rId2000" tooltip="Search Triq il-Wied ta' I-Imsida, Msida, Malta MSD 9022 on Google Maps"/>
    <x:hyperlink ref="E135" r:id="rId2001" tooltip="Search Triq il-Kostituzzjoni, Mosta, Malta MST 9050 on Google Maps"/>
    <x:hyperlink ref="E136" r:id="rId2002" tooltip="Search 22, Triq Sant' Elija, B'Kara, Malta BKR 2064 on Google Maps"/>
    <x:hyperlink ref="E137" r:id="rId2003" tooltip="Search 12 Triq il-Hammieri, Qormi, Malta on Google Maps"/>
    <x:hyperlink ref="E138" r:id="rId2004" tooltip="Search 220 Triq in-Naxxar, San Gwann, Malta SGN 9030 on Google Maps"/>
    <x:hyperlink ref="E139" r:id="rId2005" tooltip="Search 18 Wesghat il-Knisja tan-Nattivita, Bormla, Malta BML 1650 on Google Maps"/>
    <x:hyperlink ref="E140" r:id="rId2006" tooltip="Search 10 Misrah I' Isle Adam, Rabat, Malta RBT 1169 on Google Maps"/>
    <x:hyperlink ref="E141" r:id="rId2007" tooltip="Search Triq il-Kappillan Mifsud, Sta Venera on Google Maps"/>
    <x:hyperlink ref="E142" r:id="rId2008" tooltip="Search Vjal I-Infiprndenza, Mosta on Google Maps"/>
    <x:hyperlink ref="E143" r:id="rId2009" tooltip="Search Triq Valetta, Mosta, Malta on Google Maps"/>
    <x:hyperlink ref="E144" r:id="rId2010" tooltip="Search 91 Triq is-Santwarju, Zabbar on Google Maps"/>
    <x:hyperlink ref="E145" r:id="rId2011" tooltip="Search Triq Gorg Borg Olivier, Victoria-Gozo, Gozo VCT 2514 on Google Maps"/>
    <x:hyperlink ref="E146" r:id="rId2012" tooltip="Search Zone 5 Triq ll-Kanun Central Business District, Qormi, Malta CBD 5060 on Google Maps"/>
    <x:hyperlink ref="E147" r:id="rId2013" tooltip="Search Zone 3 Triq L-Intornjatur Central Business District, B'Kara, Malta CBD 3050 on Google Maps"/>
    <x:hyperlink ref="E148" r:id="rId2014" tooltip="Search Triq il-Kungress Ewkaristiku, Mosta on Google Maps"/>
    <x:hyperlink ref="E149" r:id="rId2015" tooltip="Search Triq il-Wied, B'Kara on Google Maps"/>
    <x:hyperlink ref="E150" r:id="rId2016" tooltip="Search Triq Nazzjonali Blata L-Blajda, Hamrun, Malta HMR 9012 on Google Maps"/>
    <x:hyperlink ref="E151" r:id="rId2017" tooltip="Search 71 Triq il-Buqexrem, Fgura on Google Maps"/>
    <x:hyperlink ref="E152" r:id="rId2018" tooltip="Search Misrah Gavino Gulia, Bormla on Google Maps"/>
    <x:hyperlink ref="E153" r:id="rId2019" tooltip="Search 7, 9 Rotunda Dept Stores Triq il-Kungress Ewkaristiku, Mosta on Google Maps"/>
    <x:hyperlink ref="E154" r:id="rId2020" tooltip="Search 280 Triq il-Kbira San Guzepp, Hamrun on Google Maps"/>
    <x:hyperlink ref="E155" r:id="rId2021" tooltip="Search Triq Gorg Borg Olivier, Victoria-Gozo, Gozo VCT 2514 on Google Maps"/>
    <x:hyperlink ref="E156" r:id="rId2022" tooltip="Search BLB 021 Qasam Industrijali, Bulebel, Zejtun, Malta ZTN 3000 on Google Maps"/>
    <x:hyperlink ref="E157" r:id="rId2023" tooltip="Search Triq il-Wied ta' I-Imsida, Msida, Malta MSD 9022 on Google Maps"/>
    <x:hyperlink ref="E158" r:id="rId2024" tooltip="Search Triq il-Kostituzzjoni, Mosta, Malta MST 9050 on Google Maps"/>
    <x:hyperlink ref="E159" r:id="rId2025" tooltip="Search 22, Triq Sant' Elija, B'Kara, Malta BKR 2064 on Google Maps"/>
    <x:hyperlink ref="E160" r:id="rId2026" tooltip="Search 12 Triq il-Hammieri, Qormi, Malta on Google Maps"/>
    <x:hyperlink ref="E161" r:id="rId2027" tooltip="Search 220 Triq in-Naxxar, San Gwann, Malta SGN 9030 on Google Maps"/>
    <x:hyperlink ref="E162" r:id="rId2028" tooltip="Search 18 Wesghat il-Knisja tan-Nattivita, Bormla, Malta BML 1650 on Google Maps"/>
    <x:hyperlink ref="E163" r:id="rId2029" tooltip="Search Triq il-Kappillan Mifsud, Sta Venera on Google Maps"/>
    <x:hyperlink ref="E164" r:id="rId2030" tooltip="Search Triq Valetta, Mosta, Malta on Google Maps"/>
    <x:hyperlink ref="E165" r:id="rId2031" tooltip="Search 91 Triq is-Santwarju, Zabbar on Google Maps"/>
    <x:hyperlink ref="E166" r:id="rId2032" tooltip="Search Triq Gorg Borg Olivier, Victoria-Gozo, Gozo VCT 2514 on Google Maps"/>
    <x:hyperlink ref="E167" r:id="rId2033" tooltip="Search Zone 5 Triq ll-Kanun Central Business District, Qormi, Malta CBD 5060 on Google Maps"/>
    <x:hyperlink ref="E168" r:id="rId2034" tooltip="Search Triq il-Kungress Ewkaristiku, Mosta on Google Maps"/>
    <x:hyperlink ref="E169" r:id="rId2035" tooltip="Search 146 Triq Sant' Orsla Victoria-Gozo on Google Maps"/>
    <x:hyperlink ref="E170" r:id="rId2036" tooltip="Search Triq il-Wied, B'Kara on Google Maps"/>
    <x:hyperlink ref="E171" r:id="rId2037" tooltip="Search Triq Nazzjonali Blata L-Blajda, Hamrun, Malta HMR 9012 on Google Maps"/>
    <x:hyperlink ref="E172" r:id="rId2038" tooltip="Search Triq Fortunato Mizzi, Victoria-Gozo on Google Maps"/>
    <x:hyperlink ref="E173" r:id="rId2039" tooltip="Search Misrah Gavino Gulia, Bormla on Google Maps"/>
    <x:hyperlink ref="E174" r:id="rId2040" tooltip="Search 7, 9 Rotunda Dept Stores Triq il-Kungress Ewkaristiku, Mosta on Google Maps"/>
    <x:hyperlink ref="E175" r:id="rId2041" tooltip="Search 3, Triq il Gibjun, San Gwann, SGN 052, Malta on Google Maps"/>
    <x:hyperlink ref="E176" r:id="rId2042" tooltip="Search Fairdeal Furniture Malta LTD&#10;Mdina Road&#10;Zebbug, Malta on Google Maps"/>
    <x:hyperlink ref="E177" r:id="rId2043" tooltip="Search JoinwellFXB,&#10;Triq il-Mithna, Central Business District,&#10;Qormi, CBD 5090 on Google Maps"/>
    <x:hyperlink ref="E178" r:id="rId2044" tooltip="Search Triq Il-Wied Ta’ L-Imsida, L-Imsida on Google Maps"/>
    <x:hyperlink ref="E179" r:id="rId2045" tooltip="Search Birkirkara by-pass, Birkirkara, Malta, BKR 9037&#10;Links on Google Maps"/>
    <x:hyperlink ref="E180" r:id="rId2046" tooltip="Search Valley Road, Birkirkara on Google Maps"/>
    <x:hyperlink ref="F2" r:id="rId2047" tooltip="Visit ferraramalta.com/"/>
    <x:hyperlink ref="F3" r:id="rId2048" tooltip="Visit styleinterni.com/"/>
    <x:hyperlink ref="F4" r:id="rId2049" tooltip="Visit sghendo.com"/>
    <x:hyperlink ref="F5" r:id="rId2050" tooltip="Visit desanamarbles.com"/>
    <x:hyperlink ref="F6" r:id="rId2051" tooltip="Visit fairdealfurniture.com.mt"/>
    <x:hyperlink ref="F7" r:id="rId2052" tooltip="Visit artathomemalta.com"/>
    <x:hyperlink ref="F8" r:id="rId2053" tooltip="Visit lowcostfurniture.com.mt"/>
    <x:hyperlink ref="F9" r:id="rId2054" tooltip="Visit fvcarpentry.com"/>
    <x:hyperlink ref="F10" r:id="rId2055" tooltip="Visit facebook.com/people/Top-Drawer-Ltd/100057222588942/"/>
    <x:hyperlink ref="F11" r:id="rId2056" tooltip="Visit brands.com.mt"/>
    <x:hyperlink ref="F12" r:id="rId2057" tooltip="Visit domestica.com.mt"/>
    <x:hyperlink ref="F13" r:id="rId2058" tooltip="Visit core.com.mt"/>
    <x:hyperlink ref="F14" r:id="rId2059" tooltip="Visit dinofino.com"/>
    <x:hyperlink ref="F15" r:id="rId2060" tooltip="Visit distincthomes.com.mt"/>
    <x:hyperlink ref="F16" r:id="rId2061" tooltip="Visit grixtimobili.com"/>
    <x:hyperlink ref="F17" r:id="rId2062" tooltip="Visit jdsfurniture.com"/>
    <x:hyperlink ref="F18" r:id="rId2063" tooltip="Visit krea.com.mt"/>
    <x:hyperlink ref="F19" r:id="rId2064" tooltip="Visit kubekgroup.com"/>
    <x:hyperlink ref="F21" r:id="rId2065" tooltip="Visit petroni.com.mt"/>
    <x:hyperlink ref="F22" r:id="rId2066" tooltip="Visit sgwoodworks.com"/>
    <x:hyperlink ref="F23" r:id="rId2067" tooltip="Visit wellmadewoodworks.com.mt"/>
    <x:hyperlink ref="F24" r:id="rId2068" tooltip="Visit oxfordhouse.com.mt"/>
    <x:hyperlink ref="F25" r:id="rId2069" tooltip="Visit facebook.com/treedfurnituremalta?locale=nn_NO"/>
    <x:hyperlink ref="F26" r:id="rId2070" tooltip="Visit casaformfurniture.com"/>
    <x:hyperlink ref="F27" r:id="rId2071" tooltip="Visit ciantarwoodworks.com"/>
    <x:hyperlink ref="F28" r:id="rId2072" tooltip="Visit danielwoodworksmalta.com"/>
    <x:hyperlink ref="F29" r:id="rId2073" tooltip="Visit jysk.com.mt"/>
    <x:hyperlink ref="F30" r:id="rId2074" tooltip="Visit lepseg.wix.com/richard-furniture"/>
    <x:hyperlink ref="F31" r:id="rId2075" tooltip="Visit rusticahome.com.mt/site/"/>
    <x:hyperlink ref="F32" r:id="rId2076" tooltip="Visit spaces.com.mt"/>
    <x:hyperlink ref="F33" r:id="rId2077" tooltip="Visit rliving.com.mt"/>
    <x:hyperlink ref="F34" r:id="rId2078" tooltip="Visit facebook.com/treedfurnituremalta?locale=nn_NO"/>
    <x:hyperlink ref="F35" r:id="rId2079" tooltip="Visit promaninteriors.com/"/>
    <x:hyperlink ref="F36" r:id="rId2080" tooltip="Visit desanamarbles.com"/>
    <x:hyperlink ref="F37" r:id="rId2081" tooltip="Visit fairdealfurniture.com.mt"/>
    <x:hyperlink ref="F38" r:id="rId2082" tooltip="Visit brands.com.mt"/>
    <x:hyperlink ref="F39" r:id="rId2083" tooltip="Visit fvcarpentry.com"/>
    <x:hyperlink ref="F40" r:id="rId2084" tooltip="Visit facebook.com/people/Top-Drawer-Ltd/100057222588942/"/>
    <x:hyperlink ref="F41" r:id="rId2085" tooltip="Visit domestica.com.mt"/>
    <x:hyperlink ref="F42" r:id="rId2086" tooltip="Visit dinofino.com"/>
    <x:hyperlink ref="F43" r:id="rId2087" tooltip="Visit grixtimobili.com"/>
    <x:hyperlink ref="F44" r:id="rId2088" tooltip="Visit kubekgroup.com"/>
    <x:hyperlink ref="F45" r:id="rId2089" tooltip="Visit petroni.com.mt"/>
    <x:hyperlink ref="F46" r:id="rId2090" tooltip="Visit facebook.com/treedfurnituremalta?locale=nn_NO"/>
    <x:hyperlink ref="F47" r:id="rId2091" tooltip="Visit renovamalta.com"/>
    <x:hyperlink ref="F48" r:id="rId2092" tooltip="Visit merciecaeventsuppliers.com"/>
    <x:hyperlink ref="F49" r:id="rId2093" tooltip="Visit silvioschairs.com"/>
    <x:hyperlink ref="F50" r:id="rId2094" tooltip="Visit fg.com.mt"/>
    <x:hyperlink ref="F51" r:id="rId2095" tooltip="Visit facebook.com/mfcompanyltd"/>
    <x:hyperlink ref="F52" r:id="rId2096" tooltip="Visit jysk.com.mt"/>
    <x:hyperlink ref="F53" r:id="rId2097" tooltip="Visit oxfordhouse.com.mt"/>
    <x:hyperlink ref="F54" r:id="rId2098" tooltip="Visit powerhousemalta.eu"/>
    <x:hyperlink ref="F55" r:id="rId2099" tooltip="Visit dinofino.com"/>
    <x:hyperlink ref="F56" r:id="rId2100" tooltip="Visit homesbybdi.com"/>
    <x:hyperlink ref="F57" r:id="rId2101" tooltip="Visit maltashopper.com"/>
    <x:hyperlink ref="F58" r:id="rId2102" tooltip="Visit abra.com.mt"/>
    <x:hyperlink ref="F59" r:id="rId2103" tooltip="Visit fino.com.mt/"/>
    <x:hyperlink ref="F60" r:id="rId2104" tooltip="Visit patroleamalta.com"/>
    <x:hyperlink ref="F61" r:id="rId2105" tooltip="Visit fairdealfurniture.com.mt"/>
    <x:hyperlink ref="F62" r:id="rId2106" tooltip="Visit newline.com.mt"/>
    <x:hyperlink ref="F63" r:id="rId2107" tooltip="Visit brands.com.mt"/>
    <x:hyperlink ref="F64" r:id="rId2108" tooltip="Visit facebook.com/people/Top-Drawer-Ltd/100057222588942/"/>
    <x:hyperlink ref="F65" r:id="rId2109" tooltip="Visit boconcept.com/en-mt/"/>
    <x:hyperlink ref="F66" r:id="rId2110" tooltip="Visit indexmalta.com"/>
    <x:hyperlink ref="F67" r:id="rId2111" tooltip="Visit malta-design.com"/>
    <x:hyperlink ref="F68" r:id="rId2112" tooltip="Visit rliving.com.mt"/>
    <x:hyperlink ref="F69" r:id="rId2113" tooltip="Visit facebook.com/woodworksfava/"/>
    <x:hyperlink ref="F71" r:id="rId2114" tooltip="Visit casaformfurniture.com"/>
    <x:hyperlink ref="F72" r:id="rId2115" tooltip="Visit casconehome.com"/>
    <x:hyperlink ref="F73" r:id="rId2116" tooltip="Visit ciantarwoodworks.com"/>
    <x:hyperlink ref="F74" r:id="rId2117" tooltip="Visit ecasa.com.mt"/>
    <x:hyperlink ref="F75" r:id="rId2118" tooltip="Visit constructfurniture.com.mt"/>
    <x:hyperlink ref="F77" r:id="rId2119" tooltip="Visit fg.com.mt"/>
    <x:hyperlink ref="F78" r:id="rId2120" tooltip="Visit dinofino.com"/>
    <x:hyperlink ref="F80" r:id="rId2121" tooltip="Visit fxb.com.mt"/>
    <x:hyperlink ref="F81" r:id="rId2122" tooltip="Visit gozoarts.com.mt"/>
    <x:hyperlink ref="F82" r:id="rId2123" tooltip="Visit jdsfurniture.com"/>
    <x:hyperlink ref="F83" r:id="rId2124" tooltip="Visit jysk.com.mt"/>
    <x:hyperlink ref="F84" r:id="rId2125" tooltip="Visit mobiliapenza.com"/>
    <x:hyperlink ref="F85" r:id="rId2126" tooltip="Visit mucciomobili.it"/>
    <x:hyperlink ref="F86" r:id="rId2127" tooltip="Visit onepercent.com.mt"/>
    <x:hyperlink ref="F87" r:id="rId2128" tooltip="Visit facebook.com/Orienta.mt/"/>
    <x:hyperlink ref="F88" r:id="rId2129" tooltip="Visit facebook.com/queensfurnitureltd/"/>
    <x:hyperlink ref="F89" r:id="rId2130" tooltip="Visit lepseg.wix.com/richard-furniture"/>
    <x:hyperlink ref="F91" r:id="rId2131" tooltip="Visit spaces.com.mt"/>
    <x:hyperlink ref="F92" r:id="rId2132" tooltip="Visit stylefurnituremalta.com"/>
    <x:hyperlink ref="F93" r:id="rId2133" tooltip="Visit tal-lira.com"/>
    <x:hyperlink ref="F94" r:id="rId2134" tooltip="Visit tornelloarredamenti.it"/>
    <x:hyperlink ref="F95" r:id="rId2135" tooltip="Visit facebook.com/treedfurnituremalta?locale=nn_NO"/>
    <x:hyperlink ref="F96" r:id="rId2136" tooltip="Visit venturamalta.com"/>
    <x:hyperlink ref="F97" r:id="rId2137" tooltip="Visit petroni.com.mt"/>
    <x:hyperlink ref="F98" r:id="rId2138" tooltip="Visit soundsmart.com.mt"/>
    <x:hyperlink ref="F99" r:id="rId2139" tooltip="Visit kcl.com.mt"/>
    <x:hyperlink ref="F100" r:id="rId2140" tooltip="Visit tabletsandmoreelectronics.com"/>
    <x:hyperlink ref="F101" r:id="rId2141" tooltip="Visit facebook.com/akkwist"/>
    <x:hyperlink ref="F102" r:id="rId2142" tooltip="Visit facebook.com/TaGulinu/info?tab=page%5Cuinfo"/>
    <x:hyperlink ref="F103" r:id="rId2143" tooltip="Visit triplealuqa.com"/>
    <x:hyperlink ref="F104" r:id="rId2144" tooltip="Visit rightdealmalta.com"/>
    <x:hyperlink ref="F105" r:id="rId2145" tooltip="Visit topchoice.com.mt"/>
    <x:hyperlink ref="F106" r:id="rId2146" tooltip="Visit facebook.com/futurahomeappliances/"/>
    <x:hyperlink ref="F107" r:id="rId2147" tooltip="Visit centrocasalinga.com"/>
    <x:hyperlink ref="F108" r:id="rId2148" tooltip="Visit fb.com/ComfortekMalta"/>
    <x:hyperlink ref="F109" r:id="rId2149" tooltip="Visit consiglio.com.mt"/>
    <x:hyperlink ref="F111" r:id="rId2150" tooltip="Visit cutajarhifi.com"/>
    <x:hyperlink ref="F112" r:id="rId2151" tooltip="Visit flamingo.com.mt"/>
    <x:hyperlink ref="F113" r:id="rId2152" tooltip="Visit forestalsgroup.com"/>
    <x:hyperlink ref="F114" r:id="rId2153" tooltip="Visit facebook.com/people/Freddies-Household/100063498252557/?utm_source=Yellow&amp;utm_medium=Yellow-Website&amp;utm_campaign=Landing-Page#"/>
    <x:hyperlink ref="F115" r:id="rId2154" tooltip="Visit gda.com.mt"/>
    <x:hyperlink ref="F116" r:id="rId2155" tooltip="Visit hotpointmalta.com"/>
    <x:hyperlink ref="F117" r:id="rId2156" tooltip="Visit itc-malta.com"/>
    <x:hyperlink ref="F118" r:id="rId2157" tooltip="Visit oxfordhouse.com.mt"/>
    <x:hyperlink ref="F119" r:id="rId2158" tooltip="Visit rightdealmalta.com"/>
    <x:hyperlink ref="F121" r:id="rId2159" tooltip="Visit ultimate.com.mt"/>
    <x:hyperlink ref="F122" r:id="rId2160" tooltip="Visit venturamalta.com"/>
    <x:hyperlink ref="F123" r:id="rId2161" tooltip="Visit petroni.com.mt"/>
    <x:hyperlink ref="F124" r:id="rId2162" tooltip="Visit soundsmart.com.mt"/>
    <x:hyperlink ref="F125" r:id="rId2163" tooltip="Visit kcl.com.mt"/>
    <x:hyperlink ref="F126" r:id="rId2164" tooltip="Visit tabletsandmoreelectronics.com"/>
    <x:hyperlink ref="F127" r:id="rId2165" tooltip="Visit facebook.com/futurahomeappliances/"/>
    <x:hyperlink ref="F128" r:id="rId2166" tooltip="Visit fb.com/ComfortekMalta"/>
    <x:hyperlink ref="F129" r:id="rId2167" tooltip="Visit consiglio.com.mt"/>
    <x:hyperlink ref="F130" r:id="rId2168" tooltip="Visit foresaksgroup.com"/>
    <x:hyperlink ref="F131" r:id="rId2169" tooltip="Visit facebook.com/people/Freddies-Household/100063498252557/?utm_source=Yellow&amp;utm_medium=Yellow-Website&amp;utm_campaign=Landing-Page#"/>
    <x:hyperlink ref="F132" r:id="rId2170" tooltip="Visit hotpointmalta.com"/>
    <x:hyperlink ref="F133" r:id="rId2171" tooltip="Visit itc-malta.com"/>
    <x:hyperlink ref="F134" r:id="rId2172" tooltip="Visit facebook.com/p/JS-Household-100063545924453/"/>
    <x:hyperlink ref="F135" r:id="rId2173" tooltip="Visit rightdealmalta.com"/>
    <x:hyperlink ref="F137" r:id="rId2174" tooltip="Visit venturamalta.com"/>
    <x:hyperlink ref="F138" r:id="rId2175" tooltip="Visit petroni.com.mt"/>
    <x:hyperlink ref="F139" r:id="rId2176" tooltip="Visit soundsmart.com.mt"/>
    <x:hyperlink ref="F140" r:id="rId2177" tooltip="Visit kcl.com.mt"/>
    <x:hyperlink ref="F141" r:id="rId2178" tooltip="Visit tabletsandmoreelectronics.com"/>
    <x:hyperlink ref="F142" r:id="rId2179" tooltip="Visit facebook.com/futurahomeappliances/"/>
    <x:hyperlink ref="F143" r:id="rId2180" tooltip="Visit facebook.com/akkwist"/>
    <x:hyperlink ref="F144" r:id="rId2181" tooltip="Visit facebook.com/TaGulinu/info?tab=page%5Cuinfo"/>
    <x:hyperlink ref="F145" r:id="rId2182" tooltip="Visit centrocasalinga.com"/>
    <x:hyperlink ref="F146" r:id="rId2183" tooltip="Visit fb.com/ComfortekMalta"/>
    <x:hyperlink ref="F147" r:id="rId2184" tooltip="Visit consiglio.com.mt"/>
    <x:hyperlink ref="F148" r:id="rId2185" tooltip="Visit cutajarhifi.com"/>
    <x:hyperlink ref="F149" r:id="rId2186" tooltip="Visit divine.com.mt"/>
    <x:hyperlink ref="F150" r:id="rId2187" tooltip="Visit flamingo.com.mt"/>
    <x:hyperlink ref="F151" r:id="rId2188" tooltip="Visit foresaksgroup.com"/>
    <x:hyperlink ref="F152" r:id="rId2189" tooltip="Visit facebook.com/people/Freddies-Household/100063498252557/?utm_source=Yellow&amp;utm_medium=Yellow-Website&amp;utm_campaign=Landing-Page#"/>
    <x:hyperlink ref="F153" r:id="rId2190" tooltip="Visit hotpointmalta.com"/>
    <x:hyperlink ref="F154" r:id="rId2191" tooltip="Visit itc-malta.com"/>
    <x:hyperlink ref="F155" r:id="rId2192" tooltip="Visit facebook.com/p/JS-Household-100063545924453/"/>
    <x:hyperlink ref="F156" r:id="rId2193" tooltip="Visit rightdealmalta.com"/>
    <x:hyperlink ref="F158" r:id="rId2194" tooltip="Visit topchoice.com.mt"/>
    <x:hyperlink ref="F159" r:id="rId2195" tooltip="Visit xtmalta.com"/>
    <x:hyperlink ref="F160" r:id="rId2196" tooltip="Visit venturamalta.com"/>
    <x:hyperlink ref="F161" r:id="rId2197" tooltip="Visit petroni.com.mt"/>
    <x:hyperlink ref="F162" r:id="rId2198" tooltip="Visit soundsmart.com.mt"/>
    <x:hyperlink ref="F163" r:id="rId2199" tooltip="Visit kcl.com.mt"/>
    <x:hyperlink ref="F164" r:id="rId2200" tooltip="Visit tabletsandmoreelectronics.com"/>
    <x:hyperlink ref="F165" r:id="rId2201" tooltip="Visit facebook.com/futurahomeappliances/"/>
    <x:hyperlink ref="F166" r:id="rId2202" tooltip="Visit facebook.com/akkwist"/>
    <x:hyperlink ref="F167" r:id="rId2203" tooltip="Visit centrocasalinga.com"/>
    <x:hyperlink ref="F168" r:id="rId2204" tooltip="Visit consiglio.com.mt"/>
    <x:hyperlink ref="F169" r:id="rId2205" tooltip="Visit cutajarhifi.com"/>
    <x:hyperlink ref="F170" r:id="rId2206" tooltip="Visit divine.com.mt"/>
    <x:hyperlink ref="F171" r:id="rId2207" tooltip="Visit flamingo.com.mt"/>
    <x:hyperlink ref="F172" r:id="rId2208" tooltip="Visit facebook.com/people/Freddies-Household/100063498252557/?utm_source=Yellow&amp;utm_medium=Yellow-Website&amp;utm_campaign=Landing-Page#"/>
    <x:hyperlink ref="F173" r:id="rId2209" tooltip="Visit gda.com.mt"/>
    <x:hyperlink ref="F174" r:id="rId2210" tooltip="Visit hotpointmalta.com"/>
    <x:hyperlink ref="F175" r:id="rId2211" tooltip="Visit itc-malta.com"/>
    <x:hyperlink ref="F176" r:id="rId2212" tooltip="Visit refcold.com.mt"/>
    <x:hyperlink ref="F177" r:id="rId2213" tooltip="Visit rightdealmalta.com"/>
    <x:hyperlink ref="F179" r:id="rId2214" tooltip="Visit shaker.com.mt/"/>
    <x:hyperlink ref="F180" r:id="rId2215" tooltip="Visit fairdealfurniture.com.mt/contact-us/"/>
    <x:hyperlink ref="F181" r:id="rId2216" tooltip="Visit joinwell.com.mt/contact-us/"/>
    <x:hyperlink ref="F182" r:id="rId2217" tooltip="Visit theatrium.com.mt/contact-us"/>
    <x:hyperlink ref="F183" r:id="rId2218" tooltip="Visit form.com.mt/contact-us/"/>
    <x:hyperlink ref="F184" r:id="rId2219" tooltip="Visit fino.com.mt/"/>
    <x:hyperlink ref="F185" r:id="rId2220" tooltip="Visit scavolini.mt/"/>
    <x:hyperlink ref="F186" r:id="rId2221" tooltip="Visit carmelodelia.com/contac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41"/>
  <x:sheetViews>
    <x:sheetView workbookViewId="0"/>
  </x:sheetViews>
  <x:sheetFormatPr defaultRowHeight="15"/>
  <x:cols>
    <x:col min="1" max="1" width="16.567768" style="0" customWidth="1"/>
    <x:col min="2" max="2" width="20.424911" style="0" customWidth="1"/>
    <x:col min="3" max="3" width="32.996339" style="0" customWidth="1"/>
    <x:col min="4" max="4" width="18.710625" style="0" customWidth="1"/>
    <x:col min="5" max="5" width="53.424911" style="0" customWidth="1"/>
    <x:col min="6" max="6" width="85.424911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5">
        <x:f>HYPERLINK("#'Summary List'!A30", "Back to Summary")</x:f>
      </x:c>
    </x:row>
    <x:row r="2" spans="1:7" s="3" customFormat="1">
      <x:c r="A2" s="3" t="s">
        <x:v>2073</x:v>
      </x:c>
      <x:c r="B2" s="3" t="s">
        <x:v>1248</x:v>
      </x:c>
      <x:c r="C2" s="6" t="s">
        <x:v>1487</x:v>
      </x:c>
      <x:c r="D2" s="7">
        <x:f>CONCATENATE(HYPERLINK("CALLTO:%2B356%202034%201569", "+356 2034 1569"))</x:f>
      </x:c>
      <x:c r="E2" s="6" t="s">
        <x:v>2101</x:v>
      </x:c>
      <x:c r="F2" s="6" t="s">
        <x:v>5309</x:v>
      </x:c>
    </x:row>
    <x:row r="3" spans="1:7" s="1" customFormat="1">
      <x:c r="A3" s="1" t="s">
        <x:v>2073</x:v>
      </x:c>
      <x:c r="B3" s="1" t="s">
        <x:v>2076</x:v>
      </x:c>
      <x:c r="C3" s="8" t="s">
        <x:v>1497</x:v>
      </x:c>
      <x:c r="D3" s="9">
        <x:f>CONCATENATE(HYPERLINK("CALLTO:%2B356%207950%208457", "+356 7950 8457"))</x:f>
      </x:c>
      <x:c r="E3" s="8" t="s">
        <x:v>2100</x:v>
      </x:c>
      <x:c r="F3" s="8" t="s">
        <x:v>2106</x:v>
      </x:c>
    </x:row>
    <x:row r="4" spans="1:7" s="4" customFormat="1">
      <x:c r="A4" s="4" t="s">
        <x:v>2073</x:v>
      </x:c>
      <x:c r="B4" s="4" t="s">
        <x:v>1103</x:v>
      </x:c>
      <x:c r="C4" s="10" t="s">
        <x:v>788</x:v>
      </x:c>
      <x:c r="D4" s="11">
        <x:f>CONCATENATE(HYPERLINK("CALLTO:%2B356%202149%201111", "+356 2149 1111"))</x:f>
      </x:c>
      <x:c r="E4" s="10" t="s">
        <x:v>2102</x:v>
      </x:c>
      <x:c r="F4" s="10" t="s">
        <x:v>2107</x:v>
      </x:c>
    </x:row>
    <x:row r="5" spans="1:7" s="3" customFormat="1">
      <x:c r="A5" s="3" t="s">
        <x:v>2073</x:v>
      </x:c>
      <x:c r="B5" s="3" t="s">
        <x:v>2077</x:v>
      </x:c>
      <x:c r="C5" s="6" t="s">
        <x:v>2088</x:v>
      </x:c>
      <x:c r="D5" s="7">
        <x:f>CONCATENATE(HYPERLINK("CALLTO:%2B356%207989%205238", "+356 7989 5238"))</x:f>
      </x:c>
      <x:c r="E5" s="6" t="s">
        <x:v>2103</x:v>
      </x:c>
      <x:c r="F5" s="6" t="s">
        <x:v>2108</x:v>
      </x:c>
    </x:row>
    <x:row r="6" spans="1:7" s="1" customFormat="1">
      <x:c r="A6" s="1" t="s">
        <x:v>2073</x:v>
      </x:c>
      <x:c r="B6" s="1" t="s">
        <x:v>2078</x:v>
      </x:c>
      <x:c r="C6" s="8" t="s">
        <x:v>2089</x:v>
      </x:c>
      <x:c r="D6" s="9">
        <x:f>CONCATENATE(HYPERLINK("CALLTO:%2B356%207979%202083", "+356 7979 2083"))</x:f>
      </x:c>
      <x:c r="E6" s="8" t="s">
        <x:v>2104</x:v>
      </x:c>
      <x:c r="F6" s="8" t="s">
        <x:v>2109</x:v>
      </x:c>
    </x:row>
    <x:row r="7" spans="1:7" s="4" customFormat="1">
      <x:c r="A7" s="4" t="s">
        <x:v>2073</x:v>
      </x:c>
      <x:c r="B7" s="4" t="s">
        <x:v>955</x:v>
      </x:c>
      <x:c r="C7" s="10" t="s">
        <x:v>570</x:v>
      </x:c>
      <x:c r="D7" s="11">
        <x:f>CONCATENATE(HYPERLINK("CALLTO:%2B356%202326%202000", "+356 2326 2000"))</x:f>
      </x:c>
      <x:c r="E7" s="10" t="s">
        <x:v>2105</x:v>
      </x:c>
      <x:c r="F7" s="10" t="s">
        <x:v>2110</x:v>
      </x:c>
    </x:row>
    <x:row r="8" spans="1:7" s="3" customFormat="1">
      <x:c r="A8" s="3" t="s">
        <x:v>2073</x:v>
      </x:c>
      <x:c r="B8" s="3" t="s">
        <x:v>2079</x:v>
      </x:c>
      <x:c r="C8" s="6" t="s">
        <x:v>2090</x:v>
      </x:c>
      <x:c r="D8" s="7">
        <x:f>CONCATENATE(HYPERLINK("CALLTO:%2B356%202180%205486", "+356 2180 5486"))</x:f>
      </x:c>
      <x:c r="F8" s="6" t="s">
        <x:v>2111</x:v>
      </x:c>
    </x:row>
    <x:row r="9" spans="1:7" s="1" customFormat="1"/>
    <x:row r="10" spans="1:7" s="4" customFormat="1">
      <x:c r="A10" s="4" t="s">
        <x:v>2074</x:v>
      </x:c>
      <x:c r="B10" s="4" t="s">
        <x:v>2080</x:v>
      </x:c>
      <x:c r="C10" s="10" t="s">
        <x:v>2091</x:v>
      </x:c>
      <x:c r="D10" s="11">
        <x:f>CONCATENATE(HYPERLINK("CALLTO:%2B356%202146%200195", "+356 2146 0195"))</x:f>
      </x:c>
      <x:c r="F10" s="10" t="s">
        <x:v>2112</x:v>
      </x:c>
    </x:row>
    <x:row r="11" spans="1:7" s="3" customFormat="1"/>
    <x:row r="12" spans="1:7" s="1" customFormat="1">
      <x:c r="A12" s="1" t="s">
        <x:v>2075</x:v>
      </x:c>
      <x:c r="B12" s="1" t="s">
        <x:v>2081</x:v>
      </x:c>
      <x:c r="C12" s="8" t="s">
        <x:v>2092</x:v>
      </x:c>
      <x:c r="D12" s="9">
        <x:f>CONCATENATE(HYPERLINK("CALLTO:%2B356%207942%201666", "+356 7942 1666"))</x:f>
      </x:c>
      <x:c r="F12" s="8" t="s">
        <x:v>2113</x:v>
      </x:c>
    </x:row>
    <x:row r="13" spans="1:7" s="4" customFormat="1">
      <x:c r="A13" s="4" t="s">
        <x:v>2075</x:v>
      </x:c>
      <x:c r="B13" s="4" t="s">
        <x:v>2082</x:v>
      </x:c>
      <x:c r="C13" s="10" t="s">
        <x:v>2093</x:v>
      </x:c>
      <x:c r="D13" s="11">
        <x:f>CONCATENATE(HYPERLINK("CALLTO:%2B356%209997%205737", "+356 9997 5737"))</x:f>
      </x:c>
      <x:c r="F13" s="10" t="s">
        <x:v>2114</x:v>
      </x:c>
    </x:row>
    <x:row r="14" spans="1:7" s="3" customFormat="1">
      <x:c r="A14" s="3" t="s">
        <x:v>2075</x:v>
      </x:c>
      <x:c r="B14" s="3" t="s">
        <x:v>2083</x:v>
      </x:c>
      <x:c r="C14" s="6" t="s">
        <x:v>862</x:v>
      </x:c>
      <x:c r="D14" s="7">
        <x:f>CONCATENATE(HYPERLINK("CALLTO:%2B356%207724%204377", "+356 7724 4377"))</x:f>
      </x:c>
      <x:c r="F14" s="6" t="s">
        <x:v>2115</x:v>
      </x:c>
    </x:row>
    <x:row r="15" spans="1:7" s="1" customFormat="1">
      <x:c r="A15" s="1" t="s">
        <x:v>2075</x:v>
      </x:c>
      <x:c r="B15" s="1" t="s">
        <x:v>2084</x:v>
      </x:c>
      <x:c r="C15" s="8" t="s">
        <x:v>2094</x:v>
      </x:c>
      <x:c r="D15" s="9">
        <x:f>CONCATENATE(HYPERLINK("CALLTO:%2B356%207903%200403", "+356 7903 0403"))</x:f>
      </x:c>
      <x:c r="F15" s="8" t="s">
        <x:v>5310</x:v>
      </x:c>
    </x:row>
    <x:row r="16" spans="1:7" s="4" customFormat="1">
      <x:c r="A16" s="4" t="s">
        <x:v>2075</x:v>
      </x:c>
      <x:c r="B16" s="4" t="s">
        <x:v>2085</x:v>
      </x:c>
      <x:c r="C16" s="10" t="s">
        <x:v>2095</x:v>
      </x:c>
      <x:c r="D16" s="11">
        <x:f>CONCATENATE(HYPERLINK("CALLTO:%2B356%209949%209925", "+356 9949 9925"))</x:f>
      </x:c>
      <x:c r="F16" s="10" t="s">
        <x:v>5311</x:v>
      </x:c>
    </x:row>
    <x:row r="17" spans="1:7" s="3" customFormat="1">
      <x:c r="A17" s="3" t="s">
        <x:v>2075</x:v>
      </x:c>
      <x:c r="B17" s="3" t="s">
        <x:v>2086</x:v>
      </x:c>
      <x:c r="C17" s="6" t="s">
        <x:v>2096</x:v>
      </x:c>
      <x:c r="D17" s="7">
        <x:f>CONCATENATE(HYPERLINK("CALLTO:%2B356%207955%207968", "+356 7955 7968"))</x:f>
      </x:c>
      <x:c r="F17" s="6" t="s">
        <x:v>5312</x:v>
      </x:c>
    </x:row>
    <x:row r="18" spans="1:7" s="1" customFormat="1">
      <x:c r="A18" s="1" t="s">
        <x:v>2075</x:v>
      </x:c>
      <x:c r="B18" s="1" t="s">
        <x:v>2087</x:v>
      </x:c>
      <x:c r="C18" s="8" t="s">
        <x:v>1606</x:v>
      </x:c>
      <x:c r="D18" s="9">
        <x:f>CONCATENATE(HYPERLINK("CALLTO:%2B356%207903%201199", "+356 7903 1199"))</x:f>
      </x:c>
      <x:c r="F18" s="8" t="s">
        <x:v>2117</x:v>
      </x:c>
    </x:row>
    <x:row r="19" spans="1:7" s="4" customFormat="1">
      <x:c r="A19" s="4" t="s">
        <x:v>2075</x:v>
      </x:c>
      <x:c r="B19" s="4" t="s">
        <x:v>1520</x:v>
      </x:c>
      <x:c r="F19" s="10" t="s">
        <x:v>2118</x:v>
      </x:c>
    </x:row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</x:sheetData>
  <x:hyperlinks>
    <x:hyperlink ref="C2" r:id="rId2222" tooltip="Send a mail to sales@maltadiy.com"/>
    <x:hyperlink ref="C3" r:id="rId2223" tooltip="Send a mail to info@bigmatmalta.com"/>
    <x:hyperlink ref="C4" r:id="rId2224" tooltip="Send a mail to info@devalier.com.mt"/>
    <x:hyperlink ref="C5" r:id="rId2225" tooltip="Send a mail to info@aptc.com.mt"/>
    <x:hyperlink ref="C6" r:id="rId2226" tooltip="Send a mail to info@aphomes.com.mt"/>
    <x:hyperlink ref="C7" r:id="rId2227" tooltip="Send a mail to customercare@homemate.com.mt"/>
    <x:hyperlink ref="C8" r:id="rId2228" tooltip="Send a mail to info@rsgroup.com.mt"/>
    <x:hyperlink ref="C10" r:id="rId2229" tooltip="Send a mail to sales@multitrademalta.com"/>
    <x:hyperlink ref="C12" r:id="rId2230" tooltip="Send a mail to info@nineyards.com.mt"/>
    <x:hyperlink ref="C13" r:id="rId2231" tooltip="Send a mail to info@megahome.mt"/>
    <x:hyperlink ref="C14" r:id="rId2232" tooltip="Send a mail to info@bfmarbles.com"/>
    <x:hyperlink ref="C15" r:id="rId2233" tooltip="Send a mail to info@vicalinteriors.com"/>
    <x:hyperlink ref="C16" r:id="rId2234" tooltip="Send a mail to sales@panelshubmalta.com"/>
    <x:hyperlink ref="C17" r:id="rId2235" tooltip="Send a mail to info@ksprojects.mt"/>
    <x:hyperlink ref="C18" r:id="rId2236" tooltip="Send a mail to contactus@theatrium.com.mt"/>
    <x:hyperlink ref="E2" r:id="rId2237" tooltip="Search Industrial Zone, ATD 4000 Ta' Qali on Google Maps"/>
    <x:hyperlink ref="E3" r:id="rId2238" tooltip="Search Mdina Road,&#10;Zebbug, Malta,&#10;ZBG 9019 on Google Maps"/>
    <x:hyperlink ref="E4" r:id="rId2239" tooltip="Search No.1, Triq Daniel Sammut, Lija, c/w Triq l-Gherusija, Balzan on Google Maps"/>
    <x:hyperlink ref="E5" r:id="rId2240" tooltip="Search Triq Il-Vitorja, Ħal Qormi QRM 2504 on Google Maps"/>
    <x:hyperlink ref="E6" r:id="rId2241" tooltip="Search 40, Balzan Valley Road, Balzan BZN 1407 - Malta on Google Maps"/>
    <x:hyperlink ref="E7" r:id="rId2242" tooltip="Search 84, Qormi Road, Hamrun on Google Maps"/>
    <x:hyperlink ref="F2" r:id="rId2243" tooltip="Visit maltadiy.com/product-category/floors-walls/walls/3d-wall-panels/?utm_source=chatgpt.com"/>
    <x:hyperlink ref="F3" r:id="rId2244" tooltip="Visit bigmatmalta.com/collections/wall-panels?utm_source=chatgpt.com"/>
    <x:hyperlink ref="F4" r:id="rId2245" tooltip="Visit dv.mt/showroom-category/3d-panels/"/>
    <x:hyperlink ref="F5" r:id="rId2246" tooltip="Visit gypsumworksmalta.com/store/c14/Panels"/>
    <x:hyperlink ref="F6" r:id="rId2247" tooltip="Visit aphomesmalta.com/store/c3/PVC_panels.html#/"/>
    <x:hyperlink ref="F7" r:id="rId2248" tooltip="Visit homemate.com.mt/product-category/feature-wall-planks"/>
    <x:hyperlink ref="F8" r:id="rId2249" tooltip="Visit evolve.com.mt/products/wall-decor-malta/#3dwalls"/>
    <x:hyperlink ref="F10" r:id="rId2250" tooltip="Visit multitrademalta.com/product-tag/corrugated-sheet/?utm_source=chatgpt.com"/>
    <x:hyperlink ref="F12" r:id="rId2251" tooltip="Visit nineyards.com.mt/"/>
    <x:hyperlink ref="F13" r:id="rId2252" tooltip="Visit megahome.mt/product/3d-wall-panels/"/>
    <x:hyperlink ref="F14" r:id="rId2253" tooltip="Visit bfmarbles.com/#"/>
    <x:hyperlink ref="F15" r:id="rId2254" tooltip="Visit facebook.com/profile.php?id=61561349402968"/>
    <x:hyperlink ref="F16" r:id="rId2255" tooltip="Visit vicalinteriors.com/"/>
    <x:hyperlink ref="F17" r:id="rId2256" tooltip="Visit panelshubmalta.com/flexible-panels/"/>
    <x:hyperlink ref="F18" r:id="rId2257" tooltip="Visit facebook.com/profile.php?id=100091956755959"/>
    <x:hyperlink ref="F19" r:id="rId2258" tooltip="Visit theatrium.com.mt/search-site-results?nostock=0&amp;search=panel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3"/>
  <x:sheetViews>
    <x:sheetView workbookViewId="0"/>
  </x:sheetViews>
  <x:sheetFormatPr defaultRowHeight="15"/>
  <x:cols>
    <x:col min="1" max="1" width="18.853482" style="0" customWidth="1"/>
    <x:col min="2" max="2" width="25.996339" style="0" customWidth="1"/>
    <x:col min="3" max="3" width="28.567768" style="0" customWidth="1"/>
    <x:col min="4" max="4" width="18.710625" style="0" customWidth="1"/>
    <x:col min="5" max="5" width="79.424911" style="0" customWidth="1"/>
    <x:col min="6" max="6" width="128.424911" style="0" customWidth="1"/>
    <x:col min="7" max="7" width="24.710625" style="0" customWidth="1"/>
    <x:col min="8" max="8" width="15.282054" style="0" customWidth="1"/>
    <x:col min="9" max="9" width="20.996339" style="0" customWidth="1"/>
  </x:cols>
  <x:sheetData>
    <x:row r="1" spans="1:9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2" t="s">
        <x:v>872</x:v>
      </x:c>
      <x:c r="H1" s="2" t="s">
        <x:v>2159</x:v>
      </x:c>
      <x:c r="I1" s="5">
        <x:f>HYPERLINK("#'Summary List'!A31", "Back to Summary")</x:f>
      </x:c>
    </x:row>
    <x:row r="2" spans="1:9" s="3" customFormat="1">
      <x:c r="A2" s="3" t="s">
        <x:v>2119</x:v>
      </x:c>
      <x:c r="B2" s="3" t="s">
        <x:v>1105</x:v>
      </x:c>
      <x:c r="C2" s="6" t="s">
        <x:v>1119</x:v>
      </x:c>
      <x:c r="D2" s="7">
        <x:f>CONCATENATE(HYPERLINK("CALLTO:%2B356%202133%204716", "+356 2133 4716"))</x:f>
      </x:c>
      <x:c r="E2" s="6" t="s">
        <x:v>2138</x:v>
      </x:c>
      <x:c r="F2" s="6" t="s">
        <x:v>5257</x:v>
      </x:c>
      <x:c r="G2" s="3" t="s">
        <x:v>2155</x:v>
      </x:c>
      <x:c r="H2" s="3" t="s">
        <x:v>2160</x:v>
      </x:c>
    </x:row>
    <x:row r="3" spans="1:9" s="1" customFormat="1">
      <x:c r="A3" s="1" t="s">
        <x:v>2119</x:v>
      </x:c>
      <x:c r="B3" s="1" t="s">
        <x:v>1103</x:v>
      </x:c>
      <x:c r="C3" s="8" t="s">
        <x:v>788</x:v>
      </x:c>
      <x:c r="D3" s="9">
        <x:f>CONCATENATE(HYPERLINK("CALLTO:%2B356%202149%201111", "+356 2149 1111"))</x:f>
      </x:c>
      <x:c r="E3" s="8" t="s">
        <x:v>1132</x:v>
      </x:c>
      <x:c r="F3" s="8" t="s">
        <x:v>4826</x:v>
      </x:c>
      <x:c r="G3" s="1" t="s">
        <x:v>2156</x:v>
      </x:c>
      <x:c r="H3" s="1" t="s">
        <x:v>2161</x:v>
      </x:c>
    </x:row>
    <x:row r="4" spans="1:9" s="4" customFormat="1">
      <x:c r="A4" s="4" t="s">
        <x:v>2119</x:v>
      </x:c>
      <x:c r="B4" s="4" t="s">
        <x:v>1529</x:v>
      </x:c>
      <x:c r="C4" s="10" t="s">
        <x:v>1614</x:v>
      </x:c>
      <x:c r="D4" s="11">
        <x:f>CONCATENATE(HYPERLINK("CALLTO:%2B356%207710%205385", "+356 7710 5385"))</x:f>
      </x:c>
      <x:c r="E4" s="10" t="s">
        <x:v>1709</x:v>
      </x:c>
      <x:c r="F4" s="10" t="s">
        <x:v>5285</x:v>
      </x:c>
      <x:c r="G4" s="4" t="s">
        <x:v>2157</x:v>
      </x:c>
      <x:c r="H4" s="4" t="s">
        <x:v>2162</x:v>
      </x:c>
    </x:row>
    <x:row r="5" spans="1:9" s="3" customFormat="1">
      <x:c r="A5" s="3" t="s">
        <x:v>2119</x:v>
      </x:c>
      <x:c r="B5" s="3" t="s">
        <x:v>2123</x:v>
      </x:c>
      <x:c r="C5" s="6" t="s">
        <x:v>1620</x:v>
      </x:c>
      <x:c r="D5" s="7">
        <x:f>CONCATENATE(HYPERLINK("CALLTO:%2B356%202095%209595", "+356 2095 9595"))</x:f>
      </x:c>
      <x:c r="E5" s="6" t="s">
        <x:v>2139</x:v>
      </x:c>
      <x:c r="F5" s="6" t="s">
        <x:v>2145</x:v>
      </x:c>
      <x:c r="G5" s="3" t="s">
        <x:v>2156</x:v>
      </x:c>
      <x:c r="H5" s="3" t="s">
        <x:v>2163</x:v>
      </x:c>
    </x:row>
    <x:row r="6" spans="1:9" s="1" customFormat="1">
      <x:c r="A6" s="1" t="s">
        <x:v>2119</x:v>
      </x:c>
      <x:c r="B6" s="1" t="s">
        <x:v>2124</x:v>
      </x:c>
      <x:c r="C6" s="8" t="s">
        <x:v>1487</x:v>
      </x:c>
      <x:c r="D6" s="9">
        <x:f>CONCATENATE(HYPERLINK("CALLTO:%2B356%202034%201569", "+356 2034 1569"))</x:f>
      </x:c>
      <x:c r="E6" s="8" t="s">
        <x:v>2140</x:v>
      </x:c>
      <x:c r="F6" s="8" t="s">
        <x:v>1148</x:v>
      </x:c>
      <x:c r="G6" s="1" t="s">
        <x:v>2158</x:v>
      </x:c>
      <x:c r="H6" s="1" t="s">
        <x:v>2164</x:v>
      </x:c>
    </x:row>
    <x:row r="7" spans="1:9" s="4" customFormat="1">
      <x:c r="A7" s="4" t="s">
        <x:v>2119</x:v>
      </x:c>
      <x:c r="B7" s="4" t="s">
        <x:v>2125</x:v>
      </x:c>
      <x:c r="C7" s="10" t="s">
        <x:v>1653</x:v>
      </x:c>
      <x:c r="D7" s="11">
        <x:f>CONCATENATE(HYPERLINK("CALLTO:%2B356%202148%203614", "+356 2148 3614"))</x:f>
      </x:c>
      <x:c r="E7" s="10" t="s">
        <x:v>1955</x:v>
      </x:c>
      <x:c r="F7" s="10" t="s">
        <x:v>1829</x:v>
      </x:c>
      <x:c r="G7" s="4" t="s">
        <x:v>2157</x:v>
      </x:c>
      <x:c r="H7" s="4" t="s">
        <x:v>2165</x:v>
      </x:c>
    </x:row>
    <x:row r="8" spans="1:9" s="3" customFormat="1">
      <x:c r="A8" s="3" t="s">
        <x:v>2119</x:v>
      </x:c>
      <x:c r="B8" s="3" t="s">
        <x:v>2126</x:v>
      </x:c>
      <x:c r="C8" s="6" t="s">
        <x:v>2132</x:v>
      </x:c>
      <x:c r="D8" s="7">
        <x:f>CONCATENATE(HYPERLINK("CALLTO:%2B356%202133%204401", "+356 2133 4401"))</x:f>
      </x:c>
      <x:c r="E8" s="6" t="s">
        <x:v>2141</x:v>
      </x:c>
      <x:c r="F8" s="6" t="s">
        <x:v>5313</x:v>
      </x:c>
      <x:c r="G8" s="3" t="s">
        <x:v>2157</x:v>
      </x:c>
      <x:c r="H8" s="3" t="s">
        <x:v>2166</x:v>
      </x:c>
    </x:row>
    <x:row r="9" spans="1:9" s="1" customFormat="1">
      <x:c r="A9" s="1" t="s">
        <x:v>2119</x:v>
      </x:c>
      <x:c r="B9" s="1" t="s">
        <x:v>2127</x:v>
      </x:c>
      <x:c r="C9" s="8" t="s">
        <x:v>2133</x:v>
      </x:c>
      <x:c r="D9" s="9">
        <x:f>CONCATENATE(HYPERLINK("CALLTO:%2B356%202133%204145", "+356 2133 4145"))</x:f>
      </x:c>
      <x:c r="E9" s="8" t="s">
        <x:v>2142</x:v>
      </x:c>
      <x:c r="F9" s="8" t="s">
        <x:v>2147</x:v>
      </x:c>
    </x:row>
    <x:row r="10" spans="1:9" s="4" customFormat="1">
      <x:c r="A10" s="4" t="s">
        <x:v>2119</x:v>
      </x:c>
      <x:c r="B10" s="4" t="s">
        <x:v>2128</x:v>
      </x:c>
      <x:c r="C10" s="10" t="s">
        <x:v>2134</x:v>
      </x:c>
      <x:c r="D10" s="11">
        <x:f>CONCATENATE(HYPERLINK("CALLTO:%2B356%202277%203000", "+356 2277 3000"))</x:f>
      </x:c>
      <x:c r="E10" s="10" t="s">
        <x:v>1400</x:v>
      </x:c>
      <x:c r="F10" s="10" t="s">
        <x:v>5314</x:v>
      </x:c>
    </x:row>
    <x:row r="11" spans="1:9" s="3" customFormat="1"/>
    <x:row r="12" spans="1:9" s="1" customFormat="1">
      <x:c r="A12" s="1" t="s">
        <x:v>2120</x:v>
      </x:c>
      <x:c r="B12" s="1" t="s">
        <x:v>2129</x:v>
      </x:c>
      <x:c r="C12" s="8" t="s">
        <x:v>1606</x:v>
      </x:c>
      <x:c r="D12" s="9">
        <x:f>CONCATENATE(HYPERLINK("CALLTO:%2B356%202549%205000", "+356 2549 5000"))</x:f>
      </x:c>
      <x:c r="E12" s="8" t="s">
        <x:v>2143</x:v>
      </x:c>
      <x:c r="F12" s="8" t="s">
        <x:v>5315</x:v>
      </x:c>
    </x:row>
    <x:row r="13" spans="1:9" s="4" customFormat="1">
      <x:c r="A13" s="4" t="s">
        <x:v>2120</x:v>
      </x:c>
      <x:c r="B13" s="4" t="s">
        <x:v>1520</x:v>
      </x:c>
      <x:c r="C13" s="10" t="s">
        <x:v>2135</x:v>
      </x:c>
      <x:c r="D13" s="11">
        <x:f>CONCATENATE(HYPERLINK("CALLTO:%2B356%202149%202149", "+356 2149 2149"))</x:f>
      </x:c>
      <x:c r="E13" s="10" t="s">
        <x:v>2144</x:v>
      </x:c>
      <x:c r="F13" s="10" t="s">
        <x:v>2149</x:v>
      </x:c>
    </x:row>
    <x:row r="14" spans="1:9" s="3" customFormat="1">
      <x:c r="A14" s="3" t="s">
        <x:v>2120</x:v>
      </x:c>
      <x:c r="B14" s="3" t="s">
        <x:v>2130</x:v>
      </x:c>
      <x:c r="F14" s="6" t="s">
        <x:v>5316</x:v>
      </x:c>
    </x:row>
    <x:row r="15" spans="1:9" s="1" customFormat="1">
      <x:c r="A15" s="1" t="s">
        <x:v>2120</x:v>
      </x:c>
      <x:c r="B15" s="1" t="s">
        <x:v>1520</x:v>
      </x:c>
      <x:c r="F15" s="8" t="s">
        <x:v>5317</x:v>
      </x:c>
    </x:row>
    <x:row r="16" spans="1:9" s="4" customFormat="1"/>
    <x:row r="17" spans="1:9" s="3" customFormat="1">
      <x:c r="A17" s="3" t="s">
        <x:v>2121</x:v>
      </x:c>
      <x:c r="B17" s="3" t="s">
        <x:v>1520</x:v>
      </x:c>
      <x:c r="F17" s="6" t="s">
        <x:v>5318</x:v>
      </x:c>
    </x:row>
    <x:row r="18" spans="1:9" s="1" customFormat="1">
      <x:c r="A18" s="1" t="s">
        <x:v>2121</x:v>
      </x:c>
      <x:c r="B18" s="1" t="s">
        <x:v>2131</x:v>
      </x:c>
      <x:c r="F18" s="8" t="s">
        <x:v>5319</x:v>
      </x:c>
    </x:row>
    <x:row r="19" spans="1:9" s="4" customFormat="1"/>
    <x:row r="20" spans="1:9" s="3" customFormat="1">
      <x:c r="A20" s="3" t="s">
        <x:v>2122</x:v>
      </x:c>
      <x:c r="F20" s="6" t="s">
        <x:v>5320</x:v>
      </x:c>
    </x:row>
    <x:row r="21" spans="1:9" s="1" customFormat="1"/>
    <x:row r="22" spans="1:9" s="4" customFormat="1"/>
    <x:row r="23" spans="1:9" s="3" customFormat="1"/>
    <x:row r="24" spans="1:9" s="1" customFormat="1"/>
    <x:row r="25" spans="1:9" s="4" customFormat="1"/>
    <x:row r="26" spans="1:9" s="3" customFormat="1"/>
    <x:row r="27" spans="1:9" s="1" customFormat="1"/>
    <x:row r="28" spans="1:9" s="4" customFormat="1"/>
    <x:row r="29" spans="1:9" s="3" customFormat="1"/>
    <x:row r="30" spans="1:9" s="1" customFormat="1"/>
    <x:row r="31" spans="1:9" s="4" customFormat="1"/>
    <x:row r="32" spans="1:9" s="3" customFormat="1"/>
    <x:row r="33" spans="1:9" s="1" customFormat="1"/>
    <x:row r="34" spans="1:9" s="4" customFormat="1"/>
    <x:row r="35" spans="1:9" s="3" customFormat="1"/>
    <x:row r="36" spans="1:9" s="1" customFormat="1"/>
    <x:row r="37" spans="1:9" s="4" customFormat="1"/>
    <x:row r="38" spans="1:9" s="3" customFormat="1"/>
    <x:row r="39" spans="1:9" s="1" customFormat="1"/>
    <x:row r="40" spans="1:9" s="4" customFormat="1"/>
    <x:row r="41" spans="1:9" s="3" customFormat="1"/>
    <x:row r="42" spans="1:9" s="1" customFormat="1"/>
    <x:row r="43" spans="1:9" s="4" customFormat="1"/>
    <x:row r="44" spans="1:9" s="3" customFormat="1"/>
    <x:row r="45" spans="1:9" s="1" customFormat="1"/>
    <x:row r="46" spans="1:9" s="4" customFormat="1"/>
    <x:row r="47" spans="1:9" s="3" customFormat="1"/>
    <x:row r="48" spans="1:9" s="1" customFormat="1"/>
    <x:row r="49" spans="1:9" s="4" customFormat="1"/>
    <x:row r="50" spans="1:9" s="3" customFormat="1"/>
    <x:row r="51" spans="1:9" s="1" customFormat="1"/>
    <x:row r="52" spans="1:9" s="4" customFormat="1"/>
    <x:row r="53" spans="1:9" s="3" customFormat="1"/>
    <x:row r="54" spans="1:9" s="1" customFormat="1"/>
    <x:row r="55" spans="1:9" s="4" customFormat="1"/>
    <x:row r="56" spans="1:9" s="3" customFormat="1"/>
    <x:row r="57" spans="1:9" s="1" customFormat="1"/>
    <x:row r="58" spans="1:9" s="4" customFormat="1"/>
    <x:row r="59" spans="1:9" s="3" customFormat="1"/>
    <x:row r="60" spans="1:9" s="1" customFormat="1"/>
    <x:row r="61" spans="1:9" s="4" customFormat="1"/>
    <x:row r="62" spans="1:9" s="3" customFormat="1"/>
    <x:row r="63" spans="1:9" s="1" customFormat="1"/>
    <x:row r="64" spans="1:9" s="4" customFormat="1"/>
    <x:row r="65" spans="1:9" s="3" customFormat="1"/>
    <x:row r="66" spans="1:9" s="1" customFormat="1"/>
    <x:row r="67" spans="1:9" s="4" customFormat="1"/>
    <x:row r="68" spans="1:9" s="3" customFormat="1"/>
    <x:row r="69" spans="1:9" s="1" customFormat="1"/>
    <x:row r="70" spans="1:9" s="4" customFormat="1"/>
    <x:row r="71" spans="1:9" s="3" customFormat="1"/>
    <x:row r="72" spans="1:9" s="1" customFormat="1"/>
    <x:row r="73" spans="1:9" s="4" customFormat="1"/>
    <x:row r="74" spans="1:9" s="3" customFormat="1"/>
    <x:row r="75" spans="1:9" s="1" customFormat="1"/>
    <x:row r="76" spans="1:9" s="4" customFormat="1"/>
    <x:row r="77" spans="1:9" s="3" customFormat="1"/>
    <x:row r="78" spans="1:9" s="1" customFormat="1"/>
    <x:row r="79" spans="1:9" s="4" customFormat="1"/>
    <x:row r="80" spans="1:9" s="3" customFormat="1"/>
    <x:row r="81" spans="1:9" s="1" customFormat="1"/>
    <x:row r="82" spans="1:9" s="4" customFormat="1"/>
    <x:row r="83" spans="1:9" s="3" customFormat="1"/>
    <x:row r="84" spans="1:9" s="1" customFormat="1"/>
    <x:row r="85" spans="1:9" s="4" customFormat="1"/>
    <x:row r="86" spans="1:9" s="3" customFormat="1"/>
    <x:row r="87" spans="1:9" s="1" customFormat="1"/>
    <x:row r="88" spans="1:9" s="4" customFormat="1"/>
    <x:row r="89" spans="1:9" s="3" customFormat="1"/>
    <x:row r="90" spans="1:9" s="1" customFormat="1"/>
    <x:row r="91" spans="1:9" s="4" customFormat="1"/>
    <x:row r="92" spans="1:9" s="3" customFormat="1"/>
    <x:row r="93" spans="1:9" s="1" customFormat="1"/>
    <x:row r="94" spans="1:9" s="4" customFormat="1"/>
    <x:row r="95" spans="1:9" s="3" customFormat="1"/>
    <x:row r="96" spans="1:9" s="1" customFormat="1"/>
    <x:row r="97" spans="1:9" s="4" customFormat="1"/>
    <x:row r="98" spans="1:9" s="3" customFormat="1"/>
    <x:row r="99" spans="1:9" s="1" customFormat="1"/>
    <x:row r="100" spans="1:9" s="4" customFormat="1"/>
    <x:row r="101" spans="1:9" s="3" customFormat="1"/>
    <x:row r="102" spans="1:9" s="1" customFormat="1"/>
    <x:row r="103" spans="1:9" s="4" customFormat="1"/>
    <x:row r="104" spans="1:9" s="3" customFormat="1"/>
    <x:row r="105" spans="1:9" s="1" customFormat="1"/>
    <x:row r="106" spans="1:9" s="4" customFormat="1"/>
    <x:row r="107" spans="1:9" s="3" customFormat="1"/>
    <x:row r="108" spans="1:9" s="1" customFormat="1"/>
    <x:row r="109" spans="1:9" s="4" customFormat="1"/>
    <x:row r="110" spans="1:9" s="3" customFormat="1"/>
    <x:row r="111" spans="1:9" s="1" customFormat="1"/>
    <x:row r="112" spans="1:9" s="4" customFormat="1"/>
    <x:row r="113" spans="1:9" s="3" customFormat="1"/>
    <x:row r="114" spans="1:9" s="1" customFormat="1"/>
    <x:row r="115" spans="1:9" s="4" customFormat="1"/>
    <x:row r="116" spans="1:9" s="3" customFormat="1"/>
    <x:row r="117" spans="1:9" s="1" customFormat="1"/>
    <x:row r="118" spans="1:9" s="4" customFormat="1"/>
    <x:row r="119" spans="1:9" s="3" customFormat="1"/>
    <x:row r="120" spans="1:9" s="1" customFormat="1"/>
    <x:row r="121" spans="1:9" s="4" customFormat="1"/>
    <x:row r="122" spans="1:9" s="3" customFormat="1"/>
    <x:row r="123" spans="1:9" s="1" customFormat="1"/>
    <x:row r="124" spans="1:9" s="4" customFormat="1"/>
    <x:row r="125" spans="1:9" s="3" customFormat="1"/>
    <x:row r="126" spans="1:9" s="1" customFormat="1"/>
    <x:row r="127" spans="1:9" s="4" customFormat="1"/>
    <x:row r="128" spans="1:9" s="3" customFormat="1"/>
    <x:row r="129" spans="1:9" s="1" customFormat="1"/>
    <x:row r="130" spans="1:9" s="4" customFormat="1"/>
    <x:row r="131" spans="1:9" s="3" customFormat="1"/>
    <x:row r="132" spans="1:9" s="1" customFormat="1"/>
    <x:row r="133" spans="1:9" s="4" customFormat="1"/>
    <x:row r="134" spans="1:9" s="3" customFormat="1"/>
    <x:row r="135" spans="1:9" s="1" customFormat="1"/>
    <x:row r="136" spans="1:9" s="4" customFormat="1"/>
    <x:row r="137" spans="1:9" s="3" customFormat="1"/>
    <x:row r="138" spans="1:9" s="1" customFormat="1"/>
    <x:row r="139" spans="1:9" s="4" customFormat="1"/>
    <x:row r="140" spans="1:9" s="3" customFormat="1"/>
    <x:row r="141" spans="1:9" s="1" customFormat="1"/>
    <x:row r="142" spans="1:9" s="4" customFormat="1"/>
    <x:row r="143" spans="1:9" s="3" customFormat="1"/>
    <x:row r="144" spans="1:9" s="1" customFormat="1"/>
    <x:row r="145" spans="1:9" s="4" customFormat="1"/>
    <x:row r="146" spans="1:9" s="3" customFormat="1"/>
    <x:row r="147" spans="1:9" s="1" customFormat="1"/>
    <x:row r="148" spans="1:9" s="4" customFormat="1"/>
    <x:row r="149" spans="1:9" s="3" customFormat="1"/>
    <x:row r="150" spans="1:9" s="1" customFormat="1"/>
    <x:row r="151" spans="1:9" s="4" customFormat="1"/>
    <x:row r="152" spans="1:9" s="3" customFormat="1"/>
    <x:row r="153" spans="1:9" s="1" customFormat="1"/>
  </x:sheetData>
  <x:hyperlinks>
    <x:hyperlink ref="C2" r:id="rId2259" tooltip="Send a mail to info@ramilenemalta.com"/>
    <x:hyperlink ref="C3" r:id="rId2260" tooltip="Send a mail to info@devalier.com.mt"/>
    <x:hyperlink ref="C4" r:id="rId2261" tooltip="Send a mail to sales@malta-design.com"/>
    <x:hyperlink ref="C5" r:id="rId2262" tooltip="Send a mail to info@brands.com.mt"/>
    <x:hyperlink ref="C6" r:id="rId2263" tooltip="Send a mail to sales@maltadiy.com"/>
    <x:hyperlink ref="C7" r:id="rId2264" tooltip="Send a mail to info@ferraramalta.com"/>
    <x:hyperlink ref="C8" r:id="rId2265" tooltip="Send a mail to info@officelinemalta.com"/>
    <x:hyperlink ref="C9" r:id="rId2266" tooltip="Send a mail to info@linkprojects.com.mt"/>
    <x:hyperlink ref="C10" r:id="rId2267" tooltip="Send a mail to info@vivendo.mt"/>
    <x:hyperlink ref="C12" r:id="rId2268" tooltip="Send a mail to contactus@theatrium.com.mt"/>
    <x:hyperlink ref="C13" r:id="rId2269" tooltip="Send a mail to info@satariano.com"/>
    <x:hyperlink ref="E2" r:id="rId2270" tooltip="Search Ramilene Office Supplies Ltd&#10;50/51 Ramilene Building&#10;Triq it-Torri, Swatar – B’Kara&#10;BKR 4011, Malta on Google Maps"/>
    <x:hyperlink ref="E3" r:id="rId2271" tooltip="Search The Old Factory, San Gwakkin str, Mriehel,Central Business District Birkirkara CBD, 3030 on Google Maps"/>
    <x:hyperlink ref="E4" r:id="rId2272" tooltip="Search Malta Design&#10;33 Triq l-Oleandru ,&#10;San Giljan, Malta on Google Maps"/>
    <x:hyperlink ref="E5" r:id="rId2273" tooltip="Search Triq tal-Balal, San Gwann, Malta on Google Maps"/>
    <x:hyperlink ref="E6" r:id="rId2274" tooltip="Search Baldacchino Building B, Triq Il-Belt Valletta, Zurrieq on Google Maps"/>
    <x:hyperlink ref="E7" r:id="rId2275" tooltip="Search Ferraracasa Warehouse&#10;Triq is-Salib ta l-Mriehel&#10;CBD3020 Birkirkara&#10;Malta on Google Maps"/>
    <x:hyperlink ref="E8" r:id="rId2276" tooltip="Search Anthony Valletta Street, Swatar on Google Maps"/>
    <x:hyperlink ref="E9" r:id="rId2277" tooltip="Search 70, Ta' Xbiex Seafront , Msida, Malta on Google Maps"/>
    <x:hyperlink ref="E10" r:id="rId2278" tooltip="Search Mdina Road, Qormi, QRM 9011, Malta on Google Maps"/>
    <x:hyperlink ref="E12" r:id="rId2279" tooltip="Search Central Business District, Giovanni Felice Street - Zone 3, Birkirkara CBD 3120, Malta on Google Maps"/>
    <x:hyperlink ref="E13" r:id="rId2280" tooltip="Search 122, Valley Road Birkirkara, BKR 9024 on Google Maps"/>
    <x:hyperlink ref="F2" r:id="rId2281" tooltip="Visit ramilenemalta.com/"/>
    <x:hyperlink ref="F3" r:id="rId2282" tooltip="Visit dv.mt"/>
    <x:hyperlink ref="F4" r:id="rId2283" tooltip="Visit malta-design.com"/>
    <x:hyperlink ref="F5" r:id="rId2284" tooltip="Visit brands.com.mt/"/>
    <x:hyperlink ref="F6" r:id="rId2285" tooltip="Visit maltadiy.com/product-category/lights-and-tech/lights/"/>
    <x:hyperlink ref="F7" r:id="rId2286" tooltip="Visit ferraramalta.com/"/>
    <x:hyperlink ref="F8" r:id="rId2287" tooltip="Visit officelinemalta.com/"/>
    <x:hyperlink ref="F9" r:id="rId2288" tooltip="Visit linkprojects.com.mt/"/>
    <x:hyperlink ref="F10" r:id="rId2289" tooltip="Visit vivendo.mt/"/>
    <x:hyperlink ref="F12" r:id="rId2290" tooltip="Visit ikea.com/it/it/p/mariedamm-tavolo-grigio-scuro-50441510/"/>
    <x:hyperlink ref="F13" r:id="rId2291" tooltip="Visit megastore.com.mt/en_MT/p/MITTZON-Conference-table%2C-round-walnut-veneerblack%2C-120x75-cm/2145800"/>
    <x:hyperlink ref="F14" r:id="rId2292" tooltip="Visit theatrium.com.mt/dining/dining-tables/roxby-dining-table-black-oak-105cm/Item?c=267474"/>
    <x:hyperlink ref="F15" r:id="rId2293" tooltip="Visit megastore.com.mt/en_MT/p/VIHALS-Table%2C-whitewhite%2C-107-cm/2237008"/>
    <x:hyperlink ref="F17" r:id="rId2294" tooltip="Visit theatrium.com.mt/dining/dining-tables/atmosphera-ostras-dining-table-diameter-120cm-glass/Item?c=528741"/>
    <x:hyperlink ref="F18" r:id="rId2295" tooltip="Visit theatrium.com.mt/dining/dining-tables/heaven-round-dining-table-with-clear-tempered-glass-top-and-thick-black-metal-legs/Item?c=512388"/>
    <x:hyperlink ref="F20" r:id="rId2296" tooltip="Visit satariano.com/products/room/tables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1"/>
  <x:sheetViews>
    <x:sheetView workbookViewId="0"/>
  </x:sheetViews>
  <x:sheetFormatPr defaultRowHeight="15"/>
  <x:cols>
    <x:col min="1" max="1" width="11.139196" style="0" customWidth="1"/>
    <x:col min="2" max="2" width="13.424911" style="0" customWidth="1"/>
    <x:col min="3" max="3" width="31.710625" style="0" customWidth="1"/>
    <x:col min="4" max="4" width="7.710625" style="0" customWidth="1"/>
    <x:col min="5" max="5" width="140.710625" style="0" customWidth="1"/>
    <x:col min="6" max="6" width="20.996339" style="0" customWidth="1"/>
  </x:cols>
  <x:sheetData>
    <x:row r="1" spans="1:6" s="2" customFormat="1">
      <x:c r="A1" s="2" t="s">
        <x:v>2167</x:v>
      </x:c>
      <x:c r="B1" s="2" t="s">
        <x:v>2169</x:v>
      </x:c>
      <x:c r="C1" s="2" t="s">
        <x:v>2172</x:v>
      </x:c>
      <x:c r="D1" s="2" t="s">
        <x:v>2159</x:v>
      </x:c>
      <x:c r="E1" s="2" t="s">
        <x:v>2187</x:v>
      </x:c>
      <x:c r="F1" s="5">
        <x:f>HYPERLINK("#'Summary List'!A32", "Back to Summary")</x:f>
      </x:c>
    </x:row>
    <x:row r="2" spans="1:6" s="3" customFormat="1">
      <x:c r="A2" s="3" t="s">
        <x:v>1520</x:v>
      </x:c>
      <x:c r="B2" s="3" t="s">
        <x:v>2170</x:v>
      </x:c>
      <x:c r="C2" s="3" t="s">
        <x:v>2173</x:v>
      </x:c>
      <x:c r="D2" s="3" t="s">
        <x:v>2164</x:v>
      </x:c>
      <x:c r="E2" s="3" t="s">
        <x:v>2153</x:v>
      </x:c>
    </x:row>
    <x:row r="3" spans="1:6" s="1" customFormat="1">
      <x:c r="A3" s="1" t="s">
        <x:v>1520</x:v>
      </x:c>
      <x:c r="B3" s="1" t="s">
        <x:v>2170</x:v>
      </x:c>
      <x:c r="C3" s="1" t="s">
        <x:v>2173</x:v>
      </x:c>
      <x:c r="D3" s="1" t="s">
        <x:v>2181</x:v>
      </x:c>
      <x:c r="E3" s="1" t="s">
        <x:v>2154</x:v>
      </x:c>
    </x:row>
    <x:row r="4" spans="1:6" s="4" customFormat="1">
      <x:c r="A4" s="4" t="s">
        <x:v>1520</x:v>
      </x:c>
      <x:c r="B4" s="4" t="s">
        <x:v>2170</x:v>
      </x:c>
      <x:c r="C4" s="4" t="s">
        <x:v>2174</x:v>
      </x:c>
      <x:c r="D4" s="4" t="s">
        <x:v>2162</x:v>
      </x:c>
      <x:c r="E4" s="4" t="s">
        <x:v>2151</x:v>
      </x:c>
    </x:row>
    <x:row r="5" spans="1:6" s="3" customFormat="1">
      <x:c r="A5" s="3" t="s">
        <x:v>2130</x:v>
      </x:c>
      <x:c r="B5" s="3" t="s">
        <x:v>2170</x:v>
      </x:c>
      <x:c r="C5" s="3" t="s">
        <x:v>2175</x:v>
      </x:c>
      <x:c r="D5" s="3" t="s">
        <x:v>2163</x:v>
      </x:c>
      <x:c r="E5" s="3" t="s">
        <x:v>2152</x:v>
      </x:c>
    </x:row>
    <x:row r="6" spans="1:6" s="1" customFormat="1">
      <x:c r="A6" s="1" t="s">
        <x:v>2130</x:v>
      </x:c>
      <x:c r="B6" s="1" t="s">
        <x:v>2170</x:v>
      </x:c>
      <x:c r="C6" s="1" t="s">
        <x:v>2176</x:v>
      </x:c>
      <x:c r="D6" s="1" t="s">
        <x:v>2182</x:v>
      </x:c>
      <x:c r="E6" s="1" t="s">
        <x:v>2150</x:v>
      </x:c>
    </x:row>
    <x:row r="7" spans="1:6" s="4" customFormat="1">
      <x:c r="A7" s="4" t="s">
        <x:v>1520</x:v>
      </x:c>
      <x:c r="B7" s="4" t="s">
        <x:v>2170</x:v>
      </x:c>
      <x:c r="C7" s="4" t="s">
        <x:v>2177</x:v>
      </x:c>
      <x:c r="D7" s="4" t="s">
        <x:v>2183</x:v>
      </x:c>
      <x:c r="E7" s="4" t="s">
        <x:v>2188</x:v>
      </x:c>
    </x:row>
    <x:row r="8" spans="1:6" s="3" customFormat="1">
      <x:c r="A8" s="3" t="s">
        <x:v>1520</x:v>
      </x:c>
      <x:c r="B8" s="3" t="s">
        <x:v>2171</x:v>
      </x:c>
      <x:c r="C8" s="3" t="s">
        <x:v>2178</x:v>
      </x:c>
      <x:c r="D8" s="3" t="s">
        <x:v>2184</x:v>
      </x:c>
      <x:c r="E8" s="3" t="s">
        <x:v>2189</x:v>
      </x:c>
    </x:row>
    <x:row r="9" spans="1:6" s="1" customFormat="1">
      <x:c r="A9" s="1" t="s">
        <x:v>1519</x:v>
      </x:c>
      <x:c r="B9" s="1" t="s">
        <x:v>2171</x:v>
      </x:c>
      <x:c r="C9" s="1" t="s">
        <x:v>2179</x:v>
      </x:c>
      <x:c r="D9" s="1" t="s">
        <x:v>2185</x:v>
      </x:c>
      <x:c r="E9" s="1" t="s">
        <x:v>2190</x:v>
      </x:c>
    </x:row>
    <x:row r="10" spans="1:6" s="4" customFormat="1">
      <x:c r="A10" s="4" t="s">
        <x:v>2168</x:v>
      </x:c>
      <x:c r="B10" s="4" t="s">
        <x:v>2170</x:v>
      </x:c>
      <x:c r="C10" s="4" t="s">
        <x:v>2180</x:v>
      </x:c>
      <x:c r="D10" s="4" t="s">
        <x:v>2186</x:v>
      </x:c>
      <x:c r="E10" s="4" t="s">
        <x:v>2191</x:v>
      </x:c>
    </x:row>
    <x:row r="11" spans="1:6" s="3" customFormat="1"/>
    <x:row r="12" spans="1:6" s="1" customFormat="1"/>
    <x:row r="13" spans="1:6" s="4" customFormat="1"/>
    <x:row r="14" spans="1:6" s="3" customFormat="1"/>
    <x:row r="15" spans="1:6" s="1" customFormat="1"/>
    <x:row r="16" spans="1:6" s="4" customFormat="1"/>
    <x:row r="17" spans="1:6" s="3" customFormat="1"/>
    <x:row r="18" spans="1:6" s="1" customFormat="1"/>
    <x:row r="19" spans="1:6" s="4" customFormat="1"/>
    <x:row r="20" spans="1:6" s="3" customFormat="1"/>
    <x:row r="21" spans="1:6" s="1" customFormat="1"/>
    <x:row r="22" spans="1:6" s="4" customFormat="1"/>
    <x:row r="23" spans="1:6" s="3" customFormat="1"/>
    <x:row r="24" spans="1:6" s="1" customFormat="1"/>
    <x:row r="25" spans="1:6" s="4" customFormat="1"/>
    <x:row r="26" spans="1:6" s="3" customFormat="1"/>
    <x:row r="27" spans="1:6" s="1" customFormat="1"/>
    <x:row r="28" spans="1:6" s="4" customFormat="1"/>
    <x:row r="29" spans="1:6" s="3" customFormat="1"/>
    <x:row r="30" spans="1:6" s="1" customFormat="1"/>
    <x:row r="31" spans="1:6" s="4" customFormat="1"/>
    <x:row r="32" spans="1:6" s="3" customFormat="1"/>
    <x:row r="33" spans="1:6" s="1" customFormat="1"/>
    <x:row r="34" spans="1:6" s="4" customFormat="1"/>
    <x:row r="35" spans="1:6" s="3" customFormat="1"/>
    <x:row r="36" spans="1:6" s="1" customFormat="1"/>
    <x:row r="37" spans="1:6" s="4" customFormat="1"/>
    <x:row r="38" spans="1:6" s="3" customFormat="1"/>
    <x:row r="39" spans="1:6" s="1" customFormat="1"/>
    <x:row r="40" spans="1:6" s="4" customFormat="1"/>
    <x:row r="41" spans="1:6" s="3" customFormat="1"/>
    <x:row r="42" spans="1:6" s="1" customFormat="1"/>
    <x:row r="43" spans="1:6" s="4" customFormat="1"/>
    <x:row r="44" spans="1:6" s="3" customFormat="1"/>
    <x:row r="45" spans="1:6" s="1" customFormat="1"/>
    <x:row r="46" spans="1:6" s="4" customFormat="1"/>
    <x:row r="47" spans="1:6" s="3" customFormat="1"/>
    <x:row r="48" spans="1:6" s="1" customFormat="1"/>
    <x:row r="49" spans="1:6" s="4" customFormat="1"/>
    <x:row r="50" spans="1:6" s="3" customFormat="1"/>
    <x:row r="51" spans="1:6" s="1" customFormat="1"/>
    <x:row r="52" spans="1:6" s="4" customFormat="1"/>
    <x:row r="53" spans="1:6" s="3" customFormat="1"/>
    <x:row r="54" spans="1:6" s="1" customFormat="1"/>
    <x:row r="55" spans="1:6" s="4" customFormat="1"/>
    <x:row r="56" spans="1:6" s="3" customFormat="1"/>
    <x:row r="57" spans="1:6" s="1" customFormat="1"/>
    <x:row r="58" spans="1:6" s="4" customFormat="1"/>
    <x:row r="59" spans="1:6" s="3" customFormat="1"/>
    <x:row r="60" spans="1:6" s="1" customFormat="1"/>
    <x:row r="61" spans="1:6" s="4" customFormat="1"/>
    <x:row r="62" spans="1:6" s="3" customFormat="1"/>
    <x:row r="63" spans="1:6" s="1" customFormat="1"/>
    <x:row r="64" spans="1:6" s="4" customFormat="1"/>
    <x:row r="65" spans="1:6" s="3" customFormat="1"/>
    <x:row r="66" spans="1:6" s="1" customFormat="1"/>
    <x:row r="67" spans="1:6" s="4" customFormat="1"/>
    <x:row r="68" spans="1:6" s="3" customFormat="1"/>
    <x:row r="69" spans="1:6" s="1" customFormat="1"/>
    <x:row r="70" spans="1:6" s="4" customFormat="1"/>
    <x:row r="71" spans="1:6" s="3" customFormat="1"/>
    <x:row r="72" spans="1:6" s="1" customFormat="1"/>
    <x:row r="73" spans="1:6" s="4" customFormat="1"/>
    <x:row r="74" spans="1:6" s="3" customFormat="1"/>
    <x:row r="75" spans="1:6" s="1" customFormat="1"/>
    <x:row r="76" spans="1:6" s="4" customFormat="1"/>
    <x:row r="77" spans="1:6" s="3" customFormat="1"/>
    <x:row r="78" spans="1:6" s="1" customFormat="1"/>
    <x:row r="79" spans="1:6" s="4" customFormat="1"/>
    <x:row r="80" spans="1:6" s="3" customFormat="1"/>
    <x:row r="81" spans="1:6" s="1" customFormat="1"/>
    <x:row r="82" spans="1:6" s="4" customFormat="1"/>
    <x:row r="83" spans="1:6" s="3" customFormat="1"/>
    <x:row r="84" spans="1:6" s="1" customFormat="1"/>
    <x:row r="85" spans="1:6" s="4" customFormat="1"/>
    <x:row r="86" spans="1:6" s="3" customFormat="1"/>
    <x:row r="87" spans="1:6" s="1" customFormat="1"/>
    <x:row r="88" spans="1:6" s="4" customFormat="1"/>
    <x:row r="89" spans="1:6" s="3" customFormat="1"/>
    <x:row r="90" spans="1:6" s="1" customFormat="1"/>
    <x:row r="91" spans="1:6" s="4" customFormat="1"/>
    <x:row r="92" spans="1:6" s="3" customFormat="1"/>
    <x:row r="93" spans="1:6" s="1" customFormat="1"/>
    <x:row r="94" spans="1:6" s="4" customFormat="1"/>
    <x:row r="95" spans="1:6" s="3" customFormat="1"/>
    <x:row r="96" spans="1:6" s="1" customFormat="1"/>
    <x:row r="97" spans="1:6" s="4" customFormat="1"/>
    <x:row r="98" spans="1:6" s="3" customFormat="1"/>
    <x:row r="99" spans="1:6" s="1" customFormat="1"/>
    <x:row r="100" spans="1:6" s="4" customFormat="1"/>
    <x:row r="101" spans="1:6" s="3" customFormat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05"/>
  <x:sheetViews>
    <x:sheetView workbookViewId="0"/>
  </x:sheetViews>
  <x:sheetFormatPr defaultRowHeight="15"/>
  <x:cols>
    <x:col min="1" max="1" width="11.710625" style="0" customWidth="1"/>
    <x:col min="2" max="2" width="21.424911" style="0" customWidth="1"/>
    <x:col min="3" max="3" width="32.996339" style="0" customWidth="1"/>
    <x:col min="4" max="4" width="18.710625" style="0" customWidth="1"/>
    <x:col min="5" max="5" width="85.567768" style="0" customWidth="1"/>
    <x:col min="6" max="6" width="50.853482" style="0" customWidth="1"/>
    <x:col min="7" max="7" width="40.424911" style="0" customWidth="1"/>
    <x:col min="8" max="8" width="20.996339" style="0" customWidth="1"/>
  </x:cols>
  <x:sheetData>
    <x:row r="1" spans="1:8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2" t="s">
        <x:v>872</x:v>
      </x:c>
      <x:c r="H1" s="5">
        <x:f>HYPERLINK("#'Summary List'!A33", "Back to Summary")</x:f>
      </x:c>
    </x:row>
    <x:row r="2" spans="1:8" s="3" customFormat="1">
      <x:c r="A2" s="3" t="s">
        <x:v>2192</x:v>
      </x:c>
      <x:c r="B2" s="3" t="s">
        <x:v>1529</x:v>
      </x:c>
      <x:c r="C2" s="6" t="s">
        <x:v>1614</x:v>
      </x:c>
      <x:c r="D2" s="7">
        <x:f>CONCATENATE(HYPERLINK("CALLTO:%2B356%207710%205385", "+356 7710 5385"))</x:f>
      </x:c>
      <x:c r="E2" s="6" t="s">
        <x:v>1709</x:v>
      </x:c>
      <x:c r="F2" s="6" t="s">
        <x:v>5285</x:v>
      </x:c>
      <x:c r="G2" s="3" t="s">
        <x:v>2274</x:v>
      </x:c>
    </x:row>
    <x:row r="3" spans="1:8" s="1" customFormat="1">
      <x:c r="A3" s="1" t="s">
        <x:v>2192</x:v>
      </x:c>
      <x:c r="B3" s="1" t="s">
        <x:v>1896</x:v>
      </x:c>
      <x:c r="C3" s="8" t="s">
        <x:v>2212</x:v>
      </x:c>
      <x:c r="D3" s="9">
        <x:f>CONCATENATE(HYPERLINK("CALLTO:%2B356%202278%202000", "+356 2278 2000"))</x:f>
      </x:c>
      <x:c r="E3" s="8" t="s">
        <x:v>2022</x:v>
      </x:c>
      <x:c r="F3" s="8" t="s">
        <x:v>1679</x:v>
      </x:c>
    </x:row>
    <x:row r="4" spans="1:8" s="4" customFormat="1">
      <x:c r="A4" s="4" t="s">
        <x:v>2192</x:v>
      </x:c>
      <x:c r="B4" s="4" t="s">
        <x:v>2123</x:v>
      </x:c>
      <x:c r="C4" s="10" t="s">
        <x:v>1620</x:v>
      </x:c>
      <x:c r="D4" s="11">
        <x:f>CONCATENATE(HYPERLINK("CALLTO:%2B356%202095%209595", "+356 2095 9595"))</x:f>
      </x:c>
      <x:c r="E4" s="10" t="s">
        <x:v>2139</x:v>
      </x:c>
      <x:c r="F4" s="10" t="s">
        <x:v>2145</x:v>
      </x:c>
    </x:row>
    <x:row r="5" spans="1:8" s="3" customFormat="1">
      <x:c r="A5" s="3" t="s">
        <x:v>2192</x:v>
      </x:c>
      <x:c r="B5" s="3" t="s">
        <x:v>1530</x:v>
      </x:c>
      <x:c r="C5" s="6" t="s">
        <x:v>1615</x:v>
      </x:c>
      <x:c r="D5" s="7">
        <x:f>CONCATENATE(HYPERLINK("CALLTO:%2B356%202131%200334", "+356 2131 0334"))</x:f>
      </x:c>
      <x:c r="E5" s="6" t="s">
        <x:v>1710</x:v>
      </x:c>
      <x:c r="F5" s="6" t="s">
        <x:v>1785</x:v>
      </x:c>
    </x:row>
    <x:row r="6" spans="1:8" s="1" customFormat="1">
      <x:c r="A6" s="1" t="s">
        <x:v>2192</x:v>
      </x:c>
      <x:c r="B6" s="1" t="s">
        <x:v>1865</x:v>
      </x:c>
      <x:c r="C6" s="8" t="s">
        <x:v>1323</x:v>
      </x:c>
      <x:c r="D6" s="9">
        <x:f>CONCATENATE(HYPERLINK("CALLTO:%2B356%202549%203000", "+356 2549 3000"))</x:f>
      </x:c>
      <x:c r="E6" s="8" t="s">
        <x:v>1981</x:v>
      </x:c>
      <x:c r="F6" s="8" t="s">
        <x:v>2046</x:v>
      </x:c>
    </x:row>
    <x:row r="7" spans="1:8" s="4" customFormat="1">
      <x:c r="A7" s="4" t="s">
        <x:v>2192</x:v>
      </x:c>
      <x:c r="B7" s="4" t="s">
        <x:v>2193</x:v>
      </x:c>
      <x:c r="C7" s="10" t="s">
        <x:v>1597</x:v>
      </x:c>
      <x:c r="D7" s="11">
        <x:f>CONCATENATE(HYPERLINK("CALLTO:%2B356%202742%204632", "+356 2742 4632"))</x:f>
      </x:c>
      <x:c r="E7" s="10" t="s">
        <x:v>2222</x:v>
      </x:c>
      <x:c r="F7" s="10" t="s">
        <x:v>2247</x:v>
      </x:c>
    </x:row>
    <x:row r="8" spans="1:8" s="3" customFormat="1">
      <x:c r="A8" s="3" t="s">
        <x:v>2192</x:v>
      </x:c>
      <x:c r="B8" s="3" t="s">
        <x:v>1532</x:v>
      </x:c>
      <x:c r="C8" s="6" t="s">
        <x:v>1617</x:v>
      </x:c>
      <x:c r="D8" s="7">
        <x:f>CONCATENATE(HYPERLINK("CALLTO:%2B356%202728%202828", "+356 2728 2828"))</x:f>
      </x:c>
      <x:c r="E8" s="6" t="s">
        <x:v>2021</x:v>
      </x:c>
      <x:c r="F8" s="6" t="s">
        <x:v>2248</x:v>
      </x:c>
    </x:row>
    <x:row r="9" spans="1:8" s="1" customFormat="1">
      <x:c r="A9" s="1" t="s">
        <x:v>2192</x:v>
      </x:c>
      <x:c r="B9" s="1" t="s">
        <x:v>2194</x:v>
      </x:c>
      <x:c r="C9" s="8" t="s">
        <x:v>224</x:v>
      </x:c>
      <x:c r="D9" s="9">
        <x:f>CONCATENATE(HYPERLINK("CALLTO:%2B356%202144%207604", "+356 2144 7604"))</x:f>
      </x:c>
      <x:c r="E9" s="8" t="s">
        <x:v>2223</x:v>
      </x:c>
      <x:c r="F9" s="8" t="s">
        <x:v>2249</x:v>
      </x:c>
    </x:row>
    <x:row r="10" spans="1:8" s="4" customFormat="1">
      <x:c r="A10" s="4" t="s">
        <x:v>2192</x:v>
      </x:c>
      <x:c r="B10" s="4" t="s">
        <x:v>2195</x:v>
      </x:c>
      <x:c r="C10" s="10" t="s">
        <x:v>1640</x:v>
      </x:c>
      <x:c r="D10" s="11">
        <x:f>CONCATENATE(HYPERLINK("CALLTO:%2B356%202546%205000", "+356 2546 5000"))</x:f>
      </x:c>
      <x:c r="E10" s="10" t="s">
        <x:v>2224</x:v>
      </x:c>
      <x:c r="F10" s="10" t="s">
        <x:v>2250</x:v>
      </x:c>
    </x:row>
    <x:row r="11" spans="1:8" s="3" customFormat="1">
      <x:c r="A11" s="3" t="s">
        <x:v>2192</x:v>
      </x:c>
      <x:c r="B11" s="3" t="s">
        <x:v>1849</x:v>
      </x:c>
      <x:c r="C11" s="6" t="s">
        <x:v>861</x:v>
      </x:c>
      <x:c r="D11" s="7">
        <x:f>CONCATENATE(HYPERLINK("CALLTO:%2B356%202155%201234", "+356 2155 1234"))</x:f>
      </x:c>
      <x:c r="E11" s="6" t="s">
        <x:v>1763</x:v>
      </x:c>
      <x:c r="F11" s="6" t="s">
        <x:v>2251</x:v>
      </x:c>
    </x:row>
    <x:row r="12" spans="1:8" s="1" customFormat="1">
      <x:c r="A12" s="1" t="s">
        <x:v>2192</x:v>
      </x:c>
      <x:c r="B12" s="1" t="s">
        <x:v>1868</x:v>
      </x:c>
      <x:c r="C12" s="8" t="s">
        <x:v>1917</x:v>
      </x:c>
      <x:c r="D12" s="9">
        <x:f>CONCATENATE(HYPERLINK("CALLTO:%2B356%202180%206878", "+356 2180 6878"))</x:f>
      </x:c>
      <x:c r="E12" s="8" t="s">
        <x:v>2225</x:v>
      </x:c>
      <x:c r="F12" s="8" t="s">
        <x:v>2252</x:v>
      </x:c>
    </x:row>
    <x:row r="13" spans="1:8" s="4" customFormat="1">
      <x:c r="A13" s="4" t="s">
        <x:v>2192</x:v>
      </x:c>
      <x:c r="B13" s="4" t="s">
        <x:v>1519</x:v>
      </x:c>
      <x:c r="C13" s="10" t="s">
        <x:v>1605</x:v>
      </x:c>
      <x:c r="D13" s="11">
        <x:f>CONCATENATE(HYPERLINK("CALLTO:%2B356%202143%204747", "+356 2143 4747"))</x:f>
      </x:c>
      <x:c r="E13" s="10" t="s">
        <x:v>2227</x:v>
      </x:c>
      <x:c r="F13" s="10" t="s">
        <x:v>2253</x:v>
      </x:c>
    </x:row>
    <x:row r="14" spans="1:8" s="3" customFormat="1">
      <x:c r="A14" s="3" t="s">
        <x:v>2192</x:v>
      </x:c>
      <x:c r="B14" s="3" t="s">
        <x:v>1520</x:v>
      </x:c>
      <x:c r="C14" s="6" t="s">
        <x:v>1606</x:v>
      </x:c>
      <x:c r="D14" s="7">
        <x:f>CONCATENATE(HYPERLINK("CALLTO:%2B356%202549%205000", "+356 2549 5000"))</x:f>
      </x:c>
      <x:c r="E14" s="6" t="s">
        <x:v>2226</x:v>
      </x:c>
      <x:c r="F14" s="6" t="s">
        <x:v>2254</x:v>
      </x:c>
    </x:row>
    <x:row r="15" spans="1:8" s="1" customFormat="1">
      <x:c r="A15" s="1" t="s">
        <x:v>2192</x:v>
      </x:c>
      <x:c r="B15" s="1" t="s">
        <x:v>955</x:v>
      </x:c>
      <x:c r="C15" s="8" t="s">
        <x:v>570</x:v>
      </x:c>
      <x:c r="D15" s="9">
        <x:f>CONCATENATE(HYPERLINK("CALLTO:%2B356%202326%202000", "+356 2326 2000"))</x:f>
      </x:c>
      <x:c r="E15" s="8" t="s">
        <x:v>2228</x:v>
      </x:c>
      <x:c r="F15" s="8" t="s">
        <x:v>1954</x:v>
      </x:c>
    </x:row>
    <x:row r="16" spans="1:8" s="4" customFormat="1">
      <x:c r="A16" s="4" t="s">
        <x:v>2192</x:v>
      </x:c>
      <x:c r="B16" s="4" t="s">
        <x:v>2196</x:v>
      </x:c>
      <x:c r="C16" s="10" t="s">
        <x:v>1944</x:v>
      </x:c>
      <x:c r="D16" s="11">
        <x:f>CONCATENATE(HYPERLINK("CALLTO:%2B356%202144%206000", "+356 2144 6000"))</x:f>
      </x:c>
      <x:c r="E16" s="10" t="s">
        <x:v>2229</x:v>
      </x:c>
      <x:c r="F16" s="10" t="s">
        <x:v>1953</x:v>
      </x:c>
    </x:row>
    <x:row r="17" spans="1:8" s="3" customFormat="1">
      <x:c r="A17" s="3" t="s">
        <x:v>2192</x:v>
      </x:c>
      <x:c r="B17" s="3" t="s">
        <x:v>1518</x:v>
      </x:c>
      <x:c r="C17" s="6" t="s">
        <x:v>2213</x:v>
      </x:c>
      <x:c r="D17" s="7">
        <x:f>CONCATENATE(HYPERLINK("CALLTO:%2B356%202546%204543", "+356 2546 4543"))</x:f>
      </x:c>
      <x:c r="E17" s="6" t="s">
        <x:v>2230</x:v>
      </x:c>
      <x:c r="F17" s="6" t="s">
        <x:v>2256</x:v>
      </x:c>
    </x:row>
    <x:row r="18" spans="1:8" s="1" customFormat="1">
      <x:c r="A18" s="1" t="s">
        <x:v>2192</x:v>
      </x:c>
      <x:c r="B18" s="1" t="s">
        <x:v>1254</x:v>
      </x:c>
      <x:c r="C18" s="8" t="s">
        <x:v>1321</x:v>
      </x:c>
      <x:c r="D18" s="9">
        <x:f>CONCATENATE(HYPERLINK("CALLTO:%2B356%202713%207364", "+356 2713 7364"))</x:f>
      </x:c>
      <x:c r="E18" s="8" t="s">
        <x:v>2231</x:v>
      </x:c>
      <x:c r="F18" s="8" t="s">
        <x:v>2257</x:v>
      </x:c>
    </x:row>
    <x:row r="19" spans="1:8" s="4" customFormat="1">
      <x:c r="A19" s="4" t="s">
        <x:v>2192</x:v>
      </x:c>
      <x:c r="B19" s="4" t="s">
        <x:v>1533</x:v>
      </x:c>
      <x:c r="C19" s="10" t="s">
        <x:v>1618</x:v>
      </x:c>
      <x:c r="D19" s="11">
        <x:f>CONCATENATE(HYPERLINK("CALLTO:%2B356%202149%201727", "+356 2149 1727"))</x:f>
      </x:c>
      <x:c r="E19" s="10" t="s">
        <x:v>2232</x:v>
      </x:c>
      <x:c r="F19" s="10" t="s">
        <x:v>1670</x:v>
      </x:c>
    </x:row>
    <x:row r="20" spans="1:8" s="3" customFormat="1">
      <x:c r="A20" s="3" t="s">
        <x:v>2192</x:v>
      </x:c>
      <x:c r="B20" s="3" t="s">
        <x:v>2197</x:v>
      </x:c>
      <x:c r="C20" s="6" t="s">
        <x:v>1616</x:v>
      </x:c>
      <x:c r="D20" s="7">
        <x:f>CONCATENATE(HYPERLINK("CALLTO:%2B356%202189%200459", "+356 2189 0459"))</x:f>
      </x:c>
      <x:c r="E20" s="6" t="s">
        <x:v>2234</x:v>
      </x:c>
      <x:c r="F20" s="6" t="s">
        <x:v>2259</x:v>
      </x:c>
    </x:row>
    <x:row r="21" spans="1:8" s="1" customFormat="1">
      <x:c r="A21" s="1" t="s">
        <x:v>2192</x:v>
      </x:c>
      <x:c r="B21" s="1" t="s">
        <x:v>2198</x:v>
      </x:c>
      <x:c r="C21" s="8" t="s">
        <x:v>2135</x:v>
      </x:c>
      <x:c r="D21" s="9">
        <x:f>CONCATENATE(HYPERLINK("CALLTO:%2B356%202149%202149", "+356 2149 2149"))</x:f>
      </x:c>
      <x:c r="E21" s="8" t="s">
        <x:v>2233</x:v>
      </x:c>
      <x:c r="F21" s="8" t="s">
        <x:v>2260</x:v>
      </x:c>
    </x:row>
    <x:row r="22" spans="1:8" s="4" customFormat="1">
      <x:c r="A22" s="4" t="s">
        <x:v>2192</x:v>
      </x:c>
      <x:c r="B22" s="4" t="s">
        <x:v>1558</x:v>
      </x:c>
      <x:c r="C22" s="10" t="s">
        <x:v>1643</x:v>
      </x:c>
      <x:c r="D22" s="11">
        <x:f>CONCATENATE(HYPERLINK("CALLTO:%2B356%202799%205000", "+356 2799 5000"))</x:f>
      </x:c>
      <x:c r="E22" s="10" t="s">
        <x:v>2235</x:v>
      </x:c>
      <x:c r="F22" s="10" t="s">
        <x:v>2261</x:v>
      </x:c>
    </x:row>
    <x:row r="23" spans="1:8" s="3" customFormat="1">
      <x:c r="A23" s="3" t="s">
        <x:v>2192</x:v>
      </x:c>
      <x:c r="B23" s="3" t="s">
        <x:v>2199</x:v>
      </x:c>
      <x:c r="C23" s="6" t="s">
        <x:v>1599</x:v>
      </x:c>
      <x:c r="D23" s="7">
        <x:f>CONCATENATE(HYPERLINK("CALLTO:%2B356%202124%200100", "+356 2124 0100"))</x:f>
      </x:c>
      <x:c r="E23" s="6" t="s">
        <x:v>2236</x:v>
      </x:c>
      <x:c r="F23" s="6" t="s">
        <x:v>2262</x:v>
      </x:c>
    </x:row>
    <x:row r="24" spans="1:8" s="1" customFormat="1">
      <x:c r="A24" s="1" t="s">
        <x:v>2192</x:v>
      </x:c>
      <x:c r="B24" s="1" t="s">
        <x:v>2200</x:v>
      </x:c>
      <x:c r="C24" s="8" t="s">
        <x:v>2214</x:v>
      </x:c>
      <x:c r="D24" s="9">
        <x:f>CONCATENATE(HYPERLINK("CALLTO:%2B356%209914%208891", "+356 9914 8891"))</x:f>
      </x:c>
      <x:c r="E24" s="8" t="s">
        <x:v>2237</x:v>
      </x:c>
      <x:c r="F24" s="8" t="s">
        <x:v>2263</x:v>
      </x:c>
    </x:row>
    <x:row r="25" spans="1:8" s="4" customFormat="1">
      <x:c r="A25" s="4" t="s">
        <x:v>2192</x:v>
      </x:c>
      <x:c r="B25" s="4" t="s">
        <x:v>2201</x:v>
      </x:c>
      <x:c r="C25" s="10" t="s">
        <x:v>1666</x:v>
      </x:c>
      <x:c r="D25" s="11">
        <x:f>CONCATENATE(HYPERLINK("CALLTO:%2B356%202143%206407", "+356 2143 6407"))</x:f>
      </x:c>
      <x:c r="E25" s="10" t="s">
        <x:v>2238</x:v>
      </x:c>
      <x:c r="F25" s="10" t="s">
        <x:v>2264</x:v>
      </x:c>
    </x:row>
    <x:row r="26" spans="1:8" s="3" customFormat="1">
      <x:c r="A26" s="3" t="s">
        <x:v>2192</x:v>
      </x:c>
      <x:c r="B26" s="3" t="s">
        <x:v>2202</x:v>
      </x:c>
      <x:c r="C26" s="6" t="s">
        <x:v>1635</x:v>
      </x:c>
      <x:c r="D26" s="7">
        <x:f>CONCATENATE(HYPERLINK("CALLTO:%2B356%202144%200862", "+356 2144 0862"))</x:f>
      </x:c>
      <x:c r="E26" s="6" t="s">
        <x:v>1955</x:v>
      </x:c>
      <x:c r="F26" s="6" t="s">
        <x:v>2265</x:v>
      </x:c>
    </x:row>
    <x:row r="27" spans="1:8" s="1" customFormat="1">
      <x:c r="A27" s="1" t="s">
        <x:v>2192</x:v>
      </x:c>
      <x:c r="B27" s="1" t="s">
        <x:v>2203</x:v>
      </x:c>
      <x:c r="C27" s="8" t="s">
        <x:v>1653</x:v>
      </x:c>
      <x:c r="D27" s="9">
        <x:f>CONCATENATE(HYPERLINK("CALLTO:%2B356%202148%203614", "+356 2148 3614"))</x:f>
      </x:c>
      <x:c r="E27" s="8" t="s">
        <x:v>2239</x:v>
      </x:c>
      <x:c r="F27" s="8" t="s">
        <x:v>1829</x:v>
      </x:c>
    </x:row>
    <x:row r="28" spans="1:8" s="4" customFormat="1">
      <x:c r="A28" s="4" t="s">
        <x:v>2192</x:v>
      </x:c>
      <x:c r="B28" s="4" t="s">
        <x:v>2204</x:v>
      </x:c>
      <x:c r="C28" s="10" t="s">
        <x:v>1628</x:v>
      </x:c>
      <x:c r="D28" s="11">
        <x:f>CONCATENATE(HYPERLINK("CALLTO:%2B356%202122%200310", "+356 2122 0310"))</x:f>
      </x:c>
      <x:c r="E28" s="10" t="s">
        <x:v>2240</x:v>
      </x:c>
      <x:c r="F28" s="10" t="s">
        <x:v>2266</x:v>
      </x:c>
    </x:row>
    <x:row r="29" spans="1:8" s="3" customFormat="1">
      <x:c r="A29" s="3" t="s">
        <x:v>2192</x:v>
      </x:c>
      <x:c r="B29" s="3" t="s">
        <x:v>2205</x:v>
      </x:c>
      <x:c r="C29" s="6" t="s">
        <x:v>1914</x:v>
      </x:c>
      <x:c r="D29" s="7">
        <x:f>CONCATENATE(HYPERLINK("CALLTO:%2B356%202033%204532", "+356 2033 4532"))</x:f>
      </x:c>
      <x:c r="E29" s="6" t="s">
        <x:v>2241</x:v>
      </x:c>
      <x:c r="F29" s="6" t="s">
        <x:v>2267</x:v>
      </x:c>
    </x:row>
    <x:row r="30" spans="1:8" s="1" customFormat="1">
      <x:c r="A30" s="1" t="s">
        <x:v>2192</x:v>
      </x:c>
      <x:c r="B30" s="1" t="s">
        <x:v>1559</x:v>
      </x:c>
      <x:c r="C30" s="8" t="s">
        <x:v>1923</x:v>
      </x:c>
      <x:c r="D30" s="9">
        <x:f>CONCATENATE(HYPERLINK("CALLTO:%2B356%202144%205733", "+356 2144 5733"))</x:f>
      </x:c>
      <x:c r="E30" s="8" t="s">
        <x:v>2242</x:v>
      </x:c>
      <x:c r="F30" s="8" t="s">
        <x:v>1341</x:v>
      </x:c>
    </x:row>
    <x:row r="31" spans="1:8" s="4" customFormat="1">
      <x:c r="A31" s="4" t="s">
        <x:v>2192</x:v>
      </x:c>
      <x:c r="B31" s="4" t="s">
        <x:v>2206</x:v>
      </x:c>
      <x:c r="C31" s="10" t="s">
        <x:v>2215</x:v>
      </x:c>
      <x:c r="D31" s="11">
        <x:f>CONCATENATE(HYPERLINK("CALLTO:%2B356%202748%202536", "+356 2748 2536"))</x:f>
      </x:c>
      <x:c r="E31" s="10" t="s">
        <x:v>2243</x:v>
      </x:c>
      <x:c r="F31" s="10" t="s">
        <x:v>2268</x:v>
      </x:c>
    </x:row>
    <x:row r="32" spans="1:8" s="3" customFormat="1">
      <x:c r="A32" s="3" t="s">
        <x:v>2192</x:v>
      </x:c>
      <x:c r="B32" s="3" t="s">
        <x:v>1567</x:v>
      </x:c>
      <x:c r="C32" s="6" t="s">
        <x:v>1651</x:v>
      </x:c>
      <x:c r="D32" s="7">
        <x:f>CONCATENATE(HYPERLINK("CALLTO:%2B356%207940%207622", "+356 7940 7622"))</x:f>
      </x:c>
      <x:c r="E32" s="6" t="s">
        <x:v>2140</x:v>
      </x:c>
      <x:c r="F32" s="6" t="s">
        <x:v>2269</x:v>
      </x:c>
    </x:row>
    <x:row r="33" spans="1:8" s="1" customFormat="1">
      <x:c r="A33" s="1" t="s">
        <x:v>2192</x:v>
      </x:c>
      <x:c r="B33" s="1" t="s">
        <x:v>2124</x:v>
      </x:c>
      <x:c r="C33" s="8" t="s">
        <x:v>1487</x:v>
      </x:c>
      <x:c r="D33" s="9">
        <x:f>CONCATENATE(HYPERLINK("CALLTO:%2B356%202034%201569", "+356 2034 1569"))</x:f>
      </x:c>
      <x:c r="E33" s="8" t="s">
        <x:v>1683</x:v>
      </x:c>
      <x:c r="F33" s="8" t="s">
        <x:v>1148</x:v>
      </x:c>
    </x:row>
    <x:row r="34" spans="1:8" s="4" customFormat="1">
      <x:c r="A34" s="4" t="s">
        <x:v>2192</x:v>
      </x:c>
      <x:c r="B34" s="4" t="s">
        <x:v>1506</x:v>
      </x:c>
      <x:c r="C34" s="10" t="s">
        <x:v>1592</x:v>
      </x:c>
      <x:c r="D34" s="11">
        <x:f>CONCATENATE(HYPERLINK("CALLTO:%2B356%207904%209970", "+356 7904 9970"))</x:f>
      </x:c>
      <x:c r="E34" s="10" t="s">
        <x:v>1682</x:v>
      </x:c>
      <x:c r="F34" s="10" t="s">
        <x:v>1678</x:v>
      </x:c>
    </x:row>
    <x:row r="35" spans="1:8" s="3" customFormat="1">
      <x:c r="A35" s="3" t="s">
        <x:v>2192</x:v>
      </x:c>
      <x:c r="B35" s="3" t="s">
        <x:v>1505</x:v>
      </x:c>
      <x:c r="C35" s="6" t="s">
        <x:v>1591</x:v>
      </x:c>
      <x:c r="D35" s="7">
        <x:f>CONCATENATE(HYPERLINK("CALLTO:%2B356%202149%206473", "+356 2149 6473"))</x:f>
      </x:c>
      <x:c r="E35" s="6" t="s">
        <x:v>2244</x:v>
      </x:c>
      <x:c r="F35" s="6" t="s">
        <x:v>1673</x:v>
      </x:c>
    </x:row>
    <x:row r="36" spans="1:8" s="1" customFormat="1">
      <x:c r="A36" s="1" t="s">
        <x:v>2192</x:v>
      </x:c>
      <x:c r="B36" s="1" t="s">
        <x:v>2207</x:v>
      </x:c>
      <x:c r="C36" s="8" t="s">
        <x:v>2216</x:v>
      </x:c>
      <x:c r="D36" s="9">
        <x:f>CONCATENATE(HYPERLINK("CALLTO:%2B356%207797%202449", "+356 7797 2449"))</x:f>
      </x:c>
      <x:c r="E36" s="8" t="s">
        <x:v>2245</x:v>
      </x:c>
      <x:c r="F36" s="8" t="s">
        <x:v>1775</x:v>
      </x:c>
    </x:row>
    <x:row r="37" spans="1:8" s="4" customFormat="1">
      <x:c r="A37" s="4" t="s">
        <x:v>2192</x:v>
      </x:c>
      <x:c r="B37" s="4" t="s">
        <x:v>2208</x:v>
      </x:c>
      <x:c r="C37" s="10" t="s">
        <x:v>2217</x:v>
      </x:c>
      <x:c r="D37" s="11">
        <x:f>CONCATENATE(HYPERLINK("CALLTO:%2B356%202766%201083", "+356 2766 1083"))</x:f>
      </x:c>
      <x:c r="E37" s="10" t="s">
        <x:v>1681</x:v>
      </x:c>
      <x:c r="F37" s="10" t="s">
        <x:v>2270</x:v>
      </x:c>
    </x:row>
    <x:row r="38" spans="1:8" s="3" customFormat="1">
      <x:c r="A38" s="3" t="s">
        <x:v>2192</x:v>
      </x:c>
      <x:c r="B38" s="3" t="s">
        <x:v>1504</x:v>
      </x:c>
      <x:c r="C38" s="6" t="s">
        <x:v>1590</x:v>
      </x:c>
      <x:c r="D38" s="7">
        <x:f>CONCATENATE(HYPERLINK("CALLTO:%2B356%202141%205553", "+356 2141 5553"))</x:f>
      </x:c>
      <x:c r="E38" s="6" t="s">
        <x:v>1737</x:v>
      </x:c>
      <x:c r="F38" s="6" t="s">
        <x:v>1675</x:v>
      </x:c>
    </x:row>
    <x:row r="39" spans="1:8" s="1" customFormat="1">
      <x:c r="A39" s="1" t="s">
        <x:v>2192</x:v>
      </x:c>
      <x:c r="B39" s="1" t="s">
        <x:v>1560</x:v>
      </x:c>
      <x:c r="C39" s="8" t="s">
        <x:v>1644</x:v>
      </x:c>
      <x:c r="D39" s="9">
        <x:f>CONCATENATE(HYPERLINK("CALLTO:%2B356%202145%201718", "+356 2145 1718"))</x:f>
      </x:c>
      <x:c r="E39" s="8" t="s">
        <x:v>2246</x:v>
      </x:c>
      <x:c r="F39" s="8" t="s">
        <x:v>1773</x:v>
      </x:c>
    </x:row>
    <x:row r="40" spans="1:8" s="4" customFormat="1">
      <x:c r="A40" s="4" t="s">
        <x:v>2192</x:v>
      </x:c>
      <x:c r="B40" s="4" t="s">
        <x:v>2209</x:v>
      </x:c>
      <x:c r="C40" s="10" t="s">
        <x:v>2218</x:v>
      </x:c>
      <x:c r="D40" s="11">
        <x:f>CONCATENATE(HYPERLINK("CALLTO:%2B356%202788%203788", "+356 2788 3788"))</x:f>
      </x:c>
      <x:c r="F40" s="10" t="s">
        <x:v>2271</x:v>
      </x:c>
    </x:row>
    <x:row r="41" spans="1:8" s="3" customFormat="1">
      <x:c r="A41" s="3" t="s">
        <x:v>2192</x:v>
      </x:c>
      <x:c r="B41" s="3" t="s">
        <x:v>1867</x:v>
      </x:c>
      <x:c r="C41" s="6" t="s">
        <x:v>1619</x:v>
      </x:c>
      <x:c r="F41" s="6" t="s">
        <x:v>1814</x:v>
      </x:c>
    </x:row>
    <x:row r="42" spans="1:8" s="1" customFormat="1">
      <x:c r="A42" s="1" t="s">
        <x:v>2192</x:v>
      </x:c>
      <x:c r="B42" s="1" t="s">
        <x:v>2210</x:v>
      </x:c>
      <x:c r="C42" s="8" t="s">
        <x:v>2219</x:v>
      </x:c>
    </x:row>
    <x:row r="43" spans="1:8" s="4" customFormat="1">
      <x:c r="A43" s="4" t="s">
        <x:v>2192</x:v>
      </x:c>
      <x:c r="B43" s="4" t="s">
        <x:v>2211</x:v>
      </x:c>
      <x:c r="C43" s="10" t="s">
        <x:v>227</x:v>
      </x:c>
    </x:row>
    <x:row r="44" spans="1:8" s="3" customFormat="1">
      <x:c r="A44" s="3" t="s">
        <x:v>2192</x:v>
      </x:c>
      <x:c r="B44" s="3" t="s">
        <x:v>1238</x:v>
      </x:c>
      <x:c r="C44" s="6" t="s">
        <x:v>1311</x:v>
      </x:c>
    </x:row>
    <x:row r="45" spans="1:8" s="1" customFormat="1"/>
    <x:row r="46" spans="1:8" s="4" customFormat="1"/>
    <x:row r="47" spans="1:8" s="3" customFormat="1"/>
    <x:row r="48" spans="1:8" s="1" customFormat="1"/>
    <x:row r="49" spans="1:8" s="4" customFormat="1"/>
    <x:row r="50" spans="1:8" s="3" customFormat="1"/>
    <x:row r="51" spans="1:8" s="1" customFormat="1"/>
    <x:row r="52" spans="1:8" s="4" customFormat="1"/>
    <x:row r="53" spans="1:8" s="3" customFormat="1"/>
    <x:row r="54" spans="1:8" s="1" customFormat="1"/>
    <x:row r="55" spans="1:8" s="4" customFormat="1"/>
    <x:row r="56" spans="1:8" s="3" customFormat="1"/>
    <x:row r="57" spans="1:8" s="1" customFormat="1"/>
    <x:row r="58" spans="1:8" s="4" customFormat="1"/>
    <x:row r="59" spans="1:8" s="3" customFormat="1"/>
    <x:row r="60" spans="1:8" s="1" customFormat="1"/>
    <x:row r="61" spans="1:8" s="4" customFormat="1"/>
    <x:row r="62" spans="1:8" s="3" customFormat="1"/>
    <x:row r="63" spans="1:8" s="1" customFormat="1"/>
    <x:row r="64" spans="1:8" s="4" customFormat="1"/>
    <x:row r="65" spans="1:8" s="3" customFormat="1"/>
    <x:row r="66" spans="1:8" s="1" customFormat="1"/>
    <x:row r="67" spans="1:8" s="4" customFormat="1"/>
    <x:row r="68" spans="1:8" s="3" customFormat="1"/>
    <x:row r="69" spans="1:8" s="1" customFormat="1"/>
    <x:row r="70" spans="1:8" s="4" customFormat="1"/>
    <x:row r="71" spans="1:8" s="3" customFormat="1"/>
    <x:row r="72" spans="1:8" s="1" customFormat="1"/>
    <x:row r="73" spans="1:8" s="4" customFormat="1"/>
    <x:row r="74" spans="1:8" s="3" customFormat="1"/>
    <x:row r="75" spans="1:8" s="1" customFormat="1"/>
    <x:row r="76" spans="1:8" s="4" customFormat="1"/>
    <x:row r="77" spans="1:8" s="3" customFormat="1"/>
    <x:row r="78" spans="1:8" s="1" customFormat="1"/>
    <x:row r="79" spans="1:8" s="4" customFormat="1"/>
    <x:row r="80" spans="1:8" s="3" customFormat="1"/>
    <x:row r="81" spans="1:8" s="1" customFormat="1"/>
    <x:row r="82" spans="1:8" s="4" customFormat="1"/>
    <x:row r="83" spans="1:8" s="3" customFormat="1"/>
    <x:row r="84" spans="1:8" s="1" customFormat="1"/>
    <x:row r="85" spans="1:8" s="4" customFormat="1"/>
    <x:row r="86" spans="1:8" s="3" customFormat="1"/>
    <x:row r="87" spans="1:8" s="1" customFormat="1"/>
    <x:row r="88" spans="1:8" s="4" customFormat="1"/>
    <x:row r="89" spans="1:8" s="3" customFormat="1"/>
    <x:row r="90" spans="1:8" s="1" customFormat="1"/>
    <x:row r="91" spans="1:8" s="4" customFormat="1"/>
    <x:row r="92" spans="1:8" s="3" customFormat="1"/>
    <x:row r="93" spans="1:8" s="1" customFormat="1"/>
    <x:row r="94" spans="1:8" s="4" customFormat="1"/>
    <x:row r="95" spans="1:8" s="3" customFormat="1"/>
    <x:row r="96" spans="1:8" s="1" customFormat="1"/>
    <x:row r="97" spans="1:8" s="4" customFormat="1"/>
    <x:row r="98" spans="1:8" s="3" customFormat="1"/>
    <x:row r="99" spans="1:8" s="1" customFormat="1"/>
    <x:row r="100" spans="1:8" s="4" customFormat="1"/>
    <x:row r="101" spans="1:8" s="3" customFormat="1"/>
    <x:row r="102" spans="1:8" s="1" customFormat="1"/>
    <x:row r="103" spans="1:8" s="4" customFormat="1"/>
    <x:row r="104" spans="1:8" s="3" customFormat="1"/>
    <x:row r="105" spans="1:8" s="1" customFormat="1"/>
    <x:row r="106" spans="1:8" s="4" customFormat="1"/>
    <x:row r="107" spans="1:8" s="3" customFormat="1"/>
    <x:row r="108" spans="1:8" s="1" customFormat="1"/>
    <x:row r="109" spans="1:8" s="4" customFormat="1"/>
    <x:row r="110" spans="1:8" s="3" customFormat="1"/>
    <x:row r="111" spans="1:8" s="1" customFormat="1"/>
    <x:row r="112" spans="1:8" s="4" customFormat="1"/>
    <x:row r="113" spans="1:8" s="3" customFormat="1"/>
    <x:row r="114" spans="1:8" s="1" customFormat="1"/>
    <x:row r="115" spans="1:8" s="4" customFormat="1"/>
    <x:row r="116" spans="1:8" s="3" customFormat="1"/>
    <x:row r="117" spans="1:8" s="1" customFormat="1"/>
    <x:row r="118" spans="1:8" s="4" customFormat="1"/>
    <x:row r="119" spans="1:8" s="3" customFormat="1"/>
    <x:row r="120" spans="1:8" s="1" customFormat="1"/>
    <x:row r="121" spans="1:8" s="4" customFormat="1"/>
    <x:row r="122" spans="1:8" s="3" customFormat="1"/>
    <x:row r="123" spans="1:8" s="1" customFormat="1"/>
    <x:row r="124" spans="1:8" s="4" customFormat="1"/>
    <x:row r="125" spans="1:8" s="3" customFormat="1"/>
    <x:row r="126" spans="1:8" s="1" customFormat="1"/>
    <x:row r="127" spans="1:8" s="4" customFormat="1"/>
    <x:row r="128" spans="1:8" s="3" customFormat="1"/>
    <x:row r="129" spans="1:8" s="1" customFormat="1"/>
    <x:row r="130" spans="1:8" s="4" customFormat="1"/>
    <x:row r="131" spans="1:8" s="3" customFormat="1"/>
    <x:row r="132" spans="1:8" s="1" customFormat="1"/>
    <x:row r="133" spans="1:8" s="4" customFormat="1"/>
    <x:row r="134" spans="1:8" s="3" customFormat="1"/>
    <x:row r="135" spans="1:8" s="1" customFormat="1"/>
    <x:row r="136" spans="1:8" s="4" customFormat="1"/>
    <x:row r="137" spans="1:8" s="3" customFormat="1"/>
    <x:row r="138" spans="1:8" s="1" customFormat="1"/>
    <x:row r="139" spans="1:8" s="4" customFormat="1"/>
    <x:row r="140" spans="1:8" s="3" customFormat="1"/>
    <x:row r="141" spans="1:8" s="1" customFormat="1"/>
    <x:row r="142" spans="1:8" s="4" customFormat="1"/>
    <x:row r="143" spans="1:8" s="3" customFormat="1"/>
    <x:row r="144" spans="1:8" s="1" customFormat="1"/>
    <x:row r="145" spans="1:8" s="4" customFormat="1"/>
    <x:row r="146" spans="1:8" s="3" customFormat="1"/>
    <x:row r="147" spans="1:8" s="1" customFormat="1"/>
    <x:row r="148" spans="1:8" s="4" customFormat="1"/>
    <x:row r="149" spans="1:8" s="3" customFormat="1"/>
    <x:row r="150" spans="1:8" s="1" customFormat="1"/>
    <x:row r="151" spans="1:8" s="4" customFormat="1"/>
    <x:row r="152" spans="1:8" s="3" customFormat="1"/>
    <x:row r="153" spans="1:8" s="1" customFormat="1"/>
    <x:row r="154" spans="1:8" s="4" customFormat="1"/>
    <x:row r="155" spans="1:8" s="3" customFormat="1"/>
    <x:row r="156" spans="1:8" s="1" customFormat="1"/>
    <x:row r="157" spans="1:8" s="4" customFormat="1"/>
    <x:row r="158" spans="1:8" s="3" customFormat="1"/>
    <x:row r="159" spans="1:8" s="1" customFormat="1"/>
    <x:row r="160" spans="1:8" s="4" customFormat="1"/>
    <x:row r="161" spans="1:8" s="3" customFormat="1"/>
    <x:row r="162" spans="1:8" s="1" customFormat="1"/>
    <x:row r="163" spans="1:8" s="4" customFormat="1"/>
    <x:row r="164" spans="1:8" s="3" customFormat="1"/>
    <x:row r="165" spans="1:8" s="1" customFormat="1"/>
    <x:row r="166" spans="1:8" s="4" customFormat="1"/>
    <x:row r="167" spans="1:8" s="3" customFormat="1"/>
    <x:row r="168" spans="1:8" s="1" customFormat="1"/>
    <x:row r="169" spans="1:8" s="4" customFormat="1"/>
    <x:row r="170" spans="1:8" s="3" customFormat="1"/>
    <x:row r="171" spans="1:8" s="1" customFormat="1"/>
    <x:row r="172" spans="1:8" s="4" customFormat="1"/>
    <x:row r="173" spans="1:8" s="3" customFormat="1"/>
    <x:row r="174" spans="1:8" s="1" customFormat="1"/>
    <x:row r="175" spans="1:8" s="4" customFormat="1"/>
    <x:row r="176" spans="1:8" s="3" customFormat="1"/>
    <x:row r="177" spans="1:8" s="1" customFormat="1"/>
    <x:row r="178" spans="1:8" s="4" customFormat="1"/>
    <x:row r="179" spans="1:8" s="3" customFormat="1"/>
    <x:row r="180" spans="1:8" s="1" customFormat="1"/>
    <x:row r="181" spans="1:8" s="4" customFormat="1"/>
    <x:row r="182" spans="1:8" s="3" customFormat="1"/>
    <x:row r="183" spans="1:8" s="1" customFormat="1"/>
    <x:row r="184" spans="1:8" s="4" customFormat="1"/>
    <x:row r="185" spans="1:8" s="3" customFormat="1"/>
    <x:row r="186" spans="1:8" s="1" customFormat="1"/>
    <x:row r="187" spans="1:8" s="4" customFormat="1"/>
    <x:row r="188" spans="1:8" s="3" customFormat="1"/>
    <x:row r="189" spans="1:8" s="1" customFormat="1"/>
    <x:row r="190" spans="1:8" s="4" customFormat="1"/>
    <x:row r="191" spans="1:8" s="3" customFormat="1"/>
    <x:row r="192" spans="1:8" s="1" customFormat="1"/>
    <x:row r="193" spans="1:8" s="4" customFormat="1"/>
    <x:row r="194" spans="1:8" s="3" customFormat="1"/>
    <x:row r="195" spans="1:8" s="1" customFormat="1"/>
    <x:row r="196" spans="1:8" s="4" customFormat="1"/>
    <x:row r="197" spans="1:8" s="3" customFormat="1"/>
    <x:row r="198" spans="1:8" s="1" customFormat="1"/>
    <x:row r="199" spans="1:8" s="4" customFormat="1"/>
    <x:row r="200" spans="1:8" s="3" customFormat="1"/>
    <x:row r="201" spans="1:8" s="1" customFormat="1"/>
    <x:row r="202" spans="1:8" s="4" customFormat="1"/>
    <x:row r="203" spans="1:8" s="3" customFormat="1"/>
    <x:row r="204" spans="1:8" s="1" customFormat="1"/>
    <x:row r="205" spans="1:8" s="4" customFormat="1"/>
    <x:row r="206" spans="1:8" s="3" customFormat="1"/>
    <x:row r="207" spans="1:8" s="1" customFormat="1"/>
    <x:row r="208" spans="1:8" s="4" customFormat="1"/>
    <x:row r="209" spans="1:8" s="3" customFormat="1"/>
    <x:row r="210" spans="1:8" s="1" customFormat="1"/>
    <x:row r="211" spans="1:8" s="4" customFormat="1"/>
    <x:row r="212" spans="1:8" s="3" customFormat="1"/>
    <x:row r="213" spans="1:8" s="1" customFormat="1"/>
    <x:row r="214" spans="1:8" s="4" customFormat="1"/>
    <x:row r="215" spans="1:8" s="3" customFormat="1"/>
    <x:row r="216" spans="1:8" s="1" customFormat="1"/>
    <x:row r="217" spans="1:8" s="4" customFormat="1"/>
    <x:row r="218" spans="1:8" s="3" customFormat="1"/>
    <x:row r="219" spans="1:8" s="1" customFormat="1"/>
    <x:row r="220" spans="1:8" s="4" customFormat="1"/>
    <x:row r="221" spans="1:8" s="3" customFormat="1"/>
    <x:row r="222" spans="1:8" s="1" customFormat="1"/>
    <x:row r="223" spans="1:8" s="4" customFormat="1"/>
    <x:row r="224" spans="1:8" s="3" customFormat="1"/>
    <x:row r="225" spans="1:8" s="1" customFormat="1"/>
    <x:row r="226" spans="1:8" s="4" customFormat="1"/>
    <x:row r="227" spans="1:8" s="3" customFormat="1"/>
    <x:row r="228" spans="1:8" s="1" customFormat="1"/>
    <x:row r="229" spans="1:8" s="4" customFormat="1"/>
    <x:row r="230" spans="1:8" s="3" customFormat="1"/>
    <x:row r="231" spans="1:8" s="1" customFormat="1"/>
    <x:row r="232" spans="1:8" s="4" customFormat="1"/>
    <x:row r="233" spans="1:8" s="3" customFormat="1"/>
    <x:row r="234" spans="1:8" s="1" customFormat="1"/>
    <x:row r="235" spans="1:8" s="4" customFormat="1"/>
    <x:row r="236" spans="1:8" s="3" customFormat="1"/>
    <x:row r="237" spans="1:8" s="1" customFormat="1"/>
    <x:row r="238" spans="1:8" s="4" customFormat="1"/>
    <x:row r="239" spans="1:8" s="3" customFormat="1"/>
    <x:row r="240" spans="1:8" s="1" customFormat="1"/>
    <x:row r="241" spans="1:8" s="4" customFormat="1"/>
    <x:row r="242" spans="1:8" s="3" customFormat="1"/>
    <x:row r="243" spans="1:8" s="1" customFormat="1"/>
    <x:row r="244" spans="1:8" s="4" customFormat="1"/>
    <x:row r="245" spans="1:8" s="3" customFormat="1"/>
    <x:row r="246" spans="1:8" s="1" customFormat="1"/>
    <x:row r="247" spans="1:8" s="4" customFormat="1"/>
    <x:row r="248" spans="1:8" s="3" customFormat="1"/>
    <x:row r="249" spans="1:8" s="1" customFormat="1"/>
    <x:row r="250" spans="1:8" s="4" customFormat="1"/>
    <x:row r="251" spans="1:8" s="3" customFormat="1"/>
    <x:row r="252" spans="1:8" s="1" customFormat="1"/>
    <x:row r="253" spans="1:8" s="4" customFormat="1"/>
    <x:row r="254" spans="1:8" s="3" customFormat="1"/>
    <x:row r="255" spans="1:8" s="1" customFormat="1"/>
    <x:row r="256" spans="1:8" s="4" customFormat="1"/>
    <x:row r="257" spans="1:8" s="3" customFormat="1"/>
    <x:row r="258" spans="1:8" s="1" customFormat="1"/>
    <x:row r="259" spans="1:8" s="4" customFormat="1"/>
    <x:row r="260" spans="1:8" s="3" customFormat="1"/>
    <x:row r="261" spans="1:8" s="1" customFormat="1"/>
    <x:row r="262" spans="1:8" s="4" customFormat="1"/>
    <x:row r="263" spans="1:8" s="3" customFormat="1"/>
    <x:row r="264" spans="1:8" s="1" customFormat="1"/>
    <x:row r="265" spans="1:8" s="4" customFormat="1"/>
    <x:row r="266" spans="1:8" s="3" customFormat="1"/>
    <x:row r="267" spans="1:8" s="1" customFormat="1"/>
    <x:row r="268" spans="1:8" s="4" customFormat="1"/>
    <x:row r="269" spans="1:8" s="3" customFormat="1"/>
    <x:row r="270" spans="1:8" s="1" customFormat="1"/>
    <x:row r="271" spans="1:8" s="4" customFormat="1"/>
    <x:row r="272" spans="1:8" s="3" customFormat="1"/>
    <x:row r="273" spans="1:8" s="1" customFormat="1"/>
    <x:row r="274" spans="1:8" s="4" customFormat="1"/>
    <x:row r="275" spans="1:8" s="3" customFormat="1"/>
    <x:row r="276" spans="1:8" s="1" customFormat="1"/>
    <x:row r="277" spans="1:8" s="4" customFormat="1"/>
    <x:row r="278" spans="1:8" s="3" customFormat="1"/>
    <x:row r="279" spans="1:8" s="1" customFormat="1"/>
    <x:row r="280" spans="1:8" s="4" customFormat="1"/>
    <x:row r="281" spans="1:8" s="3" customFormat="1"/>
    <x:row r="282" spans="1:8" s="1" customFormat="1"/>
    <x:row r="283" spans="1:8" s="4" customFormat="1"/>
    <x:row r="284" spans="1:8" s="3" customFormat="1"/>
    <x:row r="285" spans="1:8" s="1" customFormat="1"/>
    <x:row r="286" spans="1:8" s="4" customFormat="1"/>
    <x:row r="287" spans="1:8" s="3" customFormat="1"/>
    <x:row r="288" spans="1:8" s="1" customFormat="1"/>
    <x:row r="289" spans="1:8" s="4" customFormat="1"/>
    <x:row r="290" spans="1:8" s="3" customFormat="1"/>
    <x:row r="291" spans="1:8" s="1" customFormat="1"/>
    <x:row r="292" spans="1:8" s="4" customFormat="1"/>
    <x:row r="293" spans="1:8" s="3" customFormat="1"/>
    <x:row r="294" spans="1:8" s="1" customFormat="1"/>
    <x:row r="295" spans="1:8" s="4" customFormat="1"/>
    <x:row r="296" spans="1:8" s="3" customFormat="1"/>
    <x:row r="297" spans="1:8" s="1" customFormat="1"/>
    <x:row r="298" spans="1:8" s="4" customFormat="1"/>
    <x:row r="299" spans="1:8" s="3" customFormat="1"/>
    <x:row r="300" spans="1:8" s="1" customFormat="1"/>
    <x:row r="301" spans="1:8" s="4" customFormat="1"/>
    <x:row r="302" spans="1:8" s="3" customFormat="1"/>
    <x:row r="303" spans="1:8" s="1" customFormat="1"/>
    <x:row r="304" spans="1:8" s="4" customFormat="1"/>
    <x:row r="305" spans="1:8" s="3" customFormat="1"/>
  </x:sheetData>
  <x:hyperlinks>
    <x:hyperlink ref="C2" r:id="rId2297" tooltip="Send a mail to sales@malta-design.com"/>
    <x:hyperlink ref="C3" r:id="rId2298" tooltip="Send a mail to info@joinwell.com.mt"/>
    <x:hyperlink ref="C4" r:id="rId2299" tooltip="Send a mail to info@brands.com.mt"/>
    <x:hyperlink ref="C5" r:id="rId2300" tooltip="Send a mail to info@promaninteriors.com"/>
    <x:hyperlink ref="C6" r:id="rId2301" tooltip="Send a mail to info@fino.com.mt"/>
    <x:hyperlink ref="C7" r:id="rId2302" tooltip="Send a mail to sales@powerhousemalta.eu"/>
    <x:hyperlink ref="C8" r:id="rId2303" tooltip="Send a mail to info@fairdealfurniture.com.mt"/>
    <x:hyperlink ref="C9" r:id="rId2304" tooltip="Send a mail to info@domestica.com.mt"/>
    <x:hyperlink ref="C10" r:id="rId2305" tooltip="Send a mail to info@onepercent.com.mt"/>
    <x:hyperlink ref="C11" r:id="rId2306" tooltip="Send a mail to info@distincthomes.com.mt"/>
    <x:hyperlink ref="C12" r:id="rId2307" tooltip="Send a mail to info@indexmalta.com"/>
    <x:hyperlink ref="C13" r:id="rId2308" tooltip="Send a mail to info@okhome.com.mt"/>
    <x:hyperlink ref="C14" r:id="rId2309" tooltip="Send a mail to contactus@theatrium.com.mt"/>
    <x:hyperlink ref="C15" r:id="rId2310" tooltip="Send a mail to customercare@homemate.com.mt"/>
    <x:hyperlink ref="C16" r:id="rId2311" tooltip="Send a mail to infodesk@form.com.mt"/>
    <x:hyperlink ref="C17" r:id="rId2312" tooltip="Send a mail to service@oxfordhouse.com.mt"/>
    <x:hyperlink ref="C18" r:id="rId2313" tooltip="Send a mail to jysk@jysk.com.mt"/>
    <x:hyperlink ref="C19" r:id="rId2314" tooltip="Send a mail to info@bdi.com.mt"/>
    <x:hyperlink ref="C20" r:id="rId2315" tooltip="Send a mail to info@dari.mt"/>
    <x:hyperlink ref="C21" r:id="rId2316" tooltip="Send a mail to info@satariano.com"/>
    <x:hyperlink ref="C22" r:id="rId2317" tooltip="Send a mail to sales@karrari.shop"/>
    <x:hyperlink ref="C23" r:id="rId2318" tooltip="Send a mail to info@dinofino.com"/>
    <x:hyperlink ref="C24" r:id="rId2319" tooltip="Send a mail to info@borgegroup.com"/>
    <x:hyperlink ref="C25" r:id="rId2320" tooltip="Send a mail to info@bondsmalta.com"/>
    <x:hyperlink ref="C26" r:id="rId2321" tooltip="Send a mail to info@immaginecasamalta.com"/>
    <x:hyperlink ref="C27" r:id="rId2322" tooltip="Send a mail to info@ferraramalta.com"/>
    <x:hyperlink ref="C28" r:id="rId2323" tooltip="Send a mail to info@constructfurniture.com.mt"/>
    <x:hyperlink ref="C29" r:id="rId2324" tooltip="Send a mail to sales@maltashopper.com"/>
    <x:hyperlink ref="C30" r:id="rId2325" tooltip="Send a mail to info@orienta.com.mt"/>
    <x:hyperlink ref="C31" r:id="rId2326" tooltip="Send a mail to info@azeta.com.mt"/>
    <x:hyperlink ref="C32" r:id="rId2327" tooltip="Send a mail to danwoodworks@yahoo.co.uk"/>
    <x:hyperlink ref="C33" r:id="rId2328" tooltip="Send a mail to sales@maltadiy.com"/>
    <x:hyperlink ref="C34" r:id="rId2329" tooltip="Send a mail to homistic@yahoo.com"/>
    <x:hyperlink ref="C35" r:id="rId2330" tooltip="Send a mail to info@styleinterni.com"/>
    <x:hyperlink ref="C36" r:id="rId2331" tooltip="Send a mail to info@arkomalta.com"/>
    <x:hyperlink ref="C37" r:id="rId2332" tooltip="Send a mail to info@luksfurniture.com"/>
    <x:hyperlink ref="C38" r:id="rId2333" tooltip="Send a mail to sales@euroimjsm.com"/>
    <x:hyperlink ref="C39" r:id="rId2334" tooltip="Send a mail to info@luxonas.com"/>
    <x:hyperlink ref="C40" r:id="rId2335" tooltip="Send a mail to sales@lingonberries.eu"/>
    <x:hyperlink ref="C41" r:id="rId2336" tooltip="Send a mail to info@boconcept.com.mt"/>
    <x:hyperlink ref="C42" r:id="rId2337" tooltip="Send a mail to info@loft.com.mt"/>
    <x:hyperlink ref="C43" r:id="rId2338" tooltip="Send a mail to pdgl1969@gmail.com"/>
    <x:hyperlink ref="C44" r:id="rId2339" tooltip="Send a mail to newlineliving@gmail.com"/>
    <x:hyperlink ref="E2" r:id="rId2340" tooltip="Search Malta Design&#10;33 Triq l-Oleandru ,&#10;San Giljan, Malta on Google Maps"/>
    <x:hyperlink ref="E3" r:id="rId2341" tooltip="Search JoinwellFXB,&#10;Triq il-Mithna, Central Business District,&#10;Qormi, CBD 5090 on Google Maps"/>
    <x:hyperlink ref="E4" r:id="rId2342" tooltip="Search Triq tal-Balal, San Gwann, Malta on Google Maps"/>
    <x:hyperlink ref="E5" r:id="rId2343" tooltip="Search Proman Interiors,&#10;115, Valley Road,&#10;B'Kara. BKR 9022.&#10;Malta. on Google Maps"/>
    <x:hyperlink ref="E6" r:id="rId2344" tooltip="Search Fino Buildings,&#10;Triq l-Imdina, Zone 4,&#10;Mriehel/Central Business District&#10;CBD 4010, Malta on Google Maps"/>
    <x:hyperlink ref="E7" r:id="rId2345" tooltip="Search Power House, 13,&#10;Censu Bugeja Street,&#10;Birkirkara, Malta on Google Maps"/>
    <x:hyperlink ref="E8" r:id="rId2346" tooltip="Search Fairdeal Furniture Malta LTD&#10;Mdina Road&#10;Zebbug, Malta on Google Maps"/>
    <x:hyperlink ref="E9" r:id="rId2347" tooltip="Search Domestica Complex, Level 1, Valley Road&#10;Msida, MSD 9091, Malta on Google Maps"/>
    <x:hyperlink ref="E10" r:id="rId2348" tooltip="Search Valley Road&#10;Msida MSD 9022 on Google Maps"/>
    <x:hyperlink ref="E11" r:id="rId2349" tooltip="Search Mdina Road, Attard on Google Maps"/>
    <x:hyperlink ref="E12" r:id="rId2350" tooltip="Search 159, Tip Top Buildings,&#10;St Thomas Street, Fgura,  FGR1605 on Google Maps"/>
    <x:hyperlink ref="E13" r:id="rId2351" tooltip="Search OK Home, Pantar Road,&#10;Lija, Malta on Google Maps"/>
    <x:hyperlink ref="E14" r:id="rId2352" tooltip="Search The Atrium, Giovanni Felice Street, Zone 3, Central Business District, Birkirkara CBD 3120 on Google Maps"/>
    <x:hyperlink ref="E15" r:id="rId2353" tooltip="Search Homemate Mriehel on Google Maps"/>
    <x:hyperlink ref="E16" r:id="rId2354" tooltip="Search Triq il-Wied Ta' L-Imsida, L-Imsida on Google Maps"/>
    <x:hyperlink ref="E17" r:id="rId2355" tooltip="Search Triq L-Imdina,&#10;Zone 2, Central Business District,&#10;Birkirkara CBD 2010, Malta on Google Maps"/>
    <x:hyperlink ref="E18" r:id="rId2356" tooltip="Search Triq-Il Mosta, Lija, Malta on Google Maps"/>
    <x:hyperlink ref="E19" r:id="rId2357" tooltip="Search BDI, 1, Triq Pietru Felici, Qormi, Malta on Google Maps"/>
    <x:hyperlink ref="E20" r:id="rId2358" tooltip="Search Industrial Estate&#10;Ħandaq Qormi,&#10;QRM 4000, Malta on Google Maps"/>
    <x:hyperlink ref="E21" r:id="rId2359" tooltip="Search 122, Msida Valley Road B’kara BKR 9024 on Google Maps"/>
    <x:hyperlink ref="E22" r:id="rId2360" tooltip="Search Karrari (Showroom), Avenue 77, Commerce Street, Central Business District, , Birkirkara, Malta on Google Maps"/>
    <x:hyperlink ref="E23" r:id="rId2361" tooltip="Search Dino Fino Home + Contract, Msida, Valley Road, Birkirkara, Birkirkara, Malta on Google Maps"/>
    <x:hyperlink ref="E24" r:id="rId2362" tooltip="Search Bond’s Limited Mdina Road, Attard, ATD 9039 on Google Maps"/>
    <x:hyperlink ref="E25" r:id="rId2363" tooltip="Search Valley Road, Birkirkara, Malta. on Google Maps"/>
    <x:hyperlink ref="E26" r:id="rId2364" tooltip="Search Ferraracasa Warehouse&#10;Triq is-Salib ta l-Mriehel&#10;CBD3020 Birkirkara&#10;Malta on Google Maps"/>
    <x:hyperlink ref="E27" r:id="rId2365" tooltip="Search 40, Industrial Estate, Luqa&#10;LQA 3000, Malta on Google Maps"/>
    <x:hyperlink ref="E28" r:id="rId2366" tooltip="Search 162 Cannon Road, Santa Venera,&#10;SVR 9034, Malta on Google Maps"/>
    <x:hyperlink ref="E29" r:id="rId2367" tooltip="Search Triq L-Imdina, Zone 2 Central Business District, Birkirkara CBD 2010, Malta on Google Maps"/>
    <x:hyperlink ref="E30" r:id="rId2368" tooltip="Search Azeta Limited&#10;354 Cannon Road,&#10;St Venera&#10;SVR9033&#10;Malta on Google Maps"/>
    <x:hyperlink ref="E31" r:id="rId2369" tooltip="Search 86&#10;Triq Valletta&#10;Hal Luqa&#10;Malta  LQA 1762 on Google Maps"/>
    <x:hyperlink ref="E32" r:id="rId2370" tooltip="Search Baldacchino Building B, Triq Il-Belt Valletta, Zurrieq on Google Maps"/>
    <x:hyperlink ref="E33" r:id="rId2371" tooltip="Search 22/23 Triq hal mula Haz-zebbug ZBG on Google Maps"/>
    <x:hyperlink ref="E34" r:id="rId2372" tooltip="Search 260 Old Railway Track, Santa Venera SVR 9019 on Google Maps"/>
    <x:hyperlink ref="E35" r:id="rId2373" tooltip="Search Triq is-Salib Ta' l-Imriehel&#10;Business District&#10;Mriehel on Google Maps"/>
    <x:hyperlink ref="E36" r:id="rId2374" tooltip="Search Luks Furniture, Triq L-Imdina, Attard on Google Maps"/>
    <x:hyperlink ref="E37" r:id="rId2375" tooltip="Search 2, Industrial Estate&#10;Mdina Road&#10;Attard, ATD3000 on Google Maps"/>
    <x:hyperlink ref="E38" r:id="rId2376" tooltip="Search Triq L-Mdina, Haz-Zebbug, ZBG09018 on Google Maps"/>
    <x:hyperlink ref="E39" r:id="rId2377" tooltip="Search 27 Triq Wignacourt, Birkirkara on Google Maps"/>
    <x:hyperlink ref="F2" r:id="rId2378" tooltip="Visit malta-design.com"/>
    <x:hyperlink ref="F3" r:id="rId2379" tooltip="Visit joinwell.com.mt/"/>
    <x:hyperlink ref="F4" r:id="rId2380" tooltip="Visit brands.com.mt/"/>
    <x:hyperlink ref="F5" r:id="rId2381" tooltip="Visit promaninteriors.com/"/>
    <x:hyperlink ref="F6" r:id="rId2382" tooltip="Visit fino.com.mt/"/>
    <x:hyperlink ref="F7" r:id="rId2383" tooltip="Visit powerhousemalta.eu/"/>
    <x:hyperlink ref="F8" r:id="rId2384" tooltip="Visit fairdealfurniture.com.mt/"/>
    <x:hyperlink ref="F9" r:id="rId2385" tooltip="Visit domestica.com.mt/"/>
    <x:hyperlink ref="F10" r:id="rId2386" tooltip="Visit onepercent.com.mt/"/>
    <x:hyperlink ref="F11" r:id="rId2387" tooltip="Visit distincthomes.com.mt/"/>
    <x:hyperlink ref="F12" r:id="rId2388" tooltip="Visit indexmalta.com/"/>
    <x:hyperlink ref="F13" r:id="rId2389" tooltip="Visit okhome.com.mt/"/>
    <x:hyperlink ref="F14" r:id="rId2390" tooltip="Visit theatrium.com.mt/living"/>
    <x:hyperlink ref="F15" r:id="rId2391" tooltip="Visit homemate.com.mt/"/>
    <x:hyperlink ref="F16" r:id="rId2392" tooltip="Visit form.com.mt/living/"/>
    <x:hyperlink ref="F17" r:id="rId2393" tooltip="Visit oxfordhouse.com.mt/"/>
    <x:hyperlink ref="F18" r:id="rId2394" tooltip="Visit jysk.com.mt/"/>
    <x:hyperlink ref="F19" r:id="rId2395" tooltip="Visit homesbybdi.com/en/home"/>
    <x:hyperlink ref="F20" r:id="rId2396" tooltip="Visit dari.mt/living-rooms/"/>
    <x:hyperlink ref="F21" r:id="rId2397" tooltip="Visit satariano.com/"/>
    <x:hyperlink ref="F22" r:id="rId2398" tooltip="Visit karrari.shop/"/>
    <x:hyperlink ref="F23" r:id="rId2399" tooltip="Visit dinofino.com/"/>
    <x:hyperlink ref="F24" r:id="rId2400" tooltip="Visit borgegroup.com/"/>
    <x:hyperlink ref="F25" r:id="rId2401" tooltip="Visit bondsmalta.com/"/>
    <x:hyperlink ref="F26" r:id="rId2402" tooltip="Visit immaginecasamalta.com/living-2/"/>
    <x:hyperlink ref="F27" r:id="rId2403" tooltip="Visit ferraramalta.com/"/>
    <x:hyperlink ref="F28" r:id="rId2404" tooltip="Visit constructfurniture.com.mt/contact-us/"/>
    <x:hyperlink ref="F29" r:id="rId2405" tooltip="Visit maltashopper.com/"/>
    <x:hyperlink ref="F30" r:id="rId2406" tooltip="Visit orienta.mt/"/>
    <x:hyperlink ref="F31" r:id="rId2407" tooltip="Visit azeta.com.mt/pages/contact"/>
    <x:hyperlink ref="F32" r:id="rId2408" tooltip="Visit danielwoodworksmalta.com/en/home.htm"/>
    <x:hyperlink ref="F33" r:id="rId2409" tooltip="Visit maltadiy.com/product-category/lights-and-tech/lights/"/>
    <x:hyperlink ref="F34" r:id="rId2410" tooltip="Visit homisticrooms.com/"/>
    <x:hyperlink ref="F35" r:id="rId2411" tooltip="Visit styleinterni.com/"/>
    <x:hyperlink ref="F36" r:id="rId2412" tooltip="Visit arkomalta.com/"/>
    <x:hyperlink ref="F37" r:id="rId2413" tooltip="Visit luksfurniture.com/"/>
    <x:hyperlink ref="F38" r:id="rId2414" tooltip="Visit euroimjsm.com/"/>
    <x:hyperlink ref="F39" r:id="rId2415" tooltip="Visit luxonas.com/"/>
    <x:hyperlink ref="F40" r:id="rId2416" tooltip="Visit lingonberries.mt/"/>
    <x:hyperlink ref="F41" r:id="rId2417" tooltip="Visit boconcept.com/en-mt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21"/>
  <x:sheetViews>
    <x:sheetView workbookViewId="0"/>
  </x:sheetViews>
  <x:sheetFormatPr defaultRowHeight="15"/>
  <x:cols>
    <x:col min="1" max="1" width="28.996339" style="0" customWidth="1"/>
    <x:col min="2" max="2" width="23.710625" style="0" customWidth="1"/>
    <x:col min="3" max="3" width="30.996339" style="0" customWidth="1"/>
    <x:col min="4" max="4" width="18.710625" style="0" customWidth="1"/>
    <x:col min="5" max="5" width="11.424911" style="0" customWidth="1"/>
    <x:col min="6" max="6" width="10.996339" style="0" customWidth="1"/>
    <x:col min="7" max="7" width="7.567768" style="0" customWidth="1"/>
    <x:col min="8" max="8" width="20.996339" style="0" customWidth="1"/>
  </x:cols>
  <x:sheetData>
    <x:row r="1" spans="1:8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2" t="s">
        <x:v>872</x:v>
      </x:c>
      <x:c r="H1" s="5">
        <x:f>HYPERLINK("#'Summary List'!A34", "Back to Summary")</x:f>
      </x:c>
    </x:row>
    <x:row r="2" spans="1:8" s="3" customFormat="1">
      <x:c r="A2" s="3" t="s">
        <x:v>2273</x:v>
      </x:c>
      <x:c r="B2" s="3" t="s">
        <x:v>2275</x:v>
      </x:c>
      <x:c r="C2" s="6" t="s">
        <x:v>2290</x:v>
      </x:c>
    </x:row>
    <x:row r="3" spans="1:8" s="1" customFormat="1">
      <x:c r="A3" s="1" t="s">
        <x:v>2273</x:v>
      </x:c>
      <x:c r="B3" s="1" t="s">
        <x:v>2276</x:v>
      </x:c>
      <x:c r="C3" s="8" t="s">
        <x:v>693</x:v>
      </x:c>
    </x:row>
    <x:row r="4" spans="1:8" s="4" customFormat="1">
      <x:c r="A4" s="4" t="s">
        <x:v>2273</x:v>
      </x:c>
      <x:c r="B4" s="4" t="s">
        <x:v>2277</x:v>
      </x:c>
      <x:c r="C4" s="10" t="s">
        <x:v>2291</x:v>
      </x:c>
    </x:row>
    <x:row r="5" spans="1:8" s="3" customFormat="1">
      <x:c r="A5" s="3" t="s">
        <x:v>2273</x:v>
      </x:c>
      <x:c r="B5" s="3" t="s">
        <x:v>2278</x:v>
      </x:c>
      <x:c r="C5" s="6" t="s">
        <x:v>2292</x:v>
      </x:c>
    </x:row>
    <x:row r="6" spans="1:8" s="1" customFormat="1">
      <x:c r="A6" s="1" t="s">
        <x:v>2273</x:v>
      </x:c>
      <x:c r="B6" s="1" t="s">
        <x:v>2204</x:v>
      </x:c>
      <x:c r="C6" s="8" t="s">
        <x:v>1628</x:v>
      </x:c>
    </x:row>
    <x:row r="7" spans="1:8" s="4" customFormat="1">
      <x:c r="A7" s="4" t="s">
        <x:v>2273</x:v>
      </x:c>
      <x:c r="B7" s="4" t="s">
        <x:v>2279</x:v>
      </x:c>
      <x:c r="C7" s="10" t="s">
        <x:v>1656</x:v>
      </x:c>
    </x:row>
    <x:row r="8" spans="1:8" s="3" customFormat="1">
      <x:c r="A8" s="3" t="s">
        <x:v>2273</x:v>
      </x:c>
      <x:c r="B8" s="3" t="s">
        <x:v>2280</x:v>
      </x:c>
      <x:c r="C8" s="6" t="s">
        <x:v>2293</x:v>
      </x:c>
    </x:row>
    <x:row r="9" spans="1:8" s="1" customFormat="1">
      <x:c r="A9" s="1" t="s">
        <x:v>2273</x:v>
      </x:c>
      <x:c r="B9" s="1" t="s">
        <x:v>2281</x:v>
      </x:c>
      <x:c r="C9" s="8" t="s">
        <x:v>2294</x:v>
      </x:c>
    </x:row>
    <x:row r="10" spans="1:8" s="4" customFormat="1">
      <x:c r="A10" s="4" t="s">
        <x:v>2273</x:v>
      </x:c>
      <x:c r="B10" s="4" t="s">
        <x:v>2282</x:v>
      </x:c>
      <x:c r="C10" s="10" t="s">
        <x:v>2295</x:v>
      </x:c>
    </x:row>
    <x:row r="11" spans="1:8" s="3" customFormat="1">
      <x:c r="A11" s="3" t="s">
        <x:v>2273</x:v>
      </x:c>
      <x:c r="B11" s="3" t="s">
        <x:v>1551</x:v>
      </x:c>
      <x:c r="C11" s="6" t="s">
        <x:v>1636</x:v>
      </x:c>
    </x:row>
    <x:row r="12" spans="1:8" s="1" customFormat="1">
      <x:c r="A12" s="1" t="s">
        <x:v>2273</x:v>
      </x:c>
      <x:c r="B12" s="1" t="s">
        <x:v>2283</x:v>
      </x:c>
      <x:c r="C12" s="8" t="s">
        <x:v>1650</x:v>
      </x:c>
    </x:row>
    <x:row r="13" spans="1:8" s="4" customFormat="1">
      <x:c r="A13" s="4" t="s">
        <x:v>2273</x:v>
      </x:c>
      <x:c r="B13" s="4" t="s">
        <x:v>2284</x:v>
      </x:c>
      <x:c r="C13" s="10" t="s">
        <x:v>2296</x:v>
      </x:c>
    </x:row>
    <x:row r="14" spans="1:8" s="3" customFormat="1">
      <x:c r="A14" s="3" t="s">
        <x:v>2273</x:v>
      </x:c>
      <x:c r="B14" s="3" t="s">
        <x:v>763</x:v>
      </x:c>
      <x:c r="C14" s="6" t="s">
        <x:v>793</x:v>
      </x:c>
    </x:row>
    <x:row r="15" spans="1:8" s="1" customFormat="1">
      <x:c r="A15" s="1" t="s">
        <x:v>2273</x:v>
      </x:c>
      <x:c r="B15" s="1" t="s">
        <x:v>1897</x:v>
      </x:c>
      <x:c r="C15" s="8" t="s">
        <x:v>1944</x:v>
      </x:c>
    </x:row>
    <x:row r="16" spans="1:8" s="4" customFormat="1">
      <x:c r="A16" s="4" t="s">
        <x:v>2273</x:v>
      </x:c>
      <x:c r="B16" s="4" t="s">
        <x:v>2285</x:v>
      </x:c>
      <x:c r="C16" s="10" t="s">
        <x:v>2297</x:v>
      </x:c>
    </x:row>
    <x:row r="17" spans="1:8" s="3" customFormat="1"/>
    <x:row r="18" spans="1:8" s="1" customFormat="1">
      <x:c r="B18" s="1" t="s">
        <x:v>2286</x:v>
      </x:c>
      <x:c r="C18" s="8" t="s">
        <x:v>2298</x:v>
      </x:c>
    </x:row>
    <x:row r="19" spans="1:8" s="4" customFormat="1">
      <x:c r="B19" s="4" t="s">
        <x:v>2197</x:v>
      </x:c>
      <x:c r="C19" s="10" t="s">
        <x:v>1616</x:v>
      </x:c>
    </x:row>
    <x:row r="20" spans="1:8" s="3" customFormat="1">
      <x:c r="B20" s="3" t="s">
        <x:v>1062</x:v>
      </x:c>
      <x:c r="C20" s="6" t="s">
        <x:v>1071</x:v>
      </x:c>
    </x:row>
    <x:row r="21" spans="1:8" s="1" customFormat="1">
      <x:c r="B21" s="1" t="s">
        <x:v>2287</x:v>
      </x:c>
      <x:c r="C21" s="8" t="s">
        <x:v>2299</x:v>
      </x:c>
    </x:row>
    <x:row r="22" spans="1:8" s="4" customFormat="1">
      <x:c r="B22" s="4" t="s">
        <x:v>2288</x:v>
      </x:c>
      <x:c r="C22" s="10" t="s">
        <x:v>2300</x:v>
      </x:c>
    </x:row>
    <x:row r="23" spans="1:8" s="3" customFormat="1">
      <x:c r="B23" s="3" t="s">
        <x:v>1844</x:v>
      </x:c>
      <x:c r="C23" s="6" t="s">
        <x:v>1617</x:v>
      </x:c>
    </x:row>
    <x:row r="24" spans="1:8" s="1" customFormat="1">
      <x:c r="B24" s="1" t="s">
        <x:v>1569</x:v>
      </x:c>
      <x:c r="C24" s="8" t="s">
        <x:v>1653</x:v>
      </x:c>
    </x:row>
    <x:row r="25" spans="1:8" s="4" customFormat="1">
      <x:c r="B25" s="4" t="s">
        <x:v>2199</x:v>
      </x:c>
      <x:c r="C25" s="10" t="s">
        <x:v>1599</x:v>
      </x:c>
    </x:row>
    <x:row r="26" spans="1:8" s="3" customFormat="1">
      <x:c r="B26" s="3" t="s">
        <x:v>2289</x:v>
      </x:c>
      <x:c r="C26" s="6" t="s">
        <x:v>2301</x:v>
      </x:c>
    </x:row>
    <x:row r="27" spans="1:8" s="1" customFormat="1"/>
    <x:row r="28" spans="1:8" s="4" customFormat="1"/>
    <x:row r="29" spans="1:8" s="3" customFormat="1"/>
    <x:row r="30" spans="1:8" s="1" customFormat="1"/>
    <x:row r="31" spans="1:8" s="4" customFormat="1"/>
    <x:row r="32" spans="1:8" s="3" customFormat="1"/>
    <x:row r="33" spans="1:8" s="1" customFormat="1"/>
    <x:row r="34" spans="1:8" s="4" customFormat="1"/>
    <x:row r="35" spans="1:8" s="3" customFormat="1"/>
    <x:row r="36" spans="1:8" s="1" customFormat="1"/>
    <x:row r="37" spans="1:8" s="4" customFormat="1"/>
    <x:row r="38" spans="1:8" s="3" customFormat="1"/>
    <x:row r="39" spans="1:8" s="1" customFormat="1"/>
    <x:row r="40" spans="1:8" s="4" customFormat="1"/>
    <x:row r="41" spans="1:8" s="3" customFormat="1"/>
    <x:row r="42" spans="1:8" s="1" customFormat="1"/>
    <x:row r="43" spans="1:8" s="4" customFormat="1"/>
    <x:row r="44" spans="1:8" s="3" customFormat="1"/>
    <x:row r="45" spans="1:8" s="1" customFormat="1"/>
    <x:row r="46" spans="1:8" s="4" customFormat="1"/>
    <x:row r="47" spans="1:8" s="3" customFormat="1"/>
    <x:row r="48" spans="1:8" s="1" customFormat="1"/>
    <x:row r="49" spans="1:8" s="4" customFormat="1"/>
    <x:row r="50" spans="1:8" s="3" customFormat="1"/>
    <x:row r="51" spans="1:8" s="1" customFormat="1"/>
    <x:row r="52" spans="1:8" s="4" customFormat="1"/>
    <x:row r="53" spans="1:8" s="3" customFormat="1"/>
    <x:row r="54" spans="1:8" s="1" customFormat="1"/>
    <x:row r="55" spans="1:8" s="4" customFormat="1"/>
    <x:row r="56" spans="1:8" s="3" customFormat="1"/>
    <x:row r="57" spans="1:8" s="1" customFormat="1"/>
    <x:row r="58" spans="1:8" s="4" customFormat="1"/>
    <x:row r="59" spans="1:8" s="3" customFormat="1"/>
    <x:row r="60" spans="1:8" s="1" customFormat="1"/>
    <x:row r="61" spans="1:8" s="4" customFormat="1"/>
    <x:row r="62" spans="1:8" s="3" customFormat="1"/>
    <x:row r="63" spans="1:8" s="1" customFormat="1"/>
    <x:row r="64" spans="1:8" s="4" customFormat="1"/>
    <x:row r="65" spans="1:8" s="3" customFormat="1"/>
    <x:row r="66" spans="1:8" s="1" customFormat="1"/>
    <x:row r="67" spans="1:8" s="4" customFormat="1"/>
    <x:row r="68" spans="1:8" s="3" customFormat="1"/>
    <x:row r="69" spans="1:8" s="1" customFormat="1"/>
    <x:row r="70" spans="1:8" s="4" customFormat="1"/>
    <x:row r="71" spans="1:8" s="3" customFormat="1"/>
    <x:row r="72" spans="1:8" s="1" customFormat="1"/>
    <x:row r="73" spans="1:8" s="4" customFormat="1"/>
    <x:row r="74" spans="1:8" s="3" customFormat="1"/>
    <x:row r="75" spans="1:8" s="1" customFormat="1"/>
    <x:row r="76" spans="1:8" s="4" customFormat="1"/>
    <x:row r="77" spans="1:8" s="3" customFormat="1"/>
    <x:row r="78" spans="1:8" s="1" customFormat="1"/>
    <x:row r="79" spans="1:8" s="4" customFormat="1"/>
    <x:row r="80" spans="1:8" s="3" customFormat="1"/>
    <x:row r="81" spans="1:8" s="1" customFormat="1"/>
    <x:row r="82" spans="1:8" s="4" customFormat="1"/>
    <x:row r="83" spans="1:8" s="3" customFormat="1"/>
    <x:row r="84" spans="1:8" s="1" customFormat="1"/>
    <x:row r="85" spans="1:8" s="4" customFormat="1"/>
    <x:row r="86" spans="1:8" s="3" customFormat="1"/>
    <x:row r="87" spans="1:8" s="1" customFormat="1"/>
    <x:row r="88" spans="1:8" s="4" customFormat="1"/>
    <x:row r="89" spans="1:8" s="3" customFormat="1"/>
    <x:row r="90" spans="1:8" s="1" customFormat="1"/>
    <x:row r="91" spans="1:8" s="4" customFormat="1"/>
    <x:row r="92" spans="1:8" s="3" customFormat="1"/>
    <x:row r="93" spans="1:8" s="1" customFormat="1"/>
    <x:row r="94" spans="1:8" s="4" customFormat="1"/>
    <x:row r="95" spans="1:8" s="3" customFormat="1"/>
    <x:row r="96" spans="1:8" s="1" customFormat="1"/>
    <x:row r="97" spans="1:8" s="4" customFormat="1"/>
    <x:row r="98" spans="1:8" s="3" customFormat="1"/>
    <x:row r="99" spans="1:8" s="1" customFormat="1"/>
    <x:row r="100" spans="1:8" s="4" customFormat="1"/>
    <x:row r="101" spans="1:8" s="3" customFormat="1"/>
    <x:row r="102" spans="1:8" s="1" customFormat="1"/>
    <x:row r="103" spans="1:8" s="4" customFormat="1"/>
    <x:row r="104" spans="1:8" s="3" customFormat="1"/>
    <x:row r="105" spans="1:8" s="1" customFormat="1"/>
    <x:row r="106" spans="1:8" s="4" customFormat="1"/>
    <x:row r="107" spans="1:8" s="3" customFormat="1"/>
    <x:row r="108" spans="1:8" s="1" customFormat="1"/>
    <x:row r="109" spans="1:8" s="4" customFormat="1"/>
    <x:row r="110" spans="1:8" s="3" customFormat="1"/>
    <x:row r="111" spans="1:8" s="1" customFormat="1"/>
    <x:row r="112" spans="1:8" s="4" customFormat="1"/>
    <x:row r="113" spans="1:8" s="3" customFormat="1"/>
    <x:row r="114" spans="1:8" s="1" customFormat="1"/>
    <x:row r="115" spans="1:8" s="4" customFormat="1"/>
    <x:row r="116" spans="1:8" s="3" customFormat="1"/>
    <x:row r="117" spans="1:8" s="1" customFormat="1"/>
    <x:row r="118" spans="1:8" s="4" customFormat="1"/>
    <x:row r="119" spans="1:8" s="3" customFormat="1"/>
    <x:row r="120" spans="1:8" s="1" customFormat="1"/>
    <x:row r="121" spans="1:8" s="4" customFormat="1"/>
  </x:sheetData>
  <x:hyperlinks>
    <x:hyperlink ref="C2" r:id="rId2418" tooltip="Send a mail to sales@pmhobby.com.mt"/>
    <x:hyperlink ref="C3" r:id="rId2419" tooltip="Send a mail to info@designhubmalta.com.mt"/>
    <x:hyperlink ref="C4" r:id="rId2420" tooltip="Send a mail to customer@devalier.com.mt"/>
    <x:hyperlink ref="C5" r:id="rId2421" tooltip="Send a mail to info@deffurniture.com"/>
    <x:hyperlink ref="C6" r:id="rId2422" tooltip="Send a mail to info@constructfurniture.com.mt"/>
    <x:hyperlink ref="C7" r:id="rId2423" tooltip="Send a mail to info@jcrfurniture.com"/>
    <x:hyperlink ref="C8" r:id="rId2424" tooltip="Send a mail to thecustomworkshop@gmail.com"/>
    <x:hyperlink ref="C9" r:id="rId2425" tooltip="Send a mail to info@ametsfurniture.com"/>
    <x:hyperlink ref="C10" r:id="rId2426" tooltip="Send a mail to info@ts-malta.com"/>
    <x:hyperlink ref="C11" r:id="rId2427" tooltip="Send a mail to info@jdsfurniture.com"/>
    <x:hyperlink ref="C12" r:id="rId2428" tooltip="Send a mail to jasoakwalnut@yahoo.com"/>
    <x:hyperlink ref="C13" r:id="rId2429" tooltip="Send a mail to candmww@gmail.com"/>
    <x:hyperlink ref="C14" r:id="rId2430" tooltip="Send a mail to contact@kibitec.com"/>
    <x:hyperlink ref="C15" r:id="rId2431" tooltip="Send a mail to infodesk@form.com.mt"/>
    <x:hyperlink ref="C16" r:id="rId2432" tooltip="Send a mail to kasa.arreda@gmail.com"/>
    <x:hyperlink ref="C18" r:id="rId2433" tooltip="Send a mail to info@lupa.mt"/>
    <x:hyperlink ref="C19" r:id="rId2434" tooltip="Send a mail to info@dari.mt"/>
    <x:hyperlink ref="C20" r:id="rId2435" tooltip="Send a mail to info@trendsltdmalta.com"/>
    <x:hyperlink ref="C21" r:id="rId2436" tooltip="Send a mail to chrissaliba295@gmail.com"/>
    <x:hyperlink ref="C22" r:id="rId2437" tooltip="Send a mail to info@paultarget.com"/>
    <x:hyperlink ref="C23" r:id="rId2438" tooltip="Send a mail to info@fairdealfurniture.com.mt"/>
    <x:hyperlink ref="C24" r:id="rId2439" tooltip="Send a mail to info@ferraramalta.com"/>
    <x:hyperlink ref="C25" r:id="rId2440" tooltip="Send a mail to info@dinofino.com"/>
    <x:hyperlink ref="C26" r:id="rId2441" tooltip="Send a mail to monlung@onvol.ne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7"/>
  <x:sheetViews>
    <x:sheetView workbookViewId="0"/>
  </x:sheetViews>
  <x:sheetFormatPr defaultRowHeight="15"/>
  <x:cols>
    <x:col min="1" max="1" width="6.282054" style="0" customWidth="1"/>
    <x:col min="2" max="2" width="10.567768" style="0" customWidth="1"/>
    <x:col min="3" max="3" width="7.139196" style="0" customWidth="1"/>
    <x:col min="4" max="4" width="20.424911" style="0" customWidth="1"/>
    <x:col min="5" max="5" width="10.853482" style="0" customWidth="1"/>
    <x:col min="6" max="6" width="10.996339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2072</x:v>
      </x:c>
      <x:c r="E1" s="2" t="s">
        <x:v>914</x:v>
      </x:c>
      <x:c r="F1" s="2" t="s">
        <x:v>529</x:v>
      </x:c>
      <x:c r="G1" s="5">
        <x:f>HYPERLINK("#'Summary List'!A35", "Back to Summary")</x:f>
      </x:c>
    </x:row>
    <x:row r="2" spans="1:7" s="3" customFormat="1"/>
    <x:row r="3" spans="1:7" s="1" customFormat="1"/>
    <x:row r="4" spans="1:7" s="4" customFormat="1"/>
    <x:row r="5" spans="1:7" s="3" customFormat="1"/>
    <x:row r="6" spans="1:7" s="1" customFormat="1"/>
    <x:row r="7" spans="1:7" s="4" customFormat="1"/>
    <x:row r="8" spans="1:7" s="3" customFormat="1"/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35"/>
  <x:sheetViews>
    <x:sheetView workbookViewId="0"/>
  </x:sheetViews>
  <x:sheetFormatPr defaultRowHeight="15"/>
  <x:cols>
    <x:col min="1" max="1" width="16.710625" style="0" customWidth="1"/>
    <x:col min="2" max="2" width="29.996339" style="0" customWidth="1"/>
    <x:col min="3" max="3" width="53.853482" style="0" customWidth="1"/>
    <x:col min="4" max="4" width="29.853482" style="0" customWidth="1"/>
    <x:col min="5" max="5" width="78.853482" style="0" customWidth="1"/>
    <x:col min="6" max="6" width="107.282054" style="0" customWidth="1"/>
    <x:col min="7" max="7" width="20.996339" style="0" customWidth="1"/>
  </x:cols>
  <x:sheetData>
    <x:row r="1" spans="1:7" s="2" customFormat="1">
      <x:c r="A1" s="2" t="s">
        <x:v>2303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5">
        <x:f>HYPERLINK("#'Summary List'!A36", "Back to Summary")</x:f>
      </x:c>
    </x:row>
    <x:row r="2" spans="1:7" s="3" customFormat="1">
      <x:c r="A2" s="3" t="s">
        <x:v>0</x:v>
      </x:c>
      <x:c r="B2" s="3" t="s">
        <x:v>1535</x:v>
      </x:c>
      <x:c r="C2" s="6" t="s">
        <x:v>1620</x:v>
      </x:c>
      <x:c r="D2" s="7">
        <x:f>CONCATENATE(HYPERLINK("CALLTO:%2B356%202095%209595", "+356 2095 9595"))</x:f>
      </x:c>
      <x:c r="E2" s="6" t="s">
        <x:v>2379</x:v>
      </x:c>
      <x:c r="F2" s="6" t="s">
        <x:v>5286</x:v>
      </x:c>
    </x:row>
    <x:row r="3" spans="1:7" s="1" customFormat="1">
      <x:c r="A3" s="1" t="s">
        <x:v>2304</x:v>
      </x:c>
      <x:c r="B3" s="1" t="s">
        <x:v>1519</x:v>
      </x:c>
      <x:c r="C3" s="8" t="s">
        <x:v>1605</x:v>
      </x:c>
      <x:c r="D3" s="9">
        <x:f>CONCATENATE(HYPERLINK("CALLTO:%2B356%202143%204747", "+356 2143 4747"))</x:f>
      </x:c>
      <x:c r="E3" s="8" t="s">
        <x:v>2380</x:v>
      </x:c>
      <x:c r="F3" s="8" t="s">
        <x:v>1425</x:v>
      </x:c>
    </x:row>
    <x:row r="4" spans="1:7" s="4" customFormat="1">
      <x:c r="A4" s="4" t="s">
        <x:v>2304</x:v>
      </x:c>
      <x:c r="B4" s="4" t="s">
        <x:v>2310</x:v>
      </x:c>
      <x:c r="C4" s="10" t="s">
        <x:v>2341</x:v>
      </x:c>
      <x:c r="D4" s="11">
        <x:f>CONCATENATE(HYPERLINK("CALLTO:%2B356%202148%205203", "+356 2148 5203"))</x:f>
      </x:c>
      <x:c r="E4" s="10" t="s">
        <x:v>2381</x:v>
      </x:c>
      <x:c r="F4" s="10" t="s">
        <x:v>2376</x:v>
      </x:c>
    </x:row>
    <x:row r="5" spans="1:7" s="3" customFormat="1">
      <x:c r="A5" s="3" t="s">
        <x:v>2304</x:v>
      </x:c>
      <x:c r="B5" s="3" t="s">
        <x:v>1513</x:v>
      </x:c>
      <x:c r="C5" s="6" t="s">
        <x:v>1599</x:v>
      </x:c>
      <x:c r="D5" s="7">
        <x:f>CONCATENATE(HYPERLINK("CALLTO:%2B356%202124%200100", "+356 2124 0100"))</x:f>
      </x:c>
      <x:c r="E5" s="6" t="s">
        <x:v>1691</x:v>
      </x:c>
      <x:c r="F5" s="6" t="s">
        <x:v>1445</x:v>
      </x:c>
    </x:row>
    <x:row r="6" spans="1:7" s="1" customFormat="1">
      <x:c r="A6" s="1" t="s">
        <x:v>2304</x:v>
      </x:c>
      <x:c r="B6" s="1" t="s">
        <x:v>2311</x:v>
      </x:c>
      <x:c r="C6" s="8" t="s">
        <x:v>2342</x:v>
      </x:c>
      <x:c r="D6" s="9">
        <x:f>CONCATENATE(HYPERLINK("CALLTO:%2B356%202010%202030", "+356 2010 2030"))</x:f>
      </x:c>
      <x:c r="E6" s="8" t="s">
        <x:v>2382</x:v>
      </x:c>
      <x:c r="F6" s="8" t="s">
        <x:v>2374</x:v>
      </x:c>
    </x:row>
    <x:row r="7" spans="1:7" s="4" customFormat="1">
      <x:c r="A7" s="4" t="s">
        <x:v>2304</x:v>
      </x:c>
      <x:c r="B7" s="4" t="s">
        <x:v>2312</x:v>
      </x:c>
      <x:c r="C7" s="10" t="s">
        <x:v>2343</x:v>
      </x:c>
      <x:c r="D7" s="11">
        <x:f>CONCATENATE(HYPERLINK("CALLTO:%2B356%202123%204501", "+356 2123 4501"))</x:f>
      </x:c>
      <x:c r="E7" s="10" t="s">
        <x:v>2383</x:v>
      </x:c>
      <x:c r="F7" s="10" t="s">
        <x:v>2043</x:v>
      </x:c>
    </x:row>
    <x:row r="8" spans="1:7" s="3" customFormat="1">
      <x:c r="A8" s="3" t="s">
        <x:v>2304</x:v>
      </x:c>
      <x:c r="B8" s="3" t="s">
        <x:v>1254</x:v>
      </x:c>
      <x:c r="C8" s="6" t="s">
        <x:v>1321</x:v>
      </x:c>
      <x:c r="D8" s="7">
        <x:f>CONCATENATE(HYPERLINK("CALLTO:%2B356%202713%207364", "+356 2713 7364"))</x:f>
      </x:c>
      <x:c r="E8" s="6" t="s">
        <x:v>1690</x:v>
      </x:c>
      <x:c r="F8" s="6" t="s">
        <x:v>1429</x:v>
      </x:c>
    </x:row>
    <x:row r="9" spans="1:7" s="1" customFormat="1">
      <x:c r="A9" s="1" t="s">
        <x:v>2304</x:v>
      </x:c>
      <x:c r="B9" s="1" t="s">
        <x:v>2313</x:v>
      </x:c>
      <x:c r="C9" s="8" t="s">
        <x:v>2344</x:v>
      </x:c>
      <x:c r="D9" s="9">
        <x:f>CONCATENATE(HYPERLINK("CALLTO:%2B356%202123%205415", "+356 2123 5415"))</x:f>
      </x:c>
      <x:c r="E9" s="8" t="s">
        <x:v>2384</x:v>
      </x:c>
      <x:c r="F9" s="8" t="s">
        <x:v>2377</x:v>
      </x:c>
    </x:row>
    <x:row r="10" spans="1:7" s="4" customFormat="1">
      <x:c r="A10" s="4" t="s">
        <x:v>2304</x:v>
      </x:c>
      <x:c r="B10" s="4" t="s">
        <x:v>1520</x:v>
      </x:c>
      <x:c r="C10" s="10" t="s">
        <x:v>1606</x:v>
      </x:c>
      <x:c r="D10" s="11">
        <x:f>CONCATENATE(HYPERLINK("CALLTO:%2B356%202549%205000", "+356 2549 5000"))</x:f>
      </x:c>
      <x:c r="E10" s="10" t="s">
        <x:v>1699</x:v>
      </x:c>
      <x:c r="F10" s="10" t="s">
        <x:v>1428</x:v>
      </x:c>
    </x:row>
    <x:row r="11" spans="1:7" s="3" customFormat="1">
      <x:c r="A11" s="3" t="s">
        <x:v>2304</x:v>
      </x:c>
      <x:c r="B11" s="3" t="s">
        <x:v>2314</x:v>
      </x:c>
      <x:c r="C11" s="6" t="s">
        <x:v>2345</x:v>
      </x:c>
      <x:c r="D11" s="7">
        <x:f>CONCATENATE(HYPERLINK("CALLTO:%2B356%202158%206755", "+356 2158 6755"))</x:f>
      </x:c>
      <x:c r="E11" s="6" t="s">
        <x:v>2385</x:v>
      </x:c>
      <x:c r="F11" s="6" t="s">
        <x:v>1782</x:v>
      </x:c>
    </x:row>
    <x:row r="12" spans="1:7" s="1" customFormat="1">
      <x:c r="A12" s="1" t="s">
        <x:v>2304</x:v>
      </x:c>
      <x:c r="B12" s="1" t="s">
        <x:v>1529</x:v>
      </x:c>
      <x:c r="C12" s="1" t="s">
        <x:v>2346</x:v>
      </x:c>
      <x:c r="D12" s="9">
        <x:f>CONCATENATE(HYPERLINK("CALLTO:%2B356%202144%205800", "+356 2144 5800"))</x:f>
      </x:c>
      <x:c r="E12" s="8" t="s">
        <x:v>15</x:v>
      </x:c>
      <x:c r="F12" s="8" t="s">
        <x:v>5285</x:v>
      </x:c>
    </x:row>
    <x:row r="13" spans="1:7" s="4" customFormat="1">
      <x:c r="A13" s="4" t="s">
        <x:v>2304</x:v>
      </x:c>
      <x:c r="B13" s="4" t="s">
        <x:v>2315</x:v>
      </x:c>
      <x:c r="C13" s="10" t="s">
        <x:v>2347</x:v>
      </x:c>
      <x:c r="D13" s="11">
        <x:f>CONCATENATE(HYPERLINK("CALLTO:%2B356%202746%203330", "+356 2746 3330"), " / ", HYPERLINK("CALLTO:%2B356%207714%209992", "+356 7714 9992"))</x:f>
      </x:c>
      <x:c r="E13" s="10" t="s">
        <x:v>2386</x:v>
      </x:c>
      <x:c r="F13" s="10" t="s">
        <x:v>2372</x:v>
      </x:c>
    </x:row>
    <x:row r="14" spans="1:7" s="3" customFormat="1">
      <x:c r="A14" s="3" t="s">
        <x:v>2304</x:v>
      </x:c>
      <x:c r="B14" s="3" t="s">
        <x:v>2316</x:v>
      </x:c>
      <x:c r="C14" s="6" t="s">
        <x:v>2348</x:v>
      </x:c>
      <x:c r="D14" s="7">
        <x:f>CONCATENATE(HYPERLINK("CALLTO:%2B356%202145%204861", "+356 2145 4861"))</x:f>
      </x:c>
      <x:c r="E14" s="6" t="s">
        <x:v>2387</x:v>
      </x:c>
      <x:c r="F14" s="6" t="s">
        <x:v>2418</x:v>
      </x:c>
    </x:row>
    <x:row r="15" spans="1:7" s="1" customFormat="1">
      <x:c r="A15" s="1" t="s">
        <x:v>2304</x:v>
      </x:c>
      <x:c r="B15" s="1" t="s">
        <x:v>2317</x:v>
      </x:c>
      <x:c r="C15" s="8" t="s">
        <x:v>2349</x:v>
      </x:c>
      <x:c r="D15" s="9">
        <x:f>CONCATENATE(HYPERLINK("CALLTO:%2B356%209901%204625", "+356 9901 4625"))</x:f>
      </x:c>
      <x:c r="E15" s="8" t="s">
        <x:v>2388</x:v>
      </x:c>
      <x:c r="F15" s="8" t="s">
        <x:v>2375</x:v>
      </x:c>
    </x:row>
    <x:row r="16" spans="1:7" s="4" customFormat="1">
      <x:c r="A16" s="4" t="s">
        <x:v>2304</x:v>
      </x:c>
      <x:c r="B16" s="4" t="s">
        <x:v>2318</x:v>
      </x:c>
      <x:c r="C16" s="10" t="s">
        <x:v>2350</x:v>
      </x:c>
      <x:c r="D16" s="11">
        <x:f>CONCATENATE(HYPERLINK("CALLTO:%2B356%202142%204601", "+356 2142 4601"))</x:f>
      </x:c>
      <x:c r="E16" s="10" t="s">
        <x:v>2389</x:v>
      </x:c>
      <x:c r="F16" s="10" t="s">
        <x:v>2419</x:v>
      </x:c>
    </x:row>
    <x:row r="17" spans="1:7" s="3" customFormat="1">
      <x:c r="A17" s="3" t="s">
        <x:v>2304</x:v>
      </x:c>
      <x:c r="B17" s="3" t="s">
        <x:v>1863</x:v>
      </x:c>
      <x:c r="C17" s="6" t="s">
        <x:v>1914</x:v>
      </x:c>
      <x:c r="D17" s="7">
        <x:f>CONCATENATE(HYPERLINK("CALLTO:%2B356%202033%204532", "+356 2033 4532"))</x:f>
      </x:c>
      <x:c r="E17" s="6" t="s">
        <x:v>2390</x:v>
      </x:c>
      <x:c r="F17" s="6" t="s">
        <x:v>4790</x:v>
      </x:c>
    </x:row>
    <x:row r="18" spans="1:7" s="1" customFormat="1">
      <x:c r="A18" s="1" t="s">
        <x:v>2304</x:v>
      </x:c>
      <x:c r="B18" s="1" t="s">
        <x:v>2319</x:v>
      </x:c>
      <x:c r="C18" s="8" t="s">
        <x:v>1494</x:v>
      </x:c>
      <x:c r="D18" s="9">
        <x:f>CONCATENATE(HYPERLINK("CALLTO:%2B356%202144%205654", "+356 2144 5654"))</x:f>
      </x:c>
      <x:c r="E18" s="8" t="s">
        <x:v>2391</x:v>
      </x:c>
      <x:c r="F18" s="8" t="s">
        <x:v>2045</x:v>
      </x:c>
    </x:row>
    <x:row r="19" spans="1:7" s="4" customFormat="1">
      <x:c r="A19" s="4" t="s">
        <x:v>2304</x:v>
      </x:c>
      <x:c r="B19" s="4" t="s">
        <x:v>2320</x:v>
      </x:c>
      <x:c r="C19" s="10" t="s">
        <x:v>2351</x:v>
      </x:c>
      <x:c r="D19" s="11">
        <x:f>CONCATENATE(HYPERLINK("CALLTO:%2B356%202158%200021", "+356 2158 0021"))</x:f>
      </x:c>
      <x:c r="E19" s="10" t="s">
        <x:v>2392</x:v>
      </x:c>
      <x:c r="F19" s="10" t="s">
        <x:v>1677</x:v>
      </x:c>
    </x:row>
    <x:row r="20" spans="1:7" s="3" customFormat="1">
      <x:c r="A20" s="3" t="s">
        <x:v>2304</x:v>
      </x:c>
      <x:c r="B20" s="3" t="s">
        <x:v>955</x:v>
      </x:c>
      <x:c r="C20" s="6" t="s">
        <x:v>1607</x:v>
      </x:c>
      <x:c r="D20" s="7">
        <x:f>CONCATENATE(HYPERLINK("CALLTO:%2B356%202326%202700", "+356 2326 2700"))</x:f>
      </x:c>
      <x:c r="E20" s="6" t="s">
        <x:v>1701</x:v>
      </x:c>
      <x:c r="F20" s="6" t="s">
        <x:v>1461</x:v>
      </x:c>
    </x:row>
    <x:row r="21" spans="1:7" s="1" customFormat="1">
      <x:c r="A21" s="1" t="s">
        <x:v>2304</x:v>
      </x:c>
      <x:c r="B21" s="1" t="s">
        <x:v>42</x:v>
      </x:c>
      <x:c r="C21" s="8" t="s">
        <x:v>67</x:v>
      </x:c>
      <x:c r="D21" s="9">
        <x:f>CONCATENATE(HYPERLINK("CALLTO:%2B356%202144%203193", "+356 2144 3193"))</x:f>
      </x:c>
      <x:c r="E21" s="8" t="s">
        <x:v>2393</x:v>
      </x:c>
      <x:c r="F21" s="8" t="s">
        <x:v>2373</x:v>
      </x:c>
    </x:row>
    <x:row r="22" spans="1:7" s="4" customFormat="1">
      <x:c r="A22" s="4" t="s">
        <x:v>2304</x:v>
      </x:c>
      <x:c r="B22" s="4" t="s">
        <x:v>2321</x:v>
      </x:c>
      <x:c r="C22" s="10" t="s">
        <x:v>2352</x:v>
      </x:c>
      <x:c r="D22" s="11">
        <x:f>CONCATENATE(HYPERLINK("CALLTO:%2B356%202169%203446", "+356 2169 3446"), " / ", HYPERLINK("CALLTO:%2B356%202729%202729", "+356 2729 2729"))</x:f>
      </x:c>
      <x:c r="E22" s="10" t="s">
        <x:v>2394</x:v>
      </x:c>
      <x:c r="F22" s="10" t="s">
        <x:v>2378</x:v>
      </x:c>
    </x:row>
    <x:row r="23" spans="1:7" s="3" customFormat="1">
      <x:c r="A23" s="3" t="s">
        <x:v>2304</x:v>
      </x:c>
      <x:c r="B23" s="3" t="s">
        <x:v>2322</x:v>
      </x:c>
      <x:c r="C23" s="6" t="s">
        <x:v>1613</x:v>
      </x:c>
      <x:c r="D23" s="7">
        <x:f>CONCATENATE(HYPERLINK("CALLTO:%2B356%202122%200258", "+356 2122 0258"))</x:f>
      </x:c>
      <x:c r="E23" s="6" t="s">
        <x:v>2395</x:v>
      </x:c>
      <x:c r="F23" s="6" t="s">
        <x:v>1784</x:v>
      </x:c>
    </x:row>
    <x:row r="24" spans="1:7" s="1" customFormat="1">
      <x:c r="A24" s="1" t="s">
        <x:v>2304</x:v>
      </x:c>
      <x:c r="B24" s="1" t="s">
        <x:v>2207</x:v>
      </x:c>
      <x:c r="C24" s="8" t="s">
        <x:v>2216</x:v>
      </x:c>
      <x:c r="D24" s="9">
        <x:f>CONCATENATE(HYPERLINK("CALLTO:%2B356%207797%202449", "+356 7797 2449"))</x:f>
      </x:c>
      <x:c r="E24" s="8" t="s">
        <x:v>2396</x:v>
      </x:c>
      <x:c r="F24" s="8" t="s">
        <x:v>1671</x:v>
      </x:c>
    </x:row>
    <x:row r="25" spans="1:7" s="4" customFormat="1">
      <x:c r="A25" s="4" t="s">
        <x:v>2304</x:v>
      </x:c>
      <x:c r="B25" s="4" t="s">
        <x:v>1576</x:v>
      </x:c>
      <x:c r="C25" s="10" t="s">
        <x:v>1660</x:v>
      </x:c>
      <x:c r="D25" s="11">
        <x:f>CONCATENATE(HYPERLINK("CALLTO:%2B356%209942%205609", "+356 9942 5609"))</x:f>
      </x:c>
      <x:c r="E25" s="10" t="s">
        <x:v>2397</x:v>
      </x:c>
      <x:c r="F25" s="10" t="s">
        <x:v>2423</x:v>
      </x:c>
    </x:row>
    <x:row r="26" spans="1:7" s="3" customFormat="1">
      <x:c r="A26" s="3" t="s">
        <x:v>2304</x:v>
      </x:c>
      <x:c r="B26" s="3" t="s">
        <x:v>1484</x:v>
      </x:c>
      <x:c r="C26" s="6" t="s">
        <x:v>1497</x:v>
      </x:c>
      <x:c r="D26" s="7">
        <x:f>CONCATENATE(HYPERLINK("CALLTO:%2B356%207950%208457", "+356 7950 8457"))</x:f>
      </x:c>
      <x:c r="E26" s="6" t="s">
        <x:v>2101</x:v>
      </x:c>
      <x:c r="F26" s="6" t="s">
        <x:v>1674</x:v>
      </x:c>
    </x:row>
    <x:row r="27" spans="1:7" s="1" customFormat="1">
      <x:c r="A27" s="1" t="s">
        <x:v>2304</x:v>
      </x:c>
      <x:c r="B27" s="1" t="s">
        <x:v>2323</x:v>
      </x:c>
      <x:c r="C27" s="8" t="s">
        <x:v>2353</x:v>
      </x:c>
      <x:c r="D27" s="9">
        <x:f>CONCATENATE(HYPERLINK("CALLTO:%2B356%202169%201234", "+356 2169 1234"))</x:f>
      </x:c>
      <x:c r="E27" s="8" t="s">
        <x:v>2398</x:v>
      </x:c>
      <x:c r="F27" s="8" t="s">
        <x:v>2371</x:v>
      </x:c>
    </x:row>
    <x:row r="28" spans="1:7" s="4" customFormat="1">
      <x:c r="A28" s="4" t="s">
        <x:v>2304</x:v>
      </x:c>
      <x:c r="B28" s="4" t="s">
        <x:v>1238</x:v>
      </x:c>
      <x:c r="C28" s="10" t="s">
        <x:v>1311</x:v>
      </x:c>
      <x:c r="D28" s="11">
        <x:f>CONCATENATE(HYPERLINK("CALLTO:%2B356%202156%203966", "+356 2156 3966"))</x:f>
      </x:c>
      <x:c r="E28" s="10" t="s">
        <x:v>1399</x:v>
      </x:c>
      <x:c r="F28" s="10" t="s">
        <x:v>1463</x:v>
      </x:c>
    </x:row>
    <x:row r="29" spans="1:7" s="3" customFormat="1">
      <x:c r="A29" s="3" t="s">
        <x:v>2304</x:v>
      </x:c>
      <x:c r="B29" s="3" t="s">
        <x:v>1234</x:v>
      </x:c>
      <x:c r="C29" s="6" t="s">
        <x:v>1309</x:v>
      </x:c>
      <x:c r="D29" s="7">
        <x:f>CONCATENATE(HYPERLINK("CALLTO:%2B356%202167%206627", "+356 2167 6627"))</x:f>
      </x:c>
      <x:c r="E29" s="6" t="s">
        <x:v>2399</x:v>
      </x:c>
      <x:c r="F29" s="6" t="s">
        <x:v>1464</x:v>
      </x:c>
    </x:row>
    <x:row r="30" spans="1:7" s="1" customFormat="1">
      <x:c r="A30" s="1" t="s">
        <x:v>2304</x:v>
      </x:c>
      <x:c r="B30" s="1" t="s">
        <x:v>2311</x:v>
      </x:c>
      <x:c r="C30" s="8" t="s">
        <x:v>2342</x:v>
      </x:c>
      <x:c r="D30" s="9">
        <x:f>CONCATENATE(HYPERLINK("CALLTO:%2B356%202010%202030", "+356 2010 2030"))</x:f>
      </x:c>
      <x:c r="E30" s="8" t="s">
        <x:v>2382</x:v>
      </x:c>
      <x:c r="F30" s="8" t="s">
        <x:v>2374</x:v>
      </x:c>
    </x:row>
    <x:row r="31" spans="1:7" s="4" customFormat="1">
      <x:c r="A31" s="4" t="s">
        <x:v>2305</x:v>
      </x:c>
      <x:c r="B31" s="4" t="s">
        <x:v>2312</x:v>
      </x:c>
      <x:c r="C31" s="10" t="s">
        <x:v>2343</x:v>
      </x:c>
      <x:c r="D31" s="11">
        <x:f>CONCATENATE(HYPERLINK("CALLTO:%2B356%202123%204501", "+356 2123 4501"))</x:f>
      </x:c>
      <x:c r="E31" s="10" t="s">
        <x:v>2383</x:v>
      </x:c>
      <x:c r="F31" s="10" t="s">
        <x:v>2043</x:v>
      </x:c>
    </x:row>
    <x:row r="32" spans="1:7" s="3" customFormat="1">
      <x:c r="A32" s="3" t="s">
        <x:v>2305</x:v>
      </x:c>
      <x:c r="B32" s="3" t="s">
        <x:v>1529</x:v>
      </x:c>
      <x:c r="C32" s="3" t="s">
        <x:v>2346</x:v>
      </x:c>
      <x:c r="D32" s="7">
        <x:f>CONCATENATE(HYPERLINK("CALLTO:%2B356%202144%205800", "+356 2144 5800"))</x:f>
      </x:c>
      <x:c r="E32" s="6" t="s">
        <x:v>15</x:v>
      </x:c>
      <x:c r="F32" s="6" t="s">
        <x:v>5285</x:v>
      </x:c>
    </x:row>
    <x:row r="33" spans="1:7" s="1" customFormat="1">
      <x:c r="A33" s="1" t="s">
        <x:v>2305</x:v>
      </x:c>
      <x:c r="B33" s="1" t="s">
        <x:v>2310</x:v>
      </x:c>
      <x:c r="C33" s="8" t="s">
        <x:v>2341</x:v>
      </x:c>
      <x:c r="D33" s="9">
        <x:f>CONCATENATE(HYPERLINK("CALLTO:%2B356%202148%205203", "+356 2148 5203"))</x:f>
      </x:c>
      <x:c r="E33" s="8" t="s">
        <x:v>2381</x:v>
      </x:c>
      <x:c r="F33" s="8" t="s">
        <x:v>2376</x:v>
      </x:c>
    </x:row>
    <x:row r="34" spans="1:7" s="4" customFormat="1">
      <x:c r="A34" s="4" t="s">
        <x:v>2305</x:v>
      </x:c>
      <x:c r="B34" s="4" t="s">
        <x:v>2314</x:v>
      </x:c>
      <x:c r="C34" s="10" t="s">
        <x:v>2345</x:v>
      </x:c>
      <x:c r="D34" s="11">
        <x:f>CONCATENATE(HYPERLINK("CALLTO:%2B356%202158%206755", "+356 2158 6755"))</x:f>
      </x:c>
      <x:c r="E34" s="10" t="s">
        <x:v>2385</x:v>
      </x:c>
      <x:c r="F34" s="10" t="s">
        <x:v>1782</x:v>
      </x:c>
    </x:row>
    <x:row r="35" spans="1:7" s="3" customFormat="1">
      <x:c r="A35" s="3" t="s">
        <x:v>2305</x:v>
      </x:c>
      <x:c r="B35" s="3" t="s">
        <x:v>2324</x:v>
      </x:c>
      <x:c r="C35" s="6" t="s">
        <x:v>2354</x:v>
      </x:c>
      <x:c r="D35" s="7">
        <x:f>CONCATENATE(HYPERLINK("CALLTO:%2B356%209945%208967", "+356 9945 8967"))</x:f>
      </x:c>
      <x:c r="E35" s="6" t="s">
        <x:v>2400</x:v>
      </x:c>
      <x:c r="F35" s="6" t="s">
        <x:v>2416</x:v>
      </x:c>
    </x:row>
    <x:row r="36" spans="1:7" s="1" customFormat="1">
      <x:c r="A36" s="1" t="s">
        <x:v>2305</x:v>
      </x:c>
      <x:c r="B36" s="1" t="s">
        <x:v>2316</x:v>
      </x:c>
      <x:c r="C36" s="8" t="s">
        <x:v>2348</x:v>
      </x:c>
      <x:c r="D36" s="9">
        <x:f>CONCATENATE(HYPERLINK("CALLTO:%2B356%202145%204861", "+356 2145 4861"))</x:f>
      </x:c>
      <x:c r="E36" s="8" t="s">
        <x:v>2387</x:v>
      </x:c>
      <x:c r="F36" s="8" t="s">
        <x:v>2418</x:v>
      </x:c>
    </x:row>
    <x:row r="37" spans="1:7" s="4" customFormat="1">
      <x:c r="A37" s="4" t="s">
        <x:v>2305</x:v>
      </x:c>
      <x:c r="B37" s="4" t="s">
        <x:v>2313</x:v>
      </x:c>
      <x:c r="C37" s="10" t="s">
        <x:v>2344</x:v>
      </x:c>
      <x:c r="D37" s="11">
        <x:f>CONCATENATE(HYPERLINK("CALLTO:%2B356%202123%205415", "+356 2123 5415"))</x:f>
      </x:c>
      <x:c r="E37" s="10" t="s">
        <x:v>2384</x:v>
      </x:c>
      <x:c r="F37" s="10" t="s">
        <x:v>2377</x:v>
      </x:c>
    </x:row>
    <x:row r="38" spans="1:7" s="3" customFormat="1">
      <x:c r="A38" s="3" t="s">
        <x:v>2305</x:v>
      </x:c>
      <x:c r="B38" s="3" t="s">
        <x:v>2318</x:v>
      </x:c>
      <x:c r="C38" s="6" t="s">
        <x:v>2350</x:v>
      </x:c>
      <x:c r="D38" s="7">
        <x:f>CONCATENATE(HYPERLINK("CALLTO:%2B356%202142%204601", "+356 2142 4601"))</x:f>
      </x:c>
      <x:c r="E38" s="6" t="s">
        <x:v>2389</x:v>
      </x:c>
      <x:c r="F38" s="6" t="s">
        <x:v>2419</x:v>
      </x:c>
    </x:row>
    <x:row r="39" spans="1:7" s="1" customFormat="1">
      <x:c r="A39" s="1" t="s">
        <x:v>2305</x:v>
      </x:c>
      <x:c r="B39" s="1" t="s">
        <x:v>2319</x:v>
      </x:c>
      <x:c r="C39" s="8" t="s">
        <x:v>1494</x:v>
      </x:c>
      <x:c r="D39" s="9">
        <x:f>CONCATENATE(HYPERLINK("CALLTO:%2B356%202144%205654", "+356 2144 5654"))</x:f>
      </x:c>
      <x:c r="E39" s="8" t="s">
        <x:v>2391</x:v>
      </x:c>
      <x:c r="F39" s="8" t="s">
        <x:v>2045</x:v>
      </x:c>
    </x:row>
    <x:row r="40" spans="1:7" s="4" customFormat="1">
      <x:c r="A40" s="4" t="s">
        <x:v>2305</x:v>
      </x:c>
      <x:c r="B40" s="4" t="s">
        <x:v>1519</x:v>
      </x:c>
      <x:c r="C40" s="10" t="s">
        <x:v>1605</x:v>
      </x:c>
      <x:c r="D40" s="11">
        <x:f>CONCATENATE(HYPERLINK("CALLTO:%2B356%202143%204747", "+356 2143 4747"))</x:f>
      </x:c>
      <x:c r="E40" s="10" t="s">
        <x:v>2380</x:v>
      </x:c>
      <x:c r="F40" s="10" t="s">
        <x:v>1425</x:v>
      </x:c>
    </x:row>
    <x:row r="41" spans="1:7" s="3" customFormat="1">
      <x:c r="A41" s="3" t="s">
        <x:v>2305</x:v>
      </x:c>
      <x:c r="B41" s="3" t="s">
        <x:v>2310</x:v>
      </x:c>
      <x:c r="C41" s="6" t="s">
        <x:v>2341</x:v>
      </x:c>
      <x:c r="D41" s="7">
        <x:f>CONCATENATE(HYPERLINK("CALLTO:%2B356%202148%205203", "+356 2148 5203"))</x:f>
      </x:c>
      <x:c r="E41" s="6" t="s">
        <x:v>2381</x:v>
      </x:c>
      <x:c r="F41" s="6" t="s">
        <x:v>2376</x:v>
      </x:c>
    </x:row>
    <x:row r="42" spans="1:7" s="1" customFormat="1">
      <x:c r="A42" s="1" t="s">
        <x:v>2305</x:v>
      </x:c>
      <x:c r="B42" s="1" t="s">
        <x:v>42</x:v>
      </x:c>
      <x:c r="C42" s="8" t="s">
        <x:v>67</x:v>
      </x:c>
      <x:c r="D42" s="9">
        <x:f>CONCATENATE(HYPERLINK("CALLTO:%2B356%202144%203193", "+356 2144 3193"))</x:f>
      </x:c>
      <x:c r="E42" s="8" t="s">
        <x:v>2393</x:v>
      </x:c>
      <x:c r="F42" s="8" t="s">
        <x:v>2373</x:v>
      </x:c>
    </x:row>
    <x:row r="43" spans="1:7" s="4" customFormat="1">
      <x:c r="A43" s="4" t="s">
        <x:v>2305</x:v>
      </x:c>
      <x:c r="B43" s="4" t="s">
        <x:v>1484</x:v>
      </x:c>
      <x:c r="C43" s="10" t="s">
        <x:v>1497</x:v>
      </x:c>
      <x:c r="D43" s="11">
        <x:f>CONCATENATE(HYPERLINK("CALLTO:%2B356%207950%208457", "+356 7950 8457"))</x:f>
      </x:c>
      <x:c r="E43" s="10" t="s">
        <x:v>2101</x:v>
      </x:c>
      <x:c r="F43" s="10" t="s">
        <x:v>1674</x:v>
      </x:c>
    </x:row>
    <x:row r="44" spans="1:7" s="3" customFormat="1">
      <x:c r="A44" s="3" t="s">
        <x:v>2305</x:v>
      </x:c>
      <x:c r="B44" s="3" t="s">
        <x:v>1513</x:v>
      </x:c>
      <x:c r="C44" s="6" t="s">
        <x:v>1599</x:v>
      </x:c>
      <x:c r="D44" s="7">
        <x:f>CONCATENATE(HYPERLINK("CALLTO:%2B356%202124%200100", "+356 2124 0100"))</x:f>
      </x:c>
      <x:c r="E44" s="6" t="s">
        <x:v>1691</x:v>
      </x:c>
      <x:c r="F44" s="6" t="s">
        <x:v>1445</x:v>
      </x:c>
    </x:row>
    <x:row r="45" spans="1:7" s="1" customFormat="1">
      <x:c r="A45" s="1" t="s">
        <x:v>2305</x:v>
      </x:c>
      <x:c r="B45" s="1" t="s">
        <x:v>2321</x:v>
      </x:c>
      <x:c r="C45" s="8" t="s">
        <x:v>2352</x:v>
      </x:c>
      <x:c r="D45" s="9">
        <x:f>CONCATENATE(HYPERLINK("CALLTO:%2B356%202169%203446", "+356 2169 3446"), " / ", HYPERLINK("CALLTO:%2B356%202729%202729", "+356 2729 2729"))</x:f>
      </x:c>
      <x:c r="E45" s="8" t="s">
        <x:v>2394</x:v>
      </x:c>
      <x:c r="F45" s="8" t="s">
        <x:v>2378</x:v>
      </x:c>
    </x:row>
    <x:row r="46" spans="1:7" s="4" customFormat="1">
      <x:c r="A46" s="4" t="s">
        <x:v>2305</x:v>
      </x:c>
      <x:c r="B46" s="4" t="s">
        <x:v>1529</x:v>
      </x:c>
      <x:c r="C46" s="4" t="s">
        <x:v>2355</x:v>
      </x:c>
      <x:c r="D46" s="11">
        <x:f>CONCATENATE(HYPERLINK("CALLTO:%2B356%202144%205800", "+356 2144 5800"))</x:f>
      </x:c>
      <x:c r="E46" s="10" t="s">
        <x:v>15</x:v>
      </x:c>
      <x:c r="F46" s="10" t="s">
        <x:v>5285</x:v>
      </x:c>
    </x:row>
    <x:row r="47" spans="1:7" s="3" customFormat="1">
      <x:c r="A47" s="3" t="s">
        <x:v>2305</x:v>
      </x:c>
      <x:c r="B47" s="3" t="s">
        <x:v>2322</x:v>
      </x:c>
      <x:c r="C47" s="6" t="s">
        <x:v>1613</x:v>
      </x:c>
      <x:c r="D47" s="7">
        <x:f>CONCATENATE(HYPERLINK("CALLTO:%2B356%202122%200258", "+356 2122 0258"))</x:f>
      </x:c>
      <x:c r="E47" s="6" t="s">
        <x:v>2395</x:v>
      </x:c>
      <x:c r="F47" s="6" t="s">
        <x:v>1784</x:v>
      </x:c>
    </x:row>
    <x:row r="48" spans="1:7" s="1" customFormat="1">
      <x:c r="A48" s="1" t="s">
        <x:v>2305</x:v>
      </x:c>
      <x:c r="B48" s="1" t="s">
        <x:v>1576</x:v>
      </x:c>
      <x:c r="C48" s="8" t="s">
        <x:v>1660</x:v>
      </x:c>
      <x:c r="D48" s="9">
        <x:f>CONCATENATE(HYPERLINK("CALLTO:%2B356%209942%205609", "+356 9942 5609"))</x:f>
      </x:c>
      <x:c r="E48" s="8" t="s">
        <x:v>2397</x:v>
      </x:c>
      <x:c r="F48" s="8" t="s">
        <x:v>2423</x:v>
      </x:c>
    </x:row>
    <x:row r="49" spans="1:7" s="4" customFormat="1">
      <x:c r="A49" s="4" t="s">
        <x:v>2305</x:v>
      </x:c>
      <x:c r="B49" s="4" t="s">
        <x:v>1234</x:v>
      </x:c>
      <x:c r="C49" s="10" t="s">
        <x:v>1309</x:v>
      </x:c>
      <x:c r="D49" s="11">
        <x:f>CONCATENATE(HYPERLINK("CALLTO:%2B356%202167%206627", "+356 2167 6627"))</x:f>
      </x:c>
      <x:c r="E49" s="10" t="s">
        <x:v>2399</x:v>
      </x:c>
      <x:c r="F49" s="10" t="s">
        <x:v>1464</x:v>
      </x:c>
    </x:row>
    <x:row r="50" spans="1:7" s="3" customFormat="1">
      <x:c r="A50" s="3" t="s">
        <x:v>2305</x:v>
      </x:c>
      <x:c r="B50" s="3" t="s">
        <x:v>2312</x:v>
      </x:c>
      <x:c r="C50" s="6" t="s">
        <x:v>2343</x:v>
      </x:c>
      <x:c r="D50" s="7">
        <x:f>CONCATENATE(HYPERLINK("CALLTO:%2B356%202123%204501", "+356 2123 4501"))</x:f>
      </x:c>
      <x:c r="E50" s="6" t="s">
        <x:v>2383</x:v>
      </x:c>
      <x:c r="F50" s="6" t="s">
        <x:v>2043</x:v>
      </x:c>
    </x:row>
    <x:row r="51" spans="1:7" s="1" customFormat="1">
      <x:c r="A51" s="1" t="s">
        <x:v>2306</x:v>
      </x:c>
      <x:c r="B51" s="1" t="s">
        <x:v>2318</x:v>
      </x:c>
      <x:c r="C51" s="8" t="s">
        <x:v>2350</x:v>
      </x:c>
      <x:c r="D51" s="9">
        <x:f>CONCATENATE(HYPERLINK("CALLTO:%2B356%202142%204601", "+356 2142 4601"))</x:f>
      </x:c>
      <x:c r="E51" s="8" t="s">
        <x:v>2389</x:v>
      </x:c>
      <x:c r="F51" s="8" t="s">
        <x:v>2419</x:v>
      </x:c>
    </x:row>
    <x:row r="52" spans="1:7" s="4" customFormat="1">
      <x:c r="A52" s="4" t="s">
        <x:v>2306</x:v>
      </x:c>
      <x:c r="B52" s="4" t="s">
        <x:v>2319</x:v>
      </x:c>
      <x:c r="C52" s="10" t="s">
        <x:v>1494</x:v>
      </x:c>
      <x:c r="D52" s="11">
        <x:f>CONCATENATE(HYPERLINK("CALLTO:%2B356%202144%205654", "+356 2144 5654"))</x:f>
      </x:c>
      <x:c r="E52" s="10" t="s">
        <x:v>2391</x:v>
      </x:c>
      <x:c r="F52" s="10" t="s">
        <x:v>2045</x:v>
      </x:c>
    </x:row>
    <x:row r="53" spans="1:7" s="3" customFormat="1">
      <x:c r="A53" s="3" t="s">
        <x:v>2306</x:v>
      </x:c>
      <x:c r="B53" s="3" t="s">
        <x:v>2310</x:v>
      </x:c>
      <x:c r="C53" s="6" t="s">
        <x:v>2341</x:v>
      </x:c>
      <x:c r="D53" s="7">
        <x:f>CONCATENATE(HYPERLINK("CALLTO:%2B356%202148%205203", "+356 2148 5203"))</x:f>
      </x:c>
      <x:c r="E53" s="6" t="s">
        <x:v>2381</x:v>
      </x:c>
      <x:c r="F53" s="6" t="s">
        <x:v>2376</x:v>
      </x:c>
    </x:row>
    <x:row r="54" spans="1:7" s="1" customFormat="1">
      <x:c r="A54" s="1" t="s">
        <x:v>2306</x:v>
      </x:c>
      <x:c r="B54" s="1" t="s">
        <x:v>1519</x:v>
      </x:c>
      <x:c r="C54" s="8" t="s">
        <x:v>1605</x:v>
      </x:c>
      <x:c r="D54" s="9">
        <x:f>CONCATENATE(HYPERLINK("CALLTO:%2B356%202143%204747", "+356 2143 4747"))</x:f>
      </x:c>
      <x:c r="E54" s="8" t="s">
        <x:v>2380</x:v>
      </x:c>
      <x:c r="F54" s="8" t="s">
        <x:v>1425</x:v>
      </x:c>
    </x:row>
    <x:row r="55" spans="1:7" s="4" customFormat="1">
      <x:c r="A55" s="4" t="s">
        <x:v>2306</x:v>
      </x:c>
      <x:c r="B55" s="4" t="s">
        <x:v>955</x:v>
      </x:c>
      <x:c r="C55" s="10" t="s">
        <x:v>1607</x:v>
      </x:c>
      <x:c r="D55" s="11">
        <x:f>CONCATENATE(HYPERLINK("CALLTO:%2B356%202326%202700", "+356 2326 2700"))</x:f>
      </x:c>
      <x:c r="E55" s="10" t="s">
        <x:v>1701</x:v>
      </x:c>
      <x:c r="F55" s="10" t="s">
        <x:v>1461</x:v>
      </x:c>
    </x:row>
    <x:row r="56" spans="1:7" s="3" customFormat="1">
      <x:c r="A56" s="3" t="s">
        <x:v>2306</x:v>
      </x:c>
      <x:c r="B56" s="3" t="s">
        <x:v>1254</x:v>
      </x:c>
      <x:c r="C56" s="6" t="s">
        <x:v>1321</x:v>
      </x:c>
      <x:c r="D56" s="7">
        <x:f>CONCATENATE(HYPERLINK("CALLTO:%2B356%202713%207364", "+356 2713 7364"))</x:f>
      </x:c>
      <x:c r="E56" s="6" t="s">
        <x:v>1690</x:v>
      </x:c>
      <x:c r="F56" s="6" t="s">
        <x:v>1429</x:v>
      </x:c>
    </x:row>
    <x:row r="57" spans="1:7" s="1" customFormat="1">
      <x:c r="A57" s="1" t="s">
        <x:v>2306</x:v>
      </x:c>
      <x:c r="B57" s="1" t="s">
        <x:v>2324</x:v>
      </x:c>
      <x:c r="C57" s="8" t="s">
        <x:v>2354</x:v>
      </x:c>
      <x:c r="D57" s="9">
        <x:f>CONCATENATE(HYPERLINK("CALLTO:%2B356%209945%208967", "+356 9945 8967"))</x:f>
      </x:c>
      <x:c r="E57" s="8" t="s">
        <x:v>2400</x:v>
      </x:c>
      <x:c r="F57" s="8" t="s">
        <x:v>2416</x:v>
      </x:c>
    </x:row>
    <x:row r="58" spans="1:7" s="4" customFormat="1">
      <x:c r="A58" s="4" t="s">
        <x:v>2307</x:v>
      </x:c>
      <x:c r="B58" s="4" t="s">
        <x:v>2312</x:v>
      </x:c>
      <x:c r="C58" s="10" t="s">
        <x:v>2343</x:v>
      </x:c>
      <x:c r="D58" s="11">
        <x:f>CONCATENATE(HYPERLINK("CALLTO:%2B356%202123%204501", "+356 2123 4501"))</x:f>
      </x:c>
      <x:c r="E58" s="10" t="s">
        <x:v>2383</x:v>
      </x:c>
      <x:c r="F58" s="10" t="s">
        <x:v>2043</x:v>
      </x:c>
    </x:row>
    <x:row r="59" spans="1:7" s="3" customFormat="1">
      <x:c r="A59" s="3" t="s">
        <x:v>2307</x:v>
      </x:c>
      <x:c r="B59" s="3" t="s">
        <x:v>1535</x:v>
      </x:c>
      <x:c r="C59" s="6" t="s">
        <x:v>1620</x:v>
      </x:c>
      <x:c r="D59" s="7">
        <x:f>CONCATENATE(HYPERLINK("CALLTO:%2B356%202095%209595", "+356 2095 9595"))</x:f>
      </x:c>
      <x:c r="E59" s="6" t="s">
        <x:v>2379</x:v>
      </x:c>
      <x:c r="F59" s="6" t="s">
        <x:v>5286</x:v>
      </x:c>
    </x:row>
    <x:row r="60" spans="1:7" s="1" customFormat="1">
      <x:c r="A60" s="1" t="s">
        <x:v>2307</x:v>
      </x:c>
      <x:c r="B60" s="1" t="s">
        <x:v>2319</x:v>
      </x:c>
      <x:c r="C60" s="8" t="s">
        <x:v>1494</x:v>
      </x:c>
      <x:c r="D60" s="9">
        <x:f>CONCATENATE(HYPERLINK("CALLTO:%2B356%202144%205654", "+356 2144 5654"))</x:f>
      </x:c>
      <x:c r="E60" s="8" t="s">
        <x:v>2391</x:v>
      </x:c>
      <x:c r="F60" s="8" t="s">
        <x:v>2045</x:v>
      </x:c>
    </x:row>
    <x:row r="61" spans="1:7" s="4" customFormat="1">
      <x:c r="A61" s="4" t="s">
        <x:v>2307</x:v>
      </x:c>
      <x:c r="B61" s="4" t="s">
        <x:v>2325</x:v>
      </x:c>
      <x:c r="C61" s="10" t="s">
        <x:v>2356</x:v>
      </x:c>
      <x:c r="D61" s="11">
        <x:f>CONCATENATE(HYPERLINK("CALLTO:%2B356%202180%204588", "+356 2180 4588"))</x:f>
      </x:c>
      <x:c r="E61" s="10" t="s">
        <x:v>2401</x:v>
      </x:c>
      <x:c r="F61" s="10" t="s">
        <x:v>4789</x:v>
      </x:c>
    </x:row>
    <x:row r="62" spans="1:7" s="3" customFormat="1">
      <x:c r="A62" s="3" t="s">
        <x:v>2307</x:v>
      </x:c>
      <x:c r="B62" s="3" t="s">
        <x:v>2326</x:v>
      </x:c>
      <x:c r="C62" s="6" t="s">
        <x:v>788</x:v>
      </x:c>
      <x:c r="D62" s="7">
        <x:f>CONCATENATE(HYPERLINK("CALLTO:%2B356%202149%201111", "+356 2149 1111"))</x:f>
      </x:c>
      <x:c r="E62" s="6" t="s">
        <x:v>2402</x:v>
      </x:c>
      <x:c r="F62" s="6" t="s">
        <x:v>2424</x:v>
      </x:c>
    </x:row>
    <x:row r="63" spans="1:7" s="1" customFormat="1">
      <x:c r="A63" s="1" t="s">
        <x:v>2307</x:v>
      </x:c>
      <x:c r="B63" s="1" t="s">
        <x:v>2310</x:v>
      </x:c>
      <x:c r="C63" s="8" t="s">
        <x:v>2341</x:v>
      </x:c>
      <x:c r="D63" s="9">
        <x:f>CONCATENATE(HYPERLINK("CALLTO:%2B356%202148%205203", "+356 2148 5203"))</x:f>
      </x:c>
      <x:c r="E63" s="8" t="s">
        <x:v>2381</x:v>
      </x:c>
      <x:c r="F63" s="8" t="s">
        <x:v>2376</x:v>
      </x:c>
    </x:row>
    <x:row r="64" spans="1:7" s="4" customFormat="1">
      <x:c r="A64" s="4" t="s">
        <x:v>2307</x:v>
      </x:c>
      <x:c r="B64" s="4" t="s">
        <x:v>42</x:v>
      </x:c>
      <x:c r="C64" s="10" t="s">
        <x:v>67</x:v>
      </x:c>
      <x:c r="D64" s="11">
        <x:f>CONCATENATE(HYPERLINK("CALLTO:%2B356%202144%203193", "+356 2144 3193"))</x:f>
      </x:c>
      <x:c r="E64" s="10" t="s">
        <x:v>2393</x:v>
      </x:c>
      <x:c r="F64" s="10" t="s">
        <x:v>2373</x:v>
      </x:c>
    </x:row>
    <x:row r="65" spans="1:7" s="3" customFormat="1">
      <x:c r="A65" s="3" t="s">
        <x:v>2307</x:v>
      </x:c>
      <x:c r="B65" s="3" t="s">
        <x:v>2327</x:v>
      </x:c>
      <x:c r="C65" s="3" t="s">
        <x:v>2357</x:v>
      </x:c>
      <x:c r="D65" s="7">
        <x:f>CONCATENATE(HYPERLINK("CALLTO:%2B356%202149%201761", "+356 2149 1761"))</x:f>
      </x:c>
      <x:c r="E65" s="6" t="s">
        <x:v>2403</x:v>
      </x:c>
      <x:c r="F65" s="6" t="s">
        <x:v>2421</x:v>
      </x:c>
    </x:row>
    <x:row r="66" spans="1:7" s="1" customFormat="1">
      <x:c r="A66" s="1" t="s">
        <x:v>2307</x:v>
      </x:c>
      <x:c r="B66" s="1" t="s">
        <x:v>2314</x:v>
      </x:c>
      <x:c r="C66" s="8" t="s">
        <x:v>2345</x:v>
      </x:c>
      <x:c r="D66" s="9">
        <x:f>CONCATENATE(HYPERLINK("CALLTO:%2B356%202158%206755", "+356 2158 6755"))</x:f>
      </x:c>
      <x:c r="E66" s="8" t="s">
        <x:v>2385</x:v>
      </x:c>
      <x:c r="F66" s="8" t="s">
        <x:v>1782</x:v>
      </x:c>
    </x:row>
    <x:row r="67" spans="1:7" s="4" customFormat="1">
      <x:c r="A67" s="4" t="s">
        <x:v>2307</x:v>
      </x:c>
      <x:c r="B67" s="4" t="s">
        <x:v>2314</x:v>
      </x:c>
      <x:c r="C67" s="10" t="s">
        <x:v>2345</x:v>
      </x:c>
      <x:c r="D67" s="11">
        <x:f>CONCATENATE(HYPERLINK("CALLTO:%2B356%202158%206755", "+356 2158 6755"))</x:f>
      </x:c>
      <x:c r="E67" s="10" t="s">
        <x:v>2385</x:v>
      </x:c>
      <x:c r="F67" s="10" t="s">
        <x:v>1782</x:v>
      </x:c>
    </x:row>
    <x:row r="68" spans="1:7" s="3" customFormat="1">
      <x:c r="A68" s="3" t="s">
        <x:v>2308</x:v>
      </x:c>
      <x:c r="B68" s="3" t="s">
        <x:v>2328</x:v>
      </x:c>
      <x:c r="C68" s="6" t="s">
        <x:v>2358</x:v>
      </x:c>
      <x:c r="D68" s="7">
        <x:f>CONCATENATE(HYPERLINK("CALLTO:%2B356%202155%208007", "+356 2155 8007"))</x:f>
      </x:c>
      <x:c r="E68" s="6" t="s">
        <x:v>2404</x:v>
      </x:c>
      <x:c r="F68" s="6" t="s">
        <x:v>2417</x:v>
      </x:c>
    </x:row>
    <x:row r="69" spans="1:7" s="1" customFormat="1">
      <x:c r="A69" s="1" t="s">
        <x:v>2308</x:v>
      </x:c>
      <x:c r="B69" s="1" t="s">
        <x:v>2329</x:v>
      </x:c>
      <x:c r="C69" s="8" t="s">
        <x:v>2359</x:v>
      </x:c>
      <x:c r="D69" s="9">
        <x:f>CONCATENATE(HYPERLINK("CALLTO:%2B356%209942%203164", "+356 9942 3164"))</x:f>
      </x:c>
      <x:c r="E69" s="8" t="s">
        <x:v>2405</x:v>
      </x:c>
      <x:c r="F69" s="8" t="s">
        <x:v>2426</x:v>
      </x:c>
    </x:row>
    <x:row r="70" spans="1:7" s="4" customFormat="1">
      <x:c r="A70" s="4" t="s">
        <x:v>2308</x:v>
      </x:c>
      <x:c r="B70" s="4" t="s">
        <x:v>2330</x:v>
      </x:c>
      <x:c r="C70" s="10" t="s">
        <x:v>2360</x:v>
      </x:c>
      <x:c r="D70" s="11">
        <x:f>CONCATENATE(HYPERLINK("CALLTO:%2B356%202148%202217", "+356 2148 2217"))</x:f>
      </x:c>
      <x:c r="E70" s="10" t="s">
        <x:v>2406</x:v>
      </x:c>
      <x:c r="F70" s="10" t="s">
        <x:v>2427</x:v>
      </x:c>
    </x:row>
    <x:row r="71" spans="1:7" s="3" customFormat="1">
      <x:c r="A71" s="3" t="s">
        <x:v>2308</x:v>
      </x:c>
      <x:c r="B71" s="3" t="s">
        <x:v>2331</x:v>
      </x:c>
      <x:c r="C71" s="6" t="s">
        <x:v>2361</x:v>
      </x:c>
      <x:c r="D71" s="7">
        <x:f>CONCATENATE(HYPERLINK("CALLTO:%2B356%202148%205485", "+356 2148 5485"))</x:f>
      </x:c>
      <x:c r="E71" s="6" t="s">
        <x:v>2407</x:v>
      </x:c>
      <x:c r="F71" s="6" t="s">
        <x:v>2428</x:v>
      </x:c>
    </x:row>
    <x:row r="72" spans="1:7" s="1" customFormat="1">
      <x:c r="A72" s="1" t="s">
        <x:v>2308</x:v>
      </x:c>
      <x:c r="B72" s="1" t="s">
        <x:v>2332</x:v>
      </x:c>
      <x:c r="C72" s="8" t="s">
        <x:v>2362</x:v>
      </x:c>
      <x:c r="D72" s="9">
        <x:f>CONCATENATE(HYPERLINK("CALLTO:%2B356%202152%201559", "+356 2152 1559"))</x:f>
      </x:c>
      <x:c r="E72" s="8" t="s">
        <x:v>2408</x:v>
      </x:c>
      <x:c r="F72" s="8" t="s">
        <x:v>2429</x:v>
      </x:c>
    </x:row>
    <x:row r="73" spans="1:7" s="4" customFormat="1">
      <x:c r="A73" s="4" t="s">
        <x:v>2308</x:v>
      </x:c>
      <x:c r="B73" s="4" t="s">
        <x:v>2333</x:v>
      </x:c>
      <x:c r="C73" s="10" t="s">
        <x:v>2363</x:v>
      </x:c>
      <x:c r="D73" s="11">
        <x:f>CONCATENATE(HYPERLINK("CALLTO:%2B356%207906%202420", "+356 7906 2420"))</x:f>
      </x:c>
      <x:c r="E73" s="10" t="s">
        <x:v>2409</x:v>
      </x:c>
      <x:c r="F73" s="10" t="s">
        <x:v>2430</x:v>
      </x:c>
    </x:row>
    <x:row r="74" spans="1:7" s="3" customFormat="1">
      <x:c r="A74" s="3" t="s">
        <x:v>2308</x:v>
      </x:c>
      <x:c r="B74" s="3" t="s">
        <x:v>2320</x:v>
      </x:c>
      <x:c r="C74" s="6" t="s">
        <x:v>2351</x:v>
      </x:c>
      <x:c r="D74" s="7">
        <x:f>CONCATENATE(HYPERLINK("CALLTO:%2B356%202158%200021", "+356 2158 0021"))</x:f>
      </x:c>
      <x:c r="E74" s="6" t="s">
        <x:v>2392</x:v>
      </x:c>
      <x:c r="F74" s="6" t="s">
        <x:v>1677</x:v>
      </x:c>
    </x:row>
    <x:row r="75" spans="1:7" s="1" customFormat="1">
      <x:c r="A75" s="1" t="s">
        <x:v>2308</x:v>
      </x:c>
      <x:c r="B75" s="1" t="s">
        <x:v>2334</x:v>
      </x:c>
      <x:c r="C75" s="8" t="s">
        <x:v>2364</x:v>
      </x:c>
      <x:c r="D75" s="9">
        <x:f>CONCATENATE(HYPERLINK("CALLTO:%2B356%202158%204474", "+356 2158 4474"))</x:f>
      </x:c>
      <x:c r="E75" s="8" t="s">
        <x:v>2410</x:v>
      </x:c>
      <x:c r="F75" s="8" t="s">
        <x:v>2420</x:v>
      </x:c>
    </x:row>
    <x:row r="76" spans="1:7" s="4" customFormat="1">
      <x:c r="A76" s="4" t="s">
        <x:v>2308</x:v>
      </x:c>
      <x:c r="B76" s="4" t="s">
        <x:v>2335</x:v>
      </x:c>
      <x:c r="C76" s="10" t="s">
        <x:v>2365</x:v>
      </x:c>
      <x:c r="D76" s="11">
        <x:f>CONCATENATE(HYPERLINK("CALLTO:%2B356%202137%208833", "+356 2137 8833"))</x:f>
      </x:c>
      <x:c r="E76" s="10" t="s">
        <x:v>2411</x:v>
      </x:c>
      <x:c r="F76" s="10" t="s">
        <x:v>2431</x:v>
      </x:c>
    </x:row>
    <x:row r="77" spans="1:7" s="3" customFormat="1">
      <x:c r="A77" s="3" t="s">
        <x:v>2308</x:v>
      </x:c>
      <x:c r="B77" s="3" t="s">
        <x:v>2336</x:v>
      </x:c>
      <x:c r="C77" s="6" t="s">
        <x:v>2366</x:v>
      </x:c>
      <x:c r="D77" s="7">
        <x:f>CONCATENATE(HYPERLINK("CALLTO:%2B356%202146%202229", "+356 2146 2229"))</x:f>
      </x:c>
      <x:c r="E77" s="6" t="s">
        <x:v>2412</x:v>
      </x:c>
      <x:c r="F77" s="6" t="s">
        <x:v>2432</x:v>
      </x:c>
    </x:row>
    <x:row r="78" spans="1:7" s="1" customFormat="1">
      <x:c r="A78" s="1" t="s">
        <x:v>2308</x:v>
      </x:c>
      <x:c r="B78" s="1" t="s">
        <x:v>2337</x:v>
      </x:c>
      <x:c r="C78" s="8" t="s">
        <x:v>2367</x:v>
      </x:c>
      <x:c r="D78" s="9">
        <x:f>CONCATENATE(HYPERLINK("CALLTO:%2B356%202146%207562", "+356 2146 7562"))</x:f>
      </x:c>
      <x:c r="E78" s="8" t="s">
        <x:v>2413</x:v>
      </x:c>
      <x:c r="F78" s="8" t="s">
        <x:v>2433</x:v>
      </x:c>
    </x:row>
    <x:row r="79" spans="1:7" s="4" customFormat="1">
      <x:c r="A79" s="4" t="s">
        <x:v>2308</x:v>
      </x:c>
      <x:c r="B79" s="4" t="s">
        <x:v>2338</x:v>
      </x:c>
      <x:c r="C79" s="4" t="s">
        <x:v>2368</x:v>
      </x:c>
      <x:c r="D79" s="11">
        <x:f>CONCATENATE(HYPERLINK("CALLTO:%2B356%202144%209754", "+356 2144 9754"))</x:f>
      </x:c>
      <x:c r="E79" s="10" t="s">
        <x:v>2414</x:v>
      </x:c>
      <x:c r="F79" s="10" t="s">
        <x:v>2434</x:v>
      </x:c>
    </x:row>
    <x:row r="80" spans="1:7" s="3" customFormat="1">
      <x:c r="A80" s="3" t="s">
        <x:v>2308</x:v>
      </x:c>
      <x:c r="B80" s="3" t="s">
        <x:v>2339</x:v>
      </x:c>
      <x:c r="C80" s="6" t="s">
        <x:v>2369</x:v>
      </x:c>
      <x:c r="D80" s="7">
        <x:f>CONCATENATE(HYPERLINK("CALLTO:%2B356%209969%200258", "+356 9969 0258"))</x:f>
      </x:c>
      <x:c r="F80" s="6" t="s">
        <x:v>2435</x:v>
      </x:c>
    </x:row>
    <x:row r="81" spans="1:7" s="1" customFormat="1">
      <x:c r="A81" s="1" t="s">
        <x:v>2309</x:v>
      </x:c>
      <x:c r="B81" s="1" t="s">
        <x:v>2340</x:v>
      </x:c>
      <x:c r="C81" s="8" t="s">
        <x:v>2370</x:v>
      </x:c>
      <x:c r="F81" s="8" t="s">
        <x:v>2436</x:v>
      </x:c>
    </x:row>
    <x:row r="82" spans="1:7" s="4" customFormat="1">
      <x:c r="A82" s="4" t="s">
        <x:v>2303</x:v>
      </x:c>
    </x:row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  <x:row r="231" spans="1:7" s="1" customFormat="1"/>
    <x:row r="232" spans="1:7" s="4" customFormat="1"/>
    <x:row r="233" spans="1:7" s="3" customFormat="1"/>
    <x:row r="234" spans="1:7" s="1" customFormat="1"/>
    <x:row r="235" spans="1:7" s="4" customFormat="1"/>
    <x:row r="236" spans="1:7" s="3" customFormat="1"/>
    <x:row r="237" spans="1:7" s="1" customFormat="1"/>
    <x:row r="238" spans="1:7" s="4" customFormat="1"/>
    <x:row r="239" spans="1:7" s="3" customFormat="1"/>
    <x:row r="240" spans="1:7" s="1" customFormat="1"/>
    <x:row r="241" spans="1:7" s="4" customFormat="1"/>
    <x:row r="242" spans="1:7" s="3" customFormat="1"/>
    <x:row r="243" spans="1:7" s="1" customFormat="1"/>
    <x:row r="244" spans="1:7" s="4" customFormat="1"/>
    <x:row r="245" spans="1:7" s="3" customFormat="1"/>
    <x:row r="246" spans="1:7" s="1" customFormat="1"/>
    <x:row r="247" spans="1:7" s="4" customFormat="1"/>
    <x:row r="248" spans="1:7" s="3" customFormat="1"/>
    <x:row r="249" spans="1:7" s="1" customFormat="1"/>
    <x:row r="250" spans="1:7" s="4" customFormat="1"/>
    <x:row r="251" spans="1:7" s="3" customFormat="1"/>
    <x:row r="252" spans="1:7" s="1" customFormat="1"/>
    <x:row r="253" spans="1:7" s="4" customFormat="1"/>
    <x:row r="254" spans="1:7" s="3" customFormat="1"/>
    <x:row r="255" spans="1:7" s="1" customFormat="1"/>
    <x:row r="256" spans="1:7" s="4" customFormat="1"/>
    <x:row r="257" spans="1:7" s="3" customFormat="1"/>
    <x:row r="258" spans="1:7" s="1" customFormat="1"/>
    <x:row r="259" spans="1:7" s="4" customFormat="1"/>
    <x:row r="260" spans="1:7" s="3" customFormat="1"/>
    <x:row r="261" spans="1:7" s="1" customFormat="1"/>
    <x:row r="262" spans="1:7" s="4" customFormat="1"/>
    <x:row r="263" spans="1:7" s="3" customFormat="1"/>
    <x:row r="264" spans="1:7" s="1" customFormat="1"/>
    <x:row r="265" spans="1:7" s="4" customFormat="1"/>
    <x:row r="266" spans="1:7" s="3" customFormat="1"/>
    <x:row r="267" spans="1:7" s="1" customFormat="1"/>
    <x:row r="268" spans="1:7" s="4" customFormat="1"/>
    <x:row r="269" spans="1:7" s="3" customFormat="1"/>
    <x:row r="270" spans="1:7" s="1" customFormat="1"/>
    <x:row r="271" spans="1:7" s="4" customFormat="1"/>
    <x:row r="272" spans="1:7" s="3" customFormat="1"/>
    <x:row r="273" spans="1:7" s="1" customFormat="1"/>
    <x:row r="274" spans="1:7" s="4" customFormat="1"/>
    <x:row r="275" spans="1:7" s="3" customFormat="1"/>
    <x:row r="276" spans="1:7" s="1" customFormat="1"/>
    <x:row r="277" spans="1:7" s="4" customFormat="1"/>
    <x:row r="278" spans="1:7" s="3" customFormat="1"/>
    <x:row r="279" spans="1:7" s="1" customFormat="1"/>
    <x:row r="280" spans="1:7" s="4" customFormat="1"/>
    <x:row r="281" spans="1:7" s="3" customFormat="1"/>
    <x:row r="282" spans="1:7" s="1" customFormat="1"/>
    <x:row r="283" spans="1:7" s="4" customFormat="1"/>
    <x:row r="284" spans="1:7" s="3" customFormat="1"/>
    <x:row r="285" spans="1:7" s="1" customFormat="1"/>
    <x:row r="286" spans="1:7" s="4" customFormat="1"/>
    <x:row r="287" spans="1:7" s="3" customFormat="1"/>
    <x:row r="288" spans="1:7" s="1" customFormat="1"/>
    <x:row r="289" spans="1:7" s="4" customFormat="1"/>
    <x:row r="290" spans="1:7" s="3" customFormat="1"/>
    <x:row r="291" spans="1:7" s="1" customFormat="1"/>
    <x:row r="292" spans="1:7" s="4" customFormat="1"/>
    <x:row r="293" spans="1:7" s="3" customFormat="1"/>
    <x:row r="294" spans="1:7" s="1" customFormat="1"/>
    <x:row r="295" spans="1:7" s="4" customFormat="1"/>
    <x:row r="296" spans="1:7" s="3" customFormat="1"/>
    <x:row r="297" spans="1:7" s="1" customFormat="1"/>
    <x:row r="298" spans="1:7" s="4" customFormat="1"/>
    <x:row r="299" spans="1:7" s="3" customFormat="1"/>
    <x:row r="300" spans="1:7" s="1" customFormat="1"/>
    <x:row r="301" spans="1:7" s="4" customFormat="1"/>
    <x:row r="302" spans="1:7" s="3" customFormat="1"/>
    <x:row r="303" spans="1:7" s="1" customFormat="1"/>
    <x:row r="304" spans="1:7" s="4" customFormat="1"/>
    <x:row r="305" spans="1:7" s="3" customFormat="1"/>
    <x:row r="306" spans="1:7" s="1" customFormat="1"/>
    <x:row r="307" spans="1:7" s="4" customFormat="1"/>
    <x:row r="308" spans="1:7" s="3" customFormat="1"/>
    <x:row r="309" spans="1:7" s="1" customFormat="1"/>
    <x:row r="310" spans="1:7" s="4" customFormat="1"/>
    <x:row r="311" spans="1:7" s="3" customFormat="1"/>
    <x:row r="312" spans="1:7" s="1" customFormat="1"/>
    <x:row r="313" spans="1:7" s="4" customFormat="1"/>
    <x:row r="314" spans="1:7" s="3" customFormat="1"/>
    <x:row r="315" spans="1:7" s="1" customFormat="1"/>
    <x:row r="316" spans="1:7" s="4" customFormat="1"/>
    <x:row r="317" spans="1:7" s="3" customFormat="1"/>
    <x:row r="318" spans="1:7" s="1" customFormat="1"/>
    <x:row r="319" spans="1:7" s="4" customFormat="1"/>
    <x:row r="320" spans="1:7" s="3" customFormat="1"/>
    <x:row r="321" spans="1:7" s="1" customFormat="1"/>
    <x:row r="322" spans="1:7" s="4" customFormat="1"/>
    <x:row r="323" spans="1:7" s="3" customFormat="1"/>
    <x:row r="324" spans="1:7" s="1" customFormat="1"/>
    <x:row r="325" spans="1:7" s="4" customFormat="1"/>
    <x:row r="326" spans="1:7" s="3" customFormat="1"/>
    <x:row r="327" spans="1:7" s="1" customFormat="1"/>
    <x:row r="328" spans="1:7" s="4" customFormat="1"/>
    <x:row r="329" spans="1:7" s="3" customFormat="1"/>
    <x:row r="330" spans="1:7" s="1" customFormat="1"/>
    <x:row r="331" spans="1:7" s="4" customFormat="1"/>
    <x:row r="332" spans="1:7" s="3" customFormat="1"/>
    <x:row r="333" spans="1:7" s="1" customFormat="1"/>
    <x:row r="334" spans="1:7" s="4" customFormat="1"/>
    <x:row r="335" spans="1:7" s="3" customFormat="1"/>
    <x:row r="336" spans="1:7" s="1" customFormat="1"/>
    <x:row r="337" spans="1:7" s="4" customFormat="1"/>
    <x:row r="338" spans="1:7" s="3" customFormat="1"/>
    <x:row r="339" spans="1:7" s="1" customFormat="1"/>
    <x:row r="340" spans="1:7" s="4" customFormat="1"/>
    <x:row r="341" spans="1:7" s="3" customFormat="1"/>
    <x:row r="342" spans="1:7" s="1" customFormat="1"/>
    <x:row r="343" spans="1:7" s="4" customFormat="1"/>
    <x:row r="344" spans="1:7" s="3" customFormat="1"/>
    <x:row r="345" spans="1:7" s="1" customFormat="1"/>
    <x:row r="346" spans="1:7" s="4" customFormat="1"/>
    <x:row r="347" spans="1:7" s="3" customFormat="1"/>
    <x:row r="348" spans="1:7" s="1" customFormat="1"/>
    <x:row r="349" spans="1:7" s="4" customFormat="1"/>
    <x:row r="350" spans="1:7" s="3" customFormat="1"/>
    <x:row r="351" spans="1:7" s="1" customFormat="1"/>
    <x:row r="352" spans="1:7" s="4" customFormat="1"/>
    <x:row r="353" spans="1:7" s="3" customFormat="1"/>
    <x:row r="354" spans="1:7" s="1" customFormat="1"/>
    <x:row r="355" spans="1:7" s="4" customFormat="1"/>
    <x:row r="356" spans="1:7" s="3" customFormat="1"/>
    <x:row r="357" spans="1:7" s="1" customFormat="1"/>
    <x:row r="358" spans="1:7" s="4" customFormat="1"/>
    <x:row r="359" spans="1:7" s="3" customFormat="1"/>
    <x:row r="360" spans="1:7" s="1" customFormat="1"/>
    <x:row r="361" spans="1:7" s="4" customFormat="1"/>
    <x:row r="362" spans="1:7" s="3" customFormat="1"/>
    <x:row r="363" spans="1:7" s="1" customFormat="1"/>
    <x:row r="364" spans="1:7" s="4" customFormat="1"/>
    <x:row r="365" spans="1:7" s="3" customFormat="1"/>
    <x:row r="366" spans="1:7" s="1" customFormat="1"/>
    <x:row r="367" spans="1:7" s="4" customFormat="1"/>
    <x:row r="368" spans="1:7" s="3" customFormat="1"/>
    <x:row r="369" spans="1:7" s="1" customFormat="1"/>
    <x:row r="370" spans="1:7" s="4" customFormat="1"/>
    <x:row r="371" spans="1:7" s="3" customFormat="1"/>
    <x:row r="372" spans="1:7" s="1" customFormat="1"/>
    <x:row r="373" spans="1:7" s="4" customFormat="1"/>
    <x:row r="374" spans="1:7" s="3" customFormat="1"/>
    <x:row r="375" spans="1:7" s="1" customFormat="1"/>
    <x:row r="376" spans="1:7" s="4" customFormat="1"/>
    <x:row r="377" spans="1:7" s="3" customFormat="1"/>
    <x:row r="378" spans="1:7" s="1" customFormat="1"/>
    <x:row r="379" spans="1:7" s="4" customFormat="1"/>
    <x:row r="380" spans="1:7" s="3" customFormat="1"/>
    <x:row r="381" spans="1:7" s="1" customFormat="1"/>
    <x:row r="382" spans="1:7" s="4" customFormat="1"/>
    <x:row r="383" spans="1:7" s="3" customFormat="1"/>
    <x:row r="384" spans="1:7" s="1" customFormat="1"/>
    <x:row r="385" spans="1:7" s="4" customFormat="1"/>
    <x:row r="386" spans="1:7" s="3" customFormat="1"/>
    <x:row r="387" spans="1:7" s="1" customFormat="1"/>
    <x:row r="388" spans="1:7" s="4" customFormat="1"/>
    <x:row r="389" spans="1:7" s="3" customFormat="1"/>
    <x:row r="390" spans="1:7" s="1" customFormat="1"/>
    <x:row r="391" spans="1:7" s="4" customFormat="1"/>
    <x:row r="392" spans="1:7" s="3" customFormat="1"/>
    <x:row r="393" spans="1:7" s="1" customFormat="1"/>
    <x:row r="394" spans="1:7" s="4" customFormat="1"/>
    <x:row r="395" spans="1:7" s="3" customFormat="1"/>
    <x:row r="396" spans="1:7" s="1" customFormat="1"/>
    <x:row r="397" spans="1:7" s="4" customFormat="1"/>
    <x:row r="398" spans="1:7" s="3" customFormat="1"/>
    <x:row r="399" spans="1:7" s="1" customFormat="1"/>
    <x:row r="400" spans="1:7" s="4" customFormat="1"/>
    <x:row r="401" spans="1:7" s="3" customFormat="1"/>
    <x:row r="402" spans="1:7" s="1" customFormat="1"/>
    <x:row r="403" spans="1:7" s="4" customFormat="1"/>
    <x:row r="404" spans="1:7" s="3" customFormat="1"/>
    <x:row r="405" spans="1:7" s="1" customFormat="1"/>
    <x:row r="406" spans="1:7" s="4" customFormat="1"/>
    <x:row r="407" spans="1:7" s="3" customFormat="1"/>
    <x:row r="408" spans="1:7" s="1" customFormat="1"/>
    <x:row r="409" spans="1:7" s="4" customFormat="1"/>
    <x:row r="410" spans="1:7" s="3" customFormat="1"/>
    <x:row r="411" spans="1:7" s="1" customFormat="1"/>
    <x:row r="412" spans="1:7" s="4" customFormat="1"/>
    <x:row r="413" spans="1:7" s="3" customFormat="1"/>
    <x:row r="414" spans="1:7" s="1" customFormat="1"/>
    <x:row r="415" spans="1:7" s="4" customFormat="1"/>
    <x:row r="416" spans="1:7" s="3" customFormat="1"/>
    <x:row r="417" spans="1:7" s="1" customFormat="1"/>
    <x:row r="418" spans="1:7" s="4" customFormat="1"/>
    <x:row r="419" spans="1:7" s="3" customFormat="1"/>
    <x:row r="420" spans="1:7" s="1" customFormat="1"/>
    <x:row r="421" spans="1:7" s="4" customFormat="1"/>
    <x:row r="422" spans="1:7" s="3" customFormat="1"/>
    <x:row r="423" spans="1:7" s="1" customFormat="1"/>
    <x:row r="424" spans="1:7" s="4" customFormat="1"/>
    <x:row r="425" spans="1:7" s="3" customFormat="1"/>
    <x:row r="426" spans="1:7" s="1" customFormat="1"/>
    <x:row r="427" spans="1:7" s="4" customFormat="1"/>
    <x:row r="428" spans="1:7" s="3" customFormat="1"/>
    <x:row r="429" spans="1:7" s="1" customFormat="1"/>
    <x:row r="430" spans="1:7" s="4" customFormat="1"/>
    <x:row r="431" spans="1:7" s="3" customFormat="1"/>
    <x:row r="432" spans="1:7" s="1" customFormat="1"/>
    <x:row r="433" spans="1:7" s="4" customFormat="1"/>
    <x:row r="434" spans="1:7" s="3" customFormat="1"/>
    <x:row r="435" spans="1:7" s="1" customFormat="1"/>
    <x:row r="436" spans="1:7" s="4" customFormat="1"/>
    <x:row r="437" spans="1:7" s="3" customFormat="1"/>
    <x:row r="438" spans="1:7" s="1" customFormat="1"/>
    <x:row r="439" spans="1:7" s="4" customFormat="1"/>
    <x:row r="440" spans="1:7" s="3" customFormat="1"/>
    <x:row r="441" spans="1:7" s="1" customFormat="1"/>
    <x:row r="442" spans="1:7" s="4" customFormat="1"/>
    <x:row r="443" spans="1:7" s="3" customFormat="1"/>
    <x:row r="444" spans="1:7" s="1" customFormat="1"/>
    <x:row r="445" spans="1:7" s="4" customFormat="1"/>
    <x:row r="446" spans="1:7" s="3" customFormat="1"/>
    <x:row r="447" spans="1:7" s="1" customFormat="1"/>
    <x:row r="448" spans="1:7" s="4" customFormat="1"/>
    <x:row r="449" spans="1:7" s="3" customFormat="1"/>
    <x:row r="450" spans="1:7" s="1" customFormat="1"/>
    <x:row r="451" spans="1:7" s="4" customFormat="1"/>
    <x:row r="452" spans="1:7" s="3" customFormat="1"/>
    <x:row r="453" spans="1:7" s="1" customFormat="1"/>
    <x:row r="454" spans="1:7" s="4" customFormat="1"/>
    <x:row r="455" spans="1:7" s="3" customFormat="1"/>
    <x:row r="456" spans="1:7" s="1" customFormat="1"/>
    <x:row r="457" spans="1:7" s="4" customFormat="1"/>
    <x:row r="458" spans="1:7" s="3" customFormat="1"/>
    <x:row r="459" spans="1:7" s="1" customFormat="1"/>
    <x:row r="460" spans="1:7" s="4" customFormat="1"/>
    <x:row r="461" spans="1:7" s="3" customFormat="1"/>
    <x:row r="462" spans="1:7" s="1" customFormat="1"/>
    <x:row r="463" spans="1:7" s="4" customFormat="1"/>
    <x:row r="464" spans="1:7" s="3" customFormat="1"/>
    <x:row r="465" spans="1:7" s="1" customFormat="1"/>
    <x:row r="466" spans="1:7" s="4" customFormat="1"/>
    <x:row r="467" spans="1:7" s="3" customFormat="1"/>
    <x:row r="468" spans="1:7" s="1" customFormat="1"/>
    <x:row r="469" spans="1:7" s="4" customFormat="1"/>
    <x:row r="470" spans="1:7" s="3" customFormat="1"/>
    <x:row r="471" spans="1:7" s="1" customFormat="1"/>
    <x:row r="472" spans="1:7" s="4" customFormat="1"/>
    <x:row r="473" spans="1:7" s="3" customFormat="1"/>
    <x:row r="474" spans="1:7" s="1" customFormat="1"/>
    <x:row r="475" spans="1:7" s="4" customFormat="1"/>
    <x:row r="476" spans="1:7" s="3" customFormat="1"/>
    <x:row r="477" spans="1:7" s="1" customFormat="1"/>
    <x:row r="478" spans="1:7" s="4" customFormat="1"/>
    <x:row r="479" spans="1:7" s="3" customFormat="1"/>
    <x:row r="480" spans="1:7" s="1" customFormat="1"/>
    <x:row r="481" spans="1:7" s="4" customFormat="1"/>
    <x:row r="482" spans="1:7" s="3" customFormat="1"/>
    <x:row r="483" spans="1:7" s="1" customFormat="1"/>
    <x:row r="484" spans="1:7" s="4" customFormat="1"/>
    <x:row r="485" spans="1:7" s="3" customFormat="1"/>
    <x:row r="486" spans="1:7" s="1" customFormat="1"/>
    <x:row r="487" spans="1:7" s="4" customFormat="1"/>
    <x:row r="488" spans="1:7" s="3" customFormat="1"/>
    <x:row r="489" spans="1:7" s="1" customFormat="1"/>
    <x:row r="490" spans="1:7" s="4" customFormat="1"/>
    <x:row r="491" spans="1:7" s="3" customFormat="1"/>
    <x:row r="492" spans="1:7" s="1" customFormat="1"/>
    <x:row r="493" spans="1:7" s="4" customFormat="1"/>
    <x:row r="494" spans="1:7" s="3" customFormat="1"/>
    <x:row r="495" spans="1:7" s="1" customFormat="1"/>
    <x:row r="496" spans="1:7" s="4" customFormat="1"/>
    <x:row r="497" spans="1:7" s="3" customFormat="1"/>
    <x:row r="498" spans="1:7" s="1" customFormat="1"/>
    <x:row r="499" spans="1:7" s="4" customFormat="1"/>
    <x:row r="500" spans="1:7" s="3" customFormat="1"/>
    <x:row r="501" spans="1:7" s="1" customFormat="1"/>
    <x:row r="502" spans="1:7" s="4" customFormat="1"/>
    <x:row r="503" spans="1:7" s="3" customFormat="1"/>
    <x:row r="504" spans="1:7" s="1" customFormat="1"/>
    <x:row r="505" spans="1:7" s="4" customFormat="1"/>
    <x:row r="506" spans="1:7" s="3" customFormat="1"/>
    <x:row r="507" spans="1:7" s="1" customFormat="1"/>
    <x:row r="508" spans="1:7" s="4" customFormat="1"/>
    <x:row r="509" spans="1:7" s="3" customFormat="1"/>
    <x:row r="510" spans="1:7" s="1" customFormat="1"/>
    <x:row r="511" spans="1:7" s="4" customFormat="1"/>
    <x:row r="512" spans="1:7" s="3" customFormat="1"/>
    <x:row r="513" spans="1:7" s="1" customFormat="1"/>
    <x:row r="514" spans="1:7" s="4" customFormat="1"/>
    <x:row r="515" spans="1:7" s="3" customFormat="1"/>
    <x:row r="516" spans="1:7" s="1" customFormat="1"/>
    <x:row r="517" spans="1:7" s="4" customFormat="1"/>
    <x:row r="518" spans="1:7" s="3" customFormat="1"/>
    <x:row r="519" spans="1:7" s="1" customFormat="1"/>
    <x:row r="520" spans="1:7" s="4" customFormat="1"/>
    <x:row r="521" spans="1:7" s="3" customFormat="1"/>
    <x:row r="522" spans="1:7" s="1" customFormat="1"/>
    <x:row r="523" spans="1:7" s="4" customFormat="1"/>
    <x:row r="524" spans="1:7" s="3" customFormat="1"/>
    <x:row r="525" spans="1:7" s="1" customFormat="1"/>
    <x:row r="526" spans="1:7" s="4" customFormat="1"/>
    <x:row r="527" spans="1:7" s="3" customFormat="1"/>
    <x:row r="528" spans="1:7" s="1" customFormat="1"/>
    <x:row r="529" spans="1:7" s="4" customFormat="1"/>
    <x:row r="530" spans="1:7" s="3" customFormat="1"/>
    <x:row r="531" spans="1:7" s="1" customFormat="1"/>
    <x:row r="532" spans="1:7" s="4" customFormat="1"/>
    <x:row r="533" spans="1:7" s="3" customFormat="1"/>
    <x:row r="534" spans="1:7" s="1" customFormat="1"/>
    <x:row r="535" spans="1:7" s="4" customFormat="1"/>
  </x:sheetData>
  <x:hyperlinks>
    <x:hyperlink ref="C2" r:id="rId2442" tooltip="Send a mail to info@brands.com.mt"/>
    <x:hyperlink ref="C3" r:id="rId2443" tooltip="Send a mail to info@okhome.com.mt"/>
    <x:hyperlink ref="C4" r:id="rId2444" tooltip="Send a mail to protrade@protrademalta.com"/>
    <x:hyperlink ref="C5" r:id="rId2445" tooltip="Send a mail to info@dinofino.com"/>
    <x:hyperlink ref="C6" r:id="rId2446" tooltip="Send a mail to you@camilleriparismode.com"/>
    <x:hyperlink ref="C7" r:id="rId2447" tooltip="Send a mail to sales@patroleamalta.com"/>
    <x:hyperlink ref="C8" r:id="rId2448" tooltip="Send a mail to jysk@jysk.com.mt"/>
    <x:hyperlink ref="C9" r:id="rId2449" tooltip="Send a mail to peter@gdl.com.mt"/>
    <x:hyperlink ref="C10" r:id="rId2450" tooltip="Send a mail to contactus@theatrium.com.mt"/>
    <x:hyperlink ref="C11" r:id="rId2451" tooltip="Send a mail to info@piscopogardens.com"/>
    <x:hyperlink ref="C13" r:id="rId2452" tooltip="Send a mail to home@jpitre.com"/>
    <x:hyperlink ref="C14" r:id="rId2453" tooltip="Send a mail to info@chlmalta.com"/>
    <x:hyperlink ref="C15" r:id="rId2454" tooltip="Send a mail to info@rattatanshop.mt"/>
    <x:hyperlink ref="C16" r:id="rId2455" tooltip="Send a mail to dicalgroup@gmail.com"/>
    <x:hyperlink ref="C17" r:id="rId2456" tooltip="Send a mail to sales@maltashopper.com"/>
    <x:hyperlink ref="C18" r:id="rId2457" tooltip="Send a mail to shop@hometrends.com.mt"/>
    <x:hyperlink ref="C19" r:id="rId2458" tooltip="Send a mail to info@sherriesestates.com"/>
    <x:hyperlink ref="C20" r:id="rId2459" tooltip="Send a mail to mosta@homemate.com.mt"/>
    <x:hyperlink ref="C21" r:id="rId2460" tooltip="Send a mail to sales@tabonedirect.com"/>
    <x:hyperlink ref="C22" r:id="rId2461" tooltip="Send a mail to info@khsmalta.com"/>
    <x:hyperlink ref="C23" r:id="rId2462" tooltip="Send a mail to info@pcs.com.mt"/>
    <x:hyperlink ref="C24" r:id="rId2463" tooltip="Send a mail to info@arkomalta.com"/>
    <x:hyperlink ref="C25" r:id="rId2464" tooltip="Send a mail to ronaldmarmara@gmail.com"/>
    <x:hyperlink ref="C26" r:id="rId2465" tooltip="Send a mail to info@bigmatmalta.com"/>
    <x:hyperlink ref="C27" r:id="rId2466" tooltip="Send a mail to customercare@butlers.com.mt"/>
    <x:hyperlink ref="C28" r:id="rId2467" tooltip="Send a mail to newlineliving@gmail.com"/>
    <x:hyperlink ref="C29" r:id="rId2468" tooltip="Send a mail to info@fbpmalta.com"/>
    <x:hyperlink ref="C30" r:id="rId2469" tooltip="Send a mail to you@camilleriparismode.com"/>
    <x:hyperlink ref="C31" r:id="rId2470" tooltip="Send a mail to sales@patroleamalta.com"/>
    <x:hyperlink ref="C33" r:id="rId2471" tooltip="Send a mail to protrade@protrademalta.com"/>
    <x:hyperlink ref="C34" r:id="rId2472" tooltip="Send a mail to info@piscopogardens.com"/>
    <x:hyperlink ref="C35" r:id="rId2473" tooltip="Send a mail to sciclunarennie@gmail.com"/>
    <x:hyperlink ref="C36" r:id="rId2474" tooltip="Send a mail to info@chlmalta.com"/>
    <x:hyperlink ref="C37" r:id="rId2475" tooltip="Send a mail to peter@gdl.com.mt"/>
    <x:hyperlink ref="C38" r:id="rId2476" tooltip="Send a mail to dicalgroup@gmail.com"/>
    <x:hyperlink ref="C39" r:id="rId2477" tooltip="Send a mail to shop@hometrends.com.mt"/>
    <x:hyperlink ref="C40" r:id="rId2478" tooltip="Send a mail to info@okhome.com.mt"/>
    <x:hyperlink ref="C41" r:id="rId2479" tooltip="Send a mail to protrade@protrademalta.com"/>
    <x:hyperlink ref="C42" r:id="rId2480" tooltip="Send a mail to sales@tabonedirect.com"/>
    <x:hyperlink ref="C43" r:id="rId2481" tooltip="Send a mail to info@bigmatmalta.com"/>
    <x:hyperlink ref="C44" r:id="rId2482" tooltip="Send a mail to info@dinofino.com"/>
    <x:hyperlink ref="C45" r:id="rId2483" tooltip="Send a mail to info@khsmalta.com"/>
    <x:hyperlink ref="C47" r:id="rId2484" tooltip="Send a mail to info@pcs.com.mt"/>
    <x:hyperlink ref="C48" r:id="rId2485" tooltip="Send a mail to ronaldmarmara@gmail.com"/>
    <x:hyperlink ref="C49" r:id="rId2486" tooltip="Send a mail to info@fbpmalta.com"/>
    <x:hyperlink ref="C50" r:id="rId2487" tooltip="Send a mail to sales@patroleamalta.com"/>
    <x:hyperlink ref="C51" r:id="rId2488" tooltip="Send a mail to dicalgroup@gmail.com"/>
    <x:hyperlink ref="C52" r:id="rId2489" tooltip="Send a mail to shop@hometrends.com.mt"/>
    <x:hyperlink ref="C53" r:id="rId2490" tooltip="Send a mail to protrade@protrademalta.com"/>
    <x:hyperlink ref="C54" r:id="rId2491" tooltip="Send a mail to info@okhome.com.mt"/>
    <x:hyperlink ref="C55" r:id="rId2492" tooltip="Send a mail to mosta@homemate.com.mt"/>
    <x:hyperlink ref="C56" r:id="rId2493" tooltip="Send a mail to jysk@jysk.com.mt"/>
    <x:hyperlink ref="C57" r:id="rId2494" tooltip="Send a mail to sciclunarennie@gmail.com"/>
    <x:hyperlink ref="C58" r:id="rId2495" tooltip="Send a mail to sales@patroleamalta.com"/>
    <x:hyperlink ref="C59" r:id="rId2496" tooltip="Send a mail to info@brands.com.mt"/>
    <x:hyperlink ref="C60" r:id="rId2497" tooltip="Send a mail to shop@hometrends.com.mt"/>
    <x:hyperlink ref="C61" r:id="rId2498" tooltip="Send a mail to info@calypsomfg.com"/>
    <x:hyperlink ref="C62" r:id="rId2499" tooltip="Send a mail to info@devalier.com.mt"/>
    <x:hyperlink ref="C63" r:id="rId2500" tooltip="Send a mail to protrade@protrademalta.com"/>
    <x:hyperlink ref="C64" r:id="rId2501" tooltip="Send a mail to sales@tabonedirect.com"/>
    <x:hyperlink ref="C66" r:id="rId2502" tooltip="Send a mail to info@piscopogardens.com"/>
    <x:hyperlink ref="C67" r:id="rId2503" tooltip="Send a mail to info@piscopogardens.com"/>
    <x:hyperlink ref="C68" r:id="rId2504" tooltip="Send a mail to info@flowerzonemalta.com"/>
    <x:hyperlink ref="C69" r:id="rId2505" tooltip="Send a mail to parisio@maltanet.net"/>
    <x:hyperlink ref="C70" r:id="rId2506" tooltip="Send a mail to samoaattard14@gmail.com"/>
    <x:hyperlink ref="C71" r:id="rId2507" tooltip="Send a mail to info@innogreens.com"/>
    <x:hyperlink ref="C72" r:id="rId2508" tooltip="Send a mail to info@jardinland.com.mt"/>
    <x:hyperlink ref="C73" r:id="rId2509" tooltip="Send a mail to alanmifsudmt@gmail.com"/>
    <x:hyperlink ref="C74" r:id="rId2510" tooltip="Send a mail to info@sherriesestates.com"/>
    <x:hyperlink ref="C75" r:id="rId2511" tooltip="Send a mail to admin@projectgaia.org"/>
    <x:hyperlink ref="C76" r:id="rId2512" tooltip="Send a mail to info@greenscapes.com.mt"/>
    <x:hyperlink ref="C77" r:id="rId2513" tooltip="Send a mail to info@callusgardencentre.com"/>
    <x:hyperlink ref="C78" r:id="rId2514" tooltip="Send a mail to info@bssagri.com"/>
    <x:hyperlink ref="C80" r:id="rId2515" tooltip="Send a mail to projects@garlandmalta.com"/>
    <x:hyperlink ref="C81" r:id="rId2516" tooltip="Send a mail to customercare@allseasons.mt"/>
    <x:hyperlink ref="E2" r:id="rId2517" tooltip="Search Triq tal-Balal, San Gwann on Google Maps"/>
    <x:hyperlink ref="E3" r:id="rId2518" tooltip="Search Triq Pantar, Lija on Google Maps"/>
    <x:hyperlink ref="E4" r:id="rId2519" tooltip="Search Zone 5 Triq Is-Sebh Central Business District, Qormi on Google Maps"/>
    <x:hyperlink ref="E5" r:id="rId2520" tooltip="Search Triq il-Wied Ta' L-Imsida, B'Kara, Malta BKR 9025 on Google Maps"/>
    <x:hyperlink ref="E6" r:id="rId2521" tooltip="Search 54 Triq Santa Katerina, Rabat on Google Maps"/>
    <x:hyperlink ref="E7" r:id="rId2522" tooltip="Search Triq il-Wied ta' I-Imsida, Msida on Google Maps"/>
    <x:hyperlink ref="E8" r:id="rId2523" tooltip="Search Triq il-Mosta, Lija, Malta LIJA 9012 on Google Maps"/>
    <x:hyperlink ref="E9" r:id="rId2524" tooltip="Search 70 Triq is-Salib tal-Marsa on Google Maps"/>
    <x:hyperlink ref="E10" r:id="rId2525" tooltip="Search Giovanni Felice Street, Zone 3, Central Business District, Birkirkara CBD 3120 on Google Maps"/>
    <x:hyperlink ref="E11" r:id="rId2526" tooltip="Search Triq Toni Camilleri, Burmarrad on Google Maps"/>
    <x:hyperlink ref="E12" r:id="rId2527" tooltip="Search Birkirkara on Google Maps"/>
    <x:hyperlink ref="E13" r:id="rId2528" tooltip="Search Mdina Road, Qormi on Google Maps"/>
    <x:hyperlink ref="E14" r:id="rId2529" tooltip="Search Kampanja Triq in-Nigret, Rabat on Google Maps"/>
    <x:hyperlink ref="E15" r:id="rId2530" tooltip="Search Sliema, Malta on Google Maps"/>
    <x:hyperlink ref="E16" r:id="rId2531" tooltip="Search Triq Sant' Anton Abbati, Mosta on Google Maps"/>
    <x:hyperlink ref="E17" r:id="rId2532" tooltip="Search Ta Ghadajma l/o Mqabba on Google Maps"/>
    <x:hyperlink ref="E18" r:id="rId2533" tooltip="Search JPR Bldgs Qasam Industrijali, San Gwann on Google Maps"/>
    <x:hyperlink ref="E19" r:id="rId2534" tooltip="Search Burmarrad Road, Burmarrad on Google Maps"/>
    <x:hyperlink ref="E20" r:id="rId2535" tooltip="Search Vjal 25 ta' Novembru, Tal-Barrani, Zejtun on Google Maps"/>
    <x:hyperlink ref="E21" r:id="rId2536" tooltip="Search Triq L-Imprendituri, Industrial Zone 3, Central business district, Birkirkara, CBD 3090 on Google Maps"/>
    <x:hyperlink ref="E22" r:id="rId2537" tooltip="Search 54, Castaldi Street, Zabbar on Google Maps"/>
    <x:hyperlink ref="E23" r:id="rId2538" tooltip="Search 31, Cross Road, Marsa on Google Maps"/>
    <x:hyperlink ref="E24" r:id="rId2539" tooltip="Search Triq is-Salib Ta' I-Imriehel Business District Mriehel on Google Maps"/>
    <x:hyperlink ref="E25" r:id="rId2540" tooltip="Search 210 Old Railway Track, Santa Venera on Google Maps"/>
    <x:hyperlink ref="E26" r:id="rId2541" tooltip="Search Industrial Zone, ATD 4000 Ta' Qali on Google Maps"/>
    <x:hyperlink ref="E27" r:id="rId2542" tooltip="Search Pjazza A De Paule Rahal Gdid, PLA 1269 on Google Maps"/>
    <x:hyperlink ref="E28" r:id="rId2543" tooltip="Search Triq Papa Gwanni Pawlu ll, Victoria-Gozo, Gozo VCT 9046 on Google Maps"/>
    <x:hyperlink ref="E29" r:id="rId2544" tooltip="Search 139, Bajada Street, Zabbar, Malta on Google Maps"/>
    <x:hyperlink ref="E30" r:id="rId2545" tooltip="Search 54 Triq Santa Katerina, Rabat on Google Maps"/>
    <x:hyperlink ref="E31" r:id="rId2546" tooltip="Search Triq il-Wied ta' I-Imsida, Msida on Google Maps"/>
    <x:hyperlink ref="E32" r:id="rId2547" tooltip="Search Birkirkara on Google Maps"/>
    <x:hyperlink ref="E33" r:id="rId2548" tooltip="Search Zone 5 Triq Is-Sebh Central Business District, Qormi on Google Maps"/>
    <x:hyperlink ref="E34" r:id="rId2549" tooltip="Search Triq Toni Camilleri, Burmarrad on Google Maps"/>
    <x:hyperlink ref="E35" r:id="rId2550" tooltip="Search Triq Hal Resqun, Gudja on Google Maps"/>
    <x:hyperlink ref="E36" r:id="rId2551" tooltip="Search Kampanja Triq in-Nigret, Rabat on Google Maps"/>
    <x:hyperlink ref="E37" r:id="rId2552" tooltip="Search 70 Triq is-Salib tal-Marsa on Google Maps"/>
    <x:hyperlink ref="E38" r:id="rId2553" tooltip="Search Triq Sant' Anton Abbati, Mosta on Google Maps"/>
    <x:hyperlink ref="E39" r:id="rId2554" tooltip="Search JPR Bldgs Qasam Industrijali, San Gwann on Google Maps"/>
    <x:hyperlink ref="E40" r:id="rId2555" tooltip="Search Triq Pantar, Lija on Google Maps"/>
    <x:hyperlink ref="E41" r:id="rId2556" tooltip="Search Zone 5 Triq Is-Sebh Central Business District, Qormi on Google Maps"/>
    <x:hyperlink ref="E42" r:id="rId2557" tooltip="Search Triq L-Imprendituri, Industrial Zone 3, Central business district, Birkirkara, CBD 3090 on Google Maps"/>
    <x:hyperlink ref="E43" r:id="rId2558" tooltip="Search Industrial Zone, ATD 4000 Ta' Qali on Google Maps"/>
    <x:hyperlink ref="E44" r:id="rId2559" tooltip="Search Triq il-Wied Ta' L-Imsida, B'Kara, Malta BKR 9025 on Google Maps"/>
    <x:hyperlink ref="E45" r:id="rId2560" tooltip="Search 54, Castaldi Street, Zabbar on Google Maps"/>
    <x:hyperlink ref="E46" r:id="rId2561" tooltip="Search Birkirkara on Google Maps"/>
    <x:hyperlink ref="E47" r:id="rId2562" tooltip="Search 31, Cross Road, Marsa on Google Maps"/>
    <x:hyperlink ref="E48" r:id="rId2563" tooltip="Search 210 Old Railway Track, Santa Venera on Google Maps"/>
    <x:hyperlink ref="E49" r:id="rId2564" tooltip="Search 139, Bajada Street, Zabbar, Malta on Google Maps"/>
    <x:hyperlink ref="E50" r:id="rId2565" tooltip="Search Triq il-Wied ta' I-Imsida, Msida on Google Maps"/>
    <x:hyperlink ref="E51" r:id="rId2566" tooltip="Search Triq Sant' Anton Abbati, Mosta on Google Maps"/>
    <x:hyperlink ref="E52" r:id="rId2567" tooltip="Search JPR Bldgs Qasam Industrijali, San Gwann on Google Maps"/>
    <x:hyperlink ref="E53" r:id="rId2568" tooltip="Search Zone 5 Triq Is-Sebh Central Business District, Qormi on Google Maps"/>
    <x:hyperlink ref="E54" r:id="rId2569" tooltip="Search Triq Pantar, Lija on Google Maps"/>
    <x:hyperlink ref="E55" r:id="rId2570" tooltip="Search Vjal 25 ta' Novembru, Tal-Barrani, Zejtun on Google Maps"/>
    <x:hyperlink ref="E56" r:id="rId2571" tooltip="Search Triq il-Mosta, Lija, Malta LIJA 9012 on Google Maps"/>
    <x:hyperlink ref="E57" r:id="rId2572" tooltip="Search Triq Hal Resqun, Gudja on Google Maps"/>
    <x:hyperlink ref="E58" r:id="rId2573" tooltip="Search Triq il-Wied ta' I-Imsida, Msida on Google Maps"/>
    <x:hyperlink ref="E59" r:id="rId2574" tooltip="Search Triq tal-Balal, San Gwann on Google Maps"/>
    <x:hyperlink ref="E60" r:id="rId2575" tooltip="Search JPR Bldgs Qasam Industrijali, San Gwann on Google Maps"/>
    <x:hyperlink ref="E61" r:id="rId2576" tooltip="Search 5 Triq Cospicua, Fgura on Google Maps"/>
    <x:hyperlink ref="E62" r:id="rId2577" tooltip="Search The Old Factory, Zone 3 Triq San Gwakkin Central Business District, B'Kara on Google Maps"/>
    <x:hyperlink ref="E63" r:id="rId2578" tooltip="Search Zone 5 Triq Is-Sebh Central Business District, Qormi on Google Maps"/>
    <x:hyperlink ref="E64" r:id="rId2579" tooltip="Search Triq L-Imprendituri, Industrial Zone 3, Central business district, Birkirkara, CBD 3090 on Google Maps"/>
    <x:hyperlink ref="E65" r:id="rId2580" tooltip="Search UB 19 Qasam Industrijali, San Gwann on Google Maps"/>
    <x:hyperlink ref="E66" r:id="rId2581" tooltip="Search Triq Toni Camilleri, Burmarrad on Google Maps"/>
    <x:hyperlink ref="E67" r:id="rId2582" tooltip="Search Triq Toni Camilleri, Burmarrad on Google Maps"/>
    <x:hyperlink ref="E68" r:id="rId2583" tooltip="Search Triq ta' Dun Luqa, Sannat-Gozo on Google Maps"/>
    <x:hyperlink ref="E69" r:id="rId2584" tooltip="Search 73 Triq Sir Ugo Mifsud, Lija on Google Maps"/>
    <x:hyperlink ref="E70" r:id="rId2585" tooltip="Search Redentur Triq San Gilijan, B'Kara on Google Maps"/>
    <x:hyperlink ref="E71" r:id="rId2586" tooltip="Search 22 Triq il-Belt Valletta, Qormi on Google Maps"/>
    <x:hyperlink ref="E72" r:id="rId2587" tooltip="Search Triq Ghajn Tuffieha, San Pawl ll-Bahar on Google Maps"/>
    <x:hyperlink ref="E73" r:id="rId2588" tooltip="Search 153 Triq il-Kappilan Mifsud, Sta Venera on Google Maps"/>
    <x:hyperlink ref="E74" r:id="rId2589" tooltip="Search Burmarrad Road, Burmarrad on Google Maps"/>
    <x:hyperlink ref="E75" r:id="rId2590" tooltip="Search The Elysium Tree Nursery And Visitors Centre Triq in-Nahhalija Ghajn Tuffieha, Mellieha on Google Maps"/>
    <x:hyperlink ref="E76" r:id="rId2591" tooltip="Search Zebbug Road Attard on Google Maps"/>
    <x:hyperlink ref="E77" r:id="rId2592" tooltip="Search Triq L-Imqabba, Is-Siggiewi on Google Maps"/>
    <x:hyperlink ref="E78" r:id="rId2593" tooltip="Search Triq L-Imdina, Zebbug on Google Maps"/>
    <x:hyperlink ref="E79" r:id="rId2594" tooltip="Search 71 Canon Road, Qormi on Google Maps"/>
    <x:hyperlink ref="F2" r:id="rId2595" tooltip="Visit brands.com.mt"/>
    <x:hyperlink ref="F3" r:id="rId2596" tooltip="Visit okhome.com.mt"/>
    <x:hyperlink ref="F4" r:id="rId2597" tooltip="Visit facebook.com/@protrademalta/"/>
    <x:hyperlink ref="F5" r:id="rId2598" tooltip="Visit dinofino.com"/>
    <x:hyperlink ref="F6" r:id="rId2599" tooltip="Visit camilleriparismode.com"/>
    <x:hyperlink ref="F7" r:id="rId2600" tooltip="Visit patroleamalta.com"/>
    <x:hyperlink ref="F8" r:id="rId2601" tooltip="Visit jysk.com.mt"/>
    <x:hyperlink ref="F9" r:id="rId2602" tooltip="Visit facebook.com/maltawarehousesale/"/>
    <x:hyperlink ref="F10" r:id="rId2603" tooltip="Visit theatrium.com.mt"/>
    <x:hyperlink ref="F11" r:id="rId2604" tooltip="Visit piscopogardens.com"/>
    <x:hyperlink ref="F12" r:id="rId2605" tooltip="Visit malta-design.com"/>
    <x:hyperlink ref="F13" r:id="rId2606" tooltip="Visit pitreonline.com"/>
    <x:hyperlink ref="F14" r:id="rId2607" tooltip="Visit chlmalta.com"/>
    <x:hyperlink ref="F15" r:id="rId2608" tooltip="Visit rattatanshop.mt"/>
    <x:hyperlink ref="F16" r:id="rId2609" tooltip="Visit facebook.com/p/Garden-House-100066818242898/"/>
    <x:hyperlink ref="F17" r:id="rId2610" tooltip="Visit maltashopper.com"/>
    <x:hyperlink ref="F18" r:id="rId2611" tooltip="Visit hometrends.com.mt"/>
    <x:hyperlink ref="F19" r:id="rId2612" tooltip="Visit sherriesestates.com"/>
    <x:hyperlink ref="F20" r:id="rId2613" tooltip="Visit homemate.com.mt"/>
    <x:hyperlink ref="F21" r:id="rId2614" tooltip="Visit tabonedirect.com"/>
    <x:hyperlink ref="F22" r:id="rId2615" tooltip="Visit khsmalta.com"/>
    <x:hyperlink ref="F23" r:id="rId2616" tooltip="Visit pcs.com.mt"/>
    <x:hyperlink ref="F24" r:id="rId2617" tooltip="Visit arkomalta.com"/>
    <x:hyperlink ref="F25" r:id="rId2618" tooltip="Visit facebook.com/gejtumarmara/"/>
    <x:hyperlink ref="F26" r:id="rId2619" tooltip="Visit bigmatmalta.com"/>
    <x:hyperlink ref="F27" r:id="rId2620" tooltip="Visit butlers.com.mt"/>
    <x:hyperlink ref="F28" r:id="rId2621" tooltip="Visit newline.com.mt"/>
    <x:hyperlink ref="F29" r:id="rId2622" tooltip="Visit fbpmalta.com/index.php/products/household/chairs-tables"/>
    <x:hyperlink ref="F30" r:id="rId2623" tooltip="Visit camilleriparismode.com"/>
    <x:hyperlink ref="F31" r:id="rId2624" tooltip="Visit patroleamalta.com"/>
    <x:hyperlink ref="F32" r:id="rId2625" tooltip="Visit malta-design.com"/>
    <x:hyperlink ref="F33" r:id="rId2626" tooltip="Visit facebook.com/@protrademalta/"/>
    <x:hyperlink ref="F34" r:id="rId2627" tooltip="Visit piscopogardens.com"/>
    <x:hyperlink ref="F35" r:id="rId2628" tooltip="Visit sciclunarennie.com"/>
    <x:hyperlink ref="F36" r:id="rId2629" tooltip="Visit chlmalta.com"/>
    <x:hyperlink ref="F37" r:id="rId2630" tooltip="Visit facebook.com/maltawarehousesale/"/>
    <x:hyperlink ref="F38" r:id="rId2631" tooltip="Visit facebook.com/p/Garden-House-100066818242898/"/>
    <x:hyperlink ref="F39" r:id="rId2632" tooltip="Visit hometrends.com.mt"/>
    <x:hyperlink ref="F40" r:id="rId2633" tooltip="Visit okhome.com.mt"/>
    <x:hyperlink ref="F41" r:id="rId2634" tooltip="Visit facebook.com/@protrademalta/"/>
    <x:hyperlink ref="F42" r:id="rId2635" tooltip="Visit tabonedirect.com"/>
    <x:hyperlink ref="F43" r:id="rId2636" tooltip="Visit bigmatmalta.com"/>
    <x:hyperlink ref="F44" r:id="rId2637" tooltip="Visit dinofino.com"/>
    <x:hyperlink ref="F45" r:id="rId2638" tooltip="Visit khsmalta.com"/>
    <x:hyperlink ref="F46" r:id="rId2639" tooltip="Visit malta-design.com"/>
    <x:hyperlink ref="F47" r:id="rId2640" tooltip="Visit pcs.com.mt"/>
    <x:hyperlink ref="F48" r:id="rId2641" tooltip="Visit facebook.com/gejtumarmara/"/>
    <x:hyperlink ref="F49" r:id="rId2642" tooltip="Visit fbpmalta.com/index.php/products/household/chairs-tables"/>
    <x:hyperlink ref="F50" r:id="rId2643" tooltip="Visit patroleamalta.com"/>
    <x:hyperlink ref="F51" r:id="rId2644" tooltip="Visit facebook.com/p/Garden-House-100066818242898/"/>
    <x:hyperlink ref="F52" r:id="rId2645" tooltip="Visit hometrends.com.mt"/>
    <x:hyperlink ref="F53" r:id="rId2646" tooltip="Visit facebook.com/@protrademalta/"/>
    <x:hyperlink ref="F54" r:id="rId2647" tooltip="Visit okhome.com.mt"/>
    <x:hyperlink ref="F55" r:id="rId2648" tooltip="Visit homemate.com.mt"/>
    <x:hyperlink ref="F56" r:id="rId2649" tooltip="Visit jysk.com.mt"/>
    <x:hyperlink ref="F57" r:id="rId2650" tooltip="Visit sciclunarennie.com"/>
    <x:hyperlink ref="F58" r:id="rId2651" tooltip="Visit patroleamalta.com"/>
    <x:hyperlink ref="F59" r:id="rId2652" tooltip="Visit brands.com.mt"/>
    <x:hyperlink ref="F60" r:id="rId2653" tooltip="Visit hometrends.com.mt"/>
    <x:hyperlink ref="F61" r:id="rId2654" tooltip="Visit calypsomfg.com"/>
    <x:hyperlink ref="F62" r:id="rId2655" tooltip="Visit devalier.com.mt"/>
    <x:hyperlink ref="F63" r:id="rId2656" tooltip="Visit facebook.com/@protrademalta/"/>
    <x:hyperlink ref="F64" r:id="rId2657" tooltip="Visit tabonedirect.com"/>
    <x:hyperlink ref="F65" r:id="rId2658" tooltip="Visit facebook.com/people/Zet-Ltd/61555689586816/"/>
    <x:hyperlink ref="F66" r:id="rId2659" tooltip="Visit piscopogardens.com"/>
    <x:hyperlink ref="F67" r:id="rId2660" tooltip="Visit piscopogardens.com"/>
    <x:hyperlink ref="F68" r:id="rId2661" tooltip="Visit flowerzonemalta.com"/>
    <x:hyperlink ref="F69" r:id="rId2662" tooltip="Visit facebook.com/p/Parisio-Nursery-Garden-Centre-100057061346114/"/>
    <x:hyperlink ref="F70" r:id="rId2663" tooltip="Visit facebook.com/fmagius/?utm_source=Yellow&amp;utm_medium=Yellow-Website&amp;utm_campaign=Landing-Page"/>
    <x:hyperlink ref="F71" r:id="rId2664" tooltip="Visit innogreens.com"/>
    <x:hyperlink ref="F72" r:id="rId2665" tooltip="Visit jardinland.com.mt"/>
    <x:hyperlink ref="F73" r:id="rId2666" tooltip="Visit facebook.com/secretgardenmalta?utm_source=Yellow&amp;utm_medium=Yellow-Website&amp;utm_campaign=Landing-Page"/>
    <x:hyperlink ref="F74" r:id="rId2667" tooltip="Visit sherriesestates.com"/>
    <x:hyperlink ref="F75" r:id="rId2668" tooltip="Visit projectgaia.org"/>
    <x:hyperlink ref="F76" r:id="rId2669" tooltip="Visit greenscapes.com.mt"/>
    <x:hyperlink ref="F77" r:id="rId2670" tooltip="Visit callusgardencentre.com"/>
    <x:hyperlink ref="F78" r:id="rId2671" tooltip="Visit bssagri.com"/>
    <x:hyperlink ref="F79" r:id="rId2672" tooltip="Visit derekmalta.com"/>
    <x:hyperlink ref="F80" r:id="rId2673" tooltip="Visit garlandmalta.com/"/>
    <x:hyperlink ref="F81" r:id="rId2674" tooltip="Visit allseasons.mt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2"/>
  <x:sheetViews>
    <x:sheetView workbookViewId="0"/>
  </x:sheetViews>
  <x:sheetFormatPr defaultRowHeight="15"/>
  <x:cols>
    <x:col min="1" max="1" width="157.282054" style="0" customWidth="1"/>
    <x:col min="2" max="2" width="27.853482" style="0" customWidth="1"/>
    <x:col min="3" max="3" width="27.710625" style="0" customWidth="1"/>
    <x:col min="4" max="4" width="18.710625" style="0" customWidth="1"/>
    <x:col min="5" max="5" width="41.710625" style="0" customWidth="1"/>
    <x:col min="6" max="6" width="16.853482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List'!A37", "Back to Summary")</x:f>
      </x:c>
    </x:row>
    <x:row r="2" spans="1:7" s="3" customFormat="1">
      <x:c r="A2" s="3" t="s">
        <x:v>2438</x:v>
      </x:c>
      <x:c r="B2" s="3" t="s">
        <x:v>1529</x:v>
      </x:c>
      <x:c r="C2" s="6" t="s">
        <x:v>1614</x:v>
      </x:c>
      <x:c r="D2" s="7">
        <x:f>CONCATENATE(HYPERLINK("CALLTO:%2B356%207710%205385", "+356 7710 5385"))</x:f>
      </x:c>
      <x:c r="E2" s="6" t="s">
        <x:v>1709</x:v>
      </x:c>
      <x:c r="F2" s="6" t="s">
        <x:v>5285</x:v>
      </x:c>
    </x:row>
    <x:row r="3" spans="1:7" s="1" customFormat="1">
      <x:c r="A3" s="1" t="s">
        <x:v>2438</x:v>
      </x:c>
      <x:c r="B3" s="1" t="s">
        <x:v>2315</x:v>
      </x:c>
      <x:c r="C3" s="8" t="s">
        <x:v>2347</x:v>
      </x:c>
      <x:c r="D3" s="9">
        <x:f>CONCATENATE(HYPERLINK("CALLTO:%2B356%202746%203330", "+356 2746 3330"))</x:f>
      </x:c>
      <x:c r="E3" s="8" t="s">
        <x:v>2443</x:v>
      </x:c>
      <x:c r="F3" s="8" t="s">
        <x:v>2050</x:v>
      </x:c>
    </x:row>
    <x:row r="4" spans="1:7" s="4" customFormat="1">
      <x:c r="A4" s="4" t="s">
        <x:v>2438</x:v>
      </x:c>
      <x:c r="B4" s="4" t="s">
        <x:v>2123</x:v>
      </x:c>
      <x:c r="C4" s="10" t="s">
        <x:v>1620</x:v>
      </x:c>
      <x:c r="D4" s="11">
        <x:f>CONCATENATE(HYPERLINK("CALLTO:%2B356%202095%209595", "+356 2095 9595"))</x:f>
      </x:c>
      <x:c r="E4" s="10" t="s">
        <x:v>2139</x:v>
      </x:c>
      <x:c r="F4" s="10" t="s">
        <x:v>2145</x:v>
      </x:c>
    </x:row>
    <x:row r="5" spans="1:7" s="3" customFormat="1">
      <x:c r="A5" s="3" t="s">
        <x:v>2438</x:v>
      </x:c>
      <x:c r="B5" s="3" t="s">
        <x:v>1865</x:v>
      </x:c>
      <x:c r="C5" s="6" t="s">
        <x:v>1323</x:v>
      </x:c>
      <x:c r="D5" s="7">
        <x:f>CONCATENATE(HYPERLINK("CALLTO:%2B356%202549%203000", "+356 2549 3000"))</x:f>
      </x:c>
      <x:c r="E5" s="6" t="s">
        <x:v>1981</x:v>
      </x:c>
      <x:c r="F5" s="6" t="s">
        <x:v>2046</x:v>
      </x:c>
    </x:row>
    <x:row r="6" spans="1:7" s="1" customFormat="1">
      <x:c r="A6" s="1" t="s">
        <x:v>2438</x:v>
      </x:c>
      <x:c r="B6" s="1" t="s">
        <x:v>2440</x:v>
      </x:c>
      <x:c r="C6" s="8" t="s">
        <x:v>1591</x:v>
      </x:c>
      <x:c r="D6" s="9">
        <x:f>CONCATENATE(HYPERLINK("CALLTO:%2B356%202149%206473", "+356 2149 6473"))</x:f>
      </x:c>
      <x:c r="E6" s="8" t="s">
        <x:v>1682</x:v>
      </x:c>
      <x:c r="F6" s="8" t="s">
        <x:v>1673</x:v>
      </x:c>
    </x:row>
    <x:row r="7" spans="1:7" s="4" customFormat="1">
      <x:c r="A7" s="4" t="s">
        <x:v>2438</x:v>
      </x:c>
      <x:c r="B7" s="4" t="s">
        <x:v>2340</x:v>
      </x:c>
      <x:c r="C7" s="10" t="s">
        <x:v>2370</x:v>
      </x:c>
      <x:c r="F7" s="10" t="s">
        <x:v>2436</x:v>
      </x:c>
    </x:row>
    <x:row r="8" spans="1:7" s="3" customFormat="1"/>
    <x:row r="9" spans="1:7" s="1" customFormat="1">
      <x:c r="A9" s="1" t="s">
        <x:v>2439</x:v>
      </x:c>
    </x:row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</x:sheetData>
  <x:hyperlinks>
    <x:hyperlink ref="C2" r:id="rId2675" tooltip="Send a mail to sales@malta-design.com"/>
    <x:hyperlink ref="C3" r:id="rId2676" tooltip="Send a mail to home@jpitre.com"/>
    <x:hyperlink ref="C4" r:id="rId2677" tooltip="Send a mail to info@brands.com.mt"/>
    <x:hyperlink ref="C5" r:id="rId2678" tooltip="Send a mail to info@fino.com.mt"/>
    <x:hyperlink ref="C6" r:id="rId2679" tooltip="Send a mail to info@styleinterni.com"/>
    <x:hyperlink ref="C7" r:id="rId2680" tooltip="Send a mail to customercare@allseasons.mt"/>
    <x:hyperlink ref="E2" r:id="rId2681" tooltip="Search Malta Design&#10;33 Triq l-Oleandru ,&#10;San Giljan, Malta on Google Maps"/>
    <x:hyperlink ref="E3" r:id="rId2682" tooltip="Search Pitre Home Ltd, Mdina Road, Qormi on Google Maps"/>
    <x:hyperlink ref="E4" r:id="rId2683" tooltip="Search Triq tal-Balal, San Gwann, Malta on Google Maps"/>
    <x:hyperlink ref="E5" r:id="rId2684" tooltip="Search Fino Buildings,&#10;Triq l-Imdina, Zone 4,&#10;Mriehel/Central Business District&#10;CBD 4010, Malta on Google Maps"/>
    <x:hyperlink ref="E6" r:id="rId2685" tooltip="Search 260 Old Railway Track, Santa Venera SVR 9019 on Google Maps"/>
    <x:hyperlink ref="F2" r:id="rId2686" tooltip="Visit malta-design.com"/>
    <x:hyperlink ref="F3" r:id="rId2687" tooltip="Visit pitreonline.com/"/>
    <x:hyperlink ref="F4" r:id="rId2688" tooltip="Visit brands.com.mt/"/>
    <x:hyperlink ref="F5" r:id="rId2689" tooltip="Visit fino.com.mt/"/>
    <x:hyperlink ref="F6" r:id="rId2690" tooltip="Visit styleinterni.com/"/>
    <x:hyperlink ref="F7" r:id="rId2691" tooltip="Visit allseasons.mt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2"/>
  <x:sheetViews>
    <x:sheetView workbookViewId="0"/>
  </x:sheetViews>
  <x:sheetFormatPr defaultRowHeight="15"/>
  <x:cols>
    <x:col min="1" max="1" width="10.853482" style="0" customWidth="1"/>
    <x:col min="2" max="2" width="15.710625" style="0" customWidth="1"/>
    <x:col min="3" max="3" width="27.853482" style="0" customWidth="1"/>
    <x:col min="4" max="4" width="20.424911" style="0" customWidth="1"/>
    <x:col min="5" max="5" width="41.710625" style="0" customWidth="1"/>
    <x:col min="6" max="6" width="23.282054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2072</x:v>
      </x:c>
      <x:c r="E1" s="2" t="s">
        <x:v>914</x:v>
      </x:c>
      <x:c r="F1" s="2" t="s">
        <x:v>529</x:v>
      </x:c>
      <x:c r="G1" s="5">
        <x:f>HYPERLINK("#'Summary List'!A38", "Back to Summary")</x:f>
      </x:c>
    </x:row>
    <x:row r="2" spans="1:7" s="3" customFormat="1">
      <x:c r="A2" s="3" t="s">
        <x:v>2444</x:v>
      </x:c>
      <x:c r="B2" s="3" t="s">
        <x:v>1505</x:v>
      </x:c>
      <x:c r="C2" s="6" t="s">
        <x:v>1591</x:v>
      </x:c>
      <x:c r="D2" s="3" t="s">
        <x:v>1669</x:v>
      </x:c>
      <x:c r="E2" s="6" t="s">
        <x:v>1682</x:v>
      </x:c>
      <x:c r="F2" s="6" t="s">
        <x:v>1673</x:v>
      </x:c>
    </x:row>
    <x:row r="3" spans="1:7" s="1" customFormat="1"/>
    <x:row r="4" spans="1:7" s="4" customFormat="1">
      <x:c r="A4" s="4" t="s">
        <x:v>2445</x:v>
      </x:c>
      <x:c r="B4" s="4" t="s">
        <x:v>2446</x:v>
      </x:c>
      <x:c r="C4" s="10" t="s">
        <x:v>2448</x:v>
      </x:c>
      <x:c r="D4" s="4" t="s">
        <x:v>2450</x:v>
      </x:c>
      <x:c r="E4" s="10" t="s">
        <x:v>2452</x:v>
      </x:c>
      <x:c r="F4" s="10" t="s">
        <x:v>2437</x:v>
      </x:c>
    </x:row>
    <x:row r="5" spans="1:7" s="3" customFormat="1">
      <x:c r="A5" s="3" t="s">
        <x:v>2445</x:v>
      </x:c>
      <x:c r="B5" s="3" t="s">
        <x:v>2082</x:v>
      </x:c>
      <x:c r="C5" s="6" t="s">
        <x:v>2093</x:v>
      </x:c>
      <x:c r="D5" s="3" t="s">
        <x:v>2097</x:v>
      </x:c>
      <x:c r="E5" s="6" t="s">
        <x:v>2103</x:v>
      </x:c>
      <x:c r="F5" s="6" t="s">
        <x:v>2047</x:v>
      </x:c>
    </x:row>
    <x:row r="6" spans="1:7" s="1" customFormat="1">
      <x:c r="A6" s="1" t="s">
        <x:v>2445</x:v>
      </x:c>
      <x:c r="B6" s="1" t="s">
        <x:v>2083</x:v>
      </x:c>
      <x:c r="C6" s="8" t="s">
        <x:v>862</x:v>
      </x:c>
      <x:c r="D6" s="1" t="s">
        <x:v>2098</x:v>
      </x:c>
      <x:c r="E6" s="8" t="s">
        <x:v>2246</x:v>
      </x:c>
      <x:c r="F6" s="8" t="s">
        <x:v>2115</x:v>
      </x:c>
    </x:row>
    <x:row r="7" spans="1:7" s="4" customFormat="1">
      <x:c r="A7" s="4" t="s">
        <x:v>2445</x:v>
      </x:c>
      <x:c r="B7" s="4" t="s">
        <x:v>2209</x:v>
      </x:c>
      <x:c r="C7" s="10" t="s">
        <x:v>2218</x:v>
      </x:c>
      <x:c r="D7" s="4" t="s">
        <x:v>2221</x:v>
      </x:c>
      <x:c r="E7" s="10" t="s">
        <x:v>2453</x:v>
      </x:c>
      <x:c r="F7" s="10" t="s">
        <x:v>2271</x:v>
      </x:c>
    </x:row>
    <x:row r="8" spans="1:7" s="3" customFormat="1">
      <x:c r="A8" s="3" t="s">
        <x:v>2445</x:v>
      </x:c>
      <x:c r="B8" s="3" t="s">
        <x:v>2447</x:v>
      </x:c>
      <x:c r="C8" s="6" t="s">
        <x:v>2449</x:v>
      </x:c>
      <x:c r="D8" s="3" t="s">
        <x:v>2451</x:v>
      </x:c>
      <x:c r="F8" s="6" t="s">
        <x:v>2415</x:v>
      </x:c>
    </x:row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</x:sheetData>
  <x:hyperlinks>
    <x:hyperlink ref="C2" r:id="rId2692" tooltip="Send a mail to info@styleinterni.com"/>
    <x:hyperlink ref="C4" r:id="rId2693" tooltip="Send a mail to info@spotonmalta.com"/>
    <x:hyperlink ref="C5" r:id="rId2694" tooltip="Send a mail to info@megahome.mt"/>
    <x:hyperlink ref="C6" r:id="rId2695" tooltip="Send a mail to info@bfmarbles.com"/>
    <x:hyperlink ref="C7" r:id="rId2696" tooltip="Send a mail to sales@lingonberries.eu"/>
    <x:hyperlink ref="C8" r:id="rId2697" tooltip="Send a mail to info@bigbeninteriors.com.mt"/>
    <x:hyperlink ref="E2" r:id="rId2698" tooltip="Search 260 Old Railway Track, Santa Venera SVR 9019 on Google Maps"/>
    <x:hyperlink ref="E4" r:id="rId2699" tooltip="Search 102 Palm Street,&#10;PLA1414 Paola MALTA. on Google Maps"/>
    <x:hyperlink ref="E5" r:id="rId2700" tooltip="Search Triq Il-Vitorja, Ħal Qormi QRM 2504 on Google Maps"/>
    <x:hyperlink ref="E6" r:id="rId2701" tooltip="Search 27 Triq Wignacourt, Birkirkara on Google Maps"/>
    <x:hyperlink ref="E7" r:id="rId2702" tooltip="Search Naxxar Road, Birkirkara,&#10;Malta, BKR 9045 on Google Maps"/>
    <x:hyperlink ref="F2" r:id="rId2703" tooltip="Visit styleinterni.com/"/>
    <x:hyperlink ref="F4" r:id="rId2704" tooltip="Visit spotonmalta.com/"/>
    <x:hyperlink ref="F5" r:id="rId2705" tooltip="Visit megahome.mt/"/>
    <x:hyperlink ref="F6" r:id="rId2706" tooltip="Visit bfmarbles.com/#"/>
    <x:hyperlink ref="F7" r:id="rId2707" tooltip="Visit lingonberries.mt/"/>
    <x:hyperlink ref="F8" r:id="rId2708" tooltip="Visit bigbeninteriors.com.mt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0"/>
  <x:sheetViews>
    <x:sheetView workbookViewId="0"/>
  </x:sheetViews>
  <x:sheetFormatPr defaultRowHeight="15"/>
  <x:cols>
    <x:col min="1" max="1" width="10.424911" style="0" customWidth="1"/>
    <x:col min="2" max="2" width="18.139196" style="0" customWidth="1"/>
    <x:col min="3" max="3" width="19.853482" style="0" customWidth="1"/>
    <x:col min="4" max="4" width="20.424911" style="0" customWidth="1"/>
    <x:col min="5" max="5" width="32.710625" style="0" customWidth="1"/>
    <x:col min="6" max="6" width="43.282054" style="0" customWidth="1"/>
    <x:col min="7" max="7" width="5.996339" style="0" customWidth="1"/>
    <x:col min="8" max="8" width="55.710625" style="0" customWidth="1"/>
    <x:col min="9" max="9" width="20.996339" style="0" customWidth="1"/>
  </x:cols>
  <x:sheetData>
    <x:row r="1" spans="1:9" s="2" customFormat="1">
      <x:c r="A1" s="2" t="s">
        <x:v>915</x:v>
      </x:c>
      <x:c r="B1" s="2" t="s">
        <x:v>2167</x:v>
      </x:c>
      <x:c r="C1" s="2" t="s">
        <x:v>502</x:v>
      </x:c>
      <x:c r="D1" s="2" t="s">
        <x:v>2072</x:v>
      </x:c>
      <x:c r="E1" s="2" t="s">
        <x:v>914</x:v>
      </x:c>
      <x:c r="F1" s="2" t="s">
        <x:v>529</x:v>
      </x:c>
      <x:c r="G1" s="2" t="s">
        <x:v>2461</x:v>
      </x:c>
      <x:c r="H1" s="2" t="s">
        <x:v>578</x:v>
      </x:c>
      <x:c r="I1" s="5">
        <x:f>HYPERLINK("#'Summary List'!A39", "Back to Summary")</x:f>
      </x:c>
    </x:row>
    <x:row r="2" spans="1:9" s="3" customFormat="1">
      <x:c r="A2" s="3" t="s">
        <x:v>2456</x:v>
      </x:c>
      <x:c r="B2" s="3" t="s">
        <x:v>2082</x:v>
      </x:c>
      <x:c r="C2" s="6" t="s">
        <x:v>2093</x:v>
      </x:c>
      <x:c r="D2" s="3" t="s">
        <x:v>2097</x:v>
      </x:c>
      <x:c r="E2" s="6" t="s">
        <x:v>2103</x:v>
      </x:c>
      <x:c r="F2" s="6" t="s">
        <x:v>2047</x:v>
      </x:c>
    </x:row>
    <x:row r="3" spans="1:9" s="1" customFormat="1">
      <x:c r="A3" s="1" t="s">
        <x:v>2456</x:v>
      </x:c>
      <x:c r="B3" s="1" t="s">
        <x:v>2083</x:v>
      </x:c>
      <x:c r="C3" s="8" t="s">
        <x:v>862</x:v>
      </x:c>
      <x:c r="D3" s="1" t="s">
        <x:v>2098</x:v>
      </x:c>
      <x:c r="E3" s="8" t="s">
        <x:v>2460</x:v>
      </x:c>
      <x:c r="F3" s="8" t="s">
        <x:v>2115</x:v>
      </x:c>
    </x:row>
    <x:row r="4" spans="1:9" s="4" customFormat="1"/>
    <x:row r="5" spans="1:9" s="3" customFormat="1">
      <x:c r="A5" s="3" t="s">
        <x:v>2457</x:v>
      </x:c>
      <x:c r="B5" s="3" t="s">
        <x:v>2458</x:v>
      </x:c>
      <x:c r="C5" s="6" t="s">
        <x:v>695</x:v>
      </x:c>
      <x:c r="D5" s="3" t="s">
        <x:v>2459</x:v>
      </x:c>
      <x:c r="F5" s="6" t="s">
        <x:v>2425</x:v>
      </x:c>
    </x:row>
    <x:row r="6" spans="1:9" s="1" customFormat="1">
      <x:c r="A6" s="1" t="s">
        <x:v>2457</x:v>
      </x:c>
      <x:c r="B6" s="1" t="s">
        <x:v>2084</x:v>
      </x:c>
      <x:c r="D6" s="1" t="s">
        <x:v>2099</x:v>
      </x:c>
      <x:c r="F6" s="8" t="s">
        <x:v>5310</x:v>
      </x:c>
    </x:row>
    <x:row r="7" spans="1:9" s="4" customFormat="1"/>
    <x:row r="8" spans="1:9" s="3" customFormat="1"/>
    <x:row r="9" spans="1:9" s="1" customFormat="1"/>
    <x:row r="10" spans="1:9" s="4" customFormat="1"/>
    <x:row r="11" spans="1:9" s="3" customFormat="1"/>
    <x:row r="12" spans="1:9" s="1" customFormat="1"/>
    <x:row r="13" spans="1:9" s="4" customFormat="1"/>
    <x:row r="14" spans="1:9" s="3" customFormat="1"/>
    <x:row r="15" spans="1:9" s="1" customFormat="1"/>
    <x:row r="16" spans="1:9" s="4" customFormat="1"/>
    <x:row r="17" spans="1:9" s="3" customFormat="1"/>
    <x:row r="18" spans="1:9" s="1" customFormat="1"/>
    <x:row r="19" spans="1:9" s="4" customFormat="1"/>
    <x:row r="20" spans="1:9" s="3" customFormat="1"/>
    <x:row r="21" spans="1:9" s="1" customFormat="1"/>
    <x:row r="22" spans="1:9" s="4" customFormat="1"/>
    <x:row r="23" spans="1:9" s="3" customFormat="1"/>
    <x:row r="24" spans="1:9" s="1" customFormat="1"/>
    <x:row r="25" spans="1:9" s="4" customFormat="1"/>
    <x:row r="26" spans="1:9" s="3" customFormat="1"/>
    <x:row r="27" spans="1:9" s="1" customFormat="1"/>
    <x:row r="28" spans="1:9" s="4" customFormat="1"/>
    <x:row r="29" spans="1:9" s="3" customFormat="1"/>
    <x:row r="30" spans="1:9" s="1" customFormat="1"/>
    <x:row r="31" spans="1:9" s="4" customFormat="1"/>
    <x:row r="32" spans="1:9" s="3" customFormat="1"/>
    <x:row r="33" spans="1:9" s="1" customFormat="1"/>
    <x:row r="34" spans="1:9" s="4" customFormat="1"/>
    <x:row r="35" spans="1:9" s="3" customFormat="1"/>
    <x:row r="36" spans="1:9" s="1" customFormat="1"/>
    <x:row r="37" spans="1:9" s="4" customFormat="1"/>
    <x:row r="38" spans="1:9" s="3" customFormat="1"/>
    <x:row r="39" spans="1:9" s="1" customFormat="1"/>
    <x:row r="40" spans="1:9" s="4" customFormat="1"/>
    <x:row r="41" spans="1:9" s="3" customFormat="1"/>
    <x:row r="42" spans="1:9" s="1" customFormat="1"/>
    <x:row r="43" spans="1:9" s="4" customFormat="1"/>
    <x:row r="44" spans="1:9" s="3" customFormat="1"/>
    <x:row r="45" spans="1:9" s="1" customFormat="1"/>
    <x:row r="46" spans="1:9" s="4" customFormat="1"/>
    <x:row r="47" spans="1:9" s="3" customFormat="1"/>
    <x:row r="48" spans="1:9" s="1" customFormat="1"/>
    <x:row r="49" spans="1:9" s="4" customFormat="1"/>
    <x:row r="50" spans="1:9" s="3" customFormat="1"/>
    <x:row r="51" spans="1:9" s="1" customFormat="1"/>
    <x:row r="52" spans="1:9" s="4" customFormat="1"/>
    <x:row r="53" spans="1:9" s="3" customFormat="1"/>
    <x:row r="54" spans="1:9" s="1" customFormat="1"/>
    <x:row r="55" spans="1:9" s="4" customFormat="1"/>
    <x:row r="56" spans="1:9" s="3" customFormat="1"/>
    <x:row r="57" spans="1:9" s="1" customFormat="1"/>
    <x:row r="58" spans="1:9" s="4" customFormat="1"/>
    <x:row r="59" spans="1:9" s="3" customFormat="1"/>
    <x:row r="60" spans="1:9" s="1" customFormat="1"/>
    <x:row r="61" spans="1:9" s="4" customFormat="1"/>
    <x:row r="62" spans="1:9" s="3" customFormat="1"/>
    <x:row r="63" spans="1:9" s="1" customFormat="1"/>
    <x:row r="64" spans="1:9" s="4" customFormat="1"/>
    <x:row r="65" spans="1:9" s="3" customFormat="1"/>
    <x:row r="66" spans="1:9" s="1" customFormat="1"/>
    <x:row r="67" spans="1:9" s="4" customFormat="1"/>
    <x:row r="68" spans="1:9" s="3" customFormat="1"/>
    <x:row r="69" spans="1:9" s="1" customFormat="1"/>
    <x:row r="70" spans="1:9" s="4" customFormat="1"/>
    <x:row r="71" spans="1:9" s="3" customFormat="1"/>
    <x:row r="72" spans="1:9" s="1" customFormat="1"/>
    <x:row r="73" spans="1:9" s="4" customFormat="1"/>
    <x:row r="74" spans="1:9" s="3" customFormat="1"/>
    <x:row r="75" spans="1:9" s="1" customFormat="1"/>
    <x:row r="76" spans="1:9" s="4" customFormat="1"/>
    <x:row r="77" spans="1:9" s="3" customFormat="1"/>
    <x:row r="78" spans="1:9" s="1" customFormat="1"/>
    <x:row r="79" spans="1:9" s="4" customFormat="1"/>
    <x:row r="80" spans="1:9" s="3" customFormat="1"/>
  </x:sheetData>
  <x:hyperlinks>
    <x:hyperlink ref="C2" r:id="rId2709" tooltip="Send a mail to info@megahome.mt"/>
    <x:hyperlink ref="C3" r:id="rId2710" tooltip="Send a mail to info@bfmarbles.com"/>
    <x:hyperlink ref="C5" r:id="rId2711" tooltip="Send a mail to info@soll.mt"/>
    <x:hyperlink ref="E2" r:id="rId2712" tooltip="Search Triq Il-Vitorja, Ħal Qormi QRM 2504 on Google Maps"/>
    <x:hyperlink ref="E3" r:id="rId2713" tooltip="Search B1, Midland Enterprise Park&#10;Burmarrad Road,&#10;Naxxar, Malta on Google Maps"/>
    <x:hyperlink ref="F2" r:id="rId2714" tooltip="Visit megahome.mt/"/>
    <x:hyperlink ref="F3" r:id="rId2715" tooltip="Visit bfmarbles.com/#"/>
    <x:hyperlink ref="F5" r:id="rId2716" tooltip="Visit soll.mt/"/>
    <x:hyperlink ref="F6" r:id="rId2717" tooltip="Visit facebook.com/profile.php?id=6156134940296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9"/>
  <x:sheetViews>
    <x:sheetView workbookViewId="0"/>
  </x:sheetViews>
  <x:sheetFormatPr defaultRowHeight="15"/>
  <x:cols>
    <x:col min="1" max="1" width="26.424911" style="0" customWidth="1"/>
    <x:col min="2" max="2" width="18.996339" style="0" customWidth="1"/>
    <x:col min="3" max="3" width="29.424911" style="0" customWidth="1"/>
    <x:col min="4" max="4" width="18.710625" style="0" customWidth="1"/>
    <x:col min="5" max="5" width="45.996339" style="0" customWidth="1"/>
    <x:col min="6" max="6" width="50.853482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List'!A40", "Back to Summary")</x:f>
      </x:c>
    </x:row>
    <x:row r="2" spans="1:7" s="3" customFormat="1">
      <x:c r="A2" s="3" t="s">
        <x:v>2463</x:v>
      </x:c>
      <x:c r="B2" s="3" t="s">
        <x:v>2468</x:v>
      </x:c>
      <x:c r="C2" s="6" t="s">
        <x:v>2467</x:v>
      </x:c>
      <x:c r="D2" s="7">
        <x:f>CONCATENATE(HYPERLINK("CALLTO:%2B356%209990%206485", "+356 9990 6485"))</x:f>
      </x:c>
      <x:c r="E2" s="6" t="s">
        <x:v>2469</x:v>
      </x:c>
      <x:c r="F2" s="6" t="s">
        <x:v>1680</x:v>
      </x:c>
    </x:row>
    <x:row r="3" spans="1:7" s="1" customFormat="1"/>
    <x:row r="4" spans="1:7" s="4" customFormat="1">
      <x:c r="A4" s="4" t="s">
        <x:v>2464</x:v>
      </x:c>
      <x:c r="B4" s="4" t="s">
        <x:v>2082</x:v>
      </x:c>
      <x:c r="C4" s="10" t="s">
        <x:v>2093</x:v>
      </x:c>
      <x:c r="D4" s="11">
        <x:f>CONCATENATE(HYPERLINK("CALLTO:%2B356%209997%205737", "+356 9997 5737"))</x:f>
      </x:c>
      <x:c r="E4" s="10" t="s">
        <x:v>2103</x:v>
      </x:c>
      <x:c r="F4" s="10" t="s">
        <x:v>2047</x:v>
      </x:c>
    </x:row>
    <x:row r="5" spans="1:7" s="3" customFormat="1"/>
    <x:row r="6" spans="1:7" s="1" customFormat="1">
      <x:c r="A6" s="1" t="s">
        <x:v>2465</x:v>
      </x:c>
      <x:c r="B6" s="1" t="s">
        <x:v>2124</x:v>
      </x:c>
      <x:c r="C6" s="8" t="s">
        <x:v>1487</x:v>
      </x:c>
      <x:c r="D6" s="9">
        <x:f>CONCATENATE(HYPERLINK("CALLTO:%2B356%202034%201569", "+356 2034 1569"))</x:f>
      </x:c>
      <x:c r="E6" s="8" t="s">
        <x:v>2140</x:v>
      </x:c>
      <x:c r="F6" s="8" t="s">
        <x:v>1148</x:v>
      </x:c>
    </x:row>
    <x:row r="7" spans="1:7" s="4" customFormat="1">
      <x:c r="A7" s="4" t="s">
        <x:v>2465</x:v>
      </x:c>
      <x:c r="B7" s="4" t="s">
        <x:v>1505</x:v>
      </x:c>
      <x:c r="C7" s="10" t="s">
        <x:v>1591</x:v>
      </x:c>
      <x:c r="D7" s="11">
        <x:f>CONCATENATE(HYPERLINK("CALLTO:%2B356%202149%206473", "+356 2149 6473"))</x:f>
      </x:c>
      <x:c r="E7" s="10" t="s">
        <x:v>1682</x:v>
      </x:c>
      <x:c r="F7" s="10" t="s">
        <x:v>1673</x:v>
      </x:c>
    </x:row>
    <x:row r="8" spans="1:7" s="3" customFormat="1">
      <x:c r="A8" s="3" t="s">
        <x:v>2465</x:v>
      </x:c>
      <x:c r="B8" s="3" t="s">
        <x:v>2125</x:v>
      </x:c>
      <x:c r="C8" s="6" t="s">
        <x:v>1653</x:v>
      </x:c>
      <x:c r="D8" s="7">
        <x:f>CONCATENATE(HYPERLINK("CALLTO:%2B356%202148%203614", "+356 2148 3614"))</x:f>
      </x:c>
      <x:c r="E8" s="6" t="s">
        <x:v>1955</x:v>
      </x:c>
      <x:c r="F8" s="6" t="s">
        <x:v>1829</x:v>
      </x:c>
    </x:row>
    <x:row r="9" spans="1:7" s="1" customFormat="1">
      <x:c r="A9" s="1" t="s">
        <x:v>2465</x:v>
      </x:c>
      <x:c r="B9" s="1" t="s">
        <x:v>2209</x:v>
      </x:c>
      <x:c r="C9" s="8" t="s">
        <x:v>2218</x:v>
      </x:c>
      <x:c r="D9" s="9">
        <x:f>CONCATENATE(HYPERLINK("CALLTO:%2B356%202788%203788", "+356 2788 3788"))</x:f>
      </x:c>
      <x:c r="E9" s="8" t="s">
        <x:v>2246</x:v>
      </x:c>
      <x:c r="F9" s="8" t="s">
        <x:v>2271</x:v>
      </x:c>
    </x:row>
    <x:row r="10" spans="1:7" s="4" customFormat="1"/>
    <x:row r="11" spans="1:7" s="3" customFormat="1">
      <x:c r="A11" s="3" t="s">
        <x:v>2466</x:v>
      </x:c>
      <x:c r="B11" s="3" t="s">
        <x:v>1560</x:v>
      </x:c>
      <x:c r="C11" s="6" t="s">
        <x:v>1644</x:v>
      </x:c>
      <x:c r="D11" s="7">
        <x:f>CONCATENATE(HYPERLINK("CALLTO:%2B356%202145%201718", "+356 2145 1718"))</x:f>
      </x:c>
      <x:c r="E11" s="6" t="s">
        <x:v>1737</x:v>
      </x:c>
      <x:c r="F11" s="6" t="s">
        <x:v>1773</x:v>
      </x:c>
    </x:row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</x:sheetData>
  <x:hyperlinks>
    <x:hyperlink ref="C2" r:id="rId2718" tooltip="Send a mail to venezianocreazioni@gmail.com"/>
    <x:hyperlink ref="C4" r:id="rId2719" tooltip="Send a mail to info@megahome.mt"/>
    <x:hyperlink ref="C6" r:id="rId2720" tooltip="Send a mail to sales@maltadiy.com"/>
    <x:hyperlink ref="C7" r:id="rId2721" tooltip="Send a mail to info@styleinterni.com"/>
    <x:hyperlink ref="C8" r:id="rId2722" tooltip="Send a mail to info@ferraramalta.com"/>
    <x:hyperlink ref="C9" r:id="rId2723" tooltip="Send a mail to sales@lingonberries.eu"/>
    <x:hyperlink ref="C11" r:id="rId2724" tooltip="Send a mail to info@luxonas.com"/>
    <x:hyperlink ref="E2" r:id="rId2725" tooltip="Search Mosta, Malta on Google Maps"/>
    <x:hyperlink ref="E4" r:id="rId2726" tooltip="Search Triq Il-Vitorja, Ħal Qormi QRM 2504 on Google Maps"/>
    <x:hyperlink ref="E6" r:id="rId2727" tooltip="Search Baldacchino Building B, Triq Il-Belt Valletta, Zurrieq on Google Maps"/>
    <x:hyperlink ref="E7" r:id="rId2728" tooltip="Search 260 Old Railway Track, Santa Venera SVR 9019 on Google Maps"/>
    <x:hyperlink ref="E8" r:id="rId2729" tooltip="Search Ferraracasa Warehouse&#10;Triq is-Salib ta l-Mriehel&#10;CBD3020 Birkirkara&#10;Malta on Google Maps"/>
    <x:hyperlink ref="E9" r:id="rId2730" tooltip="Search 27 Triq Wignacourt, Birkirkara on Google Maps"/>
    <x:hyperlink ref="E11" r:id="rId2731" tooltip="Search Triq L-Mdina, Haz-Zebbug, ZBG09018 on Google Maps"/>
    <x:hyperlink ref="F2" r:id="rId2732" tooltip="Visit facebook.com/venezianocreazioni/?locale=it_IT"/>
    <x:hyperlink ref="F4" r:id="rId2733" tooltip="Visit megahome.mt/"/>
    <x:hyperlink ref="F6" r:id="rId2734" tooltip="Visit maltadiy.com/product-category/lights-and-tech/lights/"/>
    <x:hyperlink ref="F7" r:id="rId2735" tooltip="Visit styleinterni.com/"/>
    <x:hyperlink ref="F8" r:id="rId2736" tooltip="Visit ferraramalta.com/"/>
    <x:hyperlink ref="F9" r:id="rId2737" tooltip="Visit lingonberries.mt/"/>
    <x:hyperlink ref="F11" r:id="rId2738" tooltip="Visit luxonas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3"/>
  <x:sheetViews>
    <x:sheetView workbookViewId="0"/>
  </x:sheetViews>
  <x:sheetFormatPr defaultRowHeight="15"/>
  <x:cols>
    <x:col min="1" max="1" width="14.282054" style="0" customWidth="1"/>
    <x:col min="2" max="2" width="11.282054" style="0" customWidth="1"/>
    <x:col min="3" max="3" width="24.139196" style="0" customWidth="1"/>
    <x:col min="4" max="4" width="18.710625" style="0" customWidth="1"/>
    <x:col min="5" max="5" width="26.282054" style="0" customWidth="1"/>
    <x:col min="6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List'!A41", "Back to Summary")</x:f>
      </x:c>
    </x:row>
    <x:row r="2" spans="1:7" s="3" customFormat="1">
      <x:c r="A2" s="3" t="s">
        <x:v>2470</x:v>
      </x:c>
      <x:c r="B2" s="3" t="s">
        <x:v>2471</x:v>
      </x:c>
      <x:c r="C2" s="6" t="s">
        <x:v>2472</x:v>
      </x:c>
      <x:c r="D2" s="7">
        <x:f>CONCATENATE(HYPERLINK("CALLTO:%2B356%207927%201448", "+356 7927 1448"))</x:f>
      </x:c>
      <x:c r="E2" s="6" t="s">
        <x:v>2474</x:v>
      </x:c>
      <x:c r="F2" s="6" t="s">
        <x:v>1774</x:v>
      </x:c>
    </x:row>
    <x:row r="3" spans="1:7" s="1" customFormat="1"/>
    <x:row r="4" spans="1:7" s="4" customFormat="1"/>
    <x:row r="5" spans="1:7" s="3" customFormat="1"/>
    <x:row r="6" spans="1:7" s="1" customFormat="1"/>
    <x:row r="7" spans="1:7" s="4" customFormat="1"/>
    <x:row r="8" spans="1:7" s="3" customFormat="1"/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</x:sheetData>
  <x:hyperlinks>
    <x:hyperlink ref="C2" r:id="rId2739" tooltip="Send a mail to turbosigns@outlook.com"/>
    <x:hyperlink ref="E2" r:id="rId2740" tooltip="Search Parades Street, St Paul's Bay on Google Maps"/>
    <x:hyperlink ref="F2" r:id="rId2741" tooltip="Visit turbosignsmalta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64"/>
  <x:sheetViews>
    <x:sheetView workbookViewId="0"/>
  </x:sheetViews>
  <x:sheetFormatPr defaultRowHeight="15"/>
  <x:cols>
    <x:col min="1" max="1" width="17.282054" style="0" customWidth="1"/>
    <x:col min="2" max="2" width="28.282054" style="0" customWidth="1"/>
    <x:col min="3" max="3" width="37.139196" style="0" customWidth="1"/>
    <x:col min="4" max="4" width="45.282054" style="0" customWidth="1"/>
    <x:col min="5" max="5" width="66.996339" style="0" customWidth="1"/>
    <x:col min="6" max="6" width="134.567768" style="0" customWidth="1"/>
    <x:col min="7" max="7" width="20.996339" style="0" customWidth="1"/>
  </x:cols>
  <x:sheetData>
    <x:row r="1" spans="1:7" s="2" customFormat="1">
      <x:c r="A1" s="2" t="s">
        <x:v>2476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5">
        <x:f>HYPERLINK("#'Summary List'!A42", "Back to Summary")</x:f>
      </x:c>
    </x:row>
    <x:row r="2" spans="1:7" s="3" customFormat="1">
      <x:c r="A2" s="3" t="s">
        <x:v>0</x:v>
      </x:c>
      <x:c r="B2" s="3" t="s">
        <x:v>886</x:v>
      </x:c>
      <x:c r="C2" s="3" t="s">
        <x:v>1926</x:v>
      </x:c>
      <x:c r="D2" s="7">
        <x:f>CONCATENATE(HYPERLINK("CALLTO:%2B356%202167%207798", "+356 2167 7798"), " / ", HYPERLINK("CALLTO:%2B356%202122%205608", "+356 2122 5608"), " / ", HYPERLINK("CALLTO:%2B356%202124%200938", "+356 2124 0938"))</x:f>
      </x:c>
      <x:c r="E2" s="6" t="s">
        <x:v>1993</x:v>
      </x:c>
      <x:c r="F2" s="6" t="s">
        <x:v>951</x:v>
      </x:c>
    </x:row>
    <x:row r="3" spans="1:7" s="1" customFormat="1">
      <x:c r="A3" s="1" t="s">
        <x:v>2477</x:v>
      </x:c>
      <x:c r="B3" s="1" t="s">
        <x:v>1853</x:v>
      </x:c>
      <x:c r="C3" s="8" t="s">
        <x:v>895</x:v>
      </x:c>
      <x:c r="D3" s="9">
        <x:f>CONCATENATE(HYPERLINK("CALLTO:%2B356%202144%207763", "+356 2144 7763"))</x:f>
      </x:c>
      <x:c r="E3" s="8" t="s">
        <x:v>1732</x:v>
      </x:c>
      <x:c r="F3" s="8" t="s">
        <x:v>942</x:v>
      </x:c>
    </x:row>
    <x:row r="4" spans="1:7" s="4" customFormat="1">
      <x:c r="A4" s="4" t="s">
        <x:v>2477</x:v>
      </x:c>
      <x:c r="B4" s="4" t="s">
        <x:v>889</x:v>
      </x:c>
      <x:c r="C4" s="10" t="s">
        <x:v>906</x:v>
      </x:c>
      <x:c r="D4" s="11">
        <x:f>CONCATENATE(HYPERLINK("CALLTO:%2B356%202143%200569", "+356 2143 0569"), " / ", HYPERLINK("CALLTO:%2B356%207945%204867", "+356 7945 4867"))</x:f>
      </x:c>
      <x:c r="E4" s="10" t="s">
        <x:v>1994</x:v>
      </x:c>
      <x:c r="F4" s="10" t="s">
        <x:v>2038</x:v>
      </x:c>
    </x:row>
    <x:row r="5" spans="1:7" s="3" customFormat="1">
      <x:c r="A5" s="3" t="s">
        <x:v>2477</x:v>
      </x:c>
      <x:c r="B5" s="3" t="s">
        <x:v>879</x:v>
      </x:c>
      <x:c r="C5" s="6" t="s">
        <x:v>898</x:v>
      </x:c>
      <x:c r="D5" s="7">
        <x:f>CONCATENATE(HYPERLINK("CALLTO:%2B356%202149%203285", "+356 2149 3285"))</x:f>
      </x:c>
      <x:c r="E5" s="6" t="s">
        <x:v>1995</x:v>
      </x:c>
      <x:c r="F5" s="6" t="s">
        <x:v>2056</x:v>
      </x:c>
    </x:row>
    <x:row r="6" spans="1:7" s="1" customFormat="1">
      <x:c r="A6" s="1" t="s">
        <x:v>2477</x:v>
      </x:c>
      <x:c r="B6" s="1" t="s">
        <x:v>890</x:v>
      </x:c>
      <x:c r="C6" s="8" t="s">
        <x:v>907</x:v>
      </x:c>
      <x:c r="D6" s="9">
        <x:f>CONCATENATE(HYPERLINK("CALLTO:%2B356%202137%207181", "+356 2137 7181"))</x:f>
      </x:c>
      <x:c r="E6" s="8" t="s">
        <x:v>2002</x:v>
      </x:c>
      <x:c r="F6" s="8" t="s">
        <x:v>2053</x:v>
      </x:c>
    </x:row>
    <x:row r="7" spans="1:7" s="4" customFormat="1">
      <x:c r="A7" s="4" t="s">
        <x:v>2477</x:v>
      </x:c>
      <x:c r="B7" s="4" t="s">
        <x:v>564</x:v>
      </x:c>
      <x:c r="C7" s="10" t="s">
        <x:v>576</x:v>
      </x:c>
      <x:c r="D7" s="11">
        <x:f>CONCATENATE(HYPERLINK("CALLTO:%2B356%202736%206601", "+356 2736 6601"))</x:f>
      </x:c>
      <x:c r="E7" s="10" t="s">
        <x:v>1996</x:v>
      </x:c>
      <x:c r="F7" s="10" t="s">
        <x:v>1827</x:v>
      </x:c>
    </x:row>
    <x:row r="8" spans="1:7" s="3" customFormat="1">
      <x:c r="A8" s="3" t="s">
        <x:v>2477</x:v>
      </x:c>
      <x:c r="B8" s="3" t="s">
        <x:v>1877</x:v>
      </x:c>
      <x:c r="C8" s="6" t="s">
        <x:v>1927</x:v>
      </x:c>
      <x:c r="D8" s="7">
        <x:f>CONCATENATE(HYPERLINK("CALLTO:%2B356%202789%208230", "+356 2789 8230"))</x:f>
      </x:c>
      <x:c r="E8" s="6" t="s">
        <x:v>1997</x:v>
      </x:c>
      <x:c r="F8" s="6" t="s">
        <x:v>1825</x:v>
      </x:c>
    </x:row>
    <x:row r="9" spans="1:7" s="1" customFormat="1">
      <x:c r="A9" s="1" t="s">
        <x:v>2477</x:v>
      </x:c>
      <x:c r="B9" s="1" t="s">
        <x:v>1878</x:v>
      </x:c>
      <x:c r="C9" s="8" t="s">
        <x:v>1928</x:v>
      </x:c>
      <x:c r="D9" s="9">
        <x:f>CONCATENATE(HYPERLINK("CALLTO:%2B356%202145%204379", "+356 2145 4379"))</x:f>
      </x:c>
      <x:c r="E9" s="8" t="s">
        <x:v>1998</x:v>
      </x:c>
      <x:c r="F9" s="8" t="s">
        <x:v>1824</x:v>
      </x:c>
    </x:row>
    <x:row r="10" spans="1:7" s="4" customFormat="1">
      <x:c r="A10" s="4" t="s">
        <x:v>2477</x:v>
      </x:c>
      <x:c r="B10" s="4" t="s">
        <x:v>958</x:v>
      </x:c>
      <x:c r="C10" s="10" t="s">
        <x:v>1929</x:v>
      </x:c>
      <x:c r="D10" s="11">
        <x:f>CONCATENATE(HYPERLINK("CALLTO:%2B356%202123%207601", "+356 2123 7601"))</x:f>
      </x:c>
      <x:c r="E10" s="10" t="s">
        <x:v>1999</x:v>
      </x:c>
      <x:c r="F10" s="10" t="s">
        <x:v>2055</x:v>
      </x:c>
    </x:row>
    <x:row r="11" spans="1:7" s="3" customFormat="1">
      <x:c r="A11" s="3" t="s">
        <x:v>2477</x:v>
      </x:c>
      <x:c r="B11" s="3" t="s">
        <x:v>1882</x:v>
      </x:c>
      <x:c r="C11" s="6" t="s">
        <x:v>1933</x:v>
      </x:c>
      <x:c r="D11" s="7">
        <x:f>CONCATENATE(HYPERLINK("CALLTO:%2B356%202146%204646", "+356 2146 4646"))</x:f>
      </x:c>
      <x:c r="E11" s="6" t="s">
        <x:v>2006</x:v>
      </x:c>
      <x:c r="F11" s="3" t="s">
        <x:v>144</x:v>
      </x:c>
    </x:row>
    <x:row r="12" spans="1:7" s="1" customFormat="1">
      <x:c r="A12" s="1" t="s">
        <x:v>2477</x:v>
      </x:c>
      <x:c r="B12" s="1" t="s">
        <x:v>2479</x:v>
      </x:c>
      <x:c r="C12" s="8" t="s">
        <x:v>2482</x:v>
      </x:c>
      <x:c r="D12" s="9">
        <x:f>CONCATENATE(HYPERLINK("CALLTO:%2B356%202745%203200", "+356 2745 3200"))</x:f>
      </x:c>
      <x:c r="E12" s="8" t="s">
        <x:v>2485</x:v>
      </x:c>
      <x:c r="F12" s="8" t="s">
        <x:v>2059</x:v>
      </x:c>
    </x:row>
    <x:row r="13" spans="1:7" s="4" customFormat="1">
      <x:c r="A13" s="4" t="s">
        <x:v>2477</x:v>
      </x:c>
      <x:c r="B13" s="4" t="s">
        <x:v>30</x:v>
      </x:c>
      <x:c r="C13" s="10" t="s">
        <x:v>56</x:v>
      </x:c>
      <x:c r="D13" s="11">
        <x:f>CONCATENATE(HYPERLINK("CALLTO:%2B356%202143%207403", "+356 2143 7403"))</x:f>
      </x:c>
      <x:c r="E13" s="10" t="s">
        <x:v>2004</x:v>
      </x:c>
      <x:c r="F13" s="10" t="s">
        <x:v>2052</x:v>
      </x:c>
    </x:row>
    <x:row r="14" spans="1:7" s="3" customFormat="1">
      <x:c r="A14" s="3" t="s">
        <x:v>2477</x:v>
      </x:c>
      <x:c r="B14" s="3" t="s">
        <x:v>1881</x:v>
      </x:c>
      <x:c r="C14" s="6" t="s">
        <x:v>1932</x:v>
      </x:c>
      <x:c r="D14" s="7">
        <x:f>CONCATENATE(HYPERLINK("CALLTO:%2B356%202123%208356", "+356 2123 8356"))</x:f>
      </x:c>
      <x:c r="E14" s="6" t="s">
        <x:v>2005</x:v>
      </x:c>
      <x:c r="F14" s="6" t="s">
        <x:v>1794</x:v>
      </x:c>
    </x:row>
    <x:row r="15" spans="1:7" s="1" customFormat="1">
      <x:c r="A15" s="1" t="s">
        <x:v>2477</x:v>
      </x:c>
      <x:c r="B15" s="1" t="s">
        <x:v>1892</x:v>
      </x:c>
      <x:c r="C15" s="8" t="s">
        <x:v>1940</x:v>
      </x:c>
      <x:c r="D15" s="9">
        <x:f>CONCATENATE(HYPERLINK("CALLTO:%2B356%202155%200437", "+356 2155 0437"))</x:f>
      </x:c>
      <x:c r="E15" s="8" t="s">
        <x:v>2018</x:v>
      </x:c>
      <x:c r="F15" s="8" t="s">
        <x:v>2032</x:v>
      </x:c>
    </x:row>
    <x:row r="16" spans="1:7" s="4" customFormat="1">
      <x:c r="A16" s="4" t="s">
        <x:v>2477</x:v>
      </x:c>
      <x:c r="B16" s="4" t="s">
        <x:v>1884</x:v>
      </x:c>
      <x:c r="C16" s="10" t="s">
        <x:v>1935</x:v>
      </x:c>
      <x:c r="D16" s="11">
        <x:f>CONCATENATE(HYPERLINK("CALLTO:%2B356%202279%204216", "+356 2279 4216"))</x:f>
      </x:c>
      <x:c r="E16" s="10" t="s">
        <x:v>2008</x:v>
      </x:c>
      <x:c r="F16" s="10" t="s">
        <x:v>939</x:v>
      </x:c>
    </x:row>
    <x:row r="17" spans="1:7" s="3" customFormat="1">
      <x:c r="A17" s="3" t="s">
        <x:v>2477</x:v>
      </x:c>
      <x:c r="B17" s="3" t="s">
        <x:v>1885</x:v>
      </x:c>
      <x:c r="C17" s="6" t="s">
        <x:v>572</x:v>
      </x:c>
      <x:c r="D17" s="7">
        <x:f>CONCATENATE(HYPERLINK("CALLTO:%2B356%202343%206000", "+356 2343 6000"))</x:f>
      </x:c>
      <x:c r="E17" s="6" t="s">
        <x:v>2009</x:v>
      </x:c>
      <x:c r="F17" s="6" t="s">
        <x:v>2028</x:v>
      </x:c>
    </x:row>
    <x:row r="18" spans="1:7" s="1" customFormat="1">
      <x:c r="A18" s="1" t="s">
        <x:v>2477</x:v>
      </x:c>
      <x:c r="B18" s="1" t="s">
        <x:v>1886</x:v>
      </x:c>
      <x:c r="C18" s="8" t="s">
        <x:v>909</x:v>
      </x:c>
      <x:c r="D18" s="9">
        <x:f>CONCATENATE(HYPERLINK("CALLTO:%2B356%202143%202863", "+356 2143 2863"))</x:f>
      </x:c>
      <x:c r="E18" s="8" t="s">
        <x:v>2010</x:v>
      </x:c>
      <x:c r="F18" s="8" t="s">
        <x:v>1792</x:v>
      </x:c>
    </x:row>
    <x:row r="19" spans="1:7" s="4" customFormat="1">
      <x:c r="A19" s="4" t="s">
        <x:v>2477</x:v>
      </x:c>
      <x:c r="B19" s="4" t="s">
        <x:v>1887</x:v>
      </x:c>
      <x:c r="C19" s="10" t="s">
        <x:v>1936</x:v>
      </x:c>
      <x:c r="D19" s="11">
        <x:f>CONCATENATE(HYPERLINK("CALLTO:%2B356%202155%204062", "+356 2155 4062"))</x:f>
      </x:c>
      <x:c r="E19" s="10" t="s">
        <x:v>2011</x:v>
      </x:c>
      <x:c r="F19" s="10" t="s">
        <x:v>1815</x:v>
      </x:c>
    </x:row>
    <x:row r="20" spans="1:7" s="3" customFormat="1">
      <x:c r="A20" s="3" t="s">
        <x:v>2477</x:v>
      </x:c>
      <x:c r="B20" s="3" t="s">
        <x:v>2480</x:v>
      </x:c>
      <x:c r="C20" s="6" t="s">
        <x:v>2483</x:v>
      </x:c>
      <x:c r="D20" s="7">
        <x:f>CONCATENATE(HYPERLINK("CALLTO:%2B356%209949%206702", "+356 9949 6702"))</x:f>
      </x:c>
      <x:c r="E20" s="6" t="s">
        <x:v>2486</x:v>
      </x:c>
      <x:c r="F20" s="3" t="s">
        <x:v>144</x:v>
      </x:c>
    </x:row>
    <x:row r="21" spans="1:7" s="1" customFormat="1">
      <x:c r="A21" s="1" t="s">
        <x:v>2477</x:v>
      </x:c>
      <x:c r="B21" s="1" t="s">
        <x:v>1888</x:v>
      </x:c>
      <x:c r="C21" s="8" t="s">
        <x:v>900</x:v>
      </x:c>
      <x:c r="D21" s="9">
        <x:f>CONCATENATE(HYPERLINK("CALLTO:%2B356%202343%206343", "+356 2343 6343"))</x:f>
      </x:c>
      <x:c r="E21" s="8" t="s">
        <x:v>2012</x:v>
      </x:c>
      <x:c r="F21" s="8" t="s">
        <x:v>947</x:v>
      </x:c>
    </x:row>
    <x:row r="22" spans="1:7" s="4" customFormat="1">
      <x:c r="A22" s="4" t="s">
        <x:v>2477</x:v>
      </x:c>
      <x:c r="B22" s="4" t="s">
        <x:v>1889</x:v>
      </x:c>
      <x:c r="C22" s="10" t="s">
        <x:v>1937</x:v>
      </x:c>
      <x:c r="D22" s="11">
        <x:f>CONCATENATE(HYPERLINK("CALLTO:%2B356%202124%201307", "+356 2124 1307"))</x:f>
      </x:c>
      <x:c r="E22" s="10" t="s">
        <x:v>2013</x:v>
      </x:c>
      <x:c r="F22" s="10" t="s">
        <x:v>2051</x:v>
      </x:c>
    </x:row>
    <x:row r="23" spans="1:7" s="3" customFormat="1">
      <x:c r="A23" s="3" t="s">
        <x:v>2477</x:v>
      </x:c>
      <x:c r="B23" s="3" t="s">
        <x:v>1890</x:v>
      </x:c>
      <x:c r="C23" s="6" t="s">
        <x:v>1604</x:v>
      </x:c>
      <x:c r="D23" s="7">
        <x:f>CONCATENATE(HYPERLINK("CALLTO:%2B356%202546%204000", "+356 2546 4000"))</x:f>
      </x:c>
      <x:c r="E23" s="6" t="s">
        <x:v>2014</x:v>
      </x:c>
      <x:c r="F23" s="6" t="s">
        <x:v>1431</x:v>
      </x:c>
    </x:row>
    <x:row r="24" spans="1:7" s="1" customFormat="1">
      <x:c r="A24" s="1" t="s">
        <x:v>2477</x:v>
      </x:c>
      <x:c r="B24" s="1" t="s">
        <x:v>1894</x:v>
      </x:c>
      <x:c r="C24" s="8" t="s">
        <x:v>1942</x:v>
      </x:c>
      <x:c r="D24" s="9">
        <x:f>CONCATENATE(HYPERLINK("CALLTO:%2B356%202156%204000", "+356 2156 4000"))</x:f>
      </x:c>
      <x:c r="E24" s="8" t="s">
        <x:v>2019</x:v>
      </x:c>
      <x:c r="F24" s="8" t="s">
        <x:v>2027</x:v>
      </x:c>
    </x:row>
    <x:row r="25" spans="1:7" s="4" customFormat="1">
      <x:c r="A25" s="4" t="s">
        <x:v>2477</x:v>
      </x:c>
      <x:c r="B25" s="4" t="s">
        <x:v>1879</x:v>
      </x:c>
      <x:c r="C25" s="10" t="s">
        <x:v>1930</x:v>
      </x:c>
      <x:c r="D25" s="11">
        <x:f>CONCATENATE(HYPERLINK("CALLTO:%2B356%202180%200638", "+356 2180 0638"))</x:f>
      </x:c>
      <x:c r="E25" s="10" t="s">
        <x:v>2000</x:v>
      </x:c>
      <x:c r="F25" s="10" t="s">
        <x:v>1804</x:v>
      </x:c>
    </x:row>
    <x:row r="26" spans="1:7" s="3" customFormat="1">
      <x:c r="A26" s="3" t="s">
        <x:v>2477</x:v>
      </x:c>
      <x:c r="B26" s="3" t="s">
        <x:v>1891</x:v>
      </x:c>
      <x:c r="C26" s="6" t="s">
        <x:v>1938</x:v>
      </x:c>
      <x:c r="D26" s="7">
        <x:f>CONCATENATE(HYPERLINK("CALLTO:%2B356%202141%201197", "+356 2141 1197"))</x:f>
      </x:c>
      <x:c r="E26" s="6" t="s">
        <x:v>2015</x:v>
      </x:c>
      <x:c r="F26" s="3" t="s">
        <x:v>144</x:v>
      </x:c>
    </x:row>
    <x:row r="27" spans="1:7" s="1" customFormat="1">
      <x:c r="A27" s="1" t="s">
        <x:v>2477</x:v>
      </x:c>
      <x:c r="B27" s="1" t="s">
        <x:v>559</x:v>
      </x:c>
      <x:c r="C27" s="8" t="s">
        <x:v>573</x:v>
      </x:c>
      <x:c r="D27" s="9">
        <x:f>CONCATENATE(HYPERLINK("CALLTO:%2B356%202334%202000", "+356 2334 2000"))</x:f>
      </x:c>
      <x:c r="E27" s="8" t="s">
        <x:v>2001</x:v>
      </x:c>
      <x:c r="F27" s="8" t="s">
        <x:v>941</x:v>
      </x:c>
    </x:row>
    <x:row r="28" spans="1:7" s="4" customFormat="1">
      <x:c r="A28" s="4" t="s">
        <x:v>2477</x:v>
      </x:c>
      <x:c r="B28" s="4" t="s">
        <x:v>563</x:v>
      </x:c>
      <x:c r="C28" s="10" t="s">
        <x:v>1939</x:v>
      </x:c>
      <x:c r="D28" s="11">
        <x:f>CONCATENATE(HYPERLINK("CALLTO:%2B356%202167%202663", "+356 2167 2663"))</x:f>
      </x:c>
      <x:c r="E28" s="10" t="s">
        <x:v>2016</x:v>
      </x:c>
      <x:c r="F28" s="10" t="s">
        <x:v>2049</x:v>
      </x:c>
    </x:row>
    <x:row r="29" spans="1:7" s="3" customFormat="1">
      <x:c r="A29" s="3" t="s">
        <x:v>2477</x:v>
      </x:c>
      <x:c r="B29" s="3" t="s">
        <x:v>1893</x:v>
      </x:c>
      <x:c r="C29" s="6" t="s">
        <x:v>1941</x:v>
      </x:c>
      <x:c r="D29" s="7">
        <x:f>CONCATENATE(HYPERLINK("CALLTO:%2B356%202155%203611", "+356 2155 3611"))</x:f>
      </x:c>
      <x:c r="E29" s="6" t="s">
        <x:v>2018</x:v>
      </x:c>
      <x:c r="F29" s="6" t="s">
        <x:v>2031</x:v>
      </x:c>
    </x:row>
    <x:row r="30" spans="1:7" s="1" customFormat="1">
      <x:c r="A30" s="1" t="s">
        <x:v>2477</x:v>
      </x:c>
      <x:c r="B30" s="1" t="s">
        <x:v>1853</x:v>
      </x:c>
      <x:c r="C30" s="8" t="s">
        <x:v>895</x:v>
      </x:c>
      <x:c r="D30" s="9">
        <x:f>CONCATENATE(HYPERLINK("CALLTO:%2B356%202144%207763", "+356 2144 7763"))</x:f>
      </x:c>
      <x:c r="E30" s="8" t="s">
        <x:v>1732</x:v>
      </x:c>
      <x:c r="F30" s="8" t="s">
        <x:v>942</x:v>
      </x:c>
    </x:row>
    <x:row r="31" spans="1:7" s="4" customFormat="1">
      <x:c r="A31" s="4" t="s">
        <x:v>2478</x:v>
      </x:c>
      <x:c r="B31" s="4" t="s">
        <x:v>889</x:v>
      </x:c>
      <x:c r="C31" s="10" t="s">
        <x:v>906</x:v>
      </x:c>
      <x:c r="D31" s="11">
        <x:f>CONCATENATE(HYPERLINK("CALLTO:%2B356%202143%200569", "+356 2143 0569"), " / ", HYPERLINK("CALLTO:%2B356%207945%204867", "+356 7945 4867"))</x:f>
      </x:c>
      <x:c r="E31" s="10" t="s">
        <x:v>1994</x:v>
      </x:c>
      <x:c r="F31" s="10" t="s">
        <x:v>2038</x:v>
      </x:c>
    </x:row>
    <x:row r="32" spans="1:7" s="3" customFormat="1">
      <x:c r="A32" s="3" t="s">
        <x:v>2478</x:v>
      </x:c>
      <x:c r="B32" s="3" t="s">
        <x:v>879</x:v>
      </x:c>
      <x:c r="C32" s="6" t="s">
        <x:v>898</x:v>
      </x:c>
      <x:c r="D32" s="7">
        <x:f>CONCATENATE(HYPERLINK("CALLTO:%2B356%202149%203285", "+356 2149 3285"))</x:f>
      </x:c>
      <x:c r="E32" s="6" t="s">
        <x:v>1995</x:v>
      </x:c>
      <x:c r="F32" s="6" t="s">
        <x:v>2056</x:v>
      </x:c>
    </x:row>
    <x:row r="33" spans="1:7" s="1" customFormat="1">
      <x:c r="A33" s="1" t="s">
        <x:v>2478</x:v>
      </x:c>
      <x:c r="B33" s="1" t="s">
        <x:v>890</x:v>
      </x:c>
      <x:c r="C33" s="8" t="s">
        <x:v>907</x:v>
      </x:c>
      <x:c r="D33" s="9">
        <x:f>CONCATENATE(HYPERLINK("CALLTO:%2B356%202137%207181", "+356 2137 7181"))</x:f>
      </x:c>
      <x:c r="E33" s="8" t="s">
        <x:v>2002</x:v>
      </x:c>
      <x:c r="F33" s="8" t="s">
        <x:v>2053</x:v>
      </x:c>
    </x:row>
    <x:row r="34" spans="1:7" s="4" customFormat="1">
      <x:c r="A34" s="4" t="s">
        <x:v>2478</x:v>
      </x:c>
      <x:c r="B34" s="4" t="s">
        <x:v>564</x:v>
      </x:c>
      <x:c r="C34" s="10" t="s">
        <x:v>576</x:v>
      </x:c>
      <x:c r="D34" s="11">
        <x:f>CONCATENATE(HYPERLINK("CALLTO:%2B356%202736%206601", "+356 2736 6601"))</x:f>
      </x:c>
      <x:c r="E34" s="10" t="s">
        <x:v>1996</x:v>
      </x:c>
      <x:c r="F34" s="10" t="s">
        <x:v>1827</x:v>
      </x:c>
    </x:row>
    <x:row r="35" spans="1:7" s="3" customFormat="1">
      <x:c r="A35" s="3" t="s">
        <x:v>2478</x:v>
      </x:c>
      <x:c r="B35" s="3" t="s">
        <x:v>1877</x:v>
      </x:c>
      <x:c r="C35" s="6" t="s">
        <x:v>1927</x:v>
      </x:c>
      <x:c r="D35" s="7">
        <x:f>CONCATENATE(HYPERLINK("CALLTO:%2B356%202789%208230", "+356 2789 8230"))</x:f>
      </x:c>
      <x:c r="E35" s="6" t="s">
        <x:v>1997</x:v>
      </x:c>
      <x:c r="F35" s="6" t="s">
        <x:v>1825</x:v>
      </x:c>
    </x:row>
    <x:row r="36" spans="1:7" s="1" customFormat="1">
      <x:c r="A36" s="1" t="s">
        <x:v>2478</x:v>
      </x:c>
      <x:c r="B36" s="1" t="s">
        <x:v>1878</x:v>
      </x:c>
      <x:c r="C36" s="8" t="s">
        <x:v>1928</x:v>
      </x:c>
      <x:c r="D36" s="9">
        <x:f>CONCATENATE(HYPERLINK("CALLTO:%2B356%202145%204379", "+356 2145 4379"))</x:f>
      </x:c>
      <x:c r="E36" s="8" t="s">
        <x:v>1998</x:v>
      </x:c>
      <x:c r="F36" s="8" t="s">
        <x:v>1824</x:v>
      </x:c>
    </x:row>
    <x:row r="37" spans="1:7" s="4" customFormat="1">
      <x:c r="A37" s="4" t="s">
        <x:v>2478</x:v>
      </x:c>
      <x:c r="B37" s="4" t="s">
        <x:v>1880</x:v>
      </x:c>
      <x:c r="C37" s="10" t="s">
        <x:v>1931</x:v>
      </x:c>
      <x:c r="D37" s="11">
        <x:f>CONCATENATE(HYPERLINK("CALLTO:%2B356%202125%200980", "+356 2125 0980"))</x:f>
      </x:c>
      <x:c r="E37" s="10" t="s">
        <x:v>2003</x:v>
      </x:c>
      <x:c r="F37" s="10" t="s">
        <x:v>1798</x:v>
      </x:c>
    </x:row>
    <x:row r="38" spans="1:7" s="3" customFormat="1">
      <x:c r="A38" s="3" t="s">
        <x:v>2478</x:v>
      </x:c>
      <x:c r="B38" s="3" t="s">
        <x:v>30</x:v>
      </x:c>
      <x:c r="C38" s="6" t="s">
        <x:v>56</x:v>
      </x:c>
      <x:c r="D38" s="7">
        <x:f>CONCATENATE(HYPERLINK("CALLTO:%2B356%202143%207403", "+356 2143 7403"))</x:f>
      </x:c>
      <x:c r="E38" s="6" t="s">
        <x:v>2004</x:v>
      </x:c>
      <x:c r="F38" s="6" t="s">
        <x:v>2052</x:v>
      </x:c>
    </x:row>
    <x:row r="39" spans="1:7" s="1" customFormat="1">
      <x:c r="A39" s="1" t="s">
        <x:v>2478</x:v>
      </x:c>
      <x:c r="B39" s="1" t="s">
        <x:v>1881</x:v>
      </x:c>
      <x:c r="C39" s="8" t="s">
        <x:v>1932</x:v>
      </x:c>
      <x:c r="D39" s="9">
        <x:f>CONCATENATE(HYPERLINK("CALLTO:%2B356%202123%208356", "+356 2123 8356"))</x:f>
      </x:c>
      <x:c r="E39" s="8" t="s">
        <x:v>2005</x:v>
      </x:c>
      <x:c r="F39" s="8" t="s">
        <x:v>1794</x:v>
      </x:c>
    </x:row>
    <x:row r="40" spans="1:7" s="4" customFormat="1">
      <x:c r="A40" s="4" t="s">
        <x:v>2478</x:v>
      </x:c>
      <x:c r="B40" s="4" t="s">
        <x:v>1883</x:v>
      </x:c>
      <x:c r="C40" s="10" t="s">
        <x:v>1934</x:v>
      </x:c>
      <x:c r="D40" s="11">
        <x:f>CONCATENATE(HYPERLINK("CALLTO:%2B356%202166%204414", "+356 2166 4414"))</x:f>
      </x:c>
      <x:c r="E40" s="10" t="s">
        <x:v>2007</x:v>
      </x:c>
      <x:c r="F40" s="10" t="s">
        <x:v>1811</x:v>
      </x:c>
    </x:row>
    <x:row r="41" spans="1:7" s="3" customFormat="1">
      <x:c r="A41" s="3" t="s">
        <x:v>2478</x:v>
      </x:c>
      <x:c r="B41" s="3" t="s">
        <x:v>1884</x:v>
      </x:c>
      <x:c r="C41" s="6" t="s">
        <x:v>1935</x:v>
      </x:c>
      <x:c r="D41" s="7">
        <x:f>CONCATENATE(HYPERLINK("CALLTO:%2B356%202279%204216", "+356 2279 4216"))</x:f>
      </x:c>
      <x:c r="E41" s="6" t="s">
        <x:v>2008</x:v>
      </x:c>
      <x:c r="F41" s="6" t="s">
        <x:v>939</x:v>
      </x:c>
    </x:row>
    <x:row r="42" spans="1:7" s="1" customFormat="1">
      <x:c r="A42" s="1" t="s">
        <x:v>2478</x:v>
      </x:c>
      <x:c r="B42" s="1" t="s">
        <x:v>1885</x:v>
      </x:c>
      <x:c r="C42" s="8" t="s">
        <x:v>572</x:v>
      </x:c>
      <x:c r="D42" s="9">
        <x:f>CONCATENATE(HYPERLINK("CALLTO:%2B356%202343%206000", "+356 2343 6000"))</x:f>
      </x:c>
      <x:c r="E42" s="8" t="s">
        <x:v>2009</x:v>
      </x:c>
      <x:c r="F42" s="8" t="s">
        <x:v>1816</x:v>
      </x:c>
    </x:row>
    <x:row r="43" spans="1:7" s="4" customFormat="1">
      <x:c r="A43" s="4" t="s">
        <x:v>2478</x:v>
      </x:c>
      <x:c r="B43" s="4" t="s">
        <x:v>1886</x:v>
      </x:c>
      <x:c r="C43" s="10" t="s">
        <x:v>909</x:v>
      </x:c>
      <x:c r="D43" s="11">
        <x:f>CONCATENATE(HYPERLINK("CALLTO:%2B356%202143%202863", "+356 2143 2863"))</x:f>
      </x:c>
      <x:c r="E43" s="10" t="s">
        <x:v>2010</x:v>
      </x:c>
      <x:c r="F43" s="10" t="s">
        <x:v>1792</x:v>
      </x:c>
    </x:row>
    <x:row r="44" spans="1:7" s="3" customFormat="1">
      <x:c r="A44" s="3" t="s">
        <x:v>2478</x:v>
      </x:c>
      <x:c r="B44" s="3" t="s">
        <x:v>1887</x:v>
      </x:c>
      <x:c r="C44" s="6" t="s">
        <x:v>1936</x:v>
      </x:c>
      <x:c r="D44" s="7">
        <x:f>CONCATENATE(HYPERLINK("CALLTO:%2B356%202155%204062", "+356 2155 4062"))</x:f>
      </x:c>
      <x:c r="E44" s="6" t="s">
        <x:v>2011</x:v>
      </x:c>
      <x:c r="F44" s="6" t="s">
        <x:v>1815</x:v>
      </x:c>
    </x:row>
    <x:row r="45" spans="1:7" s="1" customFormat="1">
      <x:c r="A45" s="1" t="s">
        <x:v>2478</x:v>
      </x:c>
      <x:c r="B45" s="1" t="s">
        <x:v>2480</x:v>
      </x:c>
      <x:c r="C45" s="8" t="s">
        <x:v>2483</x:v>
      </x:c>
      <x:c r="D45" s="9">
        <x:f>CONCATENATE(HYPERLINK("CALLTO:%2B356%209949%206702", "+356 9949 6702"))</x:f>
      </x:c>
      <x:c r="E45" s="8" t="s">
        <x:v>2486</x:v>
      </x:c>
      <x:c r="F45" s="1" t="s">
        <x:v>144</x:v>
      </x:c>
    </x:row>
    <x:row r="46" spans="1:7" s="4" customFormat="1">
      <x:c r="A46" s="4" t="s">
        <x:v>2478</x:v>
      </x:c>
      <x:c r="B46" s="4" t="s">
        <x:v>1888</x:v>
      </x:c>
      <x:c r="C46" s="10" t="s">
        <x:v>900</x:v>
      </x:c>
      <x:c r="D46" s="11">
        <x:f>CONCATENATE(HYPERLINK("CALLTO:%2B356%202343%206343", "+356 2343 6343"))</x:f>
      </x:c>
      <x:c r="E46" s="10" t="s">
        <x:v>2012</x:v>
      </x:c>
      <x:c r="F46" s="10" t="s">
        <x:v>947</x:v>
      </x:c>
    </x:row>
    <x:row r="47" spans="1:7" s="3" customFormat="1">
      <x:c r="A47" s="3" t="s">
        <x:v>2478</x:v>
      </x:c>
      <x:c r="B47" s="3" t="s">
        <x:v>1889</x:v>
      </x:c>
      <x:c r="C47" s="6" t="s">
        <x:v>1937</x:v>
      </x:c>
      <x:c r="D47" s="7">
        <x:f>CONCATENATE(HYPERLINK("CALLTO:%2B356%202124%201307", "+356 2124 1307"))</x:f>
      </x:c>
      <x:c r="E47" s="6" t="s">
        <x:v>2013</x:v>
      </x:c>
      <x:c r="F47" s="6" t="s">
        <x:v>2051</x:v>
      </x:c>
    </x:row>
    <x:row r="48" spans="1:7" s="1" customFormat="1">
      <x:c r="A48" s="1" t="s">
        <x:v>2478</x:v>
      </x:c>
      <x:c r="B48" s="1" t="s">
        <x:v>881</x:v>
      </x:c>
      <x:c r="C48" s="8" t="s">
        <x:v>899</x:v>
      </x:c>
      <x:c r="D48" s="9">
        <x:f>CONCATENATE(HYPERLINK("CALLTO:%2B356%202166%204949", "+356 2166 4949"))</x:f>
      </x:c>
      <x:c r="E48" s="8" t="s">
        <x:v>2017</x:v>
      </x:c>
      <x:c r="F48" s="8" t="s">
        <x:v>2035</x:v>
      </x:c>
    </x:row>
    <x:row r="49" spans="1:7" s="4" customFormat="1">
      <x:c r="A49" s="4" t="s">
        <x:v>2478</x:v>
      </x:c>
      <x:c r="B49" s="4" t="s">
        <x:v>1879</x:v>
      </x:c>
      <x:c r="C49" s="10" t="s">
        <x:v>1930</x:v>
      </x:c>
      <x:c r="D49" s="11">
        <x:f>CONCATENATE(HYPERLINK("CALLTO:%2B356%202180%200638", "+356 2180 0638"))</x:f>
      </x:c>
      <x:c r="E49" s="10" t="s">
        <x:v>2000</x:v>
      </x:c>
      <x:c r="F49" s="10" t="s">
        <x:v>1804</x:v>
      </x:c>
    </x:row>
    <x:row r="50" spans="1:7" s="3" customFormat="1">
      <x:c r="A50" s="3" t="s">
        <x:v>2478</x:v>
      </x:c>
      <x:c r="B50" s="3" t="s">
        <x:v>1891</x:v>
      </x:c>
      <x:c r="C50" s="6" t="s">
        <x:v>1938</x:v>
      </x:c>
      <x:c r="D50" s="7">
        <x:f>CONCATENATE(HYPERLINK("CALLTO:%2B356%202141%201197", "+356 2141 1197"))</x:f>
      </x:c>
      <x:c r="E50" s="6" t="s">
        <x:v>2015</x:v>
      </x:c>
      <x:c r="F50" s="3" t="s">
        <x:v>144</x:v>
      </x:c>
    </x:row>
    <x:row r="51" spans="1:7" s="1" customFormat="1">
      <x:c r="A51" s="1" t="s">
        <x:v>2478</x:v>
      </x:c>
      <x:c r="B51" s="1" t="s">
        <x:v>2481</x:v>
      </x:c>
      <x:c r="C51" s="8" t="s">
        <x:v>2484</x:v>
      </x:c>
      <x:c r="D51" s="9">
        <x:f>CONCATENATE(HYPERLINK("CALLTO:%2B356%202757%200057", "+356 2757 0057"))</x:f>
      </x:c>
      <x:c r="E51" s="8" t="s">
        <x:v>2487</x:v>
      </x:c>
      <x:c r="F51" s="1" t="s">
        <x:v>144</x:v>
      </x:c>
    </x:row>
    <x:row r="52" spans="1:7" s="4" customFormat="1">
      <x:c r="A52" s="4" t="s">
        <x:v>2478</x:v>
      </x:c>
      <x:c r="B52" s="4" t="s">
        <x:v>559</x:v>
      </x:c>
      <x:c r="C52" s="10" t="s">
        <x:v>573</x:v>
      </x:c>
      <x:c r="D52" s="11">
        <x:f>CONCATENATE(HYPERLINK("CALLTO:%2B356%202334%202000", "+356 2334 2000"))</x:f>
      </x:c>
      <x:c r="E52" s="10" t="s">
        <x:v>2001</x:v>
      </x:c>
      <x:c r="F52" s="10" t="s">
        <x:v>941</x:v>
      </x:c>
    </x:row>
    <x:row r="53" spans="1:7" s="3" customFormat="1">
      <x:c r="A53" s="3" t="s">
        <x:v>2478</x:v>
      </x:c>
      <x:c r="B53" s="3" t="s">
        <x:v>1893</x:v>
      </x:c>
      <x:c r="C53" s="6" t="s">
        <x:v>1941</x:v>
      </x:c>
      <x:c r="D53" s="7">
        <x:f>CONCATENATE(HYPERLINK("CALLTO:%2B356%202155%203611", "+356 2155 3611"))</x:f>
      </x:c>
      <x:c r="E53" s="6" t="s">
        <x:v>2018</x:v>
      </x:c>
      <x:c r="F53" s="6" t="s">
        <x:v>2031</x:v>
      </x:c>
    </x:row>
    <x:row r="54" spans="1:7" s="1" customFormat="1">
      <x:c r="A54" s="1" t="s">
        <x:v>2478</x:v>
      </x:c>
    </x:row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  <x:row r="231" spans="1:7" s="1" customFormat="1"/>
    <x:row r="232" spans="1:7" s="4" customFormat="1"/>
    <x:row r="233" spans="1:7" s="3" customFormat="1"/>
    <x:row r="234" spans="1:7" s="1" customFormat="1"/>
    <x:row r="235" spans="1:7" s="4" customFormat="1"/>
    <x:row r="236" spans="1:7" s="3" customFormat="1"/>
    <x:row r="237" spans="1:7" s="1" customFormat="1"/>
    <x:row r="238" spans="1:7" s="4" customFormat="1"/>
    <x:row r="239" spans="1:7" s="3" customFormat="1"/>
    <x:row r="240" spans="1:7" s="1" customFormat="1"/>
    <x:row r="241" spans="1:7" s="4" customFormat="1"/>
    <x:row r="242" spans="1:7" s="3" customFormat="1"/>
    <x:row r="243" spans="1:7" s="1" customFormat="1"/>
    <x:row r="244" spans="1:7" s="4" customFormat="1"/>
    <x:row r="245" spans="1:7" s="3" customFormat="1"/>
    <x:row r="246" spans="1:7" s="1" customFormat="1"/>
    <x:row r="247" spans="1:7" s="4" customFormat="1"/>
    <x:row r="248" spans="1:7" s="3" customFormat="1"/>
    <x:row r="249" spans="1:7" s="1" customFormat="1"/>
    <x:row r="250" spans="1:7" s="4" customFormat="1"/>
    <x:row r="251" spans="1:7" s="3" customFormat="1"/>
    <x:row r="252" spans="1:7" s="1" customFormat="1"/>
    <x:row r="253" spans="1:7" s="4" customFormat="1"/>
    <x:row r="254" spans="1:7" s="3" customFormat="1"/>
    <x:row r="255" spans="1:7" s="1" customFormat="1"/>
    <x:row r="256" spans="1:7" s="4" customFormat="1"/>
    <x:row r="257" spans="1:7" s="3" customFormat="1"/>
    <x:row r="258" spans="1:7" s="1" customFormat="1"/>
    <x:row r="259" spans="1:7" s="4" customFormat="1"/>
    <x:row r="260" spans="1:7" s="3" customFormat="1"/>
    <x:row r="261" spans="1:7" s="1" customFormat="1"/>
    <x:row r="262" spans="1:7" s="4" customFormat="1"/>
    <x:row r="263" spans="1:7" s="3" customFormat="1"/>
    <x:row r="264" spans="1:7" s="1" customFormat="1"/>
    <x:row r="265" spans="1:7" s="4" customFormat="1"/>
    <x:row r="266" spans="1:7" s="3" customFormat="1"/>
    <x:row r="267" spans="1:7" s="1" customFormat="1"/>
    <x:row r="268" spans="1:7" s="4" customFormat="1"/>
    <x:row r="269" spans="1:7" s="3" customFormat="1"/>
    <x:row r="270" spans="1:7" s="1" customFormat="1"/>
    <x:row r="271" spans="1:7" s="4" customFormat="1"/>
    <x:row r="272" spans="1:7" s="3" customFormat="1"/>
    <x:row r="273" spans="1:7" s="1" customFormat="1"/>
    <x:row r="274" spans="1:7" s="4" customFormat="1"/>
    <x:row r="275" spans="1:7" s="3" customFormat="1"/>
    <x:row r="276" spans="1:7" s="1" customFormat="1"/>
    <x:row r="277" spans="1:7" s="4" customFormat="1"/>
    <x:row r="278" spans="1:7" s="3" customFormat="1"/>
    <x:row r="279" spans="1:7" s="1" customFormat="1"/>
    <x:row r="280" spans="1:7" s="4" customFormat="1"/>
    <x:row r="281" spans="1:7" s="3" customFormat="1"/>
    <x:row r="282" spans="1:7" s="1" customFormat="1"/>
    <x:row r="283" spans="1:7" s="4" customFormat="1"/>
    <x:row r="284" spans="1:7" s="3" customFormat="1"/>
    <x:row r="285" spans="1:7" s="1" customFormat="1"/>
    <x:row r="286" spans="1:7" s="4" customFormat="1"/>
    <x:row r="287" spans="1:7" s="3" customFormat="1"/>
    <x:row r="288" spans="1:7" s="1" customFormat="1"/>
    <x:row r="289" spans="1:7" s="4" customFormat="1"/>
    <x:row r="290" spans="1:7" s="3" customFormat="1"/>
    <x:row r="291" spans="1:7" s="1" customFormat="1"/>
    <x:row r="292" spans="1:7" s="4" customFormat="1"/>
    <x:row r="293" spans="1:7" s="3" customFormat="1"/>
    <x:row r="294" spans="1:7" s="1" customFormat="1"/>
    <x:row r="295" spans="1:7" s="4" customFormat="1"/>
    <x:row r="296" spans="1:7" s="3" customFormat="1"/>
    <x:row r="297" spans="1:7" s="1" customFormat="1"/>
    <x:row r="298" spans="1:7" s="4" customFormat="1"/>
    <x:row r="299" spans="1:7" s="3" customFormat="1"/>
    <x:row r="300" spans="1:7" s="1" customFormat="1"/>
    <x:row r="301" spans="1:7" s="4" customFormat="1"/>
    <x:row r="302" spans="1:7" s="3" customFormat="1"/>
    <x:row r="303" spans="1:7" s="1" customFormat="1"/>
    <x:row r="304" spans="1:7" s="4" customFormat="1"/>
    <x:row r="305" spans="1:7" s="3" customFormat="1"/>
    <x:row r="306" spans="1:7" s="1" customFormat="1"/>
    <x:row r="307" spans="1:7" s="4" customFormat="1"/>
    <x:row r="308" spans="1:7" s="3" customFormat="1"/>
    <x:row r="309" spans="1:7" s="1" customFormat="1"/>
    <x:row r="310" spans="1:7" s="4" customFormat="1"/>
    <x:row r="311" spans="1:7" s="3" customFormat="1"/>
    <x:row r="312" spans="1:7" s="1" customFormat="1"/>
    <x:row r="313" spans="1:7" s="4" customFormat="1"/>
    <x:row r="314" spans="1:7" s="3" customFormat="1"/>
    <x:row r="315" spans="1:7" s="1" customFormat="1"/>
    <x:row r="316" spans="1:7" s="4" customFormat="1"/>
    <x:row r="317" spans="1:7" s="3" customFormat="1"/>
    <x:row r="318" spans="1:7" s="1" customFormat="1"/>
    <x:row r="319" spans="1:7" s="4" customFormat="1"/>
    <x:row r="320" spans="1:7" s="3" customFormat="1"/>
    <x:row r="321" spans="1:7" s="1" customFormat="1"/>
    <x:row r="322" spans="1:7" s="4" customFormat="1"/>
    <x:row r="323" spans="1:7" s="3" customFormat="1"/>
    <x:row r="324" spans="1:7" s="1" customFormat="1"/>
    <x:row r="325" spans="1:7" s="4" customFormat="1"/>
    <x:row r="326" spans="1:7" s="3" customFormat="1"/>
    <x:row r="327" spans="1:7" s="1" customFormat="1"/>
    <x:row r="328" spans="1:7" s="4" customFormat="1"/>
    <x:row r="329" spans="1:7" s="3" customFormat="1"/>
    <x:row r="330" spans="1:7" s="1" customFormat="1"/>
    <x:row r="331" spans="1:7" s="4" customFormat="1"/>
    <x:row r="332" spans="1:7" s="3" customFormat="1"/>
    <x:row r="333" spans="1:7" s="1" customFormat="1"/>
    <x:row r="334" spans="1:7" s="4" customFormat="1"/>
    <x:row r="335" spans="1:7" s="3" customFormat="1"/>
    <x:row r="336" spans="1:7" s="1" customFormat="1"/>
    <x:row r="337" spans="1:7" s="4" customFormat="1"/>
    <x:row r="338" spans="1:7" s="3" customFormat="1"/>
    <x:row r="339" spans="1:7" s="1" customFormat="1"/>
    <x:row r="340" spans="1:7" s="4" customFormat="1"/>
    <x:row r="341" spans="1:7" s="3" customFormat="1"/>
    <x:row r="342" spans="1:7" s="1" customFormat="1"/>
    <x:row r="343" spans="1:7" s="4" customFormat="1"/>
    <x:row r="344" spans="1:7" s="3" customFormat="1"/>
    <x:row r="345" spans="1:7" s="1" customFormat="1"/>
    <x:row r="346" spans="1:7" s="4" customFormat="1"/>
    <x:row r="347" spans="1:7" s="3" customFormat="1"/>
    <x:row r="348" spans="1:7" s="1" customFormat="1"/>
    <x:row r="349" spans="1:7" s="4" customFormat="1"/>
    <x:row r="350" spans="1:7" s="3" customFormat="1"/>
    <x:row r="351" spans="1:7" s="1" customFormat="1"/>
    <x:row r="352" spans="1:7" s="4" customFormat="1"/>
    <x:row r="353" spans="1:7" s="3" customFormat="1"/>
    <x:row r="354" spans="1:7" s="1" customFormat="1"/>
    <x:row r="355" spans="1:7" s="4" customFormat="1"/>
    <x:row r="356" spans="1:7" s="3" customFormat="1"/>
    <x:row r="357" spans="1:7" s="1" customFormat="1"/>
    <x:row r="358" spans="1:7" s="4" customFormat="1"/>
    <x:row r="359" spans="1:7" s="3" customFormat="1"/>
    <x:row r="360" spans="1:7" s="1" customFormat="1"/>
    <x:row r="361" spans="1:7" s="4" customFormat="1"/>
    <x:row r="362" spans="1:7" s="3" customFormat="1"/>
    <x:row r="363" spans="1:7" s="1" customFormat="1"/>
    <x:row r="364" spans="1:7" s="4" customFormat="1"/>
  </x:sheetData>
  <x:hyperlinks>
    <x:hyperlink ref="C3" r:id="rId2742" tooltip="Send a mail to info@petroni.com.mt"/>
    <x:hyperlink ref="C4" r:id="rId2743" tooltip="Send a mail to info@soundsmart.com.mt"/>
    <x:hyperlink ref="C5" r:id="rId2744" tooltip="Send a mail to info@kcl.com.mt"/>
    <x:hyperlink ref="C6" r:id="rId2745" tooltip="Send a mail to futurahomeappliances@gmail.com"/>
    <x:hyperlink ref="C7" r:id="rId2746" tooltip="Send a mail to tabletsandmoreelectronics@yahoo.com"/>
    <x:hyperlink ref="C8" r:id="rId2747" tooltip="Send a mail to camrugun@hotmail.com"/>
    <x:hyperlink ref="C9" r:id="rId2748" tooltip="Send a mail to tagulinu@onvol.net"/>
    <x:hyperlink ref="C10" r:id="rId2749" tooltip="Send a mail to etv@etvhomeline.com"/>
    <x:hyperlink ref="C11" r:id="rId2750" tooltip="Send a mail to bakerspoint1@gmail.com"/>
    <x:hyperlink ref="C12" r:id="rId2751" tooltip="Send a mail to caths@melita.com"/>
    <x:hyperlink ref="C13" r:id="rId2752" tooltip="Send a mail to dpcomfortek@gmail.com"/>
    <x:hyperlink ref="C14" r:id="rId2753" tooltip="Send a mail to consigliohomeappliances@gmail.com"/>
    <x:hyperlink ref="C15" r:id="rId2754" tooltip="Send a mail to info@divine.com.mt"/>
    <x:hyperlink ref="C16" r:id="rId2755" tooltip="Send a mail to sales@flamingo.com.mt"/>
    <x:hyperlink ref="C17" r:id="rId2756" tooltip="Send a mail to info@forestals.com"/>
    <x:hyperlink ref="C18" r:id="rId2757" tooltip="Send a mail to freddies@onvol.net"/>
    <x:hyperlink ref="C19" r:id="rId2758" tooltip="Send a mail to gdatrade@waldonet.net.mt"/>
    <x:hyperlink ref="C20" r:id="rId2759" tooltip="Send a mail to georgetvhifi@gmail.com"/>
    <x:hyperlink ref="C21" r:id="rId2760" tooltip="Send a mail to info@hotpointmalta.com"/>
    <x:hyperlink ref="C22" r:id="rId2761" tooltip="Send a mail to showroom@itc-malta.com"/>
    <x:hyperlink ref="C23" r:id="rId2762" tooltip="Send a mail to info@oxfordhouse.com.mt"/>
    <x:hyperlink ref="C24" r:id="rId2763" tooltip="Send a mail to refcold@maltanet.net"/>
    <x:hyperlink ref="C25" r:id="rId2764" tooltip="Send a mail to rightdealcosp@onvol.net"/>
    <x:hyperlink ref="C26" r:id="rId2765" tooltip="Send a mail to rotunda@maltanet.net"/>
    <x:hyperlink ref="C27" r:id="rId2766" tooltip="Send a mail to info@topchoice.com.mt"/>
    <x:hyperlink ref="C28" r:id="rId2767" tooltip="Send a mail to info@ultimate.com.mt"/>
    <x:hyperlink ref="C29" r:id="rId2768" tooltip="Send a mail to x.treme@onvol.net"/>
    <x:hyperlink ref="C30" r:id="rId2769" tooltip="Send a mail to info@petroni.com.mt"/>
    <x:hyperlink ref="C31" r:id="rId2770" tooltip="Send a mail to info@soundsmart.com.mt"/>
    <x:hyperlink ref="C32" r:id="rId2771" tooltip="Send a mail to info@kcl.com.mt"/>
    <x:hyperlink ref="C33" r:id="rId2772" tooltip="Send a mail to futurahomeappliances@gmail.com"/>
    <x:hyperlink ref="C34" r:id="rId2773" tooltip="Send a mail to tabletsandmoreelectronics@yahoo.com"/>
    <x:hyperlink ref="C35" r:id="rId2774" tooltip="Send a mail to camrugun@hotmail.com"/>
    <x:hyperlink ref="C36" r:id="rId2775" tooltip="Send a mail to tagulinu@onvol.net"/>
    <x:hyperlink ref="C37" r:id="rId2776" tooltip="Send a mail to sales@jjscerri.com"/>
    <x:hyperlink ref="C38" r:id="rId2777" tooltip="Send a mail to dpcomfortek@gmail.com"/>
    <x:hyperlink ref="C39" r:id="rId2778" tooltip="Send a mail to consigliohomeappliances@gmail.com"/>
    <x:hyperlink ref="C40" r:id="rId2779" tooltip="Send a mail to cutajarhifivideocentre@outlook.com"/>
    <x:hyperlink ref="C41" r:id="rId2780" tooltip="Send a mail to sales@flamingo.com.mt"/>
    <x:hyperlink ref="C42" r:id="rId2781" tooltip="Send a mail to info@forestals.com"/>
    <x:hyperlink ref="C43" r:id="rId2782" tooltip="Send a mail to freddies@onvol.net"/>
    <x:hyperlink ref="C44" r:id="rId2783" tooltip="Send a mail to gdatrade@waldonet.net.mt"/>
    <x:hyperlink ref="C45" r:id="rId2784" tooltip="Send a mail to georgetvhifi@gmail.com"/>
    <x:hyperlink ref="C46" r:id="rId2785" tooltip="Send a mail to info@hotpointmalta.com"/>
    <x:hyperlink ref="C47" r:id="rId2786" tooltip="Send a mail to showroom@itc-malta.com"/>
    <x:hyperlink ref="C48" r:id="rId2787" tooltip="Send a mail to info@jshousehold.com"/>
    <x:hyperlink ref="C49" r:id="rId2788" tooltip="Send a mail to rightdealcosp@onvol.net"/>
    <x:hyperlink ref="C50" r:id="rId2789" tooltip="Send a mail to rotunda@maltanet.net"/>
    <x:hyperlink ref="C51" r:id="rId2790" tooltip="Send a mail to admin@stopshopmt.com"/>
    <x:hyperlink ref="C52" r:id="rId2791" tooltip="Send a mail to info@topchoice.com.mt"/>
    <x:hyperlink ref="C53" r:id="rId2792" tooltip="Send a mail to x.treme@onvol.net"/>
    <x:hyperlink ref="E2" r:id="rId2793" tooltip="Search BLB 021 Qasam Industrijali, Bulebel, Zejtun, Malta ZTN 3000 on Google Maps"/>
    <x:hyperlink ref="E3" r:id="rId2794" tooltip="Search Triq il-Wied ta' I-Imsida, Msida, Malta MSD 9022 on Google Maps"/>
    <x:hyperlink ref="E4" r:id="rId2795" tooltip="Search Triq il-Kostituzzjoni, Mosta, Malta MST 9050 on Google Maps"/>
    <x:hyperlink ref="E5" r:id="rId2796" tooltip="Search 22, Triq Sant' Elija, B'Kara, Malta BKR 2064 on Google Maps"/>
    <x:hyperlink ref="E6" r:id="rId2797" tooltip="Search 220 Triq in-Naxxar, San Gwann, Malta SGN 9030 on Google Maps"/>
    <x:hyperlink ref="E7" r:id="rId2798" tooltip="Search 12 Triq il-Hammieri, Qormi, Malta on Google Maps"/>
    <x:hyperlink ref="E8" r:id="rId2799" tooltip="Search 18 Wesghat il-Knisja tan-Nattivita, Bormla, Malta BML 1650 on Google Maps"/>
    <x:hyperlink ref="E9" r:id="rId2800" tooltip="Search 10 Misrah I' Isle Adam, Rabat, Malta RBT 1169 on Google Maps"/>
    <x:hyperlink ref="E10" r:id="rId2801" tooltip="Search Triq San Tumas, Luqa, Malta LQA 9031 on Google Maps"/>
    <x:hyperlink ref="E11" r:id="rId2802" tooltip="Search Triq it-Tabib Nikol Zammit, Siggiewi, Malta SHW 3075 on Google Maps"/>
    <x:hyperlink ref="E12" r:id="rId2803" tooltip="Search Triq il-Gzira, Malta GZR 1312 on Google Maps"/>
    <x:hyperlink ref="E13" r:id="rId2804" tooltip="Search Vjal I-Infiprndenza, Mosta on Google Maps"/>
    <x:hyperlink ref="E14" r:id="rId2805" tooltip="Search Triq Valetta, Mosta, Malta on Google Maps"/>
    <x:hyperlink ref="E15" r:id="rId2806" tooltip="Search Triq Gorg Borg Olivier, Victoria-Gozo, Gozo VCT 2514 on Google Maps"/>
    <x:hyperlink ref="E16" r:id="rId2807" tooltip="Search Zone 5 Triq ll-Kanun Central Business District, Qormi, Malta CBD 5060 on Google Maps"/>
    <x:hyperlink ref="E17" r:id="rId2808" tooltip="Search Zone 3 Triq L-Intornjatur Central Business District, B'Kara, Malta CBD 3050 on Google Maps"/>
    <x:hyperlink ref="E18" r:id="rId2809" tooltip="Search Triq il-Kungress Ewkaristiku, Mosta on Google Maps"/>
    <x:hyperlink ref="E19" r:id="rId2810" tooltip="Search 146 Triq Sant' Orsla Victoria-Gozo on Google Maps"/>
    <x:hyperlink ref="E20" r:id="rId2811" tooltip="Search 191 Triq Hal Qormi, Marsa on Google Maps"/>
    <x:hyperlink ref="E21" r:id="rId2812" tooltip="Search Triq il-Wied, B'Kara on Google Maps"/>
    <x:hyperlink ref="E22" r:id="rId2813" tooltip="Search Triq Nazzjonali Blata L-Blajda, Hamrun, Malta HMR 9012 on Google Maps"/>
    <x:hyperlink ref="E23" r:id="rId2814" tooltip="Search Zone 2 Triq L-Imdina Central Business District, B'Kara, Malta CBD 2010 on Google Maps"/>
    <x:hyperlink ref="E24" r:id="rId2815" tooltip="Search Triq Fortunato Mizzi, Victoria-Gozo on Google Maps"/>
    <x:hyperlink ref="E25" r:id="rId2816" tooltip="Search Misrah Gavino Gulia, Bormla on Google Maps"/>
    <x:hyperlink ref="E26" r:id="rId2817" tooltip="Search 7, 9 Rotunda Dept Stores Triq il-Kungress Ewkaristiku, Mosta on Google Maps"/>
    <x:hyperlink ref="E27" r:id="rId2818" tooltip="Search 280 Triq il-Kbira San Guzepp, Hamrun on Google Maps"/>
    <x:hyperlink ref="E28" r:id="rId2819" tooltip="Search Triq Salvu Busuttil, San Gwann on Google Maps"/>
    <x:hyperlink ref="E29" r:id="rId2820" tooltip="Search Triq Gorg Borg Olivier, Victoria-Gozo, Gozo VCT 2514 on Google Maps"/>
    <x:hyperlink ref="E30" r:id="rId2821" tooltip="Search Triq il-Wied ta' I-Imsida, Msida, Malta MSD 9022 on Google Maps"/>
    <x:hyperlink ref="E31" r:id="rId2822" tooltip="Search Triq il-Kostituzzjoni, Mosta, Malta MST 9050 on Google Maps"/>
    <x:hyperlink ref="E32" r:id="rId2823" tooltip="Search 22, Triq Sant' Elija, B'Kara, Malta BKR 2064 on Google Maps"/>
    <x:hyperlink ref="E33" r:id="rId2824" tooltip="Search 220 Triq in-Naxxar, San Gwann, Malta SGN 9030 on Google Maps"/>
    <x:hyperlink ref="E34" r:id="rId2825" tooltip="Search 12 Triq il-Hammieri, Qormi, Malta on Google Maps"/>
    <x:hyperlink ref="E35" r:id="rId2826" tooltip="Search 18 Wesghat il-Knisja tan-Nattivita, Bormla, Malta BML 1650 on Google Maps"/>
    <x:hyperlink ref="E36" r:id="rId2827" tooltip="Search 10 Misrah I' Isle Adam, Rabat, Malta RBT 1169 on Google Maps"/>
    <x:hyperlink ref="E37" r:id="rId2828" tooltip="Search Triq il-Kappillan Mifsud, Sta Venera on Google Maps"/>
    <x:hyperlink ref="E38" r:id="rId2829" tooltip="Search Vjal I-Infiprndenza, Mosta on Google Maps"/>
    <x:hyperlink ref="E39" r:id="rId2830" tooltip="Search Triq Valetta, Mosta, Malta on Google Maps"/>
    <x:hyperlink ref="E40" r:id="rId2831" tooltip="Search 91 Triq is-Santwarju, Zabbar on Google Maps"/>
    <x:hyperlink ref="E41" r:id="rId2832" tooltip="Search Zone 5 Triq ll-Kanun Central Business District, Qormi, Malta CBD 5060 on Google Maps"/>
    <x:hyperlink ref="E42" r:id="rId2833" tooltip="Search Zone 3 Triq L-Intornjatur Central Business District, B'Kara, Malta CBD 3050 on Google Maps"/>
    <x:hyperlink ref="E43" r:id="rId2834" tooltip="Search Triq il-Kungress Ewkaristiku, Mosta on Google Maps"/>
    <x:hyperlink ref="E44" r:id="rId2835" tooltip="Search 146 Triq Sant' Orsla Victoria-Gozo on Google Maps"/>
    <x:hyperlink ref="E45" r:id="rId2836" tooltip="Search 191 Triq Hal Qormi, Marsa on Google Maps"/>
    <x:hyperlink ref="E46" r:id="rId2837" tooltip="Search Triq il-Wied, B'Kara on Google Maps"/>
    <x:hyperlink ref="E47" r:id="rId2838" tooltip="Search Triq Nazzjonali Blata L-Blajda, Hamrun, Malta HMR 9012 on Google Maps"/>
    <x:hyperlink ref="E48" r:id="rId2839" tooltip="Search 71 Triq il-Buqexrem, Fgura on Google Maps"/>
    <x:hyperlink ref="E49" r:id="rId2840" tooltip="Search Misrah Gavino Gulia, Bormla on Google Maps"/>
    <x:hyperlink ref="E50" r:id="rId2841" tooltip="Search 7, 9 Rotunda Dept Stores Triq il-Kungress Ewkaristiku, Mosta on Google Maps"/>
    <x:hyperlink ref="E51" r:id="rId2842" tooltip="Search Triq il-Lampuki, San Pawl ll-Bahar on Google Maps"/>
    <x:hyperlink ref="E52" r:id="rId2843" tooltip="Search 280 Triq il-Kbira San Guzepp, Hamrun on Google Maps"/>
    <x:hyperlink ref="E53" r:id="rId2844" tooltip="Search Triq Gorg Borg Olivier, Victoria-Gozo, Gozo VCT 2514 on Google Maps"/>
    <x:hyperlink ref="F2" r:id="rId2845" tooltip="Visit venturamalta.com"/>
    <x:hyperlink ref="F3" r:id="rId2846" tooltip="Visit petroni.com.mt"/>
    <x:hyperlink ref="F4" r:id="rId2847" tooltip="Visit soundsmart.com.mt"/>
    <x:hyperlink ref="F5" r:id="rId2848" tooltip="Visit kcl.com.mt"/>
    <x:hyperlink ref="F6" r:id="rId2849" tooltip="Visit facebook.com/futurahomeappliances/"/>
    <x:hyperlink ref="F7" r:id="rId2850" tooltip="Visit tabletsandmoreelectronics.com"/>
    <x:hyperlink ref="F8" r:id="rId2851" tooltip="Visit facebook.com/akkwist"/>
    <x:hyperlink ref="F9" r:id="rId2852" tooltip="Visit facebook.com/TaGulinu/info?tab=page%5Cuinfo"/>
    <x:hyperlink ref="F10" r:id="rId2853" tooltip="Visit triplealuqa.com"/>
    <x:hyperlink ref="F12" r:id="rId2854" tooltip="Visit facebook.com/cathshome"/>
    <x:hyperlink ref="F13" r:id="rId2855" tooltip="Visit fb.com/ComfortekMalta"/>
    <x:hyperlink ref="F14" r:id="rId2856" tooltip="Visit consiglio.com.mt"/>
    <x:hyperlink ref="F15" r:id="rId2857" tooltip="Visit divine.com.mt"/>
    <x:hyperlink ref="F16" r:id="rId2858" tooltip="Visit flamingo.com.mt"/>
    <x:hyperlink ref="F17" r:id="rId2859" tooltip="Visit foresaksgroup.com"/>
    <x:hyperlink ref="F18" r:id="rId2860" tooltip="Visit facebook.com/people/Freddies-Household/100063498252557/?utm_source=Yellow&amp;utm_medium=Yellow-Website&amp;utm_campaign=Landing-Page#"/>
    <x:hyperlink ref="F19" r:id="rId2861" tooltip="Visit gda.com.mt"/>
    <x:hyperlink ref="F21" r:id="rId2862" tooltip="Visit hotpointmalta.com"/>
    <x:hyperlink ref="F22" r:id="rId2863" tooltip="Visit itc-malta.com"/>
    <x:hyperlink ref="F23" r:id="rId2864" tooltip="Visit oxfordhouse.com.mt"/>
    <x:hyperlink ref="F24" r:id="rId2865" tooltip="Visit refcold.com.mt"/>
    <x:hyperlink ref="F25" r:id="rId2866" tooltip="Visit rightdealmalta.com"/>
    <x:hyperlink ref="F27" r:id="rId2867" tooltip="Visit topchoice.com.mt"/>
    <x:hyperlink ref="F28" r:id="rId2868" tooltip="Visit ultimate.com.mt"/>
    <x:hyperlink ref="F29" r:id="rId2869" tooltip="Visit xtmalta.com"/>
    <x:hyperlink ref="F30" r:id="rId2870" tooltip="Visit petroni.com.mt"/>
    <x:hyperlink ref="F31" r:id="rId2871" tooltip="Visit soundsmart.com.mt"/>
    <x:hyperlink ref="F32" r:id="rId2872" tooltip="Visit kcl.com.mt"/>
    <x:hyperlink ref="F33" r:id="rId2873" tooltip="Visit facebook.com/futurahomeappliances/"/>
    <x:hyperlink ref="F34" r:id="rId2874" tooltip="Visit tabletsandmoreelectronics.com"/>
    <x:hyperlink ref="F35" r:id="rId2875" tooltip="Visit facebook.com/akkwist"/>
    <x:hyperlink ref="F36" r:id="rId2876" tooltip="Visit facebook.com/TaGulinu/info?tab=page%5Cuinfo"/>
    <x:hyperlink ref="F37" r:id="rId2877" tooltip="Visit centrocasalinga.com"/>
    <x:hyperlink ref="F38" r:id="rId2878" tooltip="Visit fb.com/ComfortekMalta"/>
    <x:hyperlink ref="F39" r:id="rId2879" tooltip="Visit consiglio.com.mt"/>
    <x:hyperlink ref="F40" r:id="rId2880" tooltip="Visit cutajarhifi.com"/>
    <x:hyperlink ref="F41" r:id="rId2881" tooltip="Visit flamingo.com.mt"/>
    <x:hyperlink ref="F42" r:id="rId2882" tooltip="Visit forestalsgroup.com"/>
    <x:hyperlink ref="F43" r:id="rId2883" tooltip="Visit facebook.com/people/Freddies-Household/100063498252557/?utm_source=Yellow&amp;utm_medium=Yellow-Website&amp;utm_campaign=Landing-Page#"/>
    <x:hyperlink ref="F44" r:id="rId2884" tooltip="Visit gda.com.mt"/>
    <x:hyperlink ref="F46" r:id="rId2885" tooltip="Visit hotpointmalta.com"/>
    <x:hyperlink ref="F47" r:id="rId2886" tooltip="Visit itc-malta.com"/>
    <x:hyperlink ref="F48" r:id="rId2887" tooltip="Visit facebook.com/p/JS-Household-100063545924453/"/>
    <x:hyperlink ref="F49" r:id="rId2888" tooltip="Visit rightdealmalta.com"/>
    <x:hyperlink ref="F52" r:id="rId2889" tooltip="Visit topchoice.com.mt"/>
    <x:hyperlink ref="F53" r:id="rId2890" tooltip="Visit xtmalta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0"/>
  <x:sheetViews>
    <x:sheetView workbookViewId="0"/>
  </x:sheetViews>
  <x:sheetFormatPr defaultRowHeight="15"/>
  <x:cols>
    <x:col min="1" max="1" width="27.710625" style="0" customWidth="1"/>
    <x:col min="2" max="2" width="20.996339" style="0" customWidth="1"/>
    <x:col min="3" max="3" width="25.567768" style="0" customWidth="1"/>
    <x:col min="4" max="4" width="18.710625" style="0" customWidth="1"/>
    <x:col min="5" max="5" width="40.710625" style="0" customWidth="1"/>
    <x:col min="6" max="6" width="27.567768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List'!A43", "Back to Summary")</x:f>
      </x:c>
    </x:row>
    <x:row r="2" spans="1:7" s="3" customFormat="1">
      <x:c r="A2" s="3" t="s">
        <x:v>2488</x:v>
      </x:c>
      <x:c r="B2" s="3" t="s">
        <x:v>2490</x:v>
      </x:c>
      <x:c r="C2" s="6" t="s">
        <x:v>2498</x:v>
      </x:c>
      <x:c r="D2" s="7">
        <x:f>CONCATENATE(HYPERLINK("CALLTO:%2B356%202122%207888", "+356 2122 7888"))</x:f>
      </x:c>
      <x:c r="E2" s="6" t="s">
        <x:v>2507</x:v>
      </x:c>
      <x:c r="F2" s="6" t="s">
        <x:v>2473</x:v>
      </x:c>
    </x:row>
    <x:row r="3" spans="1:7" s="1" customFormat="1"/>
    <x:row r="4" spans="1:7" s="4" customFormat="1">
      <x:c r="A4" s="4" t="s">
        <x:v>2489</x:v>
      </x:c>
      <x:c r="B4" s="4" t="s">
        <x:v>2491</x:v>
      </x:c>
      <x:c r="C4" s="10" t="s">
        <x:v>2500</x:v>
      </x:c>
      <x:c r="D4" s="11">
        <x:f>CONCATENATE(HYPERLINK("CALLTO:%2B356%202147%202000", "+356 2147 2000"))</x:f>
      </x:c>
      <x:c r="E4" s="10" t="s">
        <x:v>2508</x:v>
      </x:c>
      <x:c r="F4" s="10" t="s">
        <x:v>2060</x:v>
      </x:c>
    </x:row>
    <x:row r="5" spans="1:7" s="3" customFormat="1">
      <x:c r="A5" s="3" t="s">
        <x:v>2489</x:v>
      </x:c>
      <x:c r="B5" s="3" t="s">
        <x:v>2492</x:v>
      </x:c>
      <x:c r="C5" s="6" t="s">
        <x:v>2499</x:v>
      </x:c>
      <x:c r="D5" s="7">
        <x:f>CONCATENATE(HYPERLINK("CALLTO:%2B356%202166%200546", "+356 2166 0546"))</x:f>
      </x:c>
      <x:c r="E5" s="6" t="s">
        <x:v>2509</x:v>
      </x:c>
      <x:c r="F5" s="6" t="s">
        <x:v>2514</x:v>
      </x:c>
    </x:row>
    <x:row r="6" spans="1:7" s="1" customFormat="1">
      <x:c r="A6" s="1" t="s">
        <x:v>2489</x:v>
      </x:c>
      <x:c r="B6" s="1" t="s">
        <x:v>2493</x:v>
      </x:c>
      <x:c r="C6" s="8" t="s">
        <x:v>2501</x:v>
      </x:c>
      <x:c r="D6" s="9">
        <x:f>CONCATENATE(HYPERLINK("CALLTO:%2B356%209947%201937", "+356 9947 1937"))</x:f>
      </x:c>
      <x:c r="E6" s="8" t="s">
        <x:v>2510</x:v>
      </x:c>
      <x:c r="F6" s="8" t="s">
        <x:v>2515</x:v>
      </x:c>
    </x:row>
    <x:row r="7" spans="1:7" s="4" customFormat="1">
      <x:c r="A7" s="4" t="s">
        <x:v>2489</x:v>
      </x:c>
      <x:c r="B7" s="4" t="s">
        <x:v>2471</x:v>
      </x:c>
      <x:c r="C7" s="10" t="s">
        <x:v>2472</x:v>
      </x:c>
      <x:c r="D7" s="11">
        <x:f>CONCATENATE(HYPERLINK("CALLTO:%2B356%207927%201448", "+356 7927 1448"))</x:f>
      </x:c>
      <x:c r="E7" s="10" t="s">
        <x:v>2474</x:v>
      </x:c>
      <x:c r="F7" s="10" t="s">
        <x:v>1774</x:v>
      </x:c>
    </x:row>
    <x:row r="8" spans="1:7" s="3" customFormat="1">
      <x:c r="A8" s="3" t="s">
        <x:v>2489</x:v>
      </x:c>
      <x:c r="B8" s="3" t="s">
        <x:v>2494</x:v>
      </x:c>
      <x:c r="C8" s="6" t="s">
        <x:v>2502</x:v>
      </x:c>
      <x:c r="D8" s="7">
        <x:f>CONCATENATE(HYPERLINK("CALLTO:%2B356%209949%200109", "+356 9949 0109"))</x:f>
      </x:c>
      <x:c r="E8" s="6" t="s">
        <x:v>2511</x:v>
      </x:c>
      <x:c r="F8" s="6" t="s">
        <x:v>2475</x:v>
      </x:c>
    </x:row>
    <x:row r="9" spans="1:7" s="1" customFormat="1">
      <x:c r="A9" s="1" t="s">
        <x:v>2489</x:v>
      </x:c>
      <x:c r="B9" s="1" t="s">
        <x:v>2495</x:v>
      </x:c>
      <x:c r="C9" s="8" t="s">
        <x:v>2503</x:v>
      </x:c>
      <x:c r="D9" s="9">
        <x:f>CONCATENATE(HYPERLINK("CALLTO:%2B356%202148%204305", "+356 2148 4305"))</x:f>
      </x:c>
      <x:c r="E9" s="8" t="s">
        <x:v>2512</x:v>
      </x:c>
      <x:c r="F9" s="8" t="s">
        <x:v>2517</x:v>
      </x:c>
    </x:row>
    <x:row r="10" spans="1:7" s="4" customFormat="1">
      <x:c r="A10" s="4" t="s">
        <x:v>2489</x:v>
      </x:c>
      <x:c r="B10" s="4" t="s">
        <x:v>2496</x:v>
      </x:c>
      <x:c r="C10" s="10" t="s">
        <x:v>1013</x:v>
      </x:c>
      <x:c r="D10" s="11">
        <x:f>CONCATENATE(HYPERLINK("CALLTO:%2B356%202137%207378", "+356 2137 7378"))</x:f>
      </x:c>
      <x:c r="E10" s="10" t="s">
        <x:v>1035</x:v>
      </x:c>
      <x:c r="F10" s="10" t="s">
        <x:v>1051</x:v>
      </x:c>
    </x:row>
    <x:row r="11" spans="1:7" s="3" customFormat="1">
      <x:c r="A11" s="3" t="s">
        <x:v>2489</x:v>
      </x:c>
      <x:c r="B11" s="3" t="s">
        <x:v>2497</x:v>
      </x:c>
      <x:c r="C11" s="6" t="s">
        <x:v>2504</x:v>
      </x:c>
      <x:c r="D11" s="7">
        <x:f>CONCATENATE(HYPERLINK("CALLTO:%2B356%207979%202552", "+356 7979 2552"))</x:f>
      </x:c>
      <x:c r="F11" s="6" t="s">
        <x:v>2066</x:v>
      </x:c>
    </x:row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</x:sheetData>
  <x:hyperlinks>
    <x:hyperlink ref="C2" r:id="rId2891" tooltip="Send a mail to ppl@pplmalta.com"/>
    <x:hyperlink ref="C4" r:id="rId2892" tooltip="Send a mail to solartechmalta@gmail.com"/>
    <x:hyperlink ref="C5" r:id="rId2893" tooltip="Send a mail to info@recowatt.com"/>
    <x:hyperlink ref="C6" r:id="rId2894" tooltip="Send a mail to info@signworldmalta.com"/>
    <x:hyperlink ref="C7" r:id="rId2895" tooltip="Send a mail to turbosigns@outlook.com"/>
    <x:hyperlink ref="C8" r:id="rId2896" tooltip="Send a mail to info@justltdmalta.com"/>
    <x:hyperlink ref="C9" r:id="rId2897" tooltip="Send a mail to admin@zaffarese.com"/>
    <x:hyperlink ref="C10" r:id="rId2898" tooltip="Send a mail to info@grfmalta.com"/>
    <x:hyperlink ref="C11" r:id="rId2899" tooltip="Send a mail to contact@opaque.mt"/>
    <x:hyperlink ref="E2" r:id="rId2900" tooltip="Search 112 Industrial Estate , Ħal Luqa, Malta on Google Maps"/>
    <x:hyperlink ref="E4" r:id="rId2901" tooltip="Search 12, SolarTech, Triq il-Masgar&#10;Qormi, QRM 3217, Malta on Google Maps"/>
    <x:hyperlink ref="E5" r:id="rId2902" tooltip="Search Triq L-Imdina, Ħaż-Żebbuġ ZBG 9019, Malta on Google Maps"/>
    <x:hyperlink ref="E6" r:id="rId2903" tooltip="Search Triq il-Frangiskani, L-Imsida&#10;MSD 1120, Malta on Google Maps"/>
    <x:hyperlink ref="E7" r:id="rId2904" tooltip="Search Parades Street, St Paul's Bay on Google Maps"/>
    <x:hyperlink ref="E8" r:id="rId2905" tooltip="Search 194, Luqa Briffa Street, Gzira GZR1504, Malta on Google Maps"/>
    <x:hyperlink ref="E9" r:id="rId2906" tooltip="Search CCG Building, Triq 3 Ta’ Settembru 1798&#10;Zone 3, Central Business District, Birkirkara&#10;CBD 3100 Malta on Google Maps"/>
    <x:hyperlink ref="E10" r:id="rId2907" tooltip="Search 117 Triq L-Assemblea Nazzjonali,&#10;San Gwann SGN 3034, Malta on Google Maps"/>
    <x:hyperlink ref="F2" r:id="rId2908" tooltip="Visit pplmalta.com/"/>
    <x:hyperlink ref="F4" r:id="rId2909" tooltip="Visit solartech.com.mt/"/>
    <x:hyperlink ref="F5" r:id="rId2910" tooltip="Visit recowatt.com/"/>
    <x:hyperlink ref="F6" r:id="rId2911" tooltip="Visit signworldmalta.com/"/>
    <x:hyperlink ref="F7" r:id="rId2912" tooltip="Visit turbosignsmalta.com/"/>
    <x:hyperlink ref="F8" r:id="rId2913" tooltip="Visit justltdmalta.com/home.html"/>
    <x:hyperlink ref="F9" r:id="rId2914" tooltip="Visit zaffarese.com/"/>
    <x:hyperlink ref="F10" r:id="rId2915" tooltip="Visit grfmalta.com/"/>
    <x:hyperlink ref="F11" r:id="rId2916" tooltip="Visit opaquemalta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11"/>
  <x:sheetViews>
    <x:sheetView workbookViewId="0"/>
  </x:sheetViews>
  <x:sheetFormatPr defaultRowHeight="15"/>
  <x:cols>
    <x:col min="1" max="1" width="6.282054" style="0" customWidth="1"/>
    <x:col min="2" max="2" width="30.710625" style="0" customWidth="1"/>
    <x:col min="3" max="3" width="32.996339" style="0" customWidth="1"/>
    <x:col min="4" max="4" width="29.853482" style="0" customWidth="1"/>
    <x:col min="5" max="5" width="79.710625" style="0" customWidth="1"/>
    <x:col min="6" max="6" width="51.710625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482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5">
        <x:f>HYPERLINK("#'Summary List'!A44", "Back to Summary")</x:f>
      </x:c>
    </x:row>
    <x:row r="2" spans="1:7" s="3" customFormat="1">
      <x:c r="A2" s="3" t="s">
        <x:v>2519</x:v>
      </x:c>
      <x:c r="B2" s="3" t="s">
        <x:v>2521</x:v>
      </x:c>
      <x:c r="C2" s="6" t="s">
        <x:v>2539</x:v>
      </x:c>
      <x:c r="D2" s="7">
        <x:f>CONCATENATE(HYPERLINK("CALLTO:%2B356%202787%208700", "+356 2787 8700"))</x:f>
      </x:c>
      <x:c r="E2" s="6" t="s">
        <x:v>2560</x:v>
      </x:c>
      <x:c r="F2" s="6" t="s">
        <x:v>2064</x:v>
      </x:c>
    </x:row>
    <x:row r="3" spans="1:7" s="1" customFormat="1">
      <x:c r="A3" s="1" t="s">
        <x:v>2519</x:v>
      </x:c>
      <x:c r="B3" s="1" t="s">
        <x:v>2520</x:v>
      </x:c>
      <x:c r="C3" s="8" t="s">
        <x:v>2540</x:v>
      </x:c>
      <x:c r="D3" s="9">
        <x:f>CONCATENATE(HYPERLINK("CALLTO:%2B356%202122%202083", "+356 2122 2083"))</x:f>
      </x:c>
      <x:c r="E3" s="8" t="s">
        <x:v>2561</x:v>
      </x:c>
      <x:c r="F3" s="8" t="s">
        <x:v>2577</x:v>
      </x:c>
    </x:row>
    <x:row r="4" spans="1:7" s="4" customFormat="1">
      <x:c r="A4" s="4" t="s">
        <x:v>2519</x:v>
      </x:c>
      <x:c r="B4" s="4" t="s">
        <x:v>2522</x:v>
      </x:c>
      <x:c r="C4" s="10" t="s">
        <x:v>2541</x:v>
      </x:c>
      <x:c r="D4" s="11">
        <x:f>CONCATENATE(HYPERLINK("CALLTO:%2B356%202142%200540", "+356 2142 0540"), " / ", HYPERLINK("CALLTO:%2B356%209988%203988", "+356 9988 3988"))</x:f>
      </x:c>
      <x:c r="E4" s="10" t="s">
        <x:v>2562</x:v>
      </x:c>
      <x:c r="F4" s="10" t="s">
        <x:v>2578</x:v>
      </x:c>
    </x:row>
    <x:row r="5" spans="1:7" s="3" customFormat="1">
      <x:c r="A5" s="3" t="s">
        <x:v>2519</x:v>
      </x:c>
      <x:c r="B5" s="3" t="s">
        <x:v>2523</x:v>
      </x:c>
      <x:c r="C5" s="6" t="s">
        <x:v>2542</x:v>
      </x:c>
      <x:c r="D5" s="7">
        <x:f>CONCATENATE(HYPERLINK("CALLTO:%2B356%207943%204443", "+356 7943 4443"), " / ", HYPERLINK("CALLTO:%2B356%202143%204443", "+356 2143 4443"))</x:f>
      </x:c>
      <x:c r="E5" s="6" t="s">
        <x:v>2563</x:v>
      </x:c>
      <x:c r="F5" s="6" t="s">
        <x:v>2579</x:v>
      </x:c>
    </x:row>
    <x:row r="6" spans="1:7" s="1" customFormat="1">
      <x:c r="A6" s="1" t="s">
        <x:v>2519</x:v>
      </x:c>
      <x:c r="B6" s="1" t="s">
        <x:v>2524</x:v>
      </x:c>
      <x:c r="C6" s="8" t="s">
        <x:v>2543</x:v>
      </x:c>
      <x:c r="D6" s="9">
        <x:f>CONCATENATE(HYPERLINK("CALLTO:%2B356%207777%204083", "+356 7777 4083"))</x:f>
      </x:c>
      <x:c r="E6" s="8" t="s">
        <x:v>2564</x:v>
      </x:c>
      <x:c r="F6" s="8" t="s">
        <x:v>2580</x:v>
      </x:c>
    </x:row>
    <x:row r="7" spans="1:7" s="4" customFormat="1">
      <x:c r="A7" s="4" t="s">
        <x:v>2519</x:v>
      </x:c>
      <x:c r="B7" s="4" t="s">
        <x:v>2525</x:v>
      </x:c>
      <x:c r="C7" s="10" t="s">
        <x:v>2544</x:v>
      </x:c>
      <x:c r="D7" s="11">
        <x:f>CONCATENATE(HYPERLINK("CALLTO:%2B356%207943%207704", "+356 7943 7704"))</x:f>
      </x:c>
      <x:c r="E7" s="10" t="s">
        <x:v>2565</x:v>
      </x:c>
      <x:c r="F7" s="10" t="s">
        <x:v>2063</x:v>
      </x:c>
    </x:row>
    <x:row r="8" spans="1:7" s="3" customFormat="1">
      <x:c r="A8" s="3" t="s">
        <x:v>2519</x:v>
      </x:c>
      <x:c r="B8" s="3" t="s">
        <x:v>2526</x:v>
      </x:c>
      <x:c r="C8" s="6" t="s">
        <x:v>2545</x:v>
      </x:c>
      <x:c r="D8" s="7">
        <x:f>CONCATENATE(HYPERLINK("CALLTO:%2B356%202326%202000", "+356 2326 2000"))</x:f>
      </x:c>
      <x:c r="E8" s="6" t="s">
        <x:v>2231</x:v>
      </x:c>
      <x:c r="F8" s="6" t="s">
        <x:v>2581</x:v>
      </x:c>
    </x:row>
    <x:row r="9" spans="1:7" s="1" customFormat="1">
      <x:c r="A9" s="1" t="s">
        <x:v>2519</x:v>
      </x:c>
      <x:c r="B9" s="1" t="s">
        <x:v>955</x:v>
      </x:c>
      <x:c r="C9" s="8" t="s">
        <x:v>570</x:v>
      </x:c>
      <x:c r="D9" s="9">
        <x:f>CONCATENATE(HYPERLINK("CALLTO:%2B356%202169%202885", "+356 2169 2885"))</x:f>
      </x:c>
      <x:c r="E9" s="8" t="s">
        <x:v>2566</x:v>
      </x:c>
      <x:c r="F9" s="8" t="s">
        <x:v>1954</x:v>
      </x:c>
    </x:row>
    <x:row r="10" spans="1:7" s="4" customFormat="1">
      <x:c r="A10" s="4" t="s">
        <x:v>2519</x:v>
      </x:c>
      <x:c r="B10" s="4" t="s">
        <x:v>2527</x:v>
      </x:c>
      <x:c r="C10" s="10" t="s">
        <x:v>2546</x:v>
      </x:c>
      <x:c r="D10" s="11">
        <x:f>CONCATENATE(HYPERLINK("CALLTO:%2B356%202713%207364", "+356 2713 7364"))</x:f>
      </x:c>
      <x:c r="E10" s="10" t="s">
        <x:v>2226</x:v>
      </x:c>
      <x:c r="F10" s="10" t="s">
        <x:v>2582</x:v>
      </x:c>
    </x:row>
    <x:row r="11" spans="1:7" s="3" customFormat="1">
      <x:c r="A11" s="3" t="s">
        <x:v>2519</x:v>
      </x:c>
      <x:c r="B11" s="3" t="s">
        <x:v>1254</x:v>
      </x:c>
      <x:c r="C11" s="6" t="s">
        <x:v>1321</x:v>
      </x:c>
      <x:c r="D11" s="7">
        <x:f>CONCATENATE(HYPERLINK("CALLTO:%2B356%209935%207300", "+356 9935 7300"))</x:f>
      </x:c>
      <x:c r="E11" s="6" t="s">
        <x:v>2105</x:v>
      </x:c>
      <x:c r="F11" s="6" t="s">
        <x:v>2257</x:v>
      </x:c>
    </x:row>
    <x:row r="12" spans="1:7" s="1" customFormat="1">
      <x:c r="A12" s="1" t="s">
        <x:v>2519</x:v>
      </x:c>
      <x:c r="B12" s="1" t="s">
        <x:v>2528</x:v>
      </x:c>
      <x:c r="C12" s="8" t="s">
        <x:v>2547</x:v>
      </x:c>
      <x:c r="D12" s="9">
        <x:f>CONCATENATE(HYPERLINK("CALLTO:%2B356%209987%205265", "+356 9987 5265"))</x:f>
      </x:c>
      <x:c r="E12" s="8" t="s">
        <x:v>2567</x:v>
      </x:c>
      <x:c r="F12" s="8" t="s">
        <x:v>2258</x:v>
      </x:c>
    </x:row>
    <x:row r="13" spans="1:7" s="4" customFormat="1">
      <x:c r="A13" s="4" t="s">
        <x:v>2519</x:v>
      </x:c>
      <x:c r="B13" s="4" t="s">
        <x:v>2529</x:v>
      </x:c>
      <x:c r="C13" s="10" t="s">
        <x:v>2548</x:v>
      </x:c>
      <x:c r="D13" s="11">
        <x:f>CONCATENATE(HYPERLINK("CALLTO:%2B356%202549%205000", "+356 2549 5000"))</x:f>
      </x:c>
      <x:c r="E13" s="10" t="s">
        <x:v>2453</x:v>
      </x:c>
      <x:c r="F13" s="10" t="s">
        <x:v>2583</x:v>
      </x:c>
    </x:row>
    <x:row r="14" spans="1:7" s="3" customFormat="1">
      <x:c r="A14" s="3" t="s">
        <x:v>2519</x:v>
      </x:c>
      <x:c r="B14" s="3" t="s">
        <x:v>1520</x:v>
      </x:c>
      <x:c r="C14" s="6" t="s">
        <x:v>1606</x:v>
      </x:c>
      <x:c r="D14" s="7">
        <x:f>CONCATENATE(HYPERLINK("CALLTO:%2B356%209949%209925", "+356 9949 9925"))</x:f>
      </x:c>
      <x:c r="E14" s="6" t="s">
        <x:v>2568</x:v>
      </x:c>
      <x:c r="F14" s="6" t="s">
        <x:v>2254</x:v>
      </x:c>
    </x:row>
    <x:row r="15" spans="1:7" s="1" customFormat="1">
      <x:c r="A15" s="1" t="s">
        <x:v>2519</x:v>
      </x:c>
      <x:c r="B15" s="1" t="s">
        <x:v>2085</x:v>
      </x:c>
      <x:c r="C15" s="8" t="s">
        <x:v>2094</x:v>
      </x:c>
      <x:c r="D15" s="9">
        <x:f>CONCATENATE(HYPERLINK("CALLTO:%2B356%202141%206753", "+356 2141 6753"))</x:f>
      </x:c>
      <x:c r="E15" s="8" t="s">
        <x:v>2569</x:v>
      </x:c>
      <x:c r="F15" s="8" t="s">
        <x:v>5311</x:v>
      </x:c>
    </x:row>
    <x:row r="16" spans="1:7" s="4" customFormat="1">
      <x:c r="A16" s="4" t="s">
        <x:v>2519</x:v>
      </x:c>
      <x:c r="B16" s="4" t="s">
        <x:v>2130</x:v>
      </x:c>
      <x:c r="C16" s="10" t="s">
        <x:v>2549</x:v>
      </x:c>
      <x:c r="D16" s="11">
        <x:f>CONCATENATE(HYPERLINK("CALLTO:%2B356%202144%207347", "+356 2144 7347"))</x:f>
      </x:c>
      <x:c r="E16" s="10" t="s">
        <x:v>2570</x:v>
      </x:c>
      <x:c r="F16" s="10" t="s">
        <x:v>2255</x:v>
      </x:c>
    </x:row>
    <x:row r="17" spans="1:7" s="3" customFormat="1">
      <x:c r="A17" s="3" t="s">
        <x:v>2519</x:v>
      </x:c>
      <x:c r="B17" s="3" t="s">
        <x:v>2447</x:v>
      </x:c>
      <x:c r="C17" s="6" t="s">
        <x:v>2449</x:v>
      </x:c>
      <x:c r="D17" s="7">
        <x:f>CONCATENATE(HYPERLINK("CALLTO:%2B356%202148%205215", "+356 2148 5215"))</x:f>
      </x:c>
      <x:c r="E17" s="6" t="s">
        <x:v>2571</x:v>
      </x:c>
      <x:c r="F17" s="6" t="s">
        <x:v>2415</x:v>
      </x:c>
    </x:row>
    <x:row r="18" spans="1:7" s="1" customFormat="1">
      <x:c r="A18" s="1" t="s">
        <x:v>2519</x:v>
      </x:c>
      <x:c r="B18" s="1" t="s">
        <x:v>2530</x:v>
      </x:c>
      <x:c r="C18" s="8" t="s">
        <x:v>2550</x:v>
      </x:c>
      <x:c r="D18" s="9">
        <x:f>CONCATENATE(HYPERLINK("CALLTO:%2B356%202132%200433", "+356 2132 0433"))</x:f>
      </x:c>
      <x:c r="E18" s="8" t="s">
        <x:v>2572</x:v>
      </x:c>
      <x:c r="F18" s="8" t="s">
        <x:v>2455</x:v>
      </x:c>
    </x:row>
    <x:row r="19" spans="1:7" s="4" customFormat="1">
      <x:c r="A19" s="4" t="s">
        <x:v>2519</x:v>
      </x:c>
      <x:c r="B19" s="4" t="s">
        <x:v>1063</x:v>
      </x:c>
      <x:c r="C19" s="10" t="s">
        <x:v>1073</x:v>
      </x:c>
      <x:c r="D19" s="11">
        <x:f>CONCATENATE(HYPERLINK("CALLTO:%2B356%207774%205619", "+356 7774 5619"))</x:f>
      </x:c>
      <x:c r="E19" s="10" t="s">
        <x:v>2573</x:v>
      </x:c>
      <x:c r="F19" s="10" t="s">
        <x:v>1081</x:v>
      </x:c>
    </x:row>
    <x:row r="20" spans="1:7" s="3" customFormat="1">
      <x:c r="A20" s="3" t="s">
        <x:v>2519</x:v>
      </x:c>
      <x:c r="B20" s="3" t="s">
        <x:v>2531</x:v>
      </x:c>
      <x:c r="C20" s="6" t="s">
        <x:v>2551</x:v>
      </x:c>
      <x:c r="D20" s="7">
        <x:f>CONCATENATE(HYPERLINK("CALLTO:%2B356%207900%209947", "+356 7900 9947"))</x:f>
      </x:c>
      <x:c r="E20" s="6" t="s">
        <x:v>2574</x:v>
      </x:c>
      <x:c r="F20" s="6" t="s">
        <x:v>2585</x:v>
      </x:c>
    </x:row>
    <x:row r="21" spans="1:7" s="1" customFormat="1">
      <x:c r="A21" s="1" t="s">
        <x:v>2519</x:v>
      </x:c>
      <x:c r="B21" s="1" t="s">
        <x:v>2532</x:v>
      </x:c>
      <x:c r="C21" s="8" t="s">
        <x:v>2552</x:v>
      </x:c>
      <x:c r="D21" s="9">
        <x:f>CONCATENATE(HYPERLINK("CALLTO:%2B356%202144%203859", "+356 2144 3859"))</x:f>
      </x:c>
      <x:c r="E21" s="8" t="s">
        <x:v>2575</x:v>
      </x:c>
      <x:c r="F21" s="8" t="s">
        <x:v>2586</x:v>
      </x:c>
    </x:row>
    <x:row r="22" spans="1:7" s="4" customFormat="1">
      <x:c r="A22" s="4" t="s">
        <x:v>2519</x:v>
      </x:c>
      <x:c r="B22" s="4" t="s">
        <x:v>2533</x:v>
      </x:c>
      <x:c r="C22" s="10" t="s">
        <x:v>2553</x:v>
      </x:c>
      <x:c r="D22" s="11">
        <x:f>CONCATENATE(HYPERLINK("CALLTO:%2B356%202138%202595", "+356 2138 2595"))</x:f>
      </x:c>
      <x:c r="E22" s="10" t="s">
        <x:v>2576</x:v>
      </x:c>
      <x:c r="F22" s="10" t="s">
        <x:v>2587</x:v>
      </x:c>
    </x:row>
    <x:row r="23" spans="1:7" s="3" customFormat="1">
      <x:c r="A23" s="3" t="s">
        <x:v>2519</x:v>
      </x:c>
      <x:c r="B23" s="3" t="s">
        <x:v>2535</x:v>
      </x:c>
      <x:c r="C23" s="6" t="s">
        <x:v>2554</x:v>
      </x:c>
      <x:c r="D23" s="7">
        <x:f>CONCATENATE(HYPERLINK("CALLTO:%2B356%209996%200623", "+356 9996 0623"))</x:f>
      </x:c>
      <x:c r="F23" s="6" t="s">
        <x:v>2588</x:v>
      </x:c>
    </x:row>
    <x:row r="24" spans="1:7" s="1" customFormat="1">
      <x:c r="A24" s="1" t="s">
        <x:v>2519</x:v>
      </x:c>
      <x:c r="B24" s="1" t="s">
        <x:v>2534</x:v>
      </x:c>
      <x:c r="C24" s="8" t="s">
        <x:v>2555</x:v>
      </x:c>
      <x:c r="D24" s="9">
        <x:f>CONCATENATE(HYPERLINK("CALLTO:%2B356%202034%201569", "+356 2034 1569"))</x:f>
      </x:c>
      <x:c r="F24" s="8" t="s">
        <x:v>2584</x:v>
      </x:c>
    </x:row>
    <x:row r="25" spans="1:7" s="4" customFormat="1">
      <x:c r="A25" s="4" t="s">
        <x:v>2519</x:v>
      </x:c>
      <x:c r="B25" s="4" t="s">
        <x:v>1248</x:v>
      </x:c>
      <x:c r="C25" s="10" t="s">
        <x:v>1487</x:v>
      </x:c>
      <x:c r="D25" s="11">
        <x:f>CONCATENATE(HYPERLINK("CALLTO:%2B356%202331%204206", "+356 2331 4206"))</x:f>
      </x:c>
      <x:c r="F25" s="10" t="s">
        <x:v>2590</x:v>
      </x:c>
    </x:row>
    <x:row r="26" spans="1:7" s="3" customFormat="1">
      <x:c r="A26" s="3" t="s">
        <x:v>2519</x:v>
      </x:c>
      <x:c r="B26" s="3" t="s">
        <x:v>2536</x:v>
      </x:c>
      <x:c r="C26" s="6" t="s">
        <x:v>2556</x:v>
      </x:c>
      <x:c r="D26" s="7">
        <x:f>CONCATENATE(HYPERLINK("CALLTO:%2B356%209947%206622", "+356 9947 6622"))</x:f>
      </x:c>
      <x:c r="F26" s="6" t="s">
        <x:v>2591</x:v>
      </x:c>
    </x:row>
    <x:row r="27" spans="1:7" s="1" customFormat="1">
      <x:c r="A27" s="1" t="s">
        <x:v>2519</x:v>
      </x:c>
      <x:c r="B27" s="1" t="s">
        <x:v>2537</x:v>
      </x:c>
      <x:c r="C27" s="8" t="s">
        <x:v>2557</x:v>
      </x:c>
      <x:c r="D27" s="9">
        <x:f>CONCATENATE(HYPERLINK("CALLTO:%2B356%202347%202994", "+356 2347 2994"))</x:f>
      </x:c>
      <x:c r="F27" s="8" t="s">
        <x:v>2592</x:v>
      </x:c>
    </x:row>
    <x:row r="28" spans="1:7" s="4" customFormat="1"/>
    <x:row r="29" spans="1:7" s="3" customFormat="1">
      <x:c r="B29" s="3" t="s">
        <x:v>2538</x:v>
      </x:c>
      <x:c r="C29" s="6" t="s">
        <x:v>2558</x:v>
      </x:c>
      <x:c r="F29" s="6" t="s">
        <x:v>2593</x:v>
      </x:c>
    </x:row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</x:sheetData>
  <x:hyperlinks>
    <x:hyperlink ref="C2" r:id="rId2917" tooltip="Send a mail to sales@blindsandmore.com.mt"/>
    <x:hyperlink ref="C3" r:id="rId2918" tooltip="Send a mail to info@sunlockblinds.com"/>
    <x:hyperlink ref="C4" r:id="rId2919" tooltip="Send a mail to info@gozoverticals.com"/>
    <x:hyperlink ref="C5" r:id="rId2920" tooltip="Send a mail to mghomeinteriorsltd@gmail.com"/>
    <x:hyperlink ref="C6" r:id="rId2921" tooltip="Send a mail to info@nigeldimech.com"/>
    <x:hyperlink ref="C7" r:id="rId2922" tooltip="Send a mail to sales@blinds4all.mt"/>
    <x:hyperlink ref="C8" r:id="rId2923" tooltip="Send a mail to kulurimalta@gmail.com"/>
    <x:hyperlink ref="C9" r:id="rId2924" tooltip="Send a mail to customercare@homemate.com.mt"/>
    <x:hyperlink ref="C10" r:id="rId2925" tooltip="Send a mail to info@bdblinds.mt"/>
    <x:hyperlink ref="C11" r:id="rId2926" tooltip="Send a mail to jysk@jysk.com.mt"/>
    <x:hyperlink ref="C12" r:id="rId2927" tooltip="Send a mail to hello@latenda.com.mt"/>
    <x:hyperlink ref="C13" r:id="rId2928" tooltip="Send a mail to info@yourblindsmalta.com"/>
    <x:hyperlink ref="C14" r:id="rId2929" tooltip="Send a mail to contactus@theatrium.com.mt"/>
    <x:hyperlink ref="C15" r:id="rId2930" tooltip="Send a mail to info@vicalinteriors.com"/>
    <x:hyperlink ref="C16" r:id="rId2931" tooltip="Send a mail to shop@megastore.com.mt"/>
    <x:hyperlink ref="C17" r:id="rId2932" tooltip="Send a mail to info@bigbeninteriors.com.mt"/>
    <x:hyperlink ref="C18" r:id="rId2933" tooltip="Send a mail to info@hml.com.mt"/>
    <x:hyperlink ref="C19" r:id="rId2934" tooltip="Send a mail to sales@dimech-ent.com"/>
    <x:hyperlink ref="C20" r:id="rId2935" tooltip="Send a mail to nblindsmalta@gmail.com"/>
    <x:hyperlink ref="C21" r:id="rId2936" tooltip="Send a mail to micasasolutions3@gmail.com"/>
    <x:hyperlink ref="C22" r:id="rId2937" tooltip="Send a mail to info@davidinteriors.com"/>
    <x:hyperlink ref="C23" r:id="rId2938" tooltip="Send a mail to sales@pvcmalta.com"/>
    <x:hyperlink ref="C24" r:id="rId2939" tooltip="Send a mail to zebrablindsmalta@gmail.com"/>
    <x:hyperlink ref="C25" r:id="rId2940" tooltip="Send a mail to sales@maltadiy.com"/>
    <x:hyperlink ref="C26" r:id="rId2941" tooltip="Send a mail to info@jbstores.com"/>
    <x:hyperlink ref="C27" r:id="rId2942" tooltip="Send a mail to infobudgetblindsmalta@gmail.com"/>
    <x:hyperlink ref="C29" r:id="rId2943" tooltip="Send a mail to info@royaltyscreens.com"/>
    <x:hyperlink ref="E2" r:id="rId2944" tooltip="Search 41 Triq in-Naxxar, San Ġwann, Malta SGN 9030 on Google Maps"/>
    <x:hyperlink ref="E3" r:id="rId2945" tooltip="Search Triq l-Imdina, Żebbuġ, ZBG 9016, Malta on Google Maps"/>
    <x:hyperlink ref="E4" r:id="rId2946" tooltip="Search MG Home Interiors Ltd, 2 Triq San Tumas, Ħal Luqa on Google Maps"/>
    <x:hyperlink ref="E5" r:id="rId2947" tooltip="Search KKW 721, Corradino &#10;Industrial Estate&#10;Paola, PLA 3000, Malta on Google Maps"/>
    <x:hyperlink ref="E6" r:id="rId2948" tooltip="Search Mriehel, Malta on Google Maps"/>
    <x:hyperlink ref="E7" r:id="rId2949" tooltip="Search Industrial Estate &#10;Bulebel, Zejtun&#10;ZTN 3000&#10;Malta on Google Maps"/>
    <x:hyperlink ref="E8" r:id="rId2950" tooltip="Search Triq-Il Mosta, Lija, Malta on Google Maps"/>
    <x:hyperlink ref="E9" r:id="rId2951" tooltip="Search 58, Daddy’s Court Flat 1, Triq Il-Pitkali, Attard on Google Maps"/>
    <x:hyperlink ref="E10" r:id="rId2952" tooltip="Search The Atrium, Giovanni Felice Street, Zone 3, Central Business District, Birkirkara CBD 3120 on Google Maps"/>
    <x:hyperlink ref="E11" r:id="rId2953" tooltip="Search 84, Qormi Road, Hamrun on Google Maps"/>
    <x:hyperlink ref="E12" r:id="rId2954" tooltip="Search Warehouse No. 25, Hard Rocks Industrial Park, Burmarrad Road, Naxxar, Malta on Google Maps"/>
    <x:hyperlink ref="E13" r:id="rId2955" tooltip="Search Naxxar Road, Birkirkara,&#10;Malta, BKR 9045 on Google Maps"/>
    <x:hyperlink ref="E14" r:id="rId2956" tooltip="Search HML Workshop, Cannon Road Qormi on Google Maps"/>
    <x:hyperlink ref="E15" r:id="rId2957" tooltip="Search Dimech Enterprises Ltd&#10;Centre Point, Triq Valletta&#10;Luqa &#10;Malta LQA 1762 on Google Maps"/>
    <x:hyperlink ref="E16" r:id="rId2958" tooltip="Search 219, Sanctuary Street, Zabbar, Malta on Google Maps"/>
    <x:hyperlink ref="E17" r:id="rId2959" tooltip="Search 156 Triq Ganu, Birkirkara, Malta on Google Maps"/>
    <x:hyperlink ref="E18" r:id="rId2960" tooltip="Search David Interiors, 161, St. Edwards Street, Qormi on Google Maps"/>
    <x:hyperlink ref="E19" r:id="rId2961" tooltip="Search L, 52 Triq Il- Muzika, Iklin IKL 1091 on Google Maps"/>
    <x:hyperlink ref="E20" r:id="rId2962" tooltip="Search JB Stores, JB House, Iklin Road, Iklin on Google Maps"/>
    <x:hyperlink ref="E21" r:id="rId2963" tooltip="Search Triq-il Bufura l-Hamra, Mosta on Google Maps"/>
    <x:hyperlink ref="E22" r:id="rId2964" tooltip="Search Zircon Suites Triq ta' Zejfa,Mosta, Malta. on Google Maps"/>
    <x:hyperlink ref="F2" r:id="rId2965" tooltip="Visit blindsandmore.com.mt"/>
    <x:hyperlink ref="F3" r:id="rId2966" tooltip="Visit sunlockblinds.com"/>
    <x:hyperlink ref="F4" r:id="rId2967" tooltip="Visit gozoverticals.com/"/>
    <x:hyperlink ref="F5" r:id="rId2968" tooltip="Visit mghomeinteriors.com/#services"/>
    <x:hyperlink ref="F6" r:id="rId2969" tooltip="Visit nigeldimech.com/"/>
    <x:hyperlink ref="F7" r:id="rId2970" tooltip="Visit facebook.com/blinds4allmalta"/>
    <x:hyperlink ref="F8" r:id="rId2971" tooltip="Visit kulurimalta.com/"/>
    <x:hyperlink ref="F9" r:id="rId2972" tooltip="Visit homemate.com.mt/"/>
    <x:hyperlink ref="F10" r:id="rId2973" tooltip="Visit bdblinds.mt/"/>
    <x:hyperlink ref="F11" r:id="rId2974" tooltip="Visit jysk.com.mt/"/>
    <x:hyperlink ref="F12" r:id="rId2975" tooltip="Visit latenda.com.mt/"/>
    <x:hyperlink ref="F13" r:id="rId2976" tooltip="Visit yourblindsmalta.com/"/>
    <x:hyperlink ref="F14" r:id="rId2977" tooltip="Visit theatrium.com.mt/living"/>
    <x:hyperlink ref="F15" r:id="rId2978" tooltip="Visit vicalinteriors.com/"/>
    <x:hyperlink ref="F16" r:id="rId2979" tooltip="Visit megastore.com.mt/"/>
    <x:hyperlink ref="F17" r:id="rId2980" tooltip="Visit bigbeninteriors.com.mt/"/>
    <x:hyperlink ref="F18" r:id="rId2981" tooltip="Visit hml.com.mt/"/>
    <x:hyperlink ref="F19" r:id="rId2982" tooltip="Visit dimech-ent.com/"/>
    <x:hyperlink ref="F20" r:id="rId2983" tooltip="Visit facebook.com/nblindsmalta/?utm_source=chatgpt.com"/>
    <x:hyperlink ref="F21" r:id="rId2984" tooltip="Visit micasasolutions.eu/"/>
    <x:hyperlink ref="F22" r:id="rId2985" tooltip="Visit davidinteriors.com/en/home.htm"/>
    <x:hyperlink ref="F23" r:id="rId2986" tooltip="Visit pvcmalta.com/en/home.htm"/>
    <x:hyperlink ref="F24" r:id="rId2987" tooltip="Visit zebrablindsmalta.com/"/>
    <x:hyperlink ref="F25" r:id="rId2988" tooltip="Visit maltadiy.com/"/>
    <x:hyperlink ref="F26" r:id="rId2989" tooltip="Visit jbstoresonline.com/"/>
    <x:hyperlink ref="F27" r:id="rId2990" tooltip="Visit budgetblinds.mt/"/>
    <x:hyperlink ref="F29" r:id="rId2991" tooltip="Visit royaltyscreens.com/contact-us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87"/>
  <x:sheetViews>
    <x:sheetView workbookViewId="0"/>
  </x:sheetViews>
  <x:sheetFormatPr defaultRowHeight="15"/>
  <x:cols>
    <x:col min="1" max="1" width="10.567768" style="0" customWidth="1"/>
    <x:col min="2" max="2" width="33.424911" style="0" customWidth="1"/>
    <x:col min="3" max="3" width="35.853482" style="0" customWidth="1"/>
    <x:col min="4" max="4" width="45.282054" style="0" customWidth="1"/>
    <x:col min="5" max="5" width="61.282054" style="0" customWidth="1"/>
    <x:col min="6" max="6" width="144.282054" style="0" customWidth="1"/>
    <x:col min="7" max="7" width="20.996339" style="0" customWidth="1"/>
  </x:cols>
  <x:sheetData>
    <x:row r="1" spans="1:7" s="2" customFormat="1">
      <x:c r="A1" s="2" t="s">
        <x:v>2594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5">
        <x:f>HYPERLINK("#'Summary List'!A45", "Back to Summary")</x:f>
      </x:c>
    </x:row>
    <x:row r="2" spans="1:7" s="3" customFormat="1">
      <x:c r="A2" s="3" t="s">
        <x:v>0</x:v>
      </x:c>
      <x:c r="B2" s="3" t="s">
        <x:v>2598</x:v>
      </x:c>
      <x:c r="C2" s="6" t="s">
        <x:v>2649</x:v>
      </x:c>
      <x:c r="D2" s="7">
        <x:f>CONCATENATE(HYPERLINK("CALLTO:%2B356%202144%205533", "+356 2144 5533"))</x:f>
      </x:c>
      <x:c r="E2" s="6" t="s">
        <x:v>2705</x:v>
      </x:c>
      <x:c r="F2" s="6" t="s">
        <x:v>2704</x:v>
      </x:c>
    </x:row>
    <x:row r="3" spans="1:7" s="1" customFormat="1">
      <x:c r="A3" s="1" t="s">
        <x:v>2595</x:v>
      </x:c>
      <x:c r="B3" s="1" t="s">
        <x:v>2599</x:v>
      </x:c>
      <x:c r="C3" s="8" t="s">
        <x:v>2650</x:v>
      </x:c>
      <x:c r="D3" s="9">
        <x:f>CONCATENATE(HYPERLINK("CALLTO:%2B356%207930%200112", "+356 7930 0112"), " / ", HYPERLINK("CALLTO:%2B356%209930%200112", "+356 9930 0112"))</x:f>
      </x:c>
      <x:c r="E3" s="8" t="s">
        <x:v>2706</x:v>
      </x:c>
      <x:c r="F3" s="8" t="s">
        <x:v>2702</x:v>
      </x:c>
    </x:row>
    <x:row r="4" spans="1:7" s="4" customFormat="1">
      <x:c r="A4" s="4" t="s">
        <x:v>2595</x:v>
      </x:c>
      <x:c r="B4" s="4" t="s">
        <x:v>2600</x:v>
      </x:c>
      <x:c r="C4" s="10" t="s">
        <x:v>2651</x:v>
      </x:c>
      <x:c r="D4" s="11">
        <x:f>CONCATENATE(HYPERLINK("CALLTO:%2B356%202131%208181", "+356 2131 8181"))</x:f>
      </x:c>
      <x:c r="E4" s="10" t="s">
        <x:v>2707</x:v>
      </x:c>
      <x:c r="F4" s="10" t="s">
        <x:v>2701</x:v>
      </x:c>
    </x:row>
    <x:row r="5" spans="1:7" s="3" customFormat="1">
      <x:c r="A5" s="3" t="s">
        <x:v>2595</x:v>
      </x:c>
      <x:c r="B5" s="3" t="s">
        <x:v>2602</x:v>
      </x:c>
      <x:c r="C5" s="6" t="s">
        <x:v>2652</x:v>
      </x:c>
      <x:c r="D5" s="7">
        <x:f>CONCATENATE(HYPERLINK("CALLTO:%2B356%207981%209905", "+356 7981 9905"))</x:f>
      </x:c>
      <x:c r="E5" s="6" t="s">
        <x:v>2708</x:v>
      </x:c>
      <x:c r="F5" s="6" t="s">
        <x:v>2703</x:v>
      </x:c>
    </x:row>
    <x:row r="6" spans="1:7" s="1" customFormat="1">
      <x:c r="A6" s="1" t="s">
        <x:v>2595</x:v>
      </x:c>
      <x:c r="B6" s="1" t="s">
        <x:v>2601</x:v>
      </x:c>
      <x:c r="C6" s="8" t="s">
        <x:v>2653</x:v>
      </x:c>
      <x:c r="D6" s="9">
        <x:f>CONCATENATE(HYPERLINK("CALLTO:%2B356%202122%207746", "+356 2122 7746"))</x:f>
      </x:c>
      <x:c r="E6" s="8" t="s">
        <x:v>2709</x:v>
      </x:c>
      <x:c r="F6" s="8" t="s">
        <x:v>2700</x:v>
      </x:c>
    </x:row>
    <x:row r="7" spans="1:7" s="4" customFormat="1">
      <x:c r="A7" s="4" t="s">
        <x:v>2595</x:v>
      </x:c>
      <x:c r="B7" s="4" t="s">
        <x:v>2603</x:v>
      </x:c>
      <x:c r="C7" s="10" t="s">
        <x:v>2654</x:v>
      </x:c>
      <x:c r="D7" s="11">
        <x:f>CONCATENATE(HYPERLINK("CALLTO:%2B356%207905%200568", "+356 7905 0568"))</x:f>
      </x:c>
      <x:c r="E7" s="10" t="s">
        <x:v>2710</x:v>
      </x:c>
      <x:c r="F7" s="10" t="s">
        <x:v>2755</x:v>
      </x:c>
    </x:row>
    <x:row r="8" spans="1:7" s="3" customFormat="1">
      <x:c r="A8" s="3" t="s">
        <x:v>2595</x:v>
      </x:c>
      <x:c r="B8" s="3" t="s">
        <x:v>2604</x:v>
      </x:c>
      <x:c r="C8" s="6" t="s">
        <x:v>2655</x:v>
      </x:c>
      <x:c r="D8" s="7">
        <x:f>CONCATENATE(HYPERLINK("CALLTO:%2B356%202248%204623", "+356 2248 4623"))</x:f>
      </x:c>
      <x:c r="E8" s="6" t="s">
        <x:v>2711</x:v>
      </x:c>
      <x:c r="F8" s="6" t="s">
        <x:v>2062</x:v>
      </x:c>
    </x:row>
    <x:row r="9" spans="1:7" s="1" customFormat="1">
      <x:c r="A9" s="1" t="s">
        <x:v>2596</x:v>
      </x:c>
      <x:c r="B9" s="1" t="s">
        <x:v>2598</x:v>
      </x:c>
      <x:c r="C9" s="8" t="s">
        <x:v>2649</x:v>
      </x:c>
      <x:c r="D9" s="9">
        <x:f>CONCATENATE(HYPERLINK("CALLTO:%2B356%202144%205533", "+356 2144 5533"))</x:f>
      </x:c>
      <x:c r="E9" s="8" t="s">
        <x:v>2705</x:v>
      </x:c>
      <x:c r="F9" s="8" t="s">
        <x:v>2704</x:v>
      </x:c>
    </x:row>
    <x:row r="10" spans="1:7" s="4" customFormat="1">
      <x:c r="A10" s="4" t="s">
        <x:v>2596</x:v>
      </x:c>
      <x:c r="B10" s="4" t="s">
        <x:v>2602</x:v>
      </x:c>
      <x:c r="C10" s="10" t="s">
        <x:v>2652</x:v>
      </x:c>
      <x:c r="D10" s="11">
        <x:f>CONCATENATE(HYPERLINK("CALLTO:%2B356%207981%209905", "+356 7981 9905"))</x:f>
      </x:c>
      <x:c r="E10" s="10" t="s">
        <x:v>2708</x:v>
      </x:c>
      <x:c r="F10" s="10" t="s">
        <x:v>2703</x:v>
      </x:c>
    </x:row>
    <x:row r="11" spans="1:7" s="3" customFormat="1">
      <x:c r="A11" s="3" t="s">
        <x:v>2596</x:v>
      </x:c>
      <x:c r="B11" s="3" t="s">
        <x:v>2599</x:v>
      </x:c>
      <x:c r="C11" s="6" t="s">
        <x:v>2650</x:v>
      </x:c>
      <x:c r="D11" s="7">
        <x:f>CONCATENATE(HYPERLINK("CALLTO:%2B356%207930%200112", "+356 7930 0112"), " / ", HYPERLINK("CALLTO:%2B356%209930%200112", "+356 9930 0112"))</x:f>
      </x:c>
      <x:c r="E11" s="6" t="s">
        <x:v>2706</x:v>
      </x:c>
      <x:c r="F11" s="6" t="s">
        <x:v>2702</x:v>
      </x:c>
    </x:row>
    <x:row r="12" spans="1:7" s="1" customFormat="1">
      <x:c r="A12" s="1" t="s">
        <x:v>2596</x:v>
      </x:c>
      <x:c r="B12" s="1" t="s">
        <x:v>2600</x:v>
      </x:c>
      <x:c r="C12" s="8" t="s">
        <x:v>2651</x:v>
      </x:c>
      <x:c r="D12" s="9">
        <x:f>CONCATENATE(HYPERLINK("CALLTO:%2B356%202131%208181", "+356 2131 8181"))</x:f>
      </x:c>
      <x:c r="E12" s="8" t="s">
        <x:v>2707</x:v>
      </x:c>
      <x:c r="F12" s="8" t="s">
        <x:v>2701</x:v>
      </x:c>
    </x:row>
    <x:row r="13" spans="1:7" s="4" customFormat="1">
      <x:c r="A13" s="4" t="s">
        <x:v>2596</x:v>
      </x:c>
      <x:c r="B13" s="4" t="s">
        <x:v>2605</x:v>
      </x:c>
      <x:c r="C13" s="10" t="s">
        <x:v>2656</x:v>
      </x:c>
      <x:c r="D13" s="11">
        <x:f>CONCATENATE(HYPERLINK("CALLTO:%2B356%202149%200758", "+356 2149 0758"))</x:f>
      </x:c>
      <x:c r="E13" s="10" t="s">
        <x:v>2712</x:v>
      </x:c>
      <x:c r="F13" s="10" t="s">
        <x:v>2754</x:v>
      </x:c>
    </x:row>
    <x:row r="14" spans="1:7" s="3" customFormat="1">
      <x:c r="A14" s="3" t="s">
        <x:v>2596</x:v>
      </x:c>
      <x:c r="B14" s="3" t="s">
        <x:v>2606</x:v>
      </x:c>
      <x:c r="C14" s="6" t="s">
        <x:v>2657</x:v>
      </x:c>
      <x:c r="D14" s="7">
        <x:f>CONCATENATE(HYPERLINK("CALLTO:%2B356%207999%206119", "+356 7999 6119"))</x:f>
      </x:c>
      <x:c r="E14" s="6" t="s">
        <x:v>2713</x:v>
      </x:c>
      <x:c r="F14" s="6" t="s">
        <x:v>2757</x:v>
      </x:c>
    </x:row>
    <x:row r="15" spans="1:7" s="1" customFormat="1">
      <x:c r="A15" s="1" t="s">
        <x:v>2596</x:v>
      </x:c>
      <x:c r="B15" s="1" t="s">
        <x:v>2607</x:v>
      </x:c>
      <x:c r="C15" s="8" t="s">
        <x:v>2658</x:v>
      </x:c>
      <x:c r="D15" s="9">
        <x:f>CONCATENATE(HYPERLINK("CALLTO:%2B356%207944%204378", "+356 7944 4378"))</x:f>
      </x:c>
      <x:c r="E15" s="8" t="s">
        <x:v>2714</x:v>
      </x:c>
      <x:c r="F15" s="1" t="s">
        <x:v>144</x:v>
      </x:c>
    </x:row>
    <x:row r="16" spans="1:7" s="4" customFormat="1">
      <x:c r="A16" s="4" t="s">
        <x:v>2596</x:v>
      </x:c>
      <x:c r="B16" s="4" t="s">
        <x:v>2608</x:v>
      </x:c>
      <x:c r="C16" s="10" t="s">
        <x:v>2659</x:v>
      </x:c>
      <x:c r="D16" s="11">
        <x:f>CONCATENATE(HYPERLINK("CALLTO:%2B356%209942%200739", "+356 9942 0739"))</x:f>
      </x:c>
      <x:c r="E16" s="10" t="s">
        <x:v>2715</x:v>
      </x:c>
      <x:c r="F16" s="4" t="s">
        <x:v>144</x:v>
      </x:c>
    </x:row>
    <x:row r="17" spans="1:7" s="3" customFormat="1">
      <x:c r="A17" s="3" t="s">
        <x:v>2596</x:v>
      </x:c>
      <x:c r="B17" s="3" t="s">
        <x:v>2609</x:v>
      </x:c>
      <x:c r="C17" s="6" t="s">
        <x:v>2660</x:v>
      </x:c>
      <x:c r="D17" s="7">
        <x:f>CONCATENATE(HYPERLINK("CALLTO:%2B356%207757%200570", "+356 7757 0570"))</x:f>
      </x:c>
      <x:c r="E17" s="6" t="s">
        <x:v>2716</x:v>
      </x:c>
      <x:c r="F17" s="6" t="s">
        <x:v>2758</x:v>
      </x:c>
    </x:row>
    <x:row r="18" spans="1:7" s="1" customFormat="1">
      <x:c r="A18" s="1" t="s">
        <x:v>2596</x:v>
      </x:c>
      <x:c r="B18" s="1" t="s">
        <x:v>2610</x:v>
      </x:c>
      <x:c r="C18" s="8" t="s">
        <x:v>2661</x:v>
      </x:c>
      <x:c r="D18" s="9">
        <x:f>CONCATENATE(HYPERLINK("CALLTO:%2B356%202148%203673", "+356 2148 3673"))</x:f>
      </x:c>
      <x:c r="E18" s="8" t="s">
        <x:v>2717</x:v>
      </x:c>
      <x:c r="F18" s="8" t="s">
        <x:v>2759</x:v>
      </x:c>
    </x:row>
    <x:row r="19" spans="1:7" s="4" customFormat="1">
      <x:c r="A19" s="4" t="s">
        <x:v>2596</x:v>
      </x:c>
      <x:c r="B19" s="4" t="s">
        <x:v>2611</x:v>
      </x:c>
      <x:c r="C19" s="10" t="s">
        <x:v>2662</x:v>
      </x:c>
      <x:c r="D19" s="11">
        <x:f>CONCATENATE(HYPERLINK("CALLTO:%2B356%202166%208022", "+356 2166 8022"))</x:f>
      </x:c>
      <x:c r="E19" s="10" t="s">
        <x:v>2718</x:v>
      </x:c>
      <x:c r="F19" s="10" t="s">
        <x:v>2760</x:v>
      </x:c>
    </x:row>
    <x:row r="20" spans="1:7" s="3" customFormat="1">
      <x:c r="A20" s="3" t="s">
        <x:v>2596</x:v>
      </x:c>
      <x:c r="B20" s="3" t="s">
        <x:v>2612</x:v>
      </x:c>
      <x:c r="C20" s="6" t="s">
        <x:v>2663</x:v>
      </x:c>
      <x:c r="D20" s="7">
        <x:f>CONCATENATE(HYPERLINK("CALLTO:%2B356%207959%204611", "+356 7959 4611"))</x:f>
      </x:c>
      <x:c r="E20" s="6" t="s">
        <x:v>2719</x:v>
      </x:c>
      <x:c r="F20" s="3" t="s">
        <x:v>144</x:v>
      </x:c>
    </x:row>
    <x:row r="21" spans="1:7" s="1" customFormat="1">
      <x:c r="A21" s="1" t="s">
        <x:v>2596</x:v>
      </x:c>
      <x:c r="B21" s="1" t="s">
        <x:v>2613</x:v>
      </x:c>
      <x:c r="C21" s="8" t="s">
        <x:v>2664</x:v>
      </x:c>
      <x:c r="D21" s="9">
        <x:f>CONCATENATE(HYPERLINK("CALLTO:%2B356%209942%204999", "+356 9942 4999"))</x:f>
      </x:c>
      <x:c r="E21" s="8" t="s">
        <x:v>2720</x:v>
      </x:c>
      <x:c r="F21" s="8" t="s">
        <x:v>2761</x:v>
      </x:c>
    </x:row>
    <x:row r="22" spans="1:7" s="4" customFormat="1">
      <x:c r="A22" s="4" t="s">
        <x:v>2596</x:v>
      </x:c>
      <x:c r="B22" s="4" t="s">
        <x:v>2614</x:v>
      </x:c>
      <x:c r="C22" s="10" t="s">
        <x:v>2665</x:v>
      </x:c>
      <x:c r="D22" s="11">
        <x:f>CONCATENATE(HYPERLINK("CALLTO:%2B356%209922%202759", "+356 9922 2759"))</x:f>
      </x:c>
      <x:c r="E22" s="10" t="s">
        <x:v>2721</x:v>
      </x:c>
      <x:c r="F22" s="10" t="s">
        <x:v>2762</x:v>
      </x:c>
    </x:row>
    <x:row r="23" spans="1:7" s="3" customFormat="1">
      <x:c r="A23" s="3" t="s">
        <x:v>2596</x:v>
      </x:c>
      <x:c r="B23" s="3" t="s">
        <x:v>2615</x:v>
      </x:c>
      <x:c r="C23" s="6" t="s">
        <x:v>2666</x:v>
      </x:c>
      <x:c r="D23" s="7">
        <x:f>CONCATENATE(HYPERLINK("CALLTO:%2B356%209946%206156", "+356 9946 6156"))</x:f>
      </x:c>
      <x:c r="E23" s="6" t="s">
        <x:v>2722</x:v>
      </x:c>
      <x:c r="F23" s="3" t="s">
        <x:v>144</x:v>
      </x:c>
    </x:row>
    <x:row r="24" spans="1:7" s="1" customFormat="1">
      <x:c r="A24" s="1" t="s">
        <x:v>2596</x:v>
      </x:c>
      <x:c r="B24" s="1" t="s">
        <x:v>2616</x:v>
      </x:c>
      <x:c r="C24" s="8" t="s">
        <x:v>2667</x:v>
      </x:c>
      <x:c r="D24" s="9">
        <x:f>CONCATENATE(HYPERLINK("CALLTO:%2B356%209990%203317", "+356 9990 3317"))</x:f>
      </x:c>
      <x:c r="E24" s="8" t="s">
        <x:v>2723</x:v>
      </x:c>
      <x:c r="F24" s="8" t="s">
        <x:v>2763</x:v>
      </x:c>
    </x:row>
    <x:row r="25" spans="1:7" s="4" customFormat="1">
      <x:c r="A25" s="4" t="s">
        <x:v>2596</x:v>
      </x:c>
      <x:c r="B25" s="4" t="s">
        <x:v>2617</x:v>
      </x:c>
      <x:c r="C25" s="10" t="s">
        <x:v>2668</x:v>
      </x:c>
      <x:c r="D25" s="11">
        <x:f>CONCATENATE(HYPERLINK("CALLTO:%2B356%207992%200158", "+356 7992 0158"))</x:f>
      </x:c>
      <x:c r="E25" s="10" t="s">
        <x:v>2724</x:v>
      </x:c>
      <x:c r="F25" s="10" t="s">
        <x:v>2764</x:v>
      </x:c>
    </x:row>
    <x:row r="26" spans="1:7" s="3" customFormat="1">
      <x:c r="A26" s="3" t="s">
        <x:v>2596</x:v>
      </x:c>
      <x:c r="B26" s="3" t="s">
        <x:v>2618</x:v>
      </x:c>
      <x:c r="C26" s="6" t="s">
        <x:v>2669</x:v>
      </x:c>
      <x:c r="D26" s="7">
        <x:f>CONCATENATE(HYPERLINK("CALLTO:%2B356%209942%201912", "+356 9942 1912"))</x:f>
      </x:c>
      <x:c r="E26" s="6" t="s">
        <x:v>2725</x:v>
      </x:c>
      <x:c r="F26" s="6" t="s">
        <x:v>2765</x:v>
      </x:c>
    </x:row>
    <x:row r="27" spans="1:7" s="1" customFormat="1">
      <x:c r="A27" s="1" t="s">
        <x:v>2596</x:v>
      </x:c>
      <x:c r="B27" s="1" t="s">
        <x:v>2619</x:v>
      </x:c>
      <x:c r="C27" s="8" t="s">
        <x:v>2670</x:v>
      </x:c>
      <x:c r="D27" s="9">
        <x:f>CONCATENATE(HYPERLINK("CALLTO:%2B356%209942%208635", "+356 9942 8635"))</x:f>
      </x:c>
      <x:c r="E27" s="8" t="s">
        <x:v>2726</x:v>
      </x:c>
      <x:c r="F27" s="8" t="s">
        <x:v>2766</x:v>
      </x:c>
    </x:row>
    <x:row r="28" spans="1:7" s="4" customFormat="1">
      <x:c r="A28" s="4" t="s">
        <x:v>2596</x:v>
      </x:c>
      <x:c r="B28" s="4" t="s">
        <x:v>2620</x:v>
      </x:c>
      <x:c r="C28" s="10" t="s">
        <x:v>2671</x:v>
      </x:c>
      <x:c r="D28" s="11">
        <x:f>CONCATENATE(HYPERLINK("CALLTO:%2B356%209999%203030", "+356 9999 3030"))</x:f>
      </x:c>
      <x:c r="E28" s="10" t="s">
        <x:v>2727</x:v>
      </x:c>
      <x:c r="F28" s="10" t="s">
        <x:v>2767</x:v>
      </x:c>
    </x:row>
    <x:row r="29" spans="1:7" s="3" customFormat="1">
      <x:c r="A29" s="3" t="s">
        <x:v>2596</x:v>
      </x:c>
      <x:c r="B29" s="3" t="s">
        <x:v>2621</x:v>
      </x:c>
      <x:c r="C29" s="6" t="s">
        <x:v>2672</x:v>
      </x:c>
      <x:c r="D29" s="7">
        <x:f>CONCATENATE(HYPERLINK("CALLTO:%2B356%207900%202878", "+356 7900 2878"))</x:f>
      </x:c>
      <x:c r="E29" s="6" t="s">
        <x:v>2728</x:v>
      </x:c>
      <x:c r="F29" s="6" t="s">
        <x:v>2768</x:v>
      </x:c>
    </x:row>
    <x:row r="30" spans="1:7" s="1" customFormat="1">
      <x:c r="A30" s="1" t="s">
        <x:v>2596</x:v>
      </x:c>
      <x:c r="B30" s="1" t="s">
        <x:v>2622</x:v>
      </x:c>
      <x:c r="C30" s="8" t="s">
        <x:v>2673</x:v>
      </x:c>
      <x:c r="D30" s="9">
        <x:f>CONCATENATE(HYPERLINK("CALLTO:%2B356%202152%204645", "+356 2152 4645"))</x:f>
      </x:c>
      <x:c r="E30" s="8" t="s">
        <x:v>2729</x:v>
      </x:c>
      <x:c r="F30" s="8" t="s">
        <x:v>2769</x:v>
      </x:c>
    </x:row>
    <x:row r="31" spans="1:7" s="4" customFormat="1">
      <x:c r="A31" s="4" t="s">
        <x:v>2596</x:v>
      </x:c>
      <x:c r="B31" s="4" t="s">
        <x:v>2623</x:v>
      </x:c>
      <x:c r="C31" s="10" t="s">
        <x:v>2674</x:v>
      </x:c>
      <x:c r="D31" s="11">
        <x:f>CONCATENATE(HYPERLINK("CALLTO:%2B356%202124%201318", "+356 2124 1318"))</x:f>
      </x:c>
      <x:c r="E31" s="10" t="s">
        <x:v>2730</x:v>
      </x:c>
      <x:c r="F31" s="4" t="s">
        <x:v>144</x:v>
      </x:c>
    </x:row>
    <x:row r="32" spans="1:7" s="3" customFormat="1">
      <x:c r="A32" s="3" t="s">
        <x:v>2596</x:v>
      </x:c>
      <x:c r="B32" s="3" t="s">
        <x:v>2624</x:v>
      </x:c>
      <x:c r="C32" s="6" t="s">
        <x:v>2675</x:v>
      </x:c>
      <x:c r="D32" s="7">
        <x:f>CONCATENATE(HYPERLINK("CALLTO:%2B356%209950%207809", "+356 9950 7809"))</x:f>
      </x:c>
      <x:c r="E32" s="6" t="s">
        <x:v>2731</x:v>
      </x:c>
      <x:c r="F32" s="6" t="s">
        <x:v>2770</x:v>
      </x:c>
    </x:row>
    <x:row r="33" spans="1:7" s="1" customFormat="1">
      <x:c r="A33" s="1" t="s">
        <x:v>2596</x:v>
      </x:c>
      <x:c r="B33" s="1" t="s">
        <x:v>2625</x:v>
      </x:c>
      <x:c r="C33" s="8" t="s">
        <x:v>2676</x:v>
      </x:c>
      <x:c r="D33" s="9">
        <x:f>CONCATENATE(HYPERLINK("CALLTO:%2B356%209944%206089", "+356 9944 6089"))</x:f>
      </x:c>
      <x:c r="E33" s="8" t="s">
        <x:v>2732</x:v>
      </x:c>
      <x:c r="F33" s="8" t="s">
        <x:v>2771</x:v>
      </x:c>
    </x:row>
    <x:row r="34" spans="1:7" s="4" customFormat="1">
      <x:c r="A34" s="4" t="s">
        <x:v>2596</x:v>
      </x:c>
      <x:c r="B34" s="4" t="s">
        <x:v>2603</x:v>
      </x:c>
      <x:c r="C34" s="10" t="s">
        <x:v>2654</x:v>
      </x:c>
      <x:c r="D34" s="11">
        <x:f>CONCATENATE(HYPERLINK("CALLTO:%2B356%207905%200568", "+356 7905 0568"))</x:f>
      </x:c>
      <x:c r="E34" s="10" t="s">
        <x:v>2710</x:v>
      </x:c>
      <x:c r="F34" s="10" t="s">
        <x:v>2755</x:v>
      </x:c>
    </x:row>
    <x:row r="35" spans="1:7" s="3" customFormat="1">
      <x:c r="A35" s="3" t="s">
        <x:v>2596</x:v>
      </x:c>
      <x:c r="B35" s="3" t="s">
        <x:v>2626</x:v>
      </x:c>
      <x:c r="C35" s="6" t="s">
        <x:v>2677</x:v>
      </x:c>
      <x:c r="D35" s="7">
        <x:f>CONCATENATE(HYPERLINK("CALLTO:%2B356%202124%209707", "+356 2124 9707"))</x:f>
      </x:c>
      <x:c r="E35" s="6" t="s">
        <x:v>2733</x:v>
      </x:c>
      <x:c r="F35" s="6" t="s">
        <x:v>2756</x:v>
      </x:c>
    </x:row>
    <x:row r="36" spans="1:7" s="1" customFormat="1">
      <x:c r="A36" s="1" t="s">
        <x:v>2596</x:v>
      </x:c>
      <x:c r="B36" s="1" t="s">
        <x:v>2627</x:v>
      </x:c>
      <x:c r="C36" s="8" t="s">
        <x:v>2678</x:v>
      </x:c>
      <x:c r="D36" s="9">
        <x:f>CONCATENATE(HYPERLINK("CALLTO:%2B356%202144%203538", "+356 2144 3538"))</x:f>
      </x:c>
      <x:c r="E36" s="8" t="s">
        <x:v>2734</x:v>
      </x:c>
      <x:c r="F36" s="8" t="s">
        <x:v>2773</x:v>
      </x:c>
    </x:row>
    <x:row r="37" spans="1:7" s="4" customFormat="1">
      <x:c r="A37" s="4" t="s">
        <x:v>2596</x:v>
      </x:c>
      <x:c r="B37" s="4" t="s">
        <x:v>2628</x:v>
      </x:c>
      <x:c r="C37" s="10" t="s">
        <x:v>2679</x:v>
      </x:c>
      <x:c r="D37" s="11">
        <x:f>CONCATENATE(HYPERLINK("CALLTO:%2B356%202760%205017", "+356 2760 5017"))</x:f>
      </x:c>
      <x:c r="E37" s="10" t="s">
        <x:v>2736</x:v>
      </x:c>
      <x:c r="F37" s="10" t="s">
        <x:v>2774</x:v>
      </x:c>
    </x:row>
    <x:row r="38" spans="1:7" s="3" customFormat="1">
      <x:c r="A38" s="3" t="s">
        <x:v>2596</x:v>
      </x:c>
      <x:c r="B38" s="3" t="s">
        <x:v>2629</x:v>
      </x:c>
      <x:c r="C38" s="6" t="s">
        <x:v>2680</x:v>
      </x:c>
      <x:c r="D38" s="7">
        <x:f>CONCATENATE(HYPERLINK("CALLTO:%2B356%202143%204400", "+356 2143 4400"))</x:f>
      </x:c>
      <x:c r="E38" s="6" t="s">
        <x:v>2735</x:v>
      </x:c>
      <x:c r="F38" s="6" t="s">
        <x:v>2775</x:v>
      </x:c>
    </x:row>
    <x:row r="39" spans="1:7" s="1" customFormat="1">
      <x:c r="A39" s="1" t="s">
        <x:v>2596</x:v>
      </x:c>
      <x:c r="B39" s="1" t="s">
        <x:v>2630</x:v>
      </x:c>
      <x:c r="C39" s="8" t="s">
        <x:v>2681</x:v>
      </x:c>
      <x:c r="D39" s="9">
        <x:f>CONCATENATE(HYPERLINK("CALLTO:%2B356%202144%204398", "+356 2144 4398"))</x:f>
      </x:c>
      <x:c r="E39" s="8" t="s">
        <x:v>2737</x:v>
      </x:c>
      <x:c r="F39" s="8" t="s">
        <x:v>2776</x:v>
      </x:c>
    </x:row>
    <x:row r="40" spans="1:7" s="4" customFormat="1">
      <x:c r="A40" s="4" t="s">
        <x:v>2596</x:v>
      </x:c>
      <x:c r="B40" s="4" t="s">
        <x:v>2631</x:v>
      </x:c>
      <x:c r="C40" s="10" t="s">
        <x:v>2682</x:v>
      </x:c>
      <x:c r="D40" s="11">
        <x:f>CONCATENATE(HYPERLINK("CALLTO:%2B356%202278%205200", "+356 2278 5200"))</x:f>
      </x:c>
      <x:c r="E40" s="10" t="s">
        <x:v>2738</x:v>
      </x:c>
      <x:c r="F40" s="10" t="s">
        <x:v>2777</x:v>
      </x:c>
    </x:row>
    <x:row r="41" spans="1:7" s="3" customFormat="1">
      <x:c r="A41" s="3" t="s">
        <x:v>2596</x:v>
      </x:c>
      <x:c r="B41" s="3" t="s">
        <x:v>2632</x:v>
      </x:c>
      <x:c r="C41" s="6" t="s">
        <x:v>2683</x:v>
      </x:c>
      <x:c r="D41" s="7">
        <x:f>CONCATENATE(HYPERLINK("CALLTO:%2B356%202146%203618", "+356 2146 3618"))</x:f>
      </x:c>
      <x:c r="E41" s="6" t="s">
        <x:v>2739</x:v>
      </x:c>
      <x:c r="F41" s="6" t="s">
        <x:v>2778</x:v>
      </x:c>
    </x:row>
    <x:row r="42" spans="1:7" s="1" customFormat="1">
      <x:c r="A42" s="1" t="s">
        <x:v>2596</x:v>
      </x:c>
      <x:c r="B42" s="1" t="s">
        <x:v>2633</x:v>
      </x:c>
      <x:c r="C42" s="8" t="s">
        <x:v>2684</x:v>
      </x:c>
      <x:c r="D42" s="9">
        <x:f>CONCATENATE(HYPERLINK("CALLTO:%2B356%209949%208033", "+356 9949 8033"))</x:f>
      </x:c>
      <x:c r="E42" s="8" t="s">
        <x:v>2740</x:v>
      </x:c>
      <x:c r="F42" s="8" t="s">
        <x:v>2779</x:v>
      </x:c>
    </x:row>
    <x:row r="43" spans="1:7" s="4" customFormat="1">
      <x:c r="A43" s="4" t="s">
        <x:v>2596</x:v>
      </x:c>
      <x:c r="B43" s="4" t="s">
        <x:v>2634</x:v>
      </x:c>
      <x:c r="C43" s="10" t="s">
        <x:v>2685</x:v>
      </x:c>
      <x:c r="D43" s="11">
        <x:f>CONCATENATE(HYPERLINK("CALLTO:%2B356%207979%203611", "+356 7979 3611"))</x:f>
      </x:c>
      <x:c r="E43" s="10" t="s">
        <x:v>2741</x:v>
      </x:c>
      <x:c r="F43" s="10" t="s">
        <x:v>2780</x:v>
      </x:c>
    </x:row>
    <x:row r="44" spans="1:7" s="3" customFormat="1">
      <x:c r="A44" s="3" t="s">
        <x:v>2596</x:v>
      </x:c>
      <x:c r="B44" s="3" t="s">
        <x:v>2635</x:v>
      </x:c>
      <x:c r="C44" s="6" t="s">
        <x:v>2686</x:v>
      </x:c>
      <x:c r="D44" s="7">
        <x:f>CONCATENATE(HYPERLINK("CALLTO:%2B356%207937%206112", "+356 7937 6112"), " / ", HYPERLINK("CALLTO:%2B356%202010%202121", "+356 2010 2121"), " / ", HYPERLINK("CALLTO:%2B356%207939%200636", "+356 7939 0636"))</x:f>
      </x:c>
      <x:c r="E44" s="6" t="s">
        <x:v>2742</x:v>
      </x:c>
      <x:c r="F44" s="6" t="s">
        <x:v>2781</x:v>
      </x:c>
    </x:row>
    <x:row r="45" spans="1:7" s="1" customFormat="1">
      <x:c r="A45" s="1" t="s">
        <x:v>2597</x:v>
      </x:c>
      <x:c r="B45" s="1" t="s">
        <x:v>2636</x:v>
      </x:c>
      <x:c r="C45" s="8" t="s">
        <x:v>2687</x:v>
      </x:c>
      <x:c r="D45" s="9">
        <x:f>CONCATENATE(HYPERLINK("CALLTO:%2B356%202138%200309", "+356 2138 0309"))</x:f>
      </x:c>
      <x:c r="E45" s="8" t="s">
        <x:v>2743</x:v>
      </x:c>
      <x:c r="F45" s="8" t="s">
        <x:v>2782</x:v>
      </x:c>
    </x:row>
    <x:row r="46" spans="1:7" s="4" customFormat="1">
      <x:c r="A46" s="4" t="s">
        <x:v>2597</x:v>
      </x:c>
      <x:c r="B46" s="4" t="s">
        <x:v>2637</x:v>
      </x:c>
      <x:c r="C46" s="10" t="s">
        <x:v>2688</x:v>
      </x:c>
      <x:c r="D46" s="11">
        <x:f>CONCATENATE(HYPERLINK("CALLTO:%2B356%202142%204750", "+356 2142 4750"))</x:f>
      </x:c>
      <x:c r="E46" s="10" t="s">
        <x:v>2744</x:v>
      </x:c>
      <x:c r="F46" s="10" t="s">
        <x:v>2783</x:v>
      </x:c>
    </x:row>
    <x:row r="47" spans="1:7" s="3" customFormat="1">
      <x:c r="A47" s="3" t="s">
        <x:v>2597</x:v>
      </x:c>
      <x:c r="B47" s="3" t="s">
        <x:v>2638</x:v>
      </x:c>
      <x:c r="C47" s="6" t="s">
        <x:v>2689</x:v>
      </x:c>
      <x:c r="D47" s="7">
        <x:f>CONCATENATE(HYPERLINK("CALLTO:%2B356%209948%206132", "+356 9948 6132"))</x:f>
      </x:c>
      <x:c r="E47" s="6" t="s">
        <x:v>2745</x:v>
      </x:c>
      <x:c r="F47" s="6" t="s">
        <x:v>2784</x:v>
      </x:c>
    </x:row>
    <x:row r="48" spans="1:7" s="1" customFormat="1">
      <x:c r="A48" s="1" t="s">
        <x:v>2597</x:v>
      </x:c>
      <x:c r="B48" s="1" t="s">
        <x:v>2639</x:v>
      </x:c>
      <x:c r="C48" s="8" t="s">
        <x:v>2690</x:v>
      </x:c>
      <x:c r="D48" s="9">
        <x:f>CONCATENATE(HYPERLINK("CALLTO:%2B356%202148%200500", "+356 2148 0500"))</x:f>
      </x:c>
      <x:c r="E48" s="8" t="s">
        <x:v>2746</x:v>
      </x:c>
      <x:c r="F48" s="8" t="s">
        <x:v>2785</x:v>
      </x:c>
    </x:row>
    <x:row r="49" spans="1:7" s="4" customFormat="1">
      <x:c r="A49" s="4" t="s">
        <x:v>2597</x:v>
      </x:c>
      <x:c r="B49" s="4" t="s">
        <x:v>2640</x:v>
      </x:c>
      <x:c r="C49" s="10" t="s">
        <x:v>2691</x:v>
      </x:c>
      <x:c r="D49" s="11">
        <x:f>CONCATENATE(HYPERLINK("CALLTO:%2B356%202734%209054", "+356 2734 9054"))</x:f>
      </x:c>
      <x:c r="E49" s="10" t="s">
        <x:v>2747</x:v>
      </x:c>
      <x:c r="F49" s="10" t="s">
        <x:v>2786</x:v>
      </x:c>
    </x:row>
    <x:row r="50" spans="1:7" s="3" customFormat="1">
      <x:c r="A50" s="3" t="s">
        <x:v>2597</x:v>
      </x:c>
      <x:c r="B50" s="3" t="s">
        <x:v>2641</x:v>
      </x:c>
      <x:c r="C50" s="6" t="s">
        <x:v>2692</x:v>
      </x:c>
      <x:c r="D50" s="7">
        <x:f>CONCATENATE(HYPERLINK("CALLTO:%2B356%209929%202730", "+356 9929 2730"))</x:f>
      </x:c>
      <x:c r="E50" s="6" t="s">
        <x:v>2748</x:v>
      </x:c>
      <x:c r="F50" s="6" t="s">
        <x:v>2787</x:v>
      </x:c>
    </x:row>
    <x:row r="51" spans="1:7" s="1" customFormat="1">
      <x:c r="A51" s="1" t="s">
        <x:v>2597</x:v>
      </x:c>
      <x:c r="B51" s="1" t="s">
        <x:v>2642</x:v>
      </x:c>
      <x:c r="C51" s="8" t="s">
        <x:v>2693</x:v>
      </x:c>
      <x:c r="D51" s="9">
        <x:f>CONCATENATE(HYPERLINK("CALLTO:%2B356%202167%205353", "+356 2167 5353"))</x:f>
      </x:c>
      <x:c r="E51" s="8" t="s">
        <x:v>2749</x:v>
      </x:c>
      <x:c r="F51" s="8" t="s">
        <x:v>2788</x:v>
      </x:c>
    </x:row>
    <x:row r="52" spans="1:7" s="4" customFormat="1">
      <x:c r="A52" s="4" t="s">
        <x:v>2597</x:v>
      </x:c>
      <x:c r="B52" s="4" t="s">
        <x:v>2643</x:v>
      </x:c>
      <x:c r="C52" s="10" t="s">
        <x:v>2694</x:v>
      </x:c>
      <x:c r="D52" s="11">
        <x:f>CONCATENATE(HYPERLINK("CALLTO:%2B356%207960%202611", "+356 7960 2611"))</x:f>
      </x:c>
      <x:c r="E52" s="10" t="s">
        <x:v>2750</x:v>
      </x:c>
      <x:c r="F52" s="10" t="s">
        <x:v>2789</x:v>
      </x:c>
    </x:row>
    <x:row r="53" spans="1:7" s="3" customFormat="1">
      <x:c r="A53" s="3" t="s">
        <x:v>2597</x:v>
      </x:c>
      <x:c r="B53" s="3" t="s">
        <x:v>2644</x:v>
      </x:c>
      <x:c r="C53" s="6" t="s">
        <x:v>2695</x:v>
      </x:c>
      <x:c r="D53" s="7">
        <x:f>CONCATENATE(HYPERLINK("CALLTO:%2B356%207940%204890", "+356 7940 4890"))</x:f>
      </x:c>
      <x:c r="E53" s="6" t="s">
        <x:v>2751</x:v>
      </x:c>
      <x:c r="F53" s="6" t="s">
        <x:v>2790</x:v>
      </x:c>
    </x:row>
    <x:row r="54" spans="1:7" s="1" customFormat="1">
      <x:c r="A54" s="1" t="s">
        <x:v>2597</x:v>
      </x:c>
      <x:c r="B54" s="1" t="s">
        <x:v>2645</x:v>
      </x:c>
      <x:c r="C54" s="8" t="s">
        <x:v>2696</x:v>
      </x:c>
      <x:c r="D54" s="9">
        <x:f>CONCATENATE(HYPERLINK("CALLTO:%2B356%202099%206609", "+356 2099 6609"))</x:f>
      </x:c>
      <x:c r="E54" s="8" t="s">
        <x:v>2752</x:v>
      </x:c>
      <x:c r="F54" s="8" t="s">
        <x:v>2791</x:v>
      </x:c>
    </x:row>
    <x:row r="55" spans="1:7" s="4" customFormat="1">
      <x:c r="A55" s="4" t="s">
        <x:v>2597</x:v>
      </x:c>
      <x:c r="B55" s="4" t="s">
        <x:v>2646</x:v>
      </x:c>
      <x:c r="C55" s="10" t="s">
        <x:v>2697</x:v>
      </x:c>
      <x:c r="D55" s="11">
        <x:f>CONCATENATE(HYPERLINK("CALLTO:%2B356%202716%207167", "+356 2716 7167"))</x:f>
      </x:c>
      <x:c r="E55" s="10" t="s">
        <x:v>2753</x:v>
      </x:c>
      <x:c r="F55" s="10" t="s">
        <x:v>2792</x:v>
      </x:c>
    </x:row>
    <x:row r="56" spans="1:7" s="3" customFormat="1">
      <x:c r="A56" s="3" t="s">
        <x:v>2597</x:v>
      </x:c>
      <x:c r="B56" s="3" t="s">
        <x:v>2647</x:v>
      </x:c>
      <x:c r="C56" s="6" t="s">
        <x:v>2698</x:v>
      </x:c>
      <x:c r="D56" s="7">
        <x:f>CONCATENATE(HYPERLINK("CALLTO:%2B356%202755%206650", "+356 2755 6650"))</x:f>
      </x:c>
      <x:c r="F56" s="6" t="s">
        <x:v>2793</x:v>
      </x:c>
    </x:row>
    <x:row r="57" spans="1:7" s="1" customFormat="1">
      <x:c r="A57" s="1" t="s">
        <x:v>2597</x:v>
      </x:c>
      <x:c r="B57" s="1" t="s">
        <x:v>2648</x:v>
      </x:c>
      <x:c r="C57" s="8" t="s">
        <x:v>2699</x:v>
      </x:c>
      <x:c r="D57" s="9">
        <x:f>CONCATENATE(HYPERLINK("CALLTO:%2B356%209988%200528", "+356 9988 0528"))</x:f>
      </x:c>
      <x:c r="F57" s="8" t="s">
        <x:v>2794</x:v>
      </x:c>
    </x:row>
    <x:row r="58" spans="1:7" s="4" customFormat="1">
      <x:c r="A58" s="4" t="s">
        <x:v>2597</x:v>
      </x:c>
    </x:row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  <x:row r="231" spans="1:7" s="1" customFormat="1"/>
    <x:row r="232" spans="1:7" s="4" customFormat="1"/>
    <x:row r="233" spans="1:7" s="3" customFormat="1"/>
    <x:row r="234" spans="1:7" s="1" customFormat="1"/>
    <x:row r="235" spans="1:7" s="4" customFormat="1"/>
    <x:row r="236" spans="1:7" s="3" customFormat="1"/>
    <x:row r="237" spans="1:7" s="1" customFormat="1"/>
    <x:row r="238" spans="1:7" s="4" customFormat="1"/>
    <x:row r="239" spans="1:7" s="3" customFormat="1"/>
    <x:row r="240" spans="1:7" s="1" customFormat="1"/>
    <x:row r="241" spans="1:7" s="4" customFormat="1"/>
    <x:row r="242" spans="1:7" s="3" customFormat="1"/>
    <x:row r="243" spans="1:7" s="1" customFormat="1"/>
    <x:row r="244" spans="1:7" s="4" customFormat="1"/>
    <x:row r="245" spans="1:7" s="3" customFormat="1"/>
    <x:row r="246" spans="1:7" s="1" customFormat="1"/>
    <x:row r="247" spans="1:7" s="4" customFormat="1"/>
    <x:row r="248" spans="1:7" s="3" customFormat="1"/>
    <x:row r="249" spans="1:7" s="1" customFormat="1"/>
    <x:row r="250" spans="1:7" s="4" customFormat="1"/>
    <x:row r="251" spans="1:7" s="3" customFormat="1"/>
    <x:row r="252" spans="1:7" s="1" customFormat="1"/>
    <x:row r="253" spans="1:7" s="4" customFormat="1"/>
    <x:row r="254" spans="1:7" s="3" customFormat="1"/>
    <x:row r="255" spans="1:7" s="1" customFormat="1"/>
    <x:row r="256" spans="1:7" s="4" customFormat="1"/>
    <x:row r="257" spans="1:7" s="3" customFormat="1"/>
    <x:row r="258" spans="1:7" s="1" customFormat="1"/>
    <x:row r="259" spans="1:7" s="4" customFormat="1"/>
    <x:row r="260" spans="1:7" s="3" customFormat="1"/>
    <x:row r="261" spans="1:7" s="1" customFormat="1"/>
    <x:row r="262" spans="1:7" s="4" customFormat="1"/>
    <x:row r="263" spans="1:7" s="3" customFormat="1"/>
    <x:row r="264" spans="1:7" s="1" customFormat="1"/>
    <x:row r="265" spans="1:7" s="4" customFormat="1"/>
    <x:row r="266" spans="1:7" s="3" customFormat="1"/>
    <x:row r="267" spans="1:7" s="1" customFormat="1"/>
    <x:row r="268" spans="1:7" s="4" customFormat="1"/>
    <x:row r="269" spans="1:7" s="3" customFormat="1"/>
    <x:row r="270" spans="1:7" s="1" customFormat="1"/>
    <x:row r="271" spans="1:7" s="4" customFormat="1"/>
    <x:row r="272" spans="1:7" s="3" customFormat="1"/>
    <x:row r="273" spans="1:7" s="1" customFormat="1"/>
    <x:row r="274" spans="1:7" s="4" customFormat="1"/>
    <x:row r="275" spans="1:7" s="3" customFormat="1"/>
    <x:row r="276" spans="1:7" s="1" customFormat="1"/>
    <x:row r="277" spans="1:7" s="4" customFormat="1"/>
    <x:row r="278" spans="1:7" s="3" customFormat="1"/>
    <x:row r="279" spans="1:7" s="1" customFormat="1"/>
    <x:row r="280" spans="1:7" s="4" customFormat="1"/>
    <x:row r="281" spans="1:7" s="3" customFormat="1"/>
    <x:row r="282" spans="1:7" s="1" customFormat="1"/>
    <x:row r="283" spans="1:7" s="4" customFormat="1"/>
    <x:row r="284" spans="1:7" s="3" customFormat="1"/>
    <x:row r="285" spans="1:7" s="1" customFormat="1"/>
    <x:row r="286" spans="1:7" s="4" customFormat="1"/>
    <x:row r="287" spans="1:7" s="3" customFormat="1"/>
    <x:row r="288" spans="1:7" s="1" customFormat="1"/>
    <x:row r="289" spans="1:7" s="4" customFormat="1"/>
    <x:row r="290" spans="1:7" s="3" customFormat="1"/>
    <x:row r="291" spans="1:7" s="1" customFormat="1"/>
    <x:row r="292" spans="1:7" s="4" customFormat="1"/>
    <x:row r="293" spans="1:7" s="3" customFormat="1"/>
    <x:row r="294" spans="1:7" s="1" customFormat="1"/>
    <x:row r="295" spans="1:7" s="4" customFormat="1"/>
    <x:row r="296" spans="1:7" s="3" customFormat="1"/>
    <x:row r="297" spans="1:7" s="1" customFormat="1"/>
    <x:row r="298" spans="1:7" s="4" customFormat="1"/>
    <x:row r="299" spans="1:7" s="3" customFormat="1"/>
    <x:row r="300" spans="1:7" s="1" customFormat="1"/>
    <x:row r="301" spans="1:7" s="4" customFormat="1"/>
    <x:row r="302" spans="1:7" s="3" customFormat="1"/>
    <x:row r="303" spans="1:7" s="1" customFormat="1"/>
    <x:row r="304" spans="1:7" s="4" customFormat="1"/>
    <x:row r="305" spans="1:7" s="3" customFormat="1"/>
    <x:row r="306" spans="1:7" s="1" customFormat="1"/>
    <x:row r="307" spans="1:7" s="4" customFormat="1"/>
    <x:row r="308" spans="1:7" s="3" customFormat="1"/>
    <x:row r="309" spans="1:7" s="1" customFormat="1"/>
    <x:row r="310" spans="1:7" s="4" customFormat="1"/>
    <x:row r="311" spans="1:7" s="3" customFormat="1"/>
    <x:row r="312" spans="1:7" s="1" customFormat="1"/>
    <x:row r="313" spans="1:7" s="4" customFormat="1"/>
    <x:row r="314" spans="1:7" s="3" customFormat="1"/>
    <x:row r="315" spans="1:7" s="1" customFormat="1"/>
    <x:row r="316" spans="1:7" s="4" customFormat="1"/>
    <x:row r="317" spans="1:7" s="3" customFormat="1"/>
    <x:row r="318" spans="1:7" s="1" customFormat="1"/>
    <x:row r="319" spans="1:7" s="4" customFormat="1"/>
    <x:row r="320" spans="1:7" s="3" customFormat="1"/>
    <x:row r="321" spans="1:7" s="1" customFormat="1"/>
    <x:row r="322" spans="1:7" s="4" customFormat="1"/>
    <x:row r="323" spans="1:7" s="3" customFormat="1"/>
    <x:row r="324" spans="1:7" s="1" customFormat="1"/>
    <x:row r="325" spans="1:7" s="4" customFormat="1"/>
    <x:row r="326" spans="1:7" s="3" customFormat="1"/>
    <x:row r="327" spans="1:7" s="1" customFormat="1"/>
    <x:row r="328" spans="1:7" s="4" customFormat="1"/>
    <x:row r="329" spans="1:7" s="3" customFormat="1"/>
    <x:row r="330" spans="1:7" s="1" customFormat="1"/>
    <x:row r="331" spans="1:7" s="4" customFormat="1"/>
    <x:row r="332" spans="1:7" s="3" customFormat="1"/>
    <x:row r="333" spans="1:7" s="1" customFormat="1"/>
    <x:row r="334" spans="1:7" s="4" customFormat="1"/>
    <x:row r="335" spans="1:7" s="3" customFormat="1"/>
    <x:row r="336" spans="1:7" s="1" customFormat="1"/>
    <x:row r="337" spans="1:7" s="4" customFormat="1"/>
    <x:row r="338" spans="1:7" s="3" customFormat="1"/>
    <x:row r="339" spans="1:7" s="1" customFormat="1"/>
    <x:row r="340" spans="1:7" s="4" customFormat="1"/>
    <x:row r="341" spans="1:7" s="3" customFormat="1"/>
    <x:row r="342" spans="1:7" s="1" customFormat="1"/>
    <x:row r="343" spans="1:7" s="4" customFormat="1"/>
    <x:row r="344" spans="1:7" s="3" customFormat="1"/>
    <x:row r="345" spans="1:7" s="1" customFormat="1"/>
    <x:row r="346" spans="1:7" s="4" customFormat="1"/>
    <x:row r="347" spans="1:7" s="3" customFormat="1"/>
    <x:row r="348" spans="1:7" s="1" customFormat="1"/>
    <x:row r="349" spans="1:7" s="4" customFormat="1"/>
    <x:row r="350" spans="1:7" s="3" customFormat="1"/>
    <x:row r="351" spans="1:7" s="1" customFormat="1"/>
    <x:row r="352" spans="1:7" s="4" customFormat="1"/>
    <x:row r="353" spans="1:7" s="3" customFormat="1"/>
    <x:row r="354" spans="1:7" s="1" customFormat="1"/>
    <x:row r="355" spans="1:7" s="4" customFormat="1"/>
    <x:row r="356" spans="1:7" s="3" customFormat="1"/>
    <x:row r="357" spans="1:7" s="1" customFormat="1"/>
    <x:row r="358" spans="1:7" s="4" customFormat="1"/>
    <x:row r="359" spans="1:7" s="3" customFormat="1"/>
    <x:row r="360" spans="1:7" s="1" customFormat="1"/>
    <x:row r="361" spans="1:7" s="4" customFormat="1"/>
    <x:row r="362" spans="1:7" s="3" customFormat="1"/>
    <x:row r="363" spans="1:7" s="1" customFormat="1"/>
    <x:row r="364" spans="1:7" s="4" customFormat="1"/>
    <x:row r="365" spans="1:7" s="3" customFormat="1"/>
    <x:row r="366" spans="1:7" s="1" customFormat="1"/>
    <x:row r="367" spans="1:7" s="4" customFormat="1"/>
    <x:row r="368" spans="1:7" s="3" customFormat="1"/>
    <x:row r="369" spans="1:7" s="1" customFormat="1"/>
    <x:row r="370" spans="1:7" s="4" customFormat="1"/>
    <x:row r="371" spans="1:7" s="3" customFormat="1"/>
    <x:row r="372" spans="1:7" s="1" customFormat="1"/>
    <x:row r="373" spans="1:7" s="4" customFormat="1"/>
    <x:row r="374" spans="1:7" s="3" customFormat="1"/>
    <x:row r="375" spans="1:7" s="1" customFormat="1"/>
    <x:row r="376" spans="1:7" s="4" customFormat="1"/>
    <x:row r="377" spans="1:7" s="3" customFormat="1"/>
    <x:row r="378" spans="1:7" s="1" customFormat="1"/>
    <x:row r="379" spans="1:7" s="4" customFormat="1"/>
    <x:row r="380" spans="1:7" s="3" customFormat="1"/>
    <x:row r="381" spans="1:7" s="1" customFormat="1"/>
    <x:row r="382" spans="1:7" s="4" customFormat="1"/>
    <x:row r="383" spans="1:7" s="3" customFormat="1"/>
    <x:row r="384" spans="1:7" s="1" customFormat="1"/>
    <x:row r="385" spans="1:7" s="4" customFormat="1"/>
    <x:row r="386" spans="1:7" s="3" customFormat="1"/>
    <x:row r="387" spans="1:7" s="1" customFormat="1"/>
  </x:sheetData>
  <x:hyperlinks>
    <x:hyperlink ref="C2" r:id="rId2992" tooltip="Send a mail to info@jgrima.com"/>
    <x:hyperlink ref="C3" r:id="rId2993" tooltip="Send a mail to info@antifire.com.mt"/>
    <x:hyperlink ref="C4" r:id="rId2994" tooltip="Send a mail to info@aeco.com.mt"/>
    <x:hyperlink ref="C5" r:id="rId2995" tooltip="Send a mail to info@pdsecuritymalta.com"/>
    <x:hyperlink ref="C6" r:id="rId2996" tooltip="Send a mail to info@soteria.com.mt"/>
    <x:hyperlink ref="C7" r:id="rId2997" tooltip="Send a mail to info@elektroservices.com.mt"/>
    <x:hyperlink ref="C8" r:id="rId2998" tooltip="Send a mail to info@security.com.mt"/>
    <x:hyperlink ref="C9" r:id="rId2999" tooltip="Send a mail to info@jgrima.com"/>
    <x:hyperlink ref="C10" r:id="rId3000" tooltip="Send a mail to info@pdsecuritymalta.com"/>
    <x:hyperlink ref="C11" r:id="rId3001" tooltip="Send a mail to info@antifire.com.mt"/>
    <x:hyperlink ref="C12" r:id="rId3002" tooltip="Send a mail to info@aeco.com.mt"/>
    <x:hyperlink ref="C13" r:id="rId3003" tooltip="Send a mail to info@alarmtechmalta.com"/>
    <x:hyperlink ref="C14" r:id="rId3004" tooltip="Send a mail to info@cbsecuritymalta.com"/>
    <x:hyperlink ref="C15" r:id="rId3005" tooltip="Send a mail to darren@d-tech.mt"/>
    <x:hyperlink ref="C16" r:id="rId3006" tooltip="Send a mail to jmallia@vol.net.mt"/>
    <x:hyperlink ref="C17" r:id="rId3007" tooltip="Send a mail to craudsecurity@gmail.com"/>
    <x:hyperlink ref="C18" r:id="rId3008" tooltip="Send a mail to sales@dmicros.com.mt"/>
    <x:hyperlink ref="C19" r:id="rId3009" tooltip="Send a mail to info@darservicesmalta.com"/>
    <x:hyperlink ref="C20" r:id="rId3010" tooltip="Send a mail to dlc.cachia@gmail.com"/>
    <x:hyperlink ref="C21" r:id="rId3011" tooltip="Send a mail to info@eaglesecurity.com.mt"/>
    <x:hyperlink ref="C22" r:id="rId3012" tooltip="Send a mail to ecom@ecommalta.com"/>
    <x:hyperlink ref="C23" r:id="rId3013" tooltip="Send a mail to alarms@maltanet.net"/>
    <x:hyperlink ref="C24" r:id="rId3014" tooltip="Send a mail to sales@hc.com.mt"/>
    <x:hyperlink ref="C25" r:id="rId3015" tooltip="Send a mail to info@hisecurity.com"/>
    <x:hyperlink ref="C26" r:id="rId3016" tooltip="Send a mail to info@ijsolutions.net"/>
    <x:hyperlink ref="C27" r:id="rId3017" tooltip="Send a mail to info@ielmalta.com"/>
    <x:hyperlink ref="C28" r:id="rId3018" tooltip="Send a mail to info@ispyprojects.com"/>
    <x:hyperlink ref="C29" r:id="rId3019" tooltip="Send a mail to info@misystemsmalta.com"/>
    <x:hyperlink ref="C30" r:id="rId3020" tooltip="Send a mail to info@prosolutions.com.mt"/>
    <x:hyperlink ref="C31" r:id="rId3021" tooltip="Send a mail to secom@onvol.net"/>
    <x:hyperlink ref="C32" r:id="rId3022" tooltip="Send a mail to techadvance.security@gmail.com"/>
    <x:hyperlink ref="C33" r:id="rId3023" tooltip="Send a mail to umsmalta@gmail.com"/>
    <x:hyperlink ref="C34" r:id="rId3024" tooltip="Send a mail to info@elektroservices.com.mt"/>
    <x:hyperlink ref="C35" r:id="rId3025" tooltip="Send a mail to info@sml.com.mt"/>
    <x:hyperlink ref="C36" r:id="rId3026" tooltip="Send a mail to info@alberta.com.mt"/>
    <x:hyperlink ref="C37" r:id="rId3027" tooltip="Send a mail to info@focaltechmalta.com"/>
    <x:hyperlink ref="C38" r:id="rId3028" tooltip="Send a mail to info@masco.com.mt"/>
    <x:hyperlink ref="C39" r:id="rId3029" tooltip="Send a mail to info@securevision.com.mt"/>
    <x:hyperlink ref="C40" r:id="rId3030" tooltip="Send a mail to info@firetech.com.mt"/>
    <x:hyperlink ref="C41" r:id="rId3031" tooltip="Send a mail to info@securichmalta.com"/>
    <x:hyperlink ref="C42" r:id="rId3032" tooltip="Send a mail to kevin@cobrainstallations.com"/>
    <x:hyperlink ref="C43" r:id="rId3033" tooltip="Send a mail to info@czsmarttech.com"/>
    <x:hyperlink ref="C44" r:id="rId3034" tooltip="Send a mail to sales@aqsmed.com"/>
    <x:hyperlink ref="C45" r:id="rId3035" tooltip="Send a mail to info@alternativetechnologies.com.mt"/>
    <x:hyperlink ref="C46" r:id="rId3036" tooltip="Send a mail to info@solarsolutions.com.mt"/>
    <x:hyperlink ref="C47" r:id="rId3037" tooltip="Send a mail to info@callejaformosaenergysaving.com"/>
    <x:hyperlink ref="C48" r:id="rId3038" tooltip="Send a mail to info@powersolutions.com.mt"/>
    <x:hyperlink ref="C49" r:id="rId3039" tooltip="Send a mail to cflgroupmalta@gmail.com"/>
    <x:hyperlink ref="C50" r:id="rId3040" tooltip="Send a mail to josephspiteri.cs@gmail.com"/>
    <x:hyperlink ref="C51" r:id="rId3041" tooltip="Send a mail to sales@electrofixgroup.com"/>
    <x:hyperlink ref="C52" r:id="rId3042" tooltip="Send a mail to gozo.solar@gmail.com"/>
    <x:hyperlink ref="C53" r:id="rId3043" tooltip="Send a mail to jlcenergyhome@gmail.com"/>
    <x:hyperlink ref="C54" r:id="rId3044" tooltip="Send a mail to info@llt.com.mt"/>
    <x:hyperlink ref="C55" r:id="rId3045" tooltip="Send a mail to info@powerplusltd.com"/>
    <x:hyperlink ref="C56" r:id="rId3046" tooltip="Send a mail to info@unitenergysolar.com"/>
    <x:hyperlink ref="C57" r:id="rId3047" tooltip="Send a mail to info@virtuesolaris.com"/>
    <x:hyperlink ref="E2" r:id="rId3048" tooltip="Search 130, Triq Salvu Psaila, B'Kara on Google Maps"/>
    <x:hyperlink ref="E3" r:id="rId3049" tooltip="Search Triq il-Belt Valetta, Qormi on Google Maps"/>
    <x:hyperlink ref="E4" r:id="rId3050" tooltip="Search 10 Triq Amabile Sisner, Fgura on Google Maps"/>
    <x:hyperlink ref="E5" r:id="rId3051" tooltip="Search 25 Triq il-Bennej, Mosta on Google Maps"/>
    <x:hyperlink ref="E6" r:id="rId3052" tooltip="Search Dawert Hal Ghaxaq on Google Maps"/>
    <x:hyperlink ref="E7" r:id="rId3053" tooltip="Search 347 Triq D’Argens, Il-Gżira on Google Maps"/>
    <x:hyperlink ref="E8" r:id="rId3054" tooltip="Search 9 Triq in-Narcis, San Gwann on Google Maps"/>
    <x:hyperlink ref="E9" r:id="rId3055" tooltip="Search 130, Triq Salvu Psaila, B'Kara on Google Maps"/>
    <x:hyperlink ref="E10" r:id="rId3056" tooltip="Search 25 Triq il-Bennej, Mosta on Google Maps"/>
    <x:hyperlink ref="E11" r:id="rId3057" tooltip="Search Triq il-Belt Valetta, Qormi on Google Maps"/>
    <x:hyperlink ref="E12" r:id="rId3058" tooltip="Search 10 Triq Amabile Sisner, Fgura on Google Maps"/>
    <x:hyperlink ref="E13" r:id="rId3059" tooltip="Search Sub 901 Triq F S Caruana Qasam Industrijali, San Gwann on Google Maps"/>
    <x:hyperlink ref="E14" r:id="rId3060" tooltip="Search 40 Triq il-Konvoj Ta' Santa Marija, Mqabba on Google Maps"/>
    <x:hyperlink ref="E15" r:id="rId3061" tooltip="Search 258 Triq is-Sur, Fgura on Google Maps"/>
    <x:hyperlink ref="E16" r:id="rId3062" tooltip="Search Triq Felicia Abela, Zejtun on Google Maps"/>
    <x:hyperlink ref="E17" r:id="rId3063" tooltip="Search 168 Triq Bajada, Zabbar on Google Maps"/>
    <x:hyperlink ref="E18" r:id="rId3064" tooltip="Search BLB 017 Qasam Industijali, Bulebel, Zejtun on Google Maps"/>
    <x:hyperlink ref="E19" r:id="rId3065" tooltip="Search Triq il-Belt Valletta, Luqa on Google Maps"/>
    <x:hyperlink ref="E20" r:id="rId3066" tooltip="Search Triq in-Nafra, Naxxar on Google Maps"/>
    <x:hyperlink ref="E21" r:id="rId3067" tooltip="Search 38 Triq I-Ixprunara, Ghajnsielem-Gozo on Google Maps"/>
    <x:hyperlink ref="E22" r:id="rId3068" tooltip="Search Triq Adeodato Gatt, Zebbug on Google Maps"/>
    <x:hyperlink ref="E23" r:id="rId3069" tooltip="Search 22 Triq il-Fieres, Tarxien on Google Maps"/>
    <x:hyperlink ref="E24" r:id="rId3070" tooltip="Search 34, flat 1 Triq I-Egrett Isfar, Luqa on Google Maps"/>
    <x:hyperlink ref="E25" r:id="rId3071" tooltip="Search 25 Triq il-Kullegg, Rabat on Google Maps"/>
    <x:hyperlink ref="E26" r:id="rId3072" tooltip="Search Triq ir-Raghaj, Qormi on Google Maps"/>
    <x:hyperlink ref="E27" r:id="rId3073" tooltip="Search 28 Triq Gemma Portelli, Msida on Google Maps"/>
    <x:hyperlink ref="E28" r:id="rId3074" tooltip="Search Triq Geronimo Abos, Iklin on Google Maps"/>
    <x:hyperlink ref="E29" r:id="rId3075" tooltip="Search 24 Triq il-Kissier, Mosta on Google Maps"/>
    <x:hyperlink ref="E30" r:id="rId3076" tooltip="Search 127 l-etoile Triq il-Garni, Mellieha on Google Maps"/>
    <x:hyperlink ref="E31" r:id="rId3077" tooltip="Search 84 Triq Stiefnu Zefafa, Marsa on Google Maps"/>
    <x:hyperlink ref="E32" r:id="rId3078" tooltip="Search Triq il-Kbira, Lija on Google Maps"/>
    <x:hyperlink ref="E33" r:id="rId3079" tooltip="Search Garage 4 Triq Edgar Ferro, Pieta' on Google Maps"/>
    <x:hyperlink ref="E34" r:id="rId3080" tooltip="Search 347 Triq D’Argens, Il-Gżira on Google Maps"/>
    <x:hyperlink ref="E35" r:id="rId3081" tooltip="Search Blu Building, Qormi Road, Luqa on Google Maps"/>
    <x:hyperlink ref="E36" r:id="rId3082" tooltip="Search Triq San Gwakkin, Zone 3,&#10;Central Business District, Birkirkara,&#10;CBD 3030, Malta on Google Maps"/>
    <x:hyperlink ref="E37" r:id="rId3083" tooltip="Search Focal Tech Malta&#10;Triq Alfredo Cachia Zammit.&#10;Zejtun, Malta on Google Maps"/>
    <x:hyperlink ref="E38" r:id="rId3084" tooltip="Search Masco House, Valletta Road, Mosta on Google Maps"/>
    <x:hyperlink ref="E39" r:id="rId3085" tooltip="Search Securevision,&#10;W.S Gauci Limited,&#10;Wignacourt Street,&#10;Birkirkara, BKR 4714,&#10;Malta on Google Maps"/>
    <x:hyperlink ref="E40" r:id="rId3086" tooltip="Search Zone 5, Central Business District,&#10;99 Triq il-Mitħna, Qormi CBD 5090 on Google Maps"/>
    <x:hyperlink ref="E41" r:id="rId3087" tooltip="Search Securich Co Ltd&#10;121, Mdina Road, Zebbug on Google Maps"/>
    <x:hyperlink ref="E42" r:id="rId3088" tooltip="Search 9 Triq F S Caruana, B'Kara on Google Maps"/>
    <x:hyperlink ref="E43" r:id="rId3089" tooltip="Search 1 triq Dun Guzepp Xerri, San Giljan on Google Maps"/>
    <x:hyperlink ref="E44" r:id="rId3090" tooltip="Search 2, 3 Triq tal-Balal Tax-Xwieki, Gharghur on Google Maps"/>
    <x:hyperlink ref="E45" r:id="rId3091" tooltip="Search Paradise Triq Fra Baskal, Zebbug-Gozo on Google Maps"/>
    <x:hyperlink ref="E46" r:id="rId3092" tooltip="Search Ciancio House, Zone 5 Triq ll-Kanun Central Business District, Qormi on Google Maps"/>
    <x:hyperlink ref="E47" r:id="rId3093" tooltip="Search 39 Triq il-Kwartin, Swieqi on Google Maps"/>
    <x:hyperlink ref="E48" r:id="rId3094" tooltip="Search 133 CSTS Ltd Triq il-Koppla, Fgura on Google Maps"/>
    <x:hyperlink ref="E49" r:id="rId3095" tooltip="Search Triq il-Burdnara, Qormi on Google Maps"/>
    <x:hyperlink ref="E50" r:id="rId3096" tooltip="Search Summer Set House Triq Dun Karlu Zimech Nadur-Gozo on Google Maps"/>
    <x:hyperlink ref="E51" r:id="rId3097" tooltip="Search 220 Triq Alfredo Cachia Zammit, Zejtun on Google Maps"/>
    <x:hyperlink ref="E52" r:id="rId3098" tooltip="Search Green Business Comples Triq il-Hofor, Qormi on Google Maps"/>
    <x:hyperlink ref="E53" r:id="rId3099" tooltip="Search 20, Triq Pietru Xuereb, Pieta' on Google Maps"/>
    <x:hyperlink ref="E54" r:id="rId3100" tooltip="Search 231 Triq il-Kungress Ewkaristiku, Mosta on Google Maps"/>
    <x:hyperlink ref="E55" r:id="rId3101" tooltip="Search Sagra Famiglia Building Triq Mro Giorgio Zarb, Qormi on Google Maps"/>
    <x:hyperlink ref="F2" r:id="rId3102" tooltip="Visit jgrima.com"/>
    <x:hyperlink ref="F3" r:id="rId3103" tooltip="Visit antifire.com.mt"/>
    <x:hyperlink ref="F4" r:id="rId3104" tooltip="Visit aeco.com.mt"/>
    <x:hyperlink ref="F5" r:id="rId3105" tooltip="Visit facebook.com/pdsec.malta?utm_source=Yellow&amp;utm_medium=Yellow-Website&amp;utm_campaign=Landing-Page#"/>
    <x:hyperlink ref="F6" r:id="rId3106" tooltip="Visit soteria.com.mt"/>
    <x:hyperlink ref="F7" r:id="rId3107" tooltip="Visit elektroservices.com.mt/"/>
    <x:hyperlink ref="F8" r:id="rId3108" tooltip="Visit securtek.com/home"/>
    <x:hyperlink ref="F9" r:id="rId3109" tooltip="Visit jgrima.com"/>
    <x:hyperlink ref="F10" r:id="rId3110" tooltip="Visit facebook.com/pdsec.malta?utm_source=Yellow&amp;utm_medium=Yellow-Website&amp;utm_campaign=Landing-Page#"/>
    <x:hyperlink ref="F11" r:id="rId3111" tooltip="Visit antifire.com.mt"/>
    <x:hyperlink ref="F12" r:id="rId3112" tooltip="Visit aeco.com.mt"/>
    <x:hyperlink ref="F13" r:id="rId3113" tooltip="Visit alarmtechmalta.com"/>
    <x:hyperlink ref="F14" r:id="rId3114" tooltip="Visit cbsecuritymalta.com"/>
    <x:hyperlink ref="F17" r:id="rId3115" tooltip="Visit facebook.com/p/Craud-Security-100083313423806/"/>
    <x:hyperlink ref="F18" r:id="rId3116" tooltip="Visit dedicatedmicros.com"/>
    <x:hyperlink ref="F19" r:id="rId3117" tooltip="Visit darservicesmalta.com"/>
    <x:hyperlink ref="F21" r:id="rId3118" tooltip="Visit eaglesecurity.com.mt"/>
    <x:hyperlink ref="F22" r:id="rId3119" tooltip="Visit ecommalta.com"/>
    <x:hyperlink ref="F24" r:id="rId3120" tooltip="Visit facebook.com/hcinstallationsltd/"/>
    <x:hyperlink ref="F25" r:id="rId3121" tooltip="Visit facebook.com/hisecmalta/"/>
    <x:hyperlink ref="F26" r:id="rId3122" tooltip="Visit ijsolutions.net"/>
    <x:hyperlink ref="F27" r:id="rId3123" tooltip="Visit ielsecuritymalta.com"/>
    <x:hyperlink ref="F28" r:id="rId3124" tooltip="Visit ispyprojects.com"/>
    <x:hyperlink ref="F29" r:id="rId3125" tooltip="Visit facebook.com/misystemsmalta/"/>
    <x:hyperlink ref="F30" r:id="rId3126" tooltip="Visit prosolutions.com.mt"/>
    <x:hyperlink ref="F32" r:id="rId3127" tooltip="Visit facebook.com/p/Tech-Advance-100063610688391/"/>
    <x:hyperlink ref="F33" r:id="rId3128" tooltip="Visit universalmicrosecurity.com"/>
    <x:hyperlink ref="F34" r:id="rId3129" tooltip="Visit elektroservices.com.mt/"/>
    <x:hyperlink ref="F35" r:id="rId3130" tooltip="Visit intercoms.com.mt/"/>
    <x:hyperlink ref="F36" r:id="rId3131" tooltip="Visit alberta.com.mt/products-and-services/cctv-systems-for-your-home/"/>
    <x:hyperlink ref="F37" r:id="rId3132" tooltip="Visit focaltechmalta.com/solutions/safire-smart-cctv/"/>
    <x:hyperlink ref="F38" r:id="rId3133" tooltip="Visit masco.com.mt/contact-us/"/>
    <x:hyperlink ref="F39" r:id="rId3134" tooltip="Visit securevision.com.mt/sv/product-category/security/cctv/"/>
    <x:hyperlink ref="F40" r:id="rId3135" tooltip="Visit firetech.com.mt/about-us"/>
    <x:hyperlink ref="F41" r:id="rId3136" tooltip="Visit securichmalta.com/en/services/services/5/cctv-cameras.htm"/>
    <x:hyperlink ref="F42" r:id="rId3137" tooltip="Visit cobrainstallations.com/"/>
    <x:hyperlink ref="F43" r:id="rId3138" tooltip="Visit czsmarttech.com/"/>
    <x:hyperlink ref="F44" r:id="rId3139" tooltip="Visit aqsmed.com"/>
    <x:hyperlink ref="F45" r:id="rId3140" tooltip="Visit alternativetechnologies.com.mt"/>
    <x:hyperlink ref="F46" r:id="rId3141" tooltip="Visit solarsolutions.com.mt"/>
    <x:hyperlink ref="F47" r:id="rId3142" tooltip="Visit callejaformosaenergysaving.com"/>
    <x:hyperlink ref="F48" r:id="rId3143" tooltip="Visit powersolutions.com.mt"/>
    <x:hyperlink ref="F49" r:id="rId3144" tooltip="Visit cflgroupmalta.com"/>
    <x:hyperlink ref="F50" r:id="rId3145" tooltip="Visit csts-malta.com"/>
    <x:hyperlink ref="F51" r:id="rId3146" tooltip="Visit electrofixgroup.com"/>
    <x:hyperlink ref="F52" r:id="rId3147" tooltip="Visit facebook.com/p/Gozo-Solar-Energy-Solar-Panels-and-Solar-Water-Heaters-100057213680113/"/>
    <x:hyperlink ref="F53" r:id="rId3148" tooltip="Visit facebook.com/people/JLC-energy-home/100063454366944/?fref=ts%3Futm_source%3DYellow&amp;utm_medium=Yellow-Website&amp;utm_campaign=Landing-Page#"/>
    <x:hyperlink ref="F54" r:id="rId3149" tooltip="Visit llt.com.mt"/>
    <x:hyperlink ref="F55" r:id="rId3150" tooltip="Visit powerplus.com"/>
    <x:hyperlink ref="F56" r:id="rId3151" tooltip="Visit unitenergysolar.com"/>
    <x:hyperlink ref="F57" r:id="rId3152" tooltip="Visit virtuesolaris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90"/>
  <x:sheetViews>
    <x:sheetView workbookViewId="0"/>
  </x:sheetViews>
  <x:sheetFormatPr defaultRowHeight="15"/>
  <x:cols>
    <x:col min="1" max="1" width="10.424911" style="0" customWidth="1"/>
    <x:col min="2" max="2" width="38.710625" style="0" customWidth="1"/>
    <x:col min="3" max="3" width="33.710625" style="0" customWidth="1"/>
    <x:col min="4" max="4" width="18.710625" style="0" customWidth="1"/>
    <x:col min="5" max="5" width="56.996339" style="0" customWidth="1"/>
    <x:col min="6" max="6" width="31.424911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List'!A46", "Back to Summary")</x:f>
      </x:c>
    </x:row>
    <x:row r="2" spans="1:7" s="3" customFormat="1">
      <x:c r="A2" s="3" t="s">
        <x:v>2796</x:v>
      </x:c>
      <x:c r="B2" s="3" t="s">
        <x:v>2797</x:v>
      </x:c>
      <x:c r="C2" s="6" t="s">
        <x:v>2820</x:v>
      </x:c>
      <x:c r="D2" s="7">
        <x:f>CONCATENATE(HYPERLINK("CALLTO:%2B356%206216%2050127", "+356 6216 50127"))</x:f>
      </x:c>
      <x:c r="E2" s="6" t="s">
        <x:v>2839</x:v>
      </x:c>
      <x:c r="F2" s="6" t="s">
        <x:v>2795</x:v>
      </x:c>
    </x:row>
    <x:row r="3" spans="1:7" s="1" customFormat="1">
      <x:c r="A3" s="1" t="s">
        <x:v>2796</x:v>
      </x:c>
      <x:c r="B3" s="1" t="s">
        <x:v>2798</x:v>
      </x:c>
      <x:c r="C3" s="8" t="s">
        <x:v>2352</x:v>
      </x:c>
      <x:c r="D3" s="9">
        <x:f>CONCATENATE(HYPERLINK("CALLTO:%2B356%202169%203446", "+356 2169 3446"))</x:f>
      </x:c>
      <x:c r="E3" s="8" t="s">
        <x:v>2840</x:v>
      </x:c>
      <x:c r="F3" s="8" t="s">
        <x:v>2378</x:v>
      </x:c>
    </x:row>
    <x:row r="4" spans="1:7" s="4" customFormat="1">
      <x:c r="A4" s="4" t="s">
        <x:v>2796</x:v>
      </x:c>
      <x:c r="B4" s="4" t="s">
        <x:v>2799</x:v>
      </x:c>
      <x:c r="C4" s="10" t="s">
        <x:v>6</x:v>
      </x:c>
      <x:c r="D4" s="11">
        <x:f>CONCATENATE(HYPERLINK("CALLTO:%2B356%202157%200332", "+356 2157 0332"))</x:f>
      </x:c>
      <x:c r="E4" s="10" t="s">
        <x:v>2841</x:v>
      </x:c>
      <x:c r="F4" s="10" t="s">
        <x:v>2852</x:v>
      </x:c>
    </x:row>
    <x:row r="5" spans="1:7" s="3" customFormat="1">
      <x:c r="A5" s="3" t="s">
        <x:v>2796</x:v>
      </x:c>
      <x:c r="B5" s="3" t="s">
        <x:v>2800</x:v>
      </x:c>
      <x:c r="C5" s="6" t="s">
        <x:v>2821</x:v>
      </x:c>
      <x:c r="D5" s="7">
        <x:f>CONCATENATE(HYPERLINK("CALLTO:%2B356%202141%209788", "+356 2141 9788"))</x:f>
      </x:c>
      <x:c r="E5" s="6" t="s">
        <x:v>2842</x:v>
      </x:c>
      <x:c r="F5" s="6" t="s">
        <x:v>4600</x:v>
      </x:c>
    </x:row>
    <x:row r="6" spans="1:7" s="1" customFormat="1">
      <x:c r="A6" s="1" t="s">
        <x:v>2796</x:v>
      </x:c>
      <x:c r="B6" s="1" t="s">
        <x:v>2801</x:v>
      </x:c>
      <x:c r="C6" s="8" t="s">
        <x:v>2823</x:v>
      </x:c>
      <x:c r="D6" s="9">
        <x:f>CONCATENATE(HYPERLINK("CALLTO:%2B356%209946%200050", "+356 9946 0050"))</x:f>
      </x:c>
      <x:c r="E6" s="8" t="s">
        <x:v>2843</x:v>
      </x:c>
      <x:c r="F6" s="8" t="s">
        <x:v>2853</x:v>
      </x:c>
    </x:row>
    <x:row r="7" spans="1:7" s="4" customFormat="1">
      <x:c r="A7" s="4" t="s">
        <x:v>2796</x:v>
      </x:c>
      <x:c r="B7" s="4" t="s">
        <x:v>2802</x:v>
      </x:c>
      <x:c r="C7" s="10" t="s">
        <x:v>2822</x:v>
      </x:c>
      <x:c r="D7" s="11">
        <x:f>CONCATENATE(HYPERLINK("CALLTO:%2B356%207720%203556", "+356 7720 3556"))</x:f>
      </x:c>
      <x:c r="E7" s="10" t="s">
        <x:v>2844</x:v>
      </x:c>
      <x:c r="F7" s="10" t="s">
        <x:v>2854</x:v>
      </x:c>
    </x:row>
    <x:row r="8" spans="1:7" s="3" customFormat="1">
      <x:c r="A8" s="3" t="s">
        <x:v>2796</x:v>
      </x:c>
      <x:c r="B8" s="3" t="s">
        <x:v>2803</x:v>
      </x:c>
      <x:c r="C8" s="6" t="s">
        <x:v>2824</x:v>
      </x:c>
      <x:c r="D8" s="7">
        <x:f>CONCATENATE(HYPERLINK("CALLTO:%2B356%202742%202892", "+356 2742 2892"))</x:f>
      </x:c>
      <x:c r="E8" s="6" t="s">
        <x:v>2845</x:v>
      </x:c>
      <x:c r="F8" s="6" t="s">
        <x:v>2856</x:v>
      </x:c>
    </x:row>
    <x:row r="9" spans="1:7" s="1" customFormat="1">
      <x:c r="A9" s="1" t="s">
        <x:v>2796</x:v>
      </x:c>
      <x:c r="B9" s="1" t="s">
        <x:v>2804</x:v>
      </x:c>
      <x:c r="C9" s="8" t="s">
        <x:v>2825</x:v>
      </x:c>
      <x:c r="D9" s="9">
        <x:f>CONCATENATE(HYPERLINK("CALLTO:%2B356%202731%202222", "+356 2731 2222"))</x:f>
      </x:c>
      <x:c r="E9" s="8" t="s">
        <x:v>2846</x:v>
      </x:c>
      <x:c r="F9" s="8" t="s">
        <x:v>2855</x:v>
      </x:c>
    </x:row>
    <x:row r="10" spans="1:7" s="4" customFormat="1">
      <x:c r="A10" s="4" t="s">
        <x:v>2796</x:v>
      </x:c>
      <x:c r="B10" s="4" t="s">
        <x:v>2805</x:v>
      </x:c>
      <x:c r="C10" s="10" t="s">
        <x:v>2826</x:v>
      </x:c>
      <x:c r="D10" s="11">
        <x:f>CONCATENATE(HYPERLINK("CALLTO:%2B356%209947%207271", "+356 9947 7271"))</x:f>
      </x:c>
      <x:c r="E10" s="10" t="s">
        <x:v>2847</x:v>
      </x:c>
      <x:c r="F10" s="10" t="s">
        <x:v>2857</x:v>
      </x:c>
    </x:row>
    <x:row r="11" spans="1:7" s="3" customFormat="1">
      <x:c r="A11" s="3" t="s">
        <x:v>2796</x:v>
      </x:c>
      <x:c r="B11" s="3" t="s">
        <x:v>2806</x:v>
      </x:c>
      <x:c r="C11" s="6" t="s">
        <x:v>2827</x:v>
      </x:c>
      <x:c r="D11" s="7">
        <x:f>CONCATENATE(HYPERLINK("CALLTO:%2B356%202122%202737", "+356 2122 2737"))</x:f>
      </x:c>
      <x:c r="E11" s="6" t="s">
        <x:v>2848</x:v>
      </x:c>
      <x:c r="F11" s="6" t="s">
        <x:v>2858</x:v>
      </x:c>
    </x:row>
    <x:row r="12" spans="1:7" s="1" customFormat="1">
      <x:c r="A12" s="1" t="s">
        <x:v>2796</x:v>
      </x:c>
      <x:c r="B12" s="1" t="s">
        <x:v>2807</x:v>
      </x:c>
      <x:c r="C12" s="8" t="s">
        <x:v>2828</x:v>
      </x:c>
      <x:c r="D12" s="9">
        <x:f>CONCATENATE(HYPERLINK("CALLTO:%2B356%202133%202640", "+356 2133 2640"))</x:f>
      </x:c>
      <x:c r="E12" s="8" t="s">
        <x:v>2849</x:v>
      </x:c>
      <x:c r="F12" s="1" t="s">
        <x:v>144</x:v>
      </x:c>
    </x:row>
    <x:row r="13" spans="1:7" s="4" customFormat="1">
      <x:c r="A13" s="4" t="s">
        <x:v>2796</x:v>
      </x:c>
      <x:c r="B13" s="4" t="s">
        <x:v>2808</x:v>
      </x:c>
      <x:c r="C13" s="10" t="s">
        <x:v>2830</x:v>
      </x:c>
      <x:c r="D13" s="11">
        <x:f>CONCATENATE(HYPERLINK("CALLTO:%2B356%202700%202218", "+356 2700 2218"))</x:f>
      </x:c>
      <x:c r="E13" s="10" t="s">
        <x:v>2850</x:v>
      </x:c>
      <x:c r="F13" s="4" t="s">
        <x:v>144</x:v>
      </x:c>
    </x:row>
    <x:row r="14" spans="1:7" s="3" customFormat="1">
      <x:c r="A14" s="3" t="s">
        <x:v>2796</x:v>
      </x:c>
      <x:c r="B14" s="3" t="s">
        <x:v>2809</x:v>
      </x:c>
      <x:c r="C14" s="6" t="s">
        <x:v>2829</x:v>
      </x:c>
      <x:c r="D14" s="7">
        <x:f>CONCATENATE(HYPERLINK("CALLTO:%2B356%202141%207771", "+356 2141 7771"))</x:f>
      </x:c>
      <x:c r="E14" s="6" t="s">
        <x:v>2851</x:v>
      </x:c>
      <x:c r="F14" s="6" t="s">
        <x:v>2859</x:v>
      </x:c>
    </x:row>
    <x:row r="15" spans="1:7" s="1" customFormat="1">
      <x:c r="A15" s="1" t="s">
        <x:v>2796</x:v>
      </x:c>
      <x:c r="B15" s="1" t="s">
        <x:v>1234</x:v>
      </x:c>
      <x:c r="C15" s="8" t="s">
        <x:v>1309</x:v>
      </x:c>
      <x:c r="D15" s="9">
        <x:f>CONCATENATE(HYPERLINK("CALLTO:%2B356%202167%206627", "+356 2167 6627"))</x:f>
      </x:c>
      <x:c r="E15" s="8" t="s">
        <x:v>2399</x:v>
      </x:c>
      <x:c r="F15" s="8" t="s">
        <x:v>2860</x:v>
      </x:c>
    </x:row>
    <x:row r="16" spans="1:7" s="4" customFormat="1">
      <x:c r="A16" s="4" t="s">
        <x:v>2796</x:v>
      </x:c>
      <x:c r="B16" s="4" t="s">
        <x:v>2810</x:v>
      </x:c>
      <x:c r="C16" s="10" t="s">
        <x:v>65</x:v>
      </x:c>
      <x:c r="F16" s="10" t="s">
        <x:v>88</x:v>
      </x:c>
    </x:row>
    <x:row r="17" spans="1:7" s="3" customFormat="1">
      <x:c r="A17" s="3" t="s">
        <x:v>2796</x:v>
      </x:c>
      <x:c r="B17" s="3" t="s">
        <x:v>955</x:v>
      </x:c>
      <x:c r="C17" s="6" t="s">
        <x:v>570</x:v>
      </x:c>
    </x:row>
    <x:row r="18" spans="1:7" s="1" customFormat="1">
      <x:c r="A18" s="1" t="s">
        <x:v>2796</x:v>
      </x:c>
      <x:c r="B18" s="1" t="s">
        <x:v>2811</x:v>
      </x:c>
      <x:c r="C18" s="8" t="s">
        <x:v>2831</x:v>
      </x:c>
    </x:row>
    <x:row r="19" spans="1:7" s="4" customFormat="1">
      <x:c r="A19" s="4" t="s">
        <x:v>2796</x:v>
      </x:c>
      <x:c r="B19" s="4" t="s">
        <x:v>559</x:v>
      </x:c>
      <x:c r="C19" s="10" t="s">
        <x:v>573</x:v>
      </x:c>
    </x:row>
    <x:row r="20" spans="1:7" s="3" customFormat="1">
      <x:c r="A20" s="3" t="s">
        <x:v>2796</x:v>
      </x:c>
      <x:c r="B20" s="3" t="s">
        <x:v>2812</x:v>
      </x:c>
      <x:c r="C20" s="6" t="s">
        <x:v>2832</x:v>
      </x:c>
    </x:row>
    <x:row r="21" spans="1:7" s="1" customFormat="1">
      <x:c r="A21" s="1" t="s">
        <x:v>2796</x:v>
      </x:c>
      <x:c r="B21" s="1" t="s">
        <x:v>2813</x:v>
      </x:c>
      <x:c r="C21" s="8" t="s">
        <x:v>509</x:v>
      </x:c>
    </x:row>
    <x:row r="22" spans="1:7" s="4" customFormat="1">
      <x:c r="A22" s="4" t="s">
        <x:v>2796</x:v>
      </x:c>
      <x:c r="B22" s="4" t="s">
        <x:v>491</x:v>
      </x:c>
      <x:c r="C22" s="10" t="s">
        <x:v>1497</x:v>
      </x:c>
    </x:row>
    <x:row r="23" spans="1:7" s="3" customFormat="1">
      <x:c r="A23" s="3" t="s">
        <x:v>2796</x:v>
      </x:c>
      <x:c r="B23" s="3" t="s">
        <x:v>1484</x:v>
      </x:c>
      <x:c r="C23" s="6" t="s">
        <x:v>2833</x:v>
      </x:c>
    </x:row>
    <x:row r="24" spans="1:7" s="1" customFormat="1">
      <x:c r="A24" s="1" t="s">
        <x:v>2796</x:v>
      </x:c>
      <x:c r="B24" s="1" t="s">
        <x:v>2814</x:v>
      </x:c>
      <x:c r="C24" s="8" t="s">
        <x:v>2834</x:v>
      </x:c>
    </x:row>
    <x:row r="25" spans="1:7" s="4" customFormat="1">
      <x:c r="A25" s="4" t="s">
        <x:v>2796</x:v>
      </x:c>
      <x:c r="B25" s="4" t="s">
        <x:v>1884</x:v>
      </x:c>
      <x:c r="C25" s="10" t="s">
        <x:v>2835</x:v>
      </x:c>
    </x:row>
    <x:row r="26" spans="1:7" s="3" customFormat="1">
      <x:c r="A26" s="3" t="s">
        <x:v>2796</x:v>
      </x:c>
      <x:c r="B26" s="3" t="s">
        <x:v>2815</x:v>
      </x:c>
      <x:c r="C26" s="6" t="s">
        <x:v>1302</x:v>
      </x:c>
    </x:row>
    <x:row r="27" spans="1:7" s="1" customFormat="1">
      <x:c r="A27" s="1" t="s">
        <x:v>2796</x:v>
      </x:c>
      <x:c r="B27" s="1" t="s">
        <x:v>2816</x:v>
      </x:c>
      <x:c r="C27" s="8" t="s">
        <x:v>965</x:v>
      </x:c>
    </x:row>
    <x:row r="28" spans="1:7" s="4" customFormat="1">
      <x:c r="A28" s="4" t="s">
        <x:v>2796</x:v>
      </x:c>
      <x:c r="B28" s="4" t="s">
        <x:v>2817</x:v>
      </x:c>
      <x:c r="C28" s="10" t="s">
        <x:v>2837</x:v>
      </x:c>
    </x:row>
    <x:row r="29" spans="1:7" s="3" customFormat="1">
      <x:c r="A29" s="3" t="s">
        <x:v>2796</x:v>
      </x:c>
      <x:c r="B29" s="3" t="s">
        <x:v>2818</x:v>
      </x:c>
      <x:c r="C29" s="6" t="s">
        <x:v>2836</x:v>
      </x:c>
    </x:row>
    <x:row r="30" spans="1:7" s="1" customFormat="1">
      <x:c r="A30" s="1" t="s">
        <x:v>2796</x:v>
      </x:c>
      <x:c r="B30" s="1" t="s">
        <x:v>486</x:v>
      </x:c>
      <x:c r="C30" s="8" t="s">
        <x:v>2838</x:v>
      </x:c>
    </x:row>
    <x:row r="31" spans="1:7" s="4" customFormat="1">
      <x:c r="A31" s="4" t="s">
        <x:v>2796</x:v>
      </x:c>
      <x:c r="B31" s="4" t="s">
        <x:v>2819</x:v>
      </x:c>
      <x:c r="C31" s="10" t="s">
        <x:v>1940</x:v>
      </x:c>
    </x:row>
    <x:row r="32" spans="1:7" s="3" customFormat="1">
      <x:c r="A32" s="3" t="s">
        <x:v>2796</x:v>
      </x:c>
      <x:c r="B32" s="3" t="s">
        <x:v>1892</x:v>
      </x:c>
    </x:row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</x:sheetData>
  <x:hyperlinks>
    <x:hyperlink ref="C2" r:id="rId3153" tooltip="Send a mail to info@idroplastmalta.com"/>
    <x:hyperlink ref="C3" r:id="rId3154" tooltip="Send a mail to info@khsmalta.com"/>
    <x:hyperlink ref="C4" r:id="rId3155" tooltip="Send a mail to info@micalleffibreglassworks.com"/>
    <x:hyperlink ref="C5" r:id="rId3156" tooltip="Send a mail to james@framegrip.com"/>
    <x:hyperlink ref="C6" r:id="rId3157" tooltip="Send a mail to info@jwtcaruana.com"/>
    <x:hyperlink ref="C7" r:id="rId3158" tooltip="Send a mail to thehardwarestoremalta@gmail.com"/>
    <x:hyperlink ref="C8" r:id="rId3159" tooltip="Send a mail to rironmongomery@onvol.net"/>
    <x:hyperlink ref="C9" r:id="rId3160" tooltip="Send a mail to deguara24@gmail.com"/>
    <x:hyperlink ref="C10" r:id="rId3161" tooltip="Send a mail to wcardonatrading@gmail.com"/>
    <x:hyperlink ref="C11" r:id="rId3162" tooltip="Send a mail to jcironmongomery@mail.com"/>
    <x:hyperlink ref="C12" r:id="rId3163" tooltip="Send a mail to alldecor@maltanet.net"/>
    <x:hyperlink ref="C13" r:id="rId3164" tooltip="Send a mail to kevinbartololtd@gmail.com"/>
    <x:hyperlink ref="C14" r:id="rId3165" tooltip="Send a mail to info@afs.com.mt"/>
    <x:hyperlink ref="C15" r:id="rId3166" tooltip="Send a mail to info@fbpmalta.com"/>
    <x:hyperlink ref="C16" r:id="rId3167" tooltip="Send a mail to sales@midea.mt"/>
    <x:hyperlink ref="C17" r:id="rId3168" tooltip="Send a mail to customercare@homemate.com.mt"/>
    <x:hyperlink ref="C18" r:id="rId3169" tooltip="Send a mail to office@tesy.com"/>
    <x:hyperlink ref="C19" r:id="rId3170" tooltip="Send a mail to info@topchoice.com.mt"/>
    <x:hyperlink ref="C20" r:id="rId3171" tooltip="Send a mail to info@atlanticwaterheaters.com.mt"/>
    <x:hyperlink ref="C21" r:id="rId3172" tooltip="Send a mail to info@digitalzone.com.mt"/>
    <x:hyperlink ref="C22" r:id="rId3173" tooltip="Send a mail to info@bigmatmalta.com"/>
    <x:hyperlink ref="C23" r:id="rId3174" tooltip="Send a mail to info@thermex.com.mt"/>
    <x:hyperlink ref="C24" r:id="rId3175" tooltip="Send a mail to sales@flamingo.mt"/>
    <x:hyperlink ref="C25" r:id="rId3176" tooltip="Send a mail to info@btmalta.com"/>
    <x:hyperlink ref="C26" r:id="rId3177" tooltip="Send a mail to sales@carinibathrooms.com"/>
    <x:hyperlink ref="C27" r:id="rId3178" tooltip="Send a mail to info@prochimps.com"/>
    <x:hyperlink ref="C28" r:id="rId3179" tooltip="Send a mail to info@tarcisiocaruana.com"/>
    <x:hyperlink ref="C29" r:id="rId3180" tooltip="Send a mail to team-b2b@atoz.com.mt"/>
    <x:hyperlink ref="C30" r:id="rId3181" tooltip="Send a mail to info@attardsmalta.com"/>
    <x:hyperlink ref="C31" r:id="rId3182" tooltip="Send a mail to info@divine.com.mt"/>
    <x:hyperlink ref="E2" r:id="rId3183" tooltip="Search Factory MRA014, Qasam Industrijali, Marsa, Malta on Google Maps"/>
    <x:hyperlink ref="E3" r:id="rId3184" tooltip="Search 54, Castaldi Street, Żabbar ZBR1453, Malta on Google Maps"/>
    <x:hyperlink ref="E4" r:id="rId3185" tooltip="Search 7, Sun Down Yard, Triq il-Burmarrad, Naxxar, Malta NXR 6345 on Google Maps"/>
    <x:hyperlink ref="E5" r:id="rId3186" tooltip="Search Triq Il-Mosta, Hal Lija, Malta LJA 9010 on Google Maps"/>
    <x:hyperlink ref="E6" r:id="rId3187" tooltip="Search Caruana Farm, Triq it-Tnax Ta' Mejju, Żebbuġ, ZBG 1281, Malta on Google Maps"/>
    <x:hyperlink ref="E7" r:id="rId3188" tooltip="Search 31 Triq il-Witja ,&#10;Tarxien, Malta TXN 2296 on Google Maps"/>
    <x:hyperlink ref="E8" r:id="rId3189" tooltip="Search 222, 224 Vjal il-Wiehed U Ghoxrin Ta’ Settembru ,&#10;Naxxar, Malta NXR 1012 on Google Maps"/>
    <x:hyperlink ref="E9" r:id="rId3190" tooltip="Search Triq il-Klin ,&#10;Iklin, Malta IKL 1032 on Google Maps"/>
    <x:hyperlink ref="E10" r:id="rId3191" tooltip="Search 242 Triq l-Imdina ,&#10;Qormi, Malta QRM 9014 on Google Maps"/>
    <x:hyperlink ref="E11" r:id="rId3192" tooltip="Search 9 Triq Dun Nerik Cordina Perez ,&#10;Hamrun, Malta HMR 2101 on Google Maps"/>
    <x:hyperlink ref="E12" r:id="rId3193" tooltip="Search 166 Triq il-Kullegg L-Antik ,&#10;Sliema, Malta SLM 1373 on Google Maps"/>
    <x:hyperlink ref="E13" r:id="rId3194" tooltip="Search 16 Triq Sant’ Antnin ,&#10;M’Skala, Malta MSK 9058 on Google Maps"/>
    <x:hyperlink ref="E14" r:id="rId3195" tooltip="Search Triq L-Imdina, Ħ'Attard, Malta on Google Maps"/>
    <x:hyperlink ref="E15" r:id="rId3196" tooltip="Search 139, Bajada Street, Zabbar, Malta on Google Maps"/>
    <x:hyperlink ref="F2" r:id="rId3197" tooltip="Visit idroplastmalta.com"/>
    <x:hyperlink ref="F3" r:id="rId3198" tooltip="Visit khsmalta.com"/>
    <x:hyperlink ref="F4" r:id="rId3199" tooltip="Visit micalleffibreglassworks.com"/>
    <x:hyperlink ref="F5" r:id="rId3200" tooltip="Visit framegrip.com"/>
    <x:hyperlink ref="F6" r:id="rId3201" tooltip="Visit jwtcaruana.com"/>
    <x:hyperlink ref="F7" r:id="rId3202" tooltip="Visit thehardwarestoremalta.com/"/>
    <x:hyperlink ref="F8" r:id="rId3203" tooltip="Visit richiesironmongerymalta.com"/>
    <x:hyperlink ref="F9" r:id="rId3204" tooltip="Visit facebook.com/1675915686031114"/>
    <x:hyperlink ref="F10" r:id="rId3205" tooltip="Visit wcardonatrading.com/"/>
    <x:hyperlink ref="F11" r:id="rId3206" tooltip="Visit jcironmongery.com"/>
    <x:hyperlink ref="F14" r:id="rId3207" tooltip="Visit facebook.com/afsmalta/"/>
    <x:hyperlink ref="F15" r:id="rId3208" tooltip="Visit fbpmalta.com/"/>
    <x:hyperlink ref="F16" r:id="rId3209" tooltip="Visit midea.mt/contact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41"/>
  <x:sheetViews>
    <x:sheetView workbookViewId="0"/>
  </x:sheetViews>
  <x:sheetFormatPr defaultRowHeight="15"/>
  <x:cols>
    <x:col min="1" max="1" width="11.996339" style="0" customWidth="1"/>
    <x:col min="2" max="2" width="22.710625" style="0" customWidth="1"/>
    <x:col min="3" max="3" width="18.139196" style="0" customWidth="1"/>
    <x:col min="4" max="4" width="34.139196" style="0" customWidth="1"/>
    <x:col min="5" max="5" width="10.853482" style="0" customWidth="1"/>
    <x:col min="6" max="6" width="10.424911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482</x:v>
      </x:c>
      <x:c r="C1" s="2" t="s">
        <x:v>839</x:v>
      </x:c>
      <x:c r="D1" s="2" t="s">
        <x:v>502</x:v>
      </x:c>
      <x:c r="E1" s="2" t="s">
        <x:v>914</x:v>
      </x:c>
      <x:c r="F1" s="2" t="s">
        <x:v>23</x:v>
      </x:c>
      <x:c r="G1" s="5">
        <x:f>HYPERLINK("#'Summary List'!A47", "Back to Summary")</x:f>
      </x:c>
    </x:row>
    <x:row r="2" spans="1:7" s="3" customFormat="1">
      <x:c r="A2" s="3" t="s">
        <x:v>2862</x:v>
      </x:c>
      <x:c r="B2" s="3" t="s">
        <x:v>2861</x:v>
      </x:c>
      <x:c r="C2" s="7">
        <x:f>CONCATENATE(HYPERLINK("CALLTO:%2B356%209950%200549", "+356 9950 0549"))</x:f>
      </x:c>
      <x:c r="D2" s="6" t="s">
        <x:v>2885</x:v>
      </x:c>
    </x:row>
    <x:row r="3" spans="1:7" s="1" customFormat="1">
      <x:c r="A3" s="1" t="s">
        <x:v>2862</x:v>
      </x:c>
      <x:c r="B3" s="1" t="s">
        <x:v>2863</x:v>
      </x:c>
      <x:c r="C3" s="9">
        <x:f>CONCATENATE(HYPERLINK("CALLTO:%2B356%207931%201095", "+356 7931 1095"))</x:f>
      </x:c>
      <x:c r="D3" s="8" t="s">
        <x:v>2886</x:v>
      </x:c>
    </x:row>
    <x:row r="4" spans="1:7" s="4" customFormat="1">
      <x:c r="A4" s="4" t="s">
        <x:v>2862</x:v>
      </x:c>
      <x:c r="B4" s="4" t="s">
        <x:v>2864</x:v>
      </x:c>
      <x:c r="C4" s="11">
        <x:f>CONCATENATE(HYPERLINK("CALLTO:%2B356%209985%205109", "+356 9985 5109"))</x:f>
      </x:c>
      <x:c r="D4" s="10" t="s">
        <x:v>2887</x:v>
      </x:c>
    </x:row>
    <x:row r="5" spans="1:7" s="3" customFormat="1">
      <x:c r="A5" s="3" t="s">
        <x:v>2862</x:v>
      </x:c>
      <x:c r="B5" s="3" t="s">
        <x:v>2865</x:v>
      </x:c>
      <x:c r="C5" s="7">
        <x:f>CONCATENATE(HYPERLINK("CALLTO:%2B356%207707%202101", "+356 7707 2101"))</x:f>
      </x:c>
      <x:c r="D5" s="6" t="s">
        <x:v>2888</x:v>
      </x:c>
    </x:row>
    <x:row r="6" spans="1:7" s="1" customFormat="1">
      <x:c r="A6" s="1" t="s">
        <x:v>2862</x:v>
      </x:c>
      <x:c r="B6" s="1" t="s">
        <x:v>2866</x:v>
      </x:c>
      <x:c r="C6" s="9">
        <x:f>CONCATENATE(HYPERLINK("CALLTO:%2B356%207909%202549", "+356 7909 2549"))</x:f>
      </x:c>
      <x:c r="D6" s="8" t="s">
        <x:v>2889</x:v>
      </x:c>
    </x:row>
    <x:row r="7" spans="1:7" s="4" customFormat="1">
      <x:c r="A7" s="4" t="s">
        <x:v>2862</x:v>
      </x:c>
      <x:c r="B7" s="4" t="s">
        <x:v>2867</x:v>
      </x:c>
      <x:c r="C7" s="11">
        <x:f>CONCATENATE(HYPERLINK("CALLTO:%2B356%207997%203333", "+356 7997 3333"))</x:f>
      </x:c>
      <x:c r="D7" s="10" t="s">
        <x:v>2890</x:v>
      </x:c>
    </x:row>
    <x:row r="8" spans="1:7" s="3" customFormat="1">
      <x:c r="A8" s="3" t="s">
        <x:v>2862</x:v>
      </x:c>
      <x:c r="B8" s="3" t="s">
        <x:v>2868</x:v>
      </x:c>
      <x:c r="C8" s="7">
        <x:f>CONCATENATE(HYPERLINK("CALLTO:%2B356%207977%202255", "+356 7977 2255"))</x:f>
      </x:c>
      <x:c r="D8" s="6" t="s">
        <x:v>2892</x:v>
      </x:c>
    </x:row>
    <x:row r="9" spans="1:7" s="1" customFormat="1">
      <x:c r="A9" s="1" t="s">
        <x:v>2862</x:v>
      </x:c>
      <x:c r="B9" s="1" t="s">
        <x:v>2862</x:v>
      </x:c>
      <x:c r="C9" s="9">
        <x:f>CONCATENATE(HYPERLINK("CALLTO:%2B356%207988%207194", "+356 7988 7194"))</x:f>
      </x:c>
      <x:c r="D9" s="8" t="s">
        <x:v>2891</x:v>
      </x:c>
    </x:row>
    <x:row r="10" spans="1:7" s="4" customFormat="1">
      <x:c r="A10" s="4" t="s">
        <x:v>2862</x:v>
      </x:c>
      <x:c r="B10" s="4" t="s">
        <x:v>2869</x:v>
      </x:c>
      <x:c r="C10" s="11">
        <x:f>CONCATENATE(HYPERLINK("CALLTO:%2B356%207905%201114", "+356 7905 1114"))</x:f>
      </x:c>
      <x:c r="D10" s="10" t="s">
        <x:v>2893</x:v>
      </x:c>
    </x:row>
    <x:row r="11" spans="1:7" s="3" customFormat="1">
      <x:c r="A11" s="3" t="s">
        <x:v>2862</x:v>
      </x:c>
      <x:c r="B11" s="3" t="s">
        <x:v>2870</x:v>
      </x:c>
      <x:c r="C11" s="7">
        <x:f>CONCATENATE(HYPERLINK("CALLTO:%2B356%209971%208489", "+356 9971 8489"))</x:f>
      </x:c>
      <x:c r="D11" s="6" t="s">
        <x:v>2894</x:v>
      </x:c>
    </x:row>
    <x:row r="12" spans="1:7" s="1" customFormat="1">
      <x:c r="A12" s="1" t="s">
        <x:v>2862</x:v>
      </x:c>
      <x:c r="B12" s="1" t="s">
        <x:v>2871</x:v>
      </x:c>
      <x:c r="C12" s="9">
        <x:f>CONCATENATE(HYPERLINK("CALLTO:%2B356%207939%204677", "+356 7939 4677"))</x:f>
      </x:c>
      <x:c r="D12" s="8" t="s">
        <x:v>2895</x:v>
      </x:c>
    </x:row>
    <x:row r="13" spans="1:7" s="4" customFormat="1">
      <x:c r="A13" s="4" t="s">
        <x:v>2862</x:v>
      </x:c>
      <x:c r="B13" s="4" t="s">
        <x:v>2872</x:v>
      </x:c>
      <x:c r="C13" s="11">
        <x:f>CONCATENATE(HYPERLINK("CALLTO:%2B356%209901%202340", "+356 9901 2340"))</x:f>
      </x:c>
      <x:c r="D13" s="10" t="s">
        <x:v>2896</x:v>
      </x:c>
    </x:row>
    <x:row r="14" spans="1:7" s="3" customFormat="1">
      <x:c r="A14" s="3" t="s">
        <x:v>2862</x:v>
      </x:c>
      <x:c r="B14" s="3" t="s">
        <x:v>2873</x:v>
      </x:c>
      <x:c r="D14" s="6" t="s">
        <x:v>2897</x:v>
      </x:c>
    </x:row>
    <x:row r="15" spans="1:7" s="1" customFormat="1">
      <x:c r="A15" s="1" t="s">
        <x:v>2862</x:v>
      </x:c>
      <x:c r="B15" s="1" t="s">
        <x:v>2874</x:v>
      </x:c>
      <x:c r="D15" s="8" t="s">
        <x:v>2898</x:v>
      </x:c>
    </x:row>
    <x:row r="16" spans="1:7" s="4" customFormat="1">
      <x:c r="A16" s="4" t="s">
        <x:v>2862</x:v>
      </x:c>
      <x:c r="B16" s="4" t="s">
        <x:v>2875</x:v>
      </x:c>
      <x:c r="D16" s="10" t="s">
        <x:v>2899</x:v>
      </x:c>
    </x:row>
    <x:row r="17" spans="1:7" s="3" customFormat="1">
      <x:c r="A17" s="3" t="s">
        <x:v>2862</x:v>
      </x:c>
      <x:c r="B17" s="3" t="s">
        <x:v>2876</x:v>
      </x:c>
      <x:c r="D17" s="6" t="s">
        <x:v>2900</x:v>
      </x:c>
    </x:row>
    <x:row r="18" spans="1:7" s="1" customFormat="1">
      <x:c r="A18" s="1" t="s">
        <x:v>2862</x:v>
      </x:c>
      <x:c r="B18" s="1" t="s">
        <x:v>2877</x:v>
      </x:c>
      <x:c r="D18" s="8" t="s">
        <x:v>2901</x:v>
      </x:c>
    </x:row>
    <x:row r="19" spans="1:7" s="4" customFormat="1">
      <x:c r="A19" s="4" t="s">
        <x:v>2862</x:v>
      </x:c>
      <x:c r="B19" s="4" t="s">
        <x:v>2878</x:v>
      </x:c>
      <x:c r="D19" s="10" t="s">
        <x:v>2902</x:v>
      </x:c>
    </x:row>
    <x:row r="20" spans="1:7" s="3" customFormat="1">
      <x:c r="A20" s="3" t="s">
        <x:v>2862</x:v>
      </x:c>
      <x:c r="B20" s="3" t="s">
        <x:v>2879</x:v>
      </x:c>
      <x:c r="D20" s="6" t="s">
        <x:v>2903</x:v>
      </x:c>
    </x:row>
    <x:row r="21" spans="1:7" s="1" customFormat="1">
      <x:c r="A21" s="1" t="s">
        <x:v>2862</x:v>
      </x:c>
      <x:c r="B21" s="1" t="s">
        <x:v>2880</x:v>
      </x:c>
      <x:c r="D21" s="8" t="s">
        <x:v>2904</x:v>
      </x:c>
    </x:row>
    <x:row r="22" spans="1:7" s="4" customFormat="1">
      <x:c r="A22" s="4" t="s">
        <x:v>2862</x:v>
      </x:c>
      <x:c r="B22" s="4" t="s">
        <x:v>2881</x:v>
      </x:c>
      <x:c r="D22" s="10" t="s">
        <x:v>2905</x:v>
      </x:c>
    </x:row>
    <x:row r="23" spans="1:7" s="3" customFormat="1">
      <x:c r="A23" s="3" t="s">
        <x:v>2862</x:v>
      </x:c>
      <x:c r="B23" s="3" t="s">
        <x:v>2882</x:v>
      </x:c>
      <x:c r="D23" s="6" t="s">
        <x:v>2906</x:v>
      </x:c>
    </x:row>
    <x:row r="24" spans="1:7" s="1" customFormat="1">
      <x:c r="A24" s="1" t="s">
        <x:v>2862</x:v>
      </x:c>
      <x:c r="B24" s="1" t="s">
        <x:v>2883</x:v>
      </x:c>
      <x:c r="D24" s="8" t="s">
        <x:v>2907</x:v>
      </x:c>
    </x:row>
    <x:row r="25" spans="1:7" s="4" customFormat="1">
      <x:c r="A25" s="4" t="s">
        <x:v>2862</x:v>
      </x:c>
      <x:c r="B25" s="4" t="s">
        <x:v>2884</x:v>
      </x:c>
      <x:c r="D25" s="10" t="s">
        <x:v>2908</x:v>
      </x:c>
    </x:row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</x:sheetData>
  <x:hyperlinks>
    <x:hyperlink ref="D2" r:id="rId3210" tooltip="Send a mail to info@maksengmalta.com"/>
    <x:hyperlink ref="D3" r:id="rId3211" tooltip="Send a mail to marlon1790@hotmail.com"/>
    <x:hyperlink ref="D4" r:id="rId3212" tooltip="Send a mail to info@retrofit.com.mt"/>
    <x:hyperlink ref="D5" r:id="rId3213" tooltip="Send a mail to info@architworks.com"/>
    <x:hyperlink ref="D6" r:id="rId3214" tooltip="Send a mail to rdcmalta@gmail.com"/>
    <x:hyperlink ref="D7" r:id="rId3215" tooltip="Send a mail to sitetechnicalofficermalta@gmail.com"/>
    <x:hyperlink ref="D8" r:id="rId3216" tooltip="Send a mail to daniel@dpa.com.mt"/>
    <x:hyperlink ref="D9" r:id="rId3217" tooltip="Send a mail to info@stoservicesltd.com"/>
    <x:hyperlink ref="D10" r:id="rId3218" tooltip="Send a mail to iagius@aiesltd.com"/>
    <x:hyperlink ref="D11" r:id="rId3219" tooltip="Send a mail to akarchistudio@gmail.com"/>
    <x:hyperlink ref="D12" r:id="rId3220" tooltip="Send a mail to adrian180690@gmail.com"/>
    <x:hyperlink ref="D13" r:id="rId3221" tooltip="Send a mail to ap@paceadam.com"/>
    <x:hyperlink ref="D14" r:id="rId3222" tooltip="Send a mail to alexander.sammut.16@gmail.com"/>
    <x:hyperlink ref="D15" r:id="rId3223" tooltip="Send a mail to antoinebrincat.mlt@gmail.com"/>
    <x:hyperlink ref="D16" r:id="rId3224" tooltip="Send a mail to antdormic@gmail.com"/>
    <x:hyperlink ref="D17" r:id="rId3225" tooltip="Send a mail to cg@techman.com.mt"/>
    <x:hyperlink ref="D18" r:id="rId3226" tooltip="Send a mail to christian.attard@gmail.com"/>
    <x:hyperlink ref="D19" r:id="rId3227" tooltip="Send a mail to cfperit@gmail.com"/>
    <x:hyperlink ref="D20" r:id="rId3228" tooltip="Send a mail to claireghigo@gmail.com"/>
    <x:hyperlink ref="D21" r:id="rId3229" tooltip="Send a mail to clayton.zammit@yahoo.com"/>
    <x:hyperlink ref="D22" r:id="rId3230" tooltip="Send a mail to ingdarioespo@gmail.com"/>
    <x:hyperlink ref="D23" r:id="rId3231" tooltip="Send a mail to enwar27699@gmail.com"/>
    <x:hyperlink ref="D24" r:id="rId3232" tooltip="Send a mail to gorgcauchi@gmail.com"/>
    <x:hyperlink ref="D25" r:id="rId3233" tooltip="Send a mail to xuereb.george@gmail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2"/>
  <x:sheetViews>
    <x:sheetView workbookViewId="0"/>
  </x:sheetViews>
  <x:sheetFormatPr defaultRowHeight="15"/>
  <x:cols>
    <x:col min="1" max="1" width="11.853482" style="0" customWidth="1"/>
    <x:col min="2" max="2" width="26.996339" style="0" customWidth="1"/>
    <x:col min="3" max="3" width="18.139196" style="0" customWidth="1"/>
    <x:col min="4" max="4" width="23.710625" style="0" customWidth="1"/>
    <x:col min="5" max="5" width="10.853482" style="0" customWidth="1"/>
    <x:col min="6" max="6" width="43.282054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482</x:v>
      </x:c>
      <x:c r="C1" s="2" t="s">
        <x:v>839</x:v>
      </x:c>
      <x:c r="D1" s="2" t="s">
        <x:v>502</x:v>
      </x:c>
      <x:c r="E1" s="2" t="s">
        <x:v>914</x:v>
      </x:c>
      <x:c r="F1" s="2" t="s">
        <x:v>23</x:v>
      </x:c>
      <x:c r="G1" s="5">
        <x:f>HYPERLINK("#'Summary List'!A48", "Back to Summary")</x:f>
      </x:c>
    </x:row>
    <x:row r="2" spans="1:7" s="3" customFormat="1">
      <x:c r="A2" s="3" t="s">
        <x:v>2909</x:v>
      </x:c>
      <x:c r="B2" s="3" t="s">
        <x:v>2910</x:v>
      </x:c>
      <x:c r="C2" s="7">
        <x:f>CONCATENATE(HYPERLINK("CALLTO:%2B356%209951%201239", "+356 9951 1239"))</x:f>
      </x:c>
      <x:c r="D2" s="6" t="s">
        <x:v>2911</x:v>
      </x:c>
      <x:c r="F2" s="6" t="s">
        <x:v>89</x:v>
      </x:c>
    </x:row>
    <x:row r="3" spans="1:7" s="1" customFormat="1"/>
    <x:row r="4" spans="1:7" s="4" customFormat="1"/>
    <x:row r="5" spans="1:7" s="3" customFormat="1"/>
    <x:row r="6" spans="1:7" s="1" customFormat="1"/>
    <x:row r="7" spans="1:7" s="4" customFormat="1"/>
    <x:row r="8" spans="1:7" s="3" customFormat="1"/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</x:sheetData>
  <x:hyperlinks>
    <x:hyperlink ref="D2" r:id="rId3234" tooltip="Send a mail to aplusmep.ce@gmail.com"/>
    <x:hyperlink ref="F2" r:id="rId3235" tooltip="Visit facebook.com/profile.php?id=61571161208722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60"/>
  <x:sheetViews>
    <x:sheetView workbookViewId="0"/>
  </x:sheetViews>
  <x:sheetFormatPr defaultRowHeight="15"/>
  <x:cols>
    <x:col min="1" max="1" width="25.853482" style="0" customWidth="1"/>
    <x:col min="2" max="2" width="25.710625" style="0" customWidth="1"/>
    <x:col min="3" max="3" width="18.710625" style="0" customWidth="1"/>
    <x:col min="4" max="4" width="27.853482" style="0" customWidth="1"/>
    <x:col min="5" max="5" width="48.996339" style="0" customWidth="1"/>
    <x:col min="6" max="6" width="18.853482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521</x:v>
      </x:c>
      <x:c r="D1" s="2" t="s">
        <x:v>502</x:v>
      </x:c>
      <x:c r="E1" s="2" t="s">
        <x:v>914</x:v>
      </x:c>
      <x:c r="F1" s="2" t="s">
        <x:v>529</x:v>
      </x:c>
      <x:c r="G1" s="5">
        <x:f>HYPERLINK("#'Summary List'!A49", "Back to Summary")</x:f>
      </x:c>
    </x:row>
    <x:row r="2" spans="1:7" s="3" customFormat="1">
      <x:c r="A2" s="3" t="s">
        <x:v>2914</x:v>
      </x:c>
      <x:c r="B2" s="3" t="s">
        <x:v>2915</x:v>
      </x:c>
      <x:c r="C2" s="7">
        <x:f>CONCATENATE(HYPERLINK("CALLTO:%2B356%202741%203490", "+356 2741 3490"))</x:f>
      </x:c>
      <x:c r="D2" s="6" t="s">
        <x:v>2933</x:v>
      </x:c>
      <x:c r="E2" s="6" t="s">
        <x:v>2951</x:v>
      </x:c>
      <x:c r="F2" s="6" t="s">
        <x:v>2912</x:v>
      </x:c>
    </x:row>
    <x:row r="3" spans="1:7" s="1" customFormat="1">
      <x:c r="A3" s="1" t="s">
        <x:v>2914</x:v>
      </x:c>
      <x:c r="B3" s="1" t="s">
        <x:v>2916</x:v>
      </x:c>
      <x:c r="C3" s="9">
        <x:f>CONCATENATE(HYPERLINK("CALLTO:%2B356%202733%202198", "+356 2733 2198"))</x:f>
      </x:c>
      <x:c r="D3" s="8" t="s">
        <x:v>2934</x:v>
      </x:c>
      <x:c r="E3" s="8" t="s">
        <x:v>2952</x:v>
      </x:c>
      <x:c r="F3" s="8" t="s">
        <x:v>2969</x:v>
      </x:c>
    </x:row>
    <x:row r="4" spans="1:7" s="4" customFormat="1">
      <x:c r="A4" s="4" t="s">
        <x:v>2914</x:v>
      </x:c>
      <x:c r="B4" s="4" t="s">
        <x:v>2917</x:v>
      </x:c>
      <x:c r="C4" s="11">
        <x:f>CONCATENATE(HYPERLINK("CALLTO:%2B356%202145%200395", "+356 2145 0395"))</x:f>
      </x:c>
      <x:c r="D4" s="10" t="s">
        <x:v>2936</x:v>
      </x:c>
      <x:c r="E4" s="10" t="s">
        <x:v>2953</x:v>
      </x:c>
      <x:c r="F4" s="10" t="s">
        <x:v>2970</x:v>
      </x:c>
    </x:row>
    <x:row r="5" spans="1:7" s="3" customFormat="1">
      <x:c r="A5" s="3" t="s">
        <x:v>2914</x:v>
      </x:c>
      <x:c r="B5" s="3" t="s">
        <x:v>2918</x:v>
      </x:c>
      <x:c r="C5" s="7">
        <x:f>CONCATENATE(HYPERLINK("CALLTO:%2B356%202180%207030", "+356 2180 7030"))</x:f>
      </x:c>
      <x:c r="D5" s="6" t="s">
        <x:v>2935</x:v>
      </x:c>
      <x:c r="E5" s="6" t="s">
        <x:v>2954</x:v>
      </x:c>
      <x:c r="F5" s="6" t="s">
        <x:v>2971</x:v>
      </x:c>
    </x:row>
    <x:row r="6" spans="1:7" s="1" customFormat="1">
      <x:c r="A6" s="1" t="s">
        <x:v>2914</x:v>
      </x:c>
      <x:c r="B6" s="1" t="s">
        <x:v>2919</x:v>
      </x:c>
      <x:c r="C6" s="9">
        <x:f>CONCATENATE(HYPERLINK("CALLTO:%2B356%202134%201697", "+356 2134 1697"))</x:f>
      </x:c>
      <x:c r="D6" s="8" t="s">
        <x:v>2937</x:v>
      </x:c>
      <x:c r="E6" s="8" t="s">
        <x:v>2955</x:v>
      </x:c>
      <x:c r="F6" s="8" t="s">
        <x:v>2772</x:v>
      </x:c>
    </x:row>
    <x:row r="7" spans="1:7" s="4" customFormat="1">
      <x:c r="A7" s="4" t="s">
        <x:v>2914</x:v>
      </x:c>
      <x:c r="B7" s="4" t="s">
        <x:v>2920</x:v>
      </x:c>
      <x:c r="C7" s="11">
        <x:f>CONCATENATE(HYPERLINK("CALLTO:%2B356%209949%202362", "+356 9949 2362"))</x:f>
      </x:c>
      <x:c r="D7" s="10" t="s">
        <x:v>2938</x:v>
      </x:c>
      <x:c r="E7" s="10" t="s">
        <x:v>2956</x:v>
      </x:c>
      <x:c r="F7" s="10" t="s">
        <x:v>2972</x:v>
      </x:c>
    </x:row>
    <x:row r="8" spans="1:7" s="3" customFormat="1">
      <x:c r="A8" s="3" t="s">
        <x:v>2914</x:v>
      </x:c>
      <x:c r="B8" s="3" t="s">
        <x:v>2921</x:v>
      </x:c>
      <x:c r="C8" s="7">
        <x:f>CONCATENATE(HYPERLINK("CALLTO:%2B356%209908%206442", "+356 9908 6442"))</x:f>
      </x:c>
      <x:c r="D8" s="6" t="s">
        <x:v>2939</x:v>
      </x:c>
      <x:c r="E8" s="6" t="s">
        <x:v>2958</x:v>
      </x:c>
      <x:c r="F8" s="6" t="s">
        <x:v>2973</x:v>
      </x:c>
    </x:row>
    <x:row r="9" spans="1:7" s="1" customFormat="1">
      <x:c r="A9" s="1" t="s">
        <x:v>2914</x:v>
      </x:c>
      <x:c r="B9" s="1" t="s">
        <x:v>2922</x:v>
      </x:c>
      <x:c r="C9" s="9">
        <x:f>CONCATENATE(HYPERLINK("CALLTO:%2B356%209922%209391", "+356 9922 9391"))</x:f>
      </x:c>
      <x:c r="D9" s="8" t="s">
        <x:v>2940</x:v>
      </x:c>
      <x:c r="E9" s="8" t="s">
        <x:v>2957</x:v>
      </x:c>
      <x:c r="F9" s="8" t="s">
        <x:v>2974</x:v>
      </x:c>
    </x:row>
    <x:row r="10" spans="1:7" s="4" customFormat="1">
      <x:c r="A10" s="4" t="s">
        <x:v>2914</x:v>
      </x:c>
      <x:c r="B10" s="4" t="s">
        <x:v>2923</x:v>
      </x:c>
      <x:c r="C10" s="11">
        <x:f>CONCATENATE(HYPERLINK("CALLTO:%2B356%202145%205220", "+356 2145 5220"))</x:f>
      </x:c>
      <x:c r="D10" s="10" t="s">
        <x:v>2941</x:v>
      </x:c>
      <x:c r="E10" s="10" t="s">
        <x:v>2959</x:v>
      </x:c>
      <x:c r="F10" s="10" t="s">
        <x:v>2975</x:v>
      </x:c>
    </x:row>
    <x:row r="11" spans="1:7" s="3" customFormat="1">
      <x:c r="A11" s="3" t="s">
        <x:v>2914</x:v>
      </x:c>
      <x:c r="B11" s="3" t="s">
        <x:v>2924</x:v>
      </x:c>
      <x:c r="C11" s="7">
        <x:f>CONCATENATE(HYPERLINK("CALLTO:%2B356%202381%202381", "+356 2381 2381"))</x:f>
      </x:c>
      <x:c r="D11" s="6" t="s">
        <x:v>2942</x:v>
      </x:c>
      <x:c r="E11" s="6" t="s">
        <x:v>2960</x:v>
      </x:c>
      <x:c r="F11" s="6" t="s">
        <x:v>2976</x:v>
      </x:c>
    </x:row>
    <x:row r="12" spans="1:7" s="1" customFormat="1">
      <x:c r="A12" s="1" t="s">
        <x:v>2914</x:v>
      </x:c>
      <x:c r="B12" s="1" t="s">
        <x:v>2925</x:v>
      </x:c>
      <x:c r="C12" s="9">
        <x:f>CONCATENATE(HYPERLINK("CALLTO:%2B356%202144%202914", "+356 2144 2914"))</x:f>
      </x:c>
      <x:c r="D12" s="8" t="s">
        <x:v>2943</x:v>
      </x:c>
      <x:c r="E12" s="8" t="s">
        <x:v>2961</x:v>
      </x:c>
      <x:c r="F12" s="8" t="s">
        <x:v>2977</x:v>
      </x:c>
    </x:row>
    <x:row r="13" spans="1:7" s="4" customFormat="1">
      <x:c r="A13" s="4" t="s">
        <x:v>2914</x:v>
      </x:c>
      <x:c r="B13" s="4" t="s">
        <x:v>2926</x:v>
      </x:c>
      <x:c r="C13" s="11">
        <x:f>CONCATENATE(HYPERLINK("CALLTO:%2B356%202146%206866", "+356 2146 6866"))</x:f>
      </x:c>
      <x:c r="D13" s="10" t="s">
        <x:v>2944</x:v>
      </x:c>
      <x:c r="E13" s="10" t="s">
        <x:v>2962</x:v>
      </x:c>
      <x:c r="F13" s="10" t="s">
        <x:v>2978</x:v>
      </x:c>
    </x:row>
    <x:row r="14" spans="1:7" s="3" customFormat="1">
      <x:c r="A14" s="3" t="s">
        <x:v>2914</x:v>
      </x:c>
      <x:c r="B14" s="3" t="s">
        <x:v>2927</x:v>
      </x:c>
      <x:c r="C14" s="7">
        <x:f>CONCATENATE(HYPERLINK("CALLTO:%2B356%202157%205392", "+356 2157 5392"))</x:f>
      </x:c>
      <x:c r="D14" s="6" t="s">
        <x:v>2946</x:v>
      </x:c>
      <x:c r="E14" s="6" t="s">
        <x:v>2963</x:v>
      </x:c>
      <x:c r="F14" s="6" t="s">
        <x:v>2979</x:v>
      </x:c>
    </x:row>
    <x:row r="15" spans="1:7" s="1" customFormat="1">
      <x:c r="A15" s="1" t="s">
        <x:v>2914</x:v>
      </x:c>
      <x:c r="B15" s="1" t="s">
        <x:v>2928</x:v>
      </x:c>
      <x:c r="C15" s="9">
        <x:f>CONCATENATE(HYPERLINK("CALLTO:%2B356%202248%207118", "+356 2248 7118"))</x:f>
      </x:c>
      <x:c r="D15" s="8" t="s">
        <x:v>2945</x:v>
      </x:c>
      <x:c r="E15" s="8" t="s">
        <x:v>2964</x:v>
      </x:c>
    </x:row>
    <x:row r="16" spans="1:7" s="4" customFormat="1">
      <x:c r="A16" s="4" t="s">
        <x:v>2914</x:v>
      </x:c>
      <x:c r="B16" s="4" t="s">
        <x:v>2929</x:v>
      </x:c>
      <x:c r="C16" s="11">
        <x:f>CONCATENATE(HYPERLINK("CALLTO:%2B356%202134%206535", "+356 2134 6535"))</x:f>
      </x:c>
      <x:c r="D16" s="10" t="s">
        <x:v>2947</x:v>
      </x:c>
      <x:c r="E16" s="10" t="s">
        <x:v>2965</x:v>
      </x:c>
    </x:row>
    <x:row r="17" spans="1:7" s="3" customFormat="1">
      <x:c r="A17" s="3" t="s">
        <x:v>2914</x:v>
      </x:c>
      <x:c r="B17" s="3" t="s">
        <x:v>2930</x:v>
      </x:c>
      <x:c r="C17" s="7">
        <x:f>CONCATENATE(HYPERLINK("CALLTO:%2B356%202125%202206", "+356 2125 2206"))</x:f>
      </x:c>
      <x:c r="D17" s="6" t="s">
        <x:v>2948</x:v>
      </x:c>
      <x:c r="E17" s="6" t="s">
        <x:v>2966</x:v>
      </x:c>
    </x:row>
    <x:row r="18" spans="1:7" s="1" customFormat="1">
      <x:c r="A18" s="1" t="s">
        <x:v>2914</x:v>
      </x:c>
      <x:c r="B18" s="1" t="s">
        <x:v>2931</x:v>
      </x:c>
      <x:c r="C18" s="9">
        <x:f>CONCATENATE(HYPERLINK("CALLTO:%2B356%202741%203490", "+356 2741 3490"))</x:f>
      </x:c>
      <x:c r="D18" s="8" t="s">
        <x:v>2949</x:v>
      </x:c>
      <x:c r="E18" s="8" t="s">
        <x:v>2967</x:v>
      </x:c>
    </x:row>
    <x:row r="19" spans="1:7" s="4" customFormat="1"/>
    <x:row r="20" spans="1:7" s="3" customFormat="1">
      <x:c r="A20" s="3" t="s">
        <x:v>2913</x:v>
      </x:c>
      <x:c r="B20" s="3" t="s">
        <x:v>2932</x:v>
      </x:c>
      <x:c r="C20" s="7">
        <x:f>CONCATENATE(HYPERLINK("CALLTO:%2B356%202731%204593", "+356 2731 4593"))</x:f>
      </x:c>
      <x:c r="D20" s="6" t="s">
        <x:v>2950</x:v>
      </x:c>
      <x:c r="E20" s="6" t="s">
        <x:v>2968</x:v>
      </x:c>
    </x:row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</x:sheetData>
  <x:hyperlinks>
    <x:hyperlink ref="D2" r:id="rId3236" tooltip="Send a mail to info@dslifts.com"/>
    <x:hyperlink ref="D3" r:id="rId3237" tooltip="Send a mail to groffelifts@gmail.com"/>
    <x:hyperlink ref="D4" r:id="rId3238" tooltip="Send a mail to info@apexlifts.com.mt"/>
    <x:hyperlink ref="D5" r:id="rId3239" tooltip="Send a mail to info@etralia.com"/>
    <x:hyperlink ref="D6" r:id="rId3240" tooltip="Send a mail to info@titan.mizzi.com.mt"/>
    <x:hyperlink ref="D7" r:id="rId3241" tooltip="Send a mail to eniliftmalta@gmail.com"/>
    <x:hyperlink ref="D8" r:id="rId3242" tooltip="Send a mail to air‑tro_service@outlook.com"/>
    <x:hyperlink ref="D9" r:id="rId3243" tooltip="Send a mail to bertulifting@gmail.com"/>
    <x:hyperlink ref="D10" r:id="rId3244" tooltip="Send a mail to info@highriselifts.com"/>
    <x:hyperlink ref="D11" r:id="rId3245" tooltip="Send a mail to enquiries@pantalesco.com"/>
    <x:hyperlink ref="D12" r:id="rId3246" tooltip="Send a mail to info_malta@schindler.com"/>
    <x:hyperlink ref="D13" r:id="rId3247" tooltip="Send a mail to sales@elevaliftsmalta.com"/>
    <x:hyperlink ref="D14" r:id="rId3248" tooltip="Send a mail to info@sslifts.com"/>
    <x:hyperlink ref="D15" r:id="rId3249" tooltip="Send a mail to info.mt@otis.com"/>
    <x:hyperlink ref="D16" r:id="rId3250" tooltip="Send a mail to info@igmlifts.com"/>
    <x:hyperlink ref="D17" r:id="rId3251" tooltip="Send a mail to info@liftservices.com.mt"/>
    <x:hyperlink ref="D18" r:id="rId3252" tooltip="Send a mail to info@elevation.mt"/>
    <x:hyperlink ref="D20" r:id="rId3253" tooltip="Send a mail to info@qualitymalta.com"/>
    <x:hyperlink ref="E2" r:id="rId3254" tooltip="Search Vjal il‑Wieħed u Għoxrin ta' Settembru, Naxxar on Google Maps"/>
    <x:hyperlink ref="E3" r:id="rId3255" tooltip="Search 5/3, Triq l‑Imsida, Gżira GZR 1401 on Google Maps"/>
    <x:hyperlink ref="E4" r:id="rId3256" tooltip="Search 14, Triq San Mikiel, Rabat RBT 2440 on Google Maps"/>
    <x:hyperlink ref="E5" r:id="rId3257" tooltip="Search 39, Triq San Ġakmu, Luqa LQA 1892 on Google Maps"/>
    <x:hyperlink ref="E6" r:id="rId3258" tooltip="Search The Lyric, Triq Antonio Bosio, L‑Imsida on Google Maps"/>
    <x:hyperlink ref="E7" r:id="rId3259" tooltip="Search Triq San Filippu, Mġarr/M’najdra? on Google Maps"/>
    <x:hyperlink ref="E8" r:id="rId3260" tooltip="Search Triq il‑Gudja, Ħal Għaxaq on Google Maps"/>
    <x:hyperlink ref="E9" r:id="rId3261" tooltip="Search Triq Piscopo Macedonia, San Pawl il‑Baħar on Google Maps"/>
    <x:hyperlink ref="E10" r:id="rId3262" tooltip="Search Factory LQA 5/6/7, Luqa Industrial Estate on Google Maps"/>
    <x:hyperlink ref="E11" r:id="rId3263" tooltip="Search Panta House, Triq il‑Wied ta' l‑Imsida on Google Maps"/>
    <x:hyperlink ref="E12" r:id="rId3264" tooltip="Search 2, Triq Roger Debattista, Hamrun HMR 1271 on Google Maps"/>
    <x:hyperlink ref="E13" r:id="rId3265" tooltip="Search Mdina Bastions Block A, Triq Michael Bonnici, Żebbuġ on Google Maps"/>
    <x:hyperlink ref="E14" r:id="rId3266" tooltip="Search S.S. Lifts Orona,&#10;13, Triq it-Turisti&#10;Qawra, SPB1028&#10;Malta on Google Maps"/>
    <x:hyperlink ref="E15" r:id="rId3267" tooltip="Search MRA048D, Industrial Estate,&#10;Marsa, MRS3000, Malta on Google Maps"/>
    <x:hyperlink ref="E16" r:id="rId3268" tooltip="Search I G M Lift Supplies &amp; Services&#10;Triq Moroni ,&#10;Sliema Malta SLM 1210 on Google Maps"/>
    <x:hyperlink ref="E17" r:id="rId3269" tooltip="Search Factory A25F,&#10;Marsa Industrial Estate, Malta on Google Maps"/>
    <x:hyperlink ref="E18" r:id="rId3270" tooltip="Search Elevation Ltd&#10;Upper A12 Midland Industrial Estate&#10;Triq Burmarrad Naxxar, NXR 6345&#10;Malta on Google Maps"/>
    <x:hyperlink ref="E20" r:id="rId3271" tooltip="Search Joedi Graziella Apartments, Triq l‑Iskola, Imśida on Google Maps"/>
    <x:hyperlink ref="F2" r:id="rId3272" tooltip="Visit dslifts.com"/>
    <x:hyperlink ref="F3" r:id="rId3273" tooltip="Visit apexlifts.com.mt"/>
    <x:hyperlink ref="F4" r:id="rId3274" tooltip="Visit etralia.com"/>
    <x:hyperlink ref="F5" r:id="rId3275" tooltip="Visit titan.com.mt"/>
    <x:hyperlink ref="F6" r:id="rId3276" tooltip="Visit eni-lift.com"/>
    <x:hyperlink ref="F7" r:id="rId3277" tooltip="Visit bertulifting.com.mt"/>
    <x:hyperlink ref="F8" r:id="rId3278" tooltip="Visit highriselifts.com"/>
    <x:hyperlink ref="F9" r:id="rId3279" tooltip="Visit pantalesco.com"/>
    <x:hyperlink ref="F10" r:id="rId3280" tooltip="Visit sslifts.com/"/>
    <x:hyperlink ref="F11" r:id="rId3281" tooltip="Visit vertibus.com/"/>
    <x:hyperlink ref="F12" r:id="rId3282" tooltip="Visit igmlifts.com/"/>
    <x:hyperlink ref="F13" r:id="rId3283" tooltip="Visit liftservices.com.mt/"/>
    <x:hyperlink ref="F14" r:id="rId3284" tooltip="Visit elevation.mt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2"/>
  <x:sheetViews>
    <x:sheetView workbookViewId="0"/>
  </x:sheetViews>
  <x:sheetFormatPr defaultRowHeight="15"/>
  <x:cols>
    <x:col min="1" max="1" width="8.996339" style="0" customWidth="1"/>
    <x:col min="2" max="2" width="26.139196" style="0" customWidth="1"/>
    <x:col min="3" max="3" width="31.710625" style="0" customWidth="1"/>
    <x:col min="4" max="4" width="29.853482" style="0" customWidth="1"/>
    <x:col min="5" max="5" width="35.424911" style="0" customWidth="1"/>
    <x:col min="6" max="6" width="33.139196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List'!A50", "Back to Summary")</x:f>
      </x:c>
    </x:row>
    <x:row r="2" spans="1:7" s="3" customFormat="1">
      <x:c r="A2" s="3" t="s">
        <x:v>2980</x:v>
      </x:c>
      <x:c r="B2" s="3" t="s">
        <x:v>2128</x:v>
      </x:c>
      <x:c r="C2" s="6" t="s">
        <x:v>2134</x:v>
      </x:c>
      <x:c r="D2" s="7">
        <x:f>CONCATENATE(HYPERLINK("CALLTO:%2B356%202277%203000", "+356 2277 3000"))</x:f>
      </x:c>
      <x:c r="E2" s="6" t="s">
        <x:v>1400</x:v>
      </x:c>
      <x:c r="F2" s="6" t="s">
        <x:v>5314</x:v>
      </x:c>
    </x:row>
    <x:row r="3" spans="1:7" s="1" customFormat="1"/>
    <x:row r="4" spans="1:7" s="4" customFormat="1">
      <x:c r="A4" s="4" t="s">
        <x:v>2981</x:v>
      </x:c>
      <x:c r="B4" s="4" t="s">
        <x:v>2982</x:v>
      </x:c>
      <x:c r="C4" s="10" t="s">
        <x:v>2985</x:v>
      </x:c>
      <x:c r="D4" s="11">
        <x:f>CONCATENATE(HYPERLINK("CALLTO:%2B356%202144%201611", "+356 2144 1611"), " / ", HYPERLINK("CALLTO:%2B356%207777%204240", "+356 7777 4240"))</x:f>
      </x:c>
      <x:c r="E4" s="10" t="s">
        <x:v>2988</x:v>
      </x:c>
      <x:c r="F4" s="10" t="s">
        <x:v>2148</x:v>
      </x:c>
    </x:row>
    <x:row r="5" spans="1:7" s="3" customFormat="1">
      <x:c r="A5" s="3" t="s">
        <x:v>2981</x:v>
      </x:c>
      <x:c r="B5" s="3" t="s">
        <x:v>2123</x:v>
      </x:c>
      <x:c r="C5" s="6" t="s">
        <x:v>1620</x:v>
      </x:c>
      <x:c r="D5" s="7">
        <x:f>CONCATENATE(HYPERLINK("CALLTO:%2B356%202095%209595", "+356 2095 9595"))</x:f>
      </x:c>
      <x:c r="E5" s="6" t="s">
        <x:v>2139</x:v>
      </x:c>
      <x:c r="F5" s="6" t="s">
        <x:v>2145</x:v>
      </x:c>
    </x:row>
    <x:row r="6" spans="1:7" s="1" customFormat="1">
      <x:c r="A6" s="1" t="s">
        <x:v>2981</x:v>
      </x:c>
      <x:c r="B6" s="1" t="s">
        <x:v>2983</x:v>
      </x:c>
      <x:c r="C6" s="8" t="s">
        <x:v>2986</x:v>
      </x:c>
      <x:c r="D6" s="9">
        <x:f>CONCATENATE(HYPERLINK("CALLTO:%2B356%202144%207379", "+356 2144 7379"))</x:f>
      </x:c>
      <x:c r="E6" s="8" t="s">
        <x:v>2989</x:v>
      </x:c>
      <x:c r="F6" s="8" t="s">
        <x:v>2146</x:v>
      </x:c>
    </x:row>
    <x:row r="7" spans="1:7" s="4" customFormat="1"/>
    <x:row r="8" spans="1:7" s="3" customFormat="1">
      <x:c r="B8" s="3" t="s">
        <x:v>2984</x:v>
      </x:c>
    </x:row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</x:sheetData>
  <x:hyperlinks>
    <x:hyperlink ref="C2" r:id="rId3285" tooltip="Send a mail to info@vivendo.mt"/>
    <x:hyperlink ref="C4" r:id="rId3286" tooltip="Send a mail to info@madumahomeinteriors.com"/>
    <x:hyperlink ref="C5" r:id="rId3287" tooltip="Send a mail to info@brands.com.mt"/>
    <x:hyperlink ref="C6" r:id="rId3288" tooltip="Send a mail to tuttoparquetmalta@gmail.com"/>
    <x:hyperlink ref="E2" r:id="rId3289" tooltip="Search Mdina Road, Qormi, QRM 9011, Malta on Google Maps"/>
    <x:hyperlink ref="E4" r:id="rId3290" tooltip="Search 12, Triq il-Parroċċa &#10;SVR 1262&#10;Santa Venera on Google Maps"/>
    <x:hyperlink ref="E5" r:id="rId3291" tooltip="Search Triq tal-Balal, San Gwann, Malta on Google Maps"/>
    <x:hyperlink ref="E6" r:id="rId3292" tooltip="Search 10, Triq Dun Karm&#10;Birkirkara, Malta on Google Maps"/>
    <x:hyperlink ref="F2" r:id="rId3293" tooltip="Visit vivendo.mt/"/>
    <x:hyperlink ref="F4" r:id="rId3294" tooltip="Visit madumahomeinteriors.com/"/>
    <x:hyperlink ref="F5" r:id="rId3295" tooltip="Visit brands.com.mt/"/>
    <x:hyperlink ref="F6" r:id="rId3296" tooltip="Visit tuttoparquetmalta.com/index.html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30"/>
  <x:sheetViews>
    <x:sheetView workbookViewId="0"/>
  </x:sheetViews>
  <x:sheetFormatPr defaultRowHeight="15"/>
  <x:cols>
    <x:col min="1" max="1" width="30.710625" style="0" customWidth="1"/>
    <x:col min="2" max="2" width="27.710625" style="0" customWidth="1"/>
    <x:col min="3" max="3" width="28.996339" style="0" customWidth="1"/>
    <x:col min="4" max="4" width="20.996339" style="0" customWidth="1"/>
    <x:col min="5" max="5" width="102.710625" style="0" customWidth="1"/>
    <x:col min="6" max="6" width="30.424911" style="0" customWidth="1"/>
    <x:col min="7" max="7" width="20.996339" style="0" customWidth="1"/>
  </x:cols>
  <x:sheetData>
    <x:row r="1" spans="1:7" s="2" customFormat="1">
      <x:c r="A1" s="2" t="s">
        <x:v>2992</x:v>
      </x:c>
      <x:c r="B1" s="2" t="s">
        <x:v>3004</x:v>
      </x:c>
      <x:c r="C1" s="2" t="s">
        <x:v>3032</x:v>
      </x:c>
      <x:c r="D1" s="2" t="s">
        <x:v>3059</x:v>
      </x:c>
      <x:c r="E1" s="2" t="s">
        <x:v>3062</x:v>
      </x:c>
      <x:c r="F1" s="2" t="s">
        <x:v>3087</x:v>
      </x:c>
      <x:c r="G1" s="5">
        <x:f>HYPERLINK("#'Summary List'!A51", "Back to Summary")</x:f>
      </x:c>
    </x:row>
    <x:row r="2" spans="1:7" s="3" customFormat="1">
      <x:c r="A2" s="3" t="s">
        <x:v>2993</x:v>
      </x:c>
      <x:c r="B2" s="3" t="s">
        <x:v>843</x:v>
      </x:c>
      <x:c r="C2" s="6" t="s">
        <x:v>852</x:v>
      </x:c>
      <x:c r="D2" s="7">
        <x:f>CONCATENATE(HYPERLINK("CALLTO:%2B356%202141%207596", "+356 2141 7596"))</x:f>
      </x:c>
      <x:c r="E2" s="6" t="s">
        <x:v>1352</x:v>
      </x:c>
      <x:c r="F2" s="6" t="s">
        <x:v>1328</x:v>
      </x:c>
    </x:row>
    <x:row r="3" spans="1:7" s="1" customFormat="1"/>
    <x:row r="4" spans="1:7" s="4" customFormat="1">
      <x:c r="A4" s="4" t="s">
        <x:v>713</x:v>
      </x:c>
      <x:c r="B4" s="4" t="s">
        <x:v>3005</x:v>
      </x:c>
      <x:c r="C4" s="10" t="s">
        <x:v>3033</x:v>
      </x:c>
      <x:c r="D4" s="11">
        <x:f>CONCATENATE(HYPERLINK("CALLTO:%2B356%209942%201140", "+356 9942 1140"))</x:f>
      </x:c>
      <x:c r="E4" s="10" t="s">
        <x:v>3063</x:v>
      </x:c>
      <x:c r="F4" s="4" t="s">
        <x:v>144</x:v>
      </x:c>
    </x:row>
    <x:row r="5" spans="1:7" s="3" customFormat="1"/>
    <x:row r="6" spans="1:7" s="1" customFormat="1">
      <x:c r="A6" s="1" t="s">
        <x:v>2994</x:v>
      </x:c>
      <x:c r="B6" s="1" t="s">
        <x:v>3006</x:v>
      </x:c>
      <x:c r="C6" s="8" t="s">
        <x:v>3034</x:v>
      </x:c>
      <x:c r="D6" s="9">
        <x:f>CONCATENATE(HYPERLINK("CALLTO:%2B356%207947%208840", "+356 7947 8840"))</x:f>
      </x:c>
      <x:c r="E6" s="8" t="s">
        <x:v>3064</x:v>
      </x:c>
      <x:c r="F6" s="1" t="s">
        <x:v>144</x:v>
      </x:c>
    </x:row>
    <x:row r="7" spans="1:7" s="4" customFormat="1"/>
    <x:row r="8" spans="1:7" s="3" customFormat="1">
      <x:c r="A8" s="3" t="s">
        <x:v>2995</x:v>
      </x:c>
      <x:c r="B8" s="3" t="s">
        <x:v>3007</x:v>
      </x:c>
      <x:c r="C8" s="6" t="s">
        <x:v>3035</x:v>
      </x:c>
      <x:c r="D8" s="7">
        <x:f>CONCATENATE(HYPERLINK("CALLTO:%2B356%209982%202287", "+356 9982 2287"))</x:f>
      </x:c>
      <x:c r="E8" s="6" t="s">
        <x:v>3065</x:v>
      </x:c>
      <x:c r="F8" s="3" t="s">
        <x:v>144</x:v>
      </x:c>
    </x:row>
    <x:row r="9" spans="1:7" s="1" customFormat="1"/>
    <x:row r="10" spans="1:7" s="4" customFormat="1">
      <x:c r="A10" s="4" t="s">
        <x:v>2996</x:v>
      </x:c>
      <x:c r="B10" s="4" t="s">
        <x:v>3008</x:v>
      </x:c>
      <x:c r="C10" s="10" t="s">
        <x:v>3036</x:v>
      </x:c>
      <x:c r="D10" s="11">
        <x:f>CONCATENATE(HYPERLINK("CALLTO:%2B356%209986%200593", "+356 9986 0593"))</x:f>
      </x:c>
      <x:c r="E10" s="10" t="s">
        <x:v>3066</x:v>
      </x:c>
      <x:c r="F10" s="4" t="s">
        <x:v>144</x:v>
      </x:c>
    </x:row>
    <x:row r="11" spans="1:7" s="3" customFormat="1"/>
    <x:row r="12" spans="1:7" s="1" customFormat="1">
      <x:c r="A12" s="1" t="s">
        <x:v>2998</x:v>
      </x:c>
      <x:c r="B12" s="1" t="s">
        <x:v>3009</x:v>
      </x:c>
      <x:c r="C12" s="8" t="s">
        <x:v>3037</x:v>
      </x:c>
      <x:c r="D12" s="9">
        <x:f>CONCATENATE(HYPERLINK("CALLTO:%2B356%209909%209033", "+356 9909 9033"))</x:f>
      </x:c>
      <x:c r="E12" s="8" t="s">
        <x:v>3067</x:v>
      </x:c>
      <x:c r="F12" s="1" t="s">
        <x:v>144</x:v>
      </x:c>
    </x:row>
    <x:row r="13" spans="1:7" s="4" customFormat="1">
      <x:c r="A13" s="4" t="s">
        <x:v>2998</x:v>
      </x:c>
      <x:c r="B13" s="4" t="s">
        <x:v>3010</x:v>
      </x:c>
      <x:c r="C13" s="10" t="s">
        <x:v>3038</x:v>
      </x:c>
      <x:c r="D13" s="11">
        <x:f>CONCATENATE(HYPERLINK("CALLTO:%2B356%209949%206072", "+356 9949 6072"))</x:f>
      </x:c>
      <x:c r="E13" s="10" t="s">
        <x:v>3068</x:v>
      </x:c>
      <x:c r="F13" s="4" t="s">
        <x:v>144</x:v>
      </x:c>
    </x:row>
    <x:row r="14" spans="1:7" s="3" customFormat="1">
      <x:c r="A14" s="3" t="s">
        <x:v>2998</x:v>
      </x:c>
      <x:c r="B14" s="3" t="s">
        <x:v>3011</x:v>
      </x:c>
      <x:c r="C14" s="6" t="s">
        <x:v>3039</x:v>
      </x:c>
      <x:c r="D14" s="7">
        <x:f>CONCATENATE(HYPERLINK("CALLTO:%2B356%207985%209114", "+356 7985 9114"))</x:f>
      </x:c>
      <x:c r="E14" s="6" t="s">
        <x:v>3069</x:v>
      </x:c>
      <x:c r="F14" s="6" t="s">
        <x:v>2061</x:v>
      </x:c>
    </x:row>
    <x:row r="15" spans="1:7" s="1" customFormat="1">
      <x:c r="A15" s="1" t="s">
        <x:v>2998</x:v>
      </x:c>
      <x:c r="B15" s="1" t="s">
        <x:v>3012</x:v>
      </x:c>
      <x:c r="C15" s="8" t="s">
        <x:v>3040</x:v>
      </x:c>
      <x:c r="D15" s="9">
        <x:f>CONCATENATE(HYPERLINK("CALLTO:%2B356%209947%206679", "+356 9947 6679"))</x:f>
      </x:c>
      <x:c r="E15" s="8" t="s">
        <x:v>3070</x:v>
      </x:c>
      <x:c r="F15" s="1" t="s">
        <x:v>144</x:v>
      </x:c>
    </x:row>
    <x:row r="16" spans="1:7" s="4" customFormat="1">
      <x:c r="A16" s="4" t="s">
        <x:v>2998</x:v>
      </x:c>
      <x:c r="B16" s="4" t="s">
        <x:v>3013</x:v>
      </x:c>
      <x:c r="C16" s="10" t="s">
        <x:v>3042</x:v>
      </x:c>
      <x:c r="D16" s="11">
        <x:f>CONCATENATE(HYPERLINK("CALLTO:%2B356%207780%203904", "+356 7780 3904"))</x:f>
      </x:c>
      <x:c r="E16" s="10" t="s">
        <x:v>3071</x:v>
      </x:c>
      <x:c r="F16" s="4" t="s">
        <x:v>144</x:v>
      </x:c>
    </x:row>
    <x:row r="17" spans="1:7" s="3" customFormat="1">
      <x:c r="A17" s="3" t="s">
        <x:v>2998</x:v>
      </x:c>
      <x:c r="B17" s="3" t="s">
        <x:v>3014</x:v>
      </x:c>
      <x:c r="C17" s="6" t="s">
        <x:v>3043</x:v>
      </x:c>
      <x:c r="D17" s="7">
        <x:f>CONCATENATE(HYPERLINK("CALLTO:%2B356%207944%201229", "+356 7944 1229"))</x:f>
      </x:c>
      <x:c r="E17" s="6" t="s">
        <x:v>3072</x:v>
      </x:c>
      <x:c r="F17" s="3" t="s">
        <x:v>144</x:v>
      </x:c>
    </x:row>
    <x:row r="18" spans="1:7" s="1" customFormat="1">
      <x:c r="A18" s="1" t="s">
        <x:v>2998</x:v>
      </x:c>
      <x:c r="B18" s="1" t="s">
        <x:v>3015</x:v>
      </x:c>
      <x:c r="C18" s="8" t="s">
        <x:v>3041</x:v>
      </x:c>
      <x:c r="D18" s="9">
        <x:f>CONCATENATE(HYPERLINK("CALLTO:%2B356%207926%208690", "+356 7926 8690"))</x:f>
      </x:c>
      <x:c r="E18" s="8" t="s">
        <x:v>3073</x:v>
      </x:c>
      <x:c r="F18" s="1" t="s">
        <x:v>144</x:v>
      </x:c>
    </x:row>
    <x:row r="19" spans="1:7" s="4" customFormat="1">
      <x:c r="A19" s="4" t="s">
        <x:v>2998</x:v>
      </x:c>
      <x:c r="B19" s="4" t="s">
        <x:v>680</x:v>
      </x:c>
      <x:c r="C19" s="10" t="s">
        <x:v>3044</x:v>
      </x:c>
      <x:c r="D19" s="11">
        <x:f>CONCATENATE(HYPERLINK("CALLTO:%2B356%202149%206742", "+356 2149 6742"))</x:f>
      </x:c>
      <x:c r="E19" s="10" t="s">
        <x:v>3074</x:v>
      </x:c>
      <x:c r="F19" s="4" t="s">
        <x:v>144</x:v>
      </x:c>
    </x:row>
    <x:row r="20" spans="1:7" s="3" customFormat="1">
      <x:c r="A20" s="3" t="s">
        <x:v>2998</x:v>
      </x:c>
      <x:c r="B20" s="3" t="s">
        <x:v>3016</x:v>
      </x:c>
      <x:c r="C20" s="6" t="s">
        <x:v>3045</x:v>
      </x:c>
      <x:c r="D20" s="7">
        <x:f>CONCATENATE(HYPERLINK("CALLTO:%2B356%209945%209892", "+356 9945 9892"))</x:f>
      </x:c>
      <x:c r="E20" s="6" t="s">
        <x:v>3075</x:v>
      </x:c>
      <x:c r="F20" s="3" t="s">
        <x:v>144</x:v>
      </x:c>
    </x:row>
    <x:row r="21" spans="1:7" s="1" customFormat="1">
      <x:c r="A21" s="1" t="s">
        <x:v>2998</x:v>
      </x:c>
      <x:c r="B21" s="1" t="s">
        <x:v>3017</x:v>
      </x:c>
      <x:c r="C21" s="8" t="s">
        <x:v>3046</x:v>
      </x:c>
      <x:c r="D21" s="9">
        <x:f>CONCATENATE(HYPERLINK("CALLTO:%2B356%209984%206386", "+356 9984 6386"))</x:f>
      </x:c>
      <x:c r="E21" s="8" t="s">
        <x:v>3076</x:v>
      </x:c>
      <x:c r="F21" s="1" t="s">
        <x:v>144</x:v>
      </x:c>
    </x:row>
    <x:row r="22" spans="1:7" s="4" customFormat="1">
      <x:c r="A22" s="4" t="s">
        <x:v>2998</x:v>
      </x:c>
      <x:c r="B22" s="4" t="s">
        <x:v>3018</x:v>
      </x:c>
      <x:c r="C22" s="10" t="s">
        <x:v>3047</x:v>
      </x:c>
      <x:c r="D22" s="11">
        <x:f>CONCATENATE(HYPERLINK("CALLTO:%2B356%209988%203005", "+356 9988 3005"))</x:f>
      </x:c>
      <x:c r="E22" s="10" t="s">
        <x:v>3077</x:v>
      </x:c>
      <x:c r="F22" s="4" t="s">
        <x:v>144</x:v>
      </x:c>
    </x:row>
    <x:row r="23" spans="1:7" s="3" customFormat="1">
      <x:c r="A23" s="3" t="s">
        <x:v>2998</x:v>
      </x:c>
      <x:c r="B23" s="3" t="s">
        <x:v>3019</x:v>
      </x:c>
      <x:c r="C23" s="6" t="s">
        <x:v>3048</x:v>
      </x:c>
      <x:c r="D23" s="7">
        <x:f>CONCATENATE(HYPERLINK("CALLTO:%2B356%209956%202994", "+356 9956 2994"))</x:f>
      </x:c>
      <x:c r="E23" s="6" t="s">
        <x:v>3078</x:v>
      </x:c>
      <x:c r="F23" s="3" t="s">
        <x:v>144</x:v>
      </x:c>
    </x:row>
    <x:row r="24" spans="1:7" s="1" customFormat="1">
      <x:c r="A24" s="1" t="s">
        <x:v>2998</x:v>
      </x:c>
      <x:c r="B24" s="1" t="s">
        <x:v>3020</x:v>
      </x:c>
      <x:c r="C24" s="8" t="s">
        <x:v>793</x:v>
      </x:c>
      <x:c r="D24" s="9">
        <x:f>CONCATENATE(HYPERLINK("CALLTO:%2B356%207777%201522", "+356 7777 1522"))</x:f>
      </x:c>
      <x:c r="E24" s="8" t="s">
        <x:v>3079</x:v>
      </x:c>
      <x:c r="F24" s="1" t="s">
        <x:v>144</x:v>
      </x:c>
    </x:row>
    <x:row r="25" spans="1:7" s="4" customFormat="1">
      <x:c r="A25" s="4" t="s">
        <x:v>2998</x:v>
      </x:c>
      <x:c r="B25" s="4" t="s">
        <x:v>3021</x:v>
      </x:c>
      <x:c r="C25" s="10" t="s">
        <x:v>3049</x:v>
      </x:c>
      <x:c r="D25" s="11">
        <x:f>CONCATENATE(HYPERLINK("CALLTO:%2B356%209958%204175", "+356 9958 4175"))</x:f>
      </x:c>
      <x:c r="E25" s="10" t="s">
        <x:v>3080</x:v>
      </x:c>
      <x:c r="F25" s="4" t="s">
        <x:v>144</x:v>
      </x:c>
    </x:row>
    <x:row r="26" spans="1:7" s="3" customFormat="1">
      <x:c r="A26" s="3" t="s">
        <x:v>2998</x:v>
      </x:c>
      <x:c r="B26" s="3" t="s">
        <x:v>3022</x:v>
      </x:c>
      <x:c r="C26" s="6" t="s">
        <x:v>3050</x:v>
      </x:c>
      <x:c r="D26" s="7">
        <x:f>CONCATENATE(HYPERLINK("CALLTO:%2B356%209948%206377", "+356 9948 6377"))</x:f>
      </x:c>
      <x:c r="E26" s="3" t="s">
        <x:v>144</x:v>
      </x:c>
      <x:c r="F26" s="3" t="s">
        <x:v>144</x:v>
      </x:c>
    </x:row>
    <x:row r="27" spans="1:7" s="1" customFormat="1">
      <x:c r="A27" s="1" t="s">
        <x:v>2998</x:v>
      </x:c>
      <x:c r="B27" s="1" t="s">
        <x:v>3023</x:v>
      </x:c>
      <x:c r="C27" s="8" t="s">
        <x:v>3003</x:v>
      </x:c>
      <x:c r="D27" s="9">
        <x:f>CONCATENATE(HYPERLINK("CALLTO:%2B356%209980%206762", "+356 9980 6762"))</x:f>
      </x:c>
      <x:c r="E27" s="8" t="s">
        <x:v>3081</x:v>
      </x:c>
      <x:c r="F27" s="1" t="s">
        <x:v>144</x:v>
      </x:c>
    </x:row>
    <x:row r="28" spans="1:7" s="4" customFormat="1">
      <x:c r="A28" s="4" t="s">
        <x:v>2998</x:v>
      </x:c>
      <x:c r="B28" s="4" t="s">
        <x:v>3024</x:v>
      </x:c>
      <x:c r="C28" s="10" t="s">
        <x:v>3051</x:v>
      </x:c>
      <x:c r="D28" s="11">
        <x:f>CONCATENATE(HYPERLINK("CALLTO:%2B356%209979%209124", "+356 9979 9124"))</x:f>
      </x:c>
      <x:c r="E28" s="10" t="s">
        <x:v>3083</x:v>
      </x:c>
      <x:c r="F28" s="4" t="s">
        <x:v>144</x:v>
      </x:c>
    </x:row>
    <x:row r="29" spans="1:7" s="3" customFormat="1">
      <x:c r="A29" s="3" t="s">
        <x:v>2998</x:v>
      </x:c>
      <x:c r="B29" s="3" t="s">
        <x:v>3025</x:v>
      </x:c>
      <x:c r="C29" s="6" t="s">
        <x:v>3052</x:v>
      </x:c>
      <x:c r="D29" s="7">
        <x:f>CONCATENATE(HYPERLINK("CALLTO:%2B356%209945%204749", "+356 9945 4749"))</x:f>
      </x:c>
      <x:c r="E29" s="6" t="s">
        <x:v>3082</x:v>
      </x:c>
      <x:c r="F29" s="3" t="s">
        <x:v>144</x:v>
      </x:c>
    </x:row>
    <x:row r="30" spans="1:7" s="1" customFormat="1">
      <x:c r="A30" s="1" t="s">
        <x:v>2998</x:v>
      </x:c>
      <x:c r="B30" s="1" t="s">
        <x:v>3026</x:v>
      </x:c>
      <x:c r="C30" s="8" t="s">
        <x:v>3053</x:v>
      </x:c>
      <x:c r="D30" s="9">
        <x:f>CONCATENATE(HYPERLINK("CALLTO:%2B356%202141%207115", "+356 2141 7115"))</x:f>
      </x:c>
      <x:c r="E30" s="1" t="s">
        <x:v>144</x:v>
      </x:c>
      <x:c r="F30" s="1" t="s">
        <x:v>144</x:v>
      </x:c>
    </x:row>
    <x:row r="31" spans="1:7" s="4" customFormat="1">
      <x:c r="A31" s="4" t="s">
        <x:v>2998</x:v>
      </x:c>
      <x:c r="B31" s="4" t="s">
        <x:v>3027</x:v>
      </x:c>
      <x:c r="C31" s="10" t="s">
        <x:v>3054</x:v>
      </x:c>
      <x:c r="D31" s="11">
        <x:f>CONCATENATE(HYPERLINK("CALLTO:%2B356%207744%204949", "+356 7744 4949"))</x:f>
      </x:c>
      <x:c r="E31" s="10" t="s">
        <x:v>3084</x:v>
      </x:c>
      <x:c r="F31" s="4" t="s">
        <x:v>144</x:v>
      </x:c>
    </x:row>
    <x:row r="32" spans="1:7" s="3" customFormat="1">
      <x:c r="A32" s="3" t="s">
        <x:v>2998</x:v>
      </x:c>
      <x:c r="B32" s="3" t="s">
        <x:v>3028</x:v>
      </x:c>
      <x:c r="C32" s="6" t="s">
        <x:v>3055</x:v>
      </x:c>
      <x:c r="D32" s="7">
        <x:f>CONCATENATE(HYPERLINK("CALLTO:%2B356%209905%204441", "+356 9905 4441"))</x:f>
      </x:c>
      <x:c r="E32" s="6" t="s">
        <x:v>1039</x:v>
      </x:c>
      <x:c r="F32" s="6" t="s">
        <x:v>913</x:v>
      </x:c>
    </x:row>
    <x:row r="33" spans="1:7" s="1" customFormat="1">
      <x:c r="A33" s="1" t="s">
        <x:v>2998</x:v>
      </x:c>
      <x:c r="B33" s="1" t="s">
        <x:v>995</x:v>
      </x:c>
      <x:c r="C33" s="8" t="s">
        <x:v>1016</x:v>
      </x:c>
      <x:c r="D33" s="9">
        <x:f>CONCATENATE(HYPERLINK("CALLTO:%2B356%209947%202226", "+356 9947 2226"))</x:f>
      </x:c>
      <x:c r="E33" s="8" t="s">
        <x:v>1710</x:v>
      </x:c>
      <x:c r="F33" s="8" t="s">
        <x:v>1785</x:v>
      </x:c>
    </x:row>
    <x:row r="34" spans="1:7" s="4" customFormat="1">
      <x:c r="A34" s="4" t="s">
        <x:v>2998</x:v>
      </x:c>
      <x:c r="B34" s="4" t="s">
        <x:v>1530</x:v>
      </x:c>
      <x:c r="C34" s="10" t="s">
        <x:v>1615</x:v>
      </x:c>
      <x:c r="D34" s="11">
        <x:f>CONCATENATE(HYPERLINK("CALLTO:%2B356%202131%200334", "+356 2131 0334"))</x:f>
      </x:c>
      <x:c r="E34" s="10" t="s">
        <x:v>3085</x:v>
      </x:c>
      <x:c r="F34" s="10" t="s">
        <x:v>3090</x:v>
      </x:c>
    </x:row>
    <x:row r="35" spans="1:7" s="3" customFormat="1">
      <x:c r="A35" s="3" t="s">
        <x:v>2998</x:v>
      </x:c>
      <x:c r="B35" s="3" t="s">
        <x:v>3029</x:v>
      </x:c>
      <x:c r="C35" s="6" t="s">
        <x:v>3056</x:v>
      </x:c>
      <x:c r="D35" s="7">
        <x:f>CONCATENATE(HYPERLINK("CALLTO:%2B356%209965%204837", "+356 9965 4837"))</x:f>
      </x:c>
      <x:c r="E35" s="6" t="s">
        <x:v>3086</x:v>
      </x:c>
      <x:c r="F35" s="6" t="s">
        <x:v>3089</x:v>
      </x:c>
    </x:row>
    <x:row r="36" spans="1:7" s="1" customFormat="1">
      <x:c r="A36" s="1" t="s">
        <x:v>2998</x:v>
      </x:c>
      <x:c r="B36" s="1" t="s">
        <x:v>3030</x:v>
      </x:c>
      <x:c r="C36" s="8" t="s">
        <x:v>3057</x:v>
      </x:c>
      <x:c r="D36" s="9">
        <x:f>CONCATENATE(HYPERLINK("CALLTO:%2B356%209942%202632", "+356 9942 2632"))</x:f>
      </x:c>
      <x:c r="E36" s="8" t="s">
        <x:v>1342</x:v>
      </x:c>
      <x:c r="F36" s="8" t="s">
        <x:v>2058</x:v>
      </x:c>
    </x:row>
    <x:row r="37" spans="1:7" s="4" customFormat="1">
      <x:c r="A37" s="4" t="s">
        <x:v>2998</x:v>
      </x:c>
      <x:c r="B37" s="4" t="s">
        <x:v>3031</x:v>
      </x:c>
      <x:c r="C37" s="10" t="s">
        <x:v>3058</x:v>
      </x:c>
      <x:c r="D37" s="11">
        <x:f>CONCATENATE(HYPERLINK("CALLTO:%2B356%207709%202277", "+356 7709 2277"))</x:f>
      </x:c>
      <x:c r="F37" s="10" t="s">
        <x:v>870</x:v>
      </x:c>
    </x:row>
    <x:row r="38" spans="1:7" s="3" customFormat="1">
      <x:c r="A38" s="3" t="s">
        <x:v>2998</x:v>
      </x:c>
      <x:c r="B38" s="3" t="s">
        <x:v>848</x:v>
      </x:c>
      <x:c r="C38" s="6" t="s">
        <x:v>857</x:v>
      </x:c>
      <x:c r="D38" s="7">
        <x:f>CONCATENATE(HYPERLINK("CALLTO:%2B356%202146%208770", "+356 2146 8770"))</x:f>
      </x:c>
    </x:row>
    <x:row r="39" spans="1:7" s="1" customFormat="1">
      <x:c r="A39" s="1" t="s">
        <x:v>2998</x:v>
      </x:c>
    </x:row>
    <x:row r="40" spans="1:7" s="4" customFormat="1">
      <x:c r="A40" s="4" t="s">
        <x:v>2998</x:v>
      </x:c>
    </x:row>
    <x:row r="41" spans="1:7" s="3" customFormat="1"/>
    <x:row r="42" spans="1:7" s="1" customFormat="1">
      <x:c r="A42" s="1" t="s">
        <x:v>2997</x:v>
      </x:c>
    </x:row>
    <x:row r="43" spans="1:7" s="4" customFormat="1">
      <x:c r="A43" s="4" t="s">
        <x:v>2997</x:v>
      </x:c>
    </x:row>
    <x:row r="44" spans="1:7" s="3" customFormat="1"/>
    <x:row r="45" spans="1:7" s="1" customFormat="1">
      <x:c r="A45" s="1" t="s">
        <x:v>2999</x:v>
      </x:c>
    </x:row>
    <x:row r="46" spans="1:7" s="4" customFormat="1"/>
    <x:row r="47" spans="1:7" s="3" customFormat="1">
      <x:c r="A47" s="3" t="s">
        <x:v>3000</x:v>
      </x:c>
    </x:row>
    <x:row r="48" spans="1:7" s="1" customFormat="1"/>
    <x:row r="49" spans="1:7" s="4" customFormat="1">
      <x:c r="A49" s="4" t="s">
        <x:v>3001</x:v>
      </x:c>
    </x:row>
    <x:row r="50" spans="1:7" s="3" customFormat="1"/>
    <x:row r="51" spans="1:7" s="1" customFormat="1">
      <x:c r="A51" s="1" t="s">
        <x:v>3002</x:v>
      </x:c>
    </x:row>
    <x:row r="52" spans="1:7" s="4" customFormat="1"/>
    <x:row r="53" spans="1:7" s="3" customFormat="1">
      <x:c r="A53" s="3" t="s">
        <x:v>3003</x:v>
      </x:c>
    </x:row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</x:sheetData>
  <x:hyperlinks>
    <x:hyperlink ref="C2" r:id="rId3297" tooltip="Send a mail to info@absolute.com.mt"/>
    <x:hyperlink ref="C4" r:id="rId3298" tooltip="Send a mail to bgalea11@gmail.com"/>
    <x:hyperlink ref="C6" r:id="rId3299" tooltip="Send a mail to cmkazammit@gmail.com"/>
    <x:hyperlink ref="C8" r:id="rId3300" tooltip="Send a mail to info@skirting.com.mt"/>
    <x:hyperlink ref="C10" r:id="rId3301" tooltip="Send a mail to gabjean@gmail.com"/>
    <x:hyperlink ref="C12" r:id="rId3302" tooltip="Send a mail to jamal82aljanid82@gmail.com"/>
    <x:hyperlink ref="C13" r:id="rId3303" tooltip="Send a mail to tonytilelayer@hotmail.com"/>
    <x:hyperlink ref="C14" r:id="rId3304" tooltip="Send a mail to ivan.busu@hotmail.com"/>
    <x:hyperlink ref="C15" r:id="rId3305" tooltip="Send a mail to charliegrech65@gmail.com"/>
    <x:hyperlink ref="C16" r:id="rId3306" tooltip="Send a mail to damirsujak77@gmail.com"/>
    <x:hyperlink ref="C17" r:id="rId3307" tooltip="Send a mail to leldor@onvol.net"/>
    <x:hyperlink ref="C18" r:id="rId3308" tooltip="Send a mail to fjtiles@gmail.com"/>
    <x:hyperlink ref="C19" r:id="rId3309" tooltip="Send a mail to info@floorsofstone.com.mt"/>
    <x:hyperlink ref="C20" r:id="rId3310" tooltip="Send a mail to gorggalea@gmail.com"/>
    <x:hyperlink ref="C21" r:id="rId3311" tooltip="Send a mail to salibatilelayer@gmail.com"/>
    <x:hyperlink ref="C22" r:id="rId3312" tooltip="Send a mail to frankiec029@gmail.com"/>
    <x:hyperlink ref="C23" r:id="rId3313" tooltip="Send a mail to malta.tiling@gmail.com"/>
    <x:hyperlink ref="C24" r:id="rId3314" tooltip="Send a mail to contact@kibitec.com"/>
    <x:hyperlink ref="C25" r:id="rId3315" tooltip="Send a mail to siamnd1985@gmail.com"/>
    <x:hyperlink ref="C26" r:id="rId3316" tooltip="Send a mail to stephentilelayer@gmail.com"/>
    <x:hyperlink ref="C27" r:id="rId3317" tooltip="Send a mail to zltcontractor@gmail.com"/>
    <x:hyperlink ref="C28" r:id="rId3318" tooltip="Send a mail to edfinishings1@gmail.com"/>
    <x:hyperlink ref="C29" r:id="rId3319" tooltip="Send a mail to clifton_tilelaying@hotmail.com"/>
    <x:hyperlink ref="C30" r:id="rId3320" tooltip="Send a mail to jevgatt@maltanet.net"/>
    <x:hyperlink ref="C31" r:id="rId3321" tooltip="Send a mail to tilingforfuture@gmail.com"/>
    <x:hyperlink ref="C32" r:id="rId3322" tooltip="Send a mail to chantellemizzi@hotmail.com"/>
    <x:hyperlink ref="C33" r:id="rId3323" tooltip="Send a mail to alex@gad.com.mt"/>
    <x:hyperlink ref="C34" r:id="rId3324" tooltip="Send a mail to info@promaninteriors.com"/>
    <x:hyperlink ref="C35" r:id="rId3325" tooltip="Send a mail to tresortradingltd@gmail.com"/>
    <x:hyperlink ref="C36" r:id="rId3326" tooltip="Send a mail to showtiles@gmail.com"/>
    <x:hyperlink ref="C37" r:id="rId3327" tooltip="Send a mail to info@rgroupmt.com"/>
    <x:hyperlink ref="C38" r:id="rId3328" tooltip="Send a mail to info@mrcd.com.mt"/>
    <x:hyperlink ref="E2" r:id="rId3329" tooltip="Search Triq Pantar, Hal Lija on Google Maps"/>
    <x:hyperlink ref="E4" r:id="rId3330" tooltip="Search Triq John Michael Testa Tal-Handaq ,&#10;Qormi, Malta QRM 4000 on Google Maps"/>
    <x:hyperlink ref="E6" r:id="rId3331" tooltip="Search 19 Garage Katarina Triq Santa Klementina ,&#10;Zurrieq, Malta ZRQ 2510 on Google Maps"/>
    <x:hyperlink ref="E8" r:id="rId3332" tooltip="Search Private Road, Garage 4, 5 &amp; 6 Triq l-Irham ,&#10;Qormi, Malta on Google Maps"/>
    <x:hyperlink ref="E10" r:id="rId3333" tooltip="Search 6 Montana Triq il-Qamh ,&#10;Mellieha, Malta MLH 1761 on Google Maps"/>
    <x:hyperlink ref="E12" r:id="rId3334" tooltip="Search 13 Helen Flat 3 Triq Joe Sciberras ,&#10;Hamrun, Malta HMR 1550 on Google Maps"/>
    <x:hyperlink ref="E13" r:id="rId3335" tooltip="Search 12 Windrush T/G fi triq it-Turretta ,&#10;Dingli, Malta DGL 1731 on Google Maps"/>
    <x:hyperlink ref="E14" r:id="rId3336" tooltip="Search Trejqet il-Beatu Dun Gorg Preca ,&#10;Pembroke, Malta PBK 1460 on Google Maps"/>
    <x:hyperlink ref="E15" r:id="rId3337" tooltip="Search 22 April May Triq Gorg Borg ,&#10;Qormi, Malta QRM 1943 on Google Maps"/>
    <x:hyperlink ref="E16" r:id="rId3338" tooltip="Search 35 Trilogy, Flt 1 Triq Ganni Bonnici ,&#10;Zebbug, Malta ZBG 2507 on Google Maps"/>
    <x:hyperlink ref="E17" r:id="rId3339" tooltip="Search Divine Mercy Triq Pawlu Balzan ,&#10;Zebbug, Malta ZBG 1490 on Google Maps"/>
    <x:hyperlink ref="E18" r:id="rId3340" tooltip="Search Triq il-Bronja ,&#10;Zurrieq, Malta on Google Maps"/>
    <x:hyperlink ref="E19" r:id="rId3341" tooltip="Search 115 Triq il-Wied Ta’ L-Imsida ,&#10;B’Kara, Malta BKR 9021 on Google Maps"/>
    <x:hyperlink ref="E20" r:id="rId3342" tooltip="Search 58 Triq Dun Gwann Pullicino ,&#10;Mosta, Malta MST 2703 on Google Maps"/>
    <x:hyperlink ref="E21" r:id="rId3343" tooltip="Search Żejtun, Malta on Google Maps"/>
    <x:hyperlink ref="E22" r:id="rId3344" tooltip="Search Kerċem, Gozo on Google Maps"/>
    <x:hyperlink ref="E23" r:id="rId3345" tooltip="Search Triq Domenico Cachia 54, Birkirkara, Malta on Google Maps"/>
    <x:hyperlink ref="E24" r:id="rId3346" tooltip="Search Marsascala, Malta on Google Maps"/>
    <x:hyperlink ref="E25" r:id="rId3347" tooltip="Search Triq Giovanni Maria Borg, Zurrieq, Malta on Google Maps"/>
    <x:hyperlink ref="E27" r:id="rId3348" tooltip="Search 115, Triq Il-Bwieraq, Birkirkara, Malta on Google Maps"/>
    <x:hyperlink ref="E28" r:id="rId3349" tooltip="Search ºClimarkei, Triq Il-Gizi, Il-Fgura, Malta FGR 1040 on Google Maps"/>
    <x:hyperlink ref="E29" r:id="rId3350" tooltip="Search Galine, Josmar Complex, Triq Id-Difiza Civili, Il-Mosta, Malta on Google Maps"/>
    <x:hyperlink ref="E31" r:id="rId3351" tooltip="Search Fisheye, Triq Mons. A. Buhagiar, Ir-Rabat, Malta on Google Maps"/>
    <x:hyperlink ref="E32" r:id="rId3352" tooltip="Search 21, Triq Gellewza Sewda,&#10;Midland Park, D7&#10;Burmarrad Road, Burmarrad LO Naxxar&#10;Malta on Google Maps"/>
    <x:hyperlink ref="E33" r:id="rId3353" tooltip="Search Proman Interiors,&#10;115, Valley Road,&#10;B'Kara. BKR 9022.&#10;Malta. on Google Maps"/>
    <x:hyperlink ref="E34" r:id="rId3354" tooltip="Search J.Micallef BOATYARD and WAREHOUSE Ta ghadajma l/o Mqabba (Near STMicro Eletronics) Malta, Mqabba, Malta on Google Maps"/>
    <x:hyperlink ref="E35" r:id="rId3355" tooltip="Search 78, Triq San Pawl NXR 4016 Naxxar, Malta on Google Maps"/>
    <x:hyperlink ref="E36" r:id="rId3356" tooltip="Search MRCD Building,&#10;Karmenu Camilleri Street,&#10;Qormi, QRM4631 on Google Maps"/>
    <x:hyperlink ref="F2" r:id="rId3357" tooltip="Visit absolute.com.mt/"/>
    <x:hyperlink ref="F14" r:id="rId3358" tooltip="Visit facebook.com/865035916866720&#10;Suggest update"/>
    <x:hyperlink ref="F32" r:id="rId3359" tooltip="Visit gad.com.mt/"/>
    <x:hyperlink ref="F33" r:id="rId3360" tooltip="Visit promaninteriors.com/"/>
    <x:hyperlink ref="F34" r:id="rId3361" tooltip="Visit facebook.com/Dwarehouse23/"/>
    <x:hyperlink ref="F35" r:id="rId3362" tooltip="Visit facebook.com/showtilesnaxxar/"/>
    <x:hyperlink ref="F36" r:id="rId3363" tooltip="Visit facebook.com/RGroupMalta"/>
    <x:hyperlink ref="F37" r:id="rId3364" tooltip="Visit mrcd.com.mt/en/home.ht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87"/>
  <x:sheetViews>
    <x:sheetView workbookViewId="0"/>
  </x:sheetViews>
  <x:sheetFormatPr defaultRowHeight="15"/>
  <x:cols>
    <x:col min="1" max="1" width="12.567768" style="0" customWidth="1"/>
    <x:col min="2" max="2" width="31.996339" style="0" customWidth="1"/>
    <x:col min="3" max="3" width="37.996339" style="0" customWidth="1"/>
    <x:col min="4" max="4" width="18.710625" style="0" customWidth="1"/>
    <x:col min="5" max="5" width="10.853482" style="0" customWidth="1"/>
    <x:col min="6" max="6" width="10.996339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List'!A52", "Back to Summary")</x:f>
      </x:c>
    </x:row>
    <x:row r="2" spans="1:7" s="3" customFormat="1">
      <x:c r="A2" s="3" t="s">
        <x:v>3093</x:v>
      </x:c>
      <x:c r="B2" s="3" t="s">
        <x:v>3094</x:v>
      </x:c>
      <x:c r="C2" s="6" t="s">
        <x:v>3126</x:v>
      </x:c>
      <x:c r="D2" s="7">
        <x:f>CONCATENATE(HYPERLINK("CALLTO:%2B356%202143%206361", "+356 2143 6361"))</x:f>
      </x:c>
    </x:row>
    <x:row r="3" spans="1:7" s="1" customFormat="1"/>
    <x:row r="4" spans="1:7" s="4" customFormat="1">
      <x:c r="A4" s="4" t="s">
        <x:v>2997</x:v>
      </x:c>
      <x:c r="B4" s="4" t="s">
        <x:v>3095</x:v>
      </x:c>
      <x:c r="C4" s="10" t="s">
        <x:v>715</x:v>
      </x:c>
    </x:row>
    <x:row r="5" spans="1:7" s="3" customFormat="1">
      <x:c r="A5" s="3" t="s">
        <x:v>2997</x:v>
      </x:c>
      <x:c r="B5" s="3" t="s">
        <x:v>3096</x:v>
      </x:c>
      <x:c r="C5" s="6" t="s">
        <x:v>3127</x:v>
      </x:c>
    </x:row>
    <x:row r="6" spans="1:7" s="1" customFormat="1">
      <x:c r="A6" s="1" t="s">
        <x:v>2997</x:v>
      </x:c>
      <x:c r="B6" s="1" t="s">
        <x:v>3097</x:v>
      </x:c>
      <x:c r="C6" s="8" t="s">
        <x:v>3128</x:v>
      </x:c>
    </x:row>
    <x:row r="7" spans="1:7" s="4" customFormat="1">
      <x:c r="A7" s="4" t="s">
        <x:v>2997</x:v>
      </x:c>
      <x:c r="B7" s="4" t="s">
        <x:v>2198</x:v>
      </x:c>
      <x:c r="C7" s="10" t="s">
        <x:v>2135</x:v>
      </x:c>
    </x:row>
    <x:row r="8" spans="1:7" s="3" customFormat="1">
      <x:c r="A8" s="3" t="s">
        <x:v>2997</x:v>
      </x:c>
      <x:c r="B8" s="3" t="s">
        <x:v>1216</x:v>
      </x:c>
      <x:c r="C8" s="6" t="s">
        <x:v>3129</x:v>
      </x:c>
    </x:row>
    <x:row r="9" spans="1:7" s="1" customFormat="1">
      <x:c r="A9" s="1" t="s">
        <x:v>2997</x:v>
      </x:c>
      <x:c r="B9" s="1" t="s">
        <x:v>3098</x:v>
      </x:c>
      <x:c r="C9" s="8" t="s">
        <x:v>3130</x:v>
      </x:c>
    </x:row>
    <x:row r="10" spans="1:7" s="4" customFormat="1">
      <x:c r="A10" s="4" t="s">
        <x:v>2997</x:v>
      </x:c>
      <x:c r="B10" s="4" t="s">
        <x:v>1249</x:v>
      </x:c>
      <x:c r="C10" s="10" t="s">
        <x:v>1318</x:v>
      </x:c>
    </x:row>
    <x:row r="11" spans="1:7" s="3" customFormat="1">
      <x:c r="A11" s="3" t="s">
        <x:v>2997</x:v>
      </x:c>
      <x:c r="B11" s="3" t="s">
        <x:v>3099</x:v>
      </x:c>
      <x:c r="C11" s="6" t="s">
        <x:v>1319</x:v>
      </x:c>
    </x:row>
    <x:row r="12" spans="1:7" s="1" customFormat="1">
      <x:c r="A12" s="1" t="s">
        <x:v>2997</x:v>
      </x:c>
      <x:c r="B12" s="1" t="s">
        <x:v>3100</x:v>
      </x:c>
      <x:c r="C12" s="8" t="s">
        <x:v>3131</x:v>
      </x:c>
    </x:row>
    <x:row r="13" spans="1:7" s="4" customFormat="1">
      <x:c r="A13" s="4" t="s">
        <x:v>2997</x:v>
      </x:c>
      <x:c r="B13" s="4" t="s">
        <x:v>3101</x:v>
      </x:c>
      <x:c r="C13" s="10" t="s">
        <x:v>3056</x:v>
      </x:c>
    </x:row>
    <x:row r="14" spans="1:7" s="3" customFormat="1">
      <x:c r="A14" s="3" t="s">
        <x:v>2997</x:v>
      </x:c>
      <x:c r="B14" s="3" t="s">
        <x:v>3102</x:v>
      </x:c>
      <x:c r="C14" s="6" t="s">
        <x:v>3132</x:v>
      </x:c>
    </x:row>
    <x:row r="15" spans="1:7" s="1" customFormat="1">
      <x:c r="A15" s="1" t="s">
        <x:v>2997</x:v>
      </x:c>
      <x:c r="B15" s="1" t="s">
        <x:v>3103</x:v>
      </x:c>
      <x:c r="C15" s="8" t="s">
        <x:v>3133</x:v>
      </x:c>
    </x:row>
    <x:row r="16" spans="1:7" s="4" customFormat="1">
      <x:c r="A16" s="4" t="s">
        <x:v>2997</x:v>
      </x:c>
      <x:c r="B16" s="4" t="s">
        <x:v>3104</x:v>
      </x:c>
      <x:c r="C16" s="10" t="s">
        <x:v>1296</x:v>
      </x:c>
    </x:row>
    <x:row r="17" spans="1:7" s="3" customFormat="1">
      <x:c r="A17" s="3" t="s">
        <x:v>2997</x:v>
      </x:c>
      <x:c r="B17" s="3" t="s">
        <x:v>3105</x:v>
      </x:c>
      <x:c r="C17" s="6" t="s">
        <x:v>1302</x:v>
      </x:c>
    </x:row>
    <x:row r="18" spans="1:7" s="1" customFormat="1">
      <x:c r="A18" s="1" t="s">
        <x:v>2997</x:v>
      </x:c>
      <x:c r="B18" s="1" t="s">
        <x:v>3106</x:v>
      </x:c>
      <x:c r="C18" s="8" t="s">
        <x:v>857</x:v>
      </x:c>
    </x:row>
    <x:row r="19" spans="1:7" s="4" customFormat="1">
      <x:c r="A19" s="4" t="s">
        <x:v>2997</x:v>
      </x:c>
      <x:c r="B19" s="4" t="s">
        <x:v>3107</x:v>
      </x:c>
      <x:c r="C19" s="10" t="s">
        <x:v>3134</x:v>
      </x:c>
    </x:row>
    <x:row r="20" spans="1:7" s="3" customFormat="1">
      <x:c r="A20" s="3" t="s">
        <x:v>2997</x:v>
      </x:c>
      <x:c r="B20" s="3" t="s">
        <x:v>3108</x:v>
      </x:c>
      <x:c r="C20" s="3" t="s">
        <x:v>3135</x:v>
      </x:c>
    </x:row>
    <x:row r="21" spans="1:7" s="1" customFormat="1">
      <x:c r="A21" s="1" t="s">
        <x:v>2997</x:v>
      </x:c>
      <x:c r="B21" s="1" t="s">
        <x:v>3109</x:v>
      </x:c>
      <x:c r="C21" s="8" t="s">
        <x:v>1286</x:v>
      </x:c>
    </x:row>
    <x:row r="22" spans="1:7" s="4" customFormat="1">
      <x:c r="A22" s="4" t="s">
        <x:v>2997</x:v>
      </x:c>
      <x:c r="B22" s="4" t="s">
        <x:v>3110</x:v>
      </x:c>
      <x:c r="C22" s="10" t="s">
        <x:v>852</x:v>
      </x:c>
    </x:row>
    <x:row r="23" spans="1:7" s="3" customFormat="1">
      <x:c r="A23" s="3" t="s">
        <x:v>2997</x:v>
      </x:c>
      <x:c r="B23" s="3" t="s">
        <x:v>3111</x:v>
      </x:c>
      <x:c r="C23" s="6" t="s">
        <x:v>1301</x:v>
      </x:c>
    </x:row>
    <x:row r="24" spans="1:7" s="1" customFormat="1">
      <x:c r="A24" s="1" t="s">
        <x:v>2997</x:v>
      </x:c>
      <x:c r="B24" s="1" t="s">
        <x:v>3112</x:v>
      </x:c>
      <x:c r="C24" s="8" t="s">
        <x:v>3136</x:v>
      </x:c>
    </x:row>
    <x:row r="25" spans="1:7" s="4" customFormat="1">
      <x:c r="A25" s="4" t="s">
        <x:v>2997</x:v>
      </x:c>
      <x:c r="B25" s="4" t="s">
        <x:v>3113</x:v>
      </x:c>
      <x:c r="C25" s="10" t="s">
        <x:v>1292</x:v>
      </x:c>
    </x:row>
    <x:row r="26" spans="1:7" s="3" customFormat="1">
      <x:c r="A26" s="3" t="s">
        <x:v>2997</x:v>
      </x:c>
      <x:c r="B26" s="3" t="s">
        <x:v>3114</x:v>
      </x:c>
      <x:c r="C26" s="6" t="s">
        <x:v>1297</x:v>
      </x:c>
    </x:row>
    <x:row r="27" spans="1:7" s="1" customFormat="1">
      <x:c r="A27" s="1" t="s">
        <x:v>2997</x:v>
      </x:c>
      <x:c r="B27" s="1" t="s">
        <x:v>1195</x:v>
      </x:c>
      <x:c r="C27" s="8" t="s">
        <x:v>1273</x:v>
      </x:c>
    </x:row>
    <x:row r="28" spans="1:7" s="4" customFormat="1">
      <x:c r="A28" s="4" t="s">
        <x:v>2997</x:v>
      </x:c>
      <x:c r="B28" s="4" t="s">
        <x:v>3115</x:v>
      </x:c>
      <x:c r="C28" s="10" t="s">
        <x:v>1271</x:v>
      </x:c>
    </x:row>
    <x:row r="29" spans="1:7" s="3" customFormat="1">
      <x:c r="A29" s="3" t="s">
        <x:v>2997</x:v>
      </x:c>
      <x:c r="B29" s="3" t="s">
        <x:v>3116</x:v>
      </x:c>
      <x:c r="C29" s="6" t="s">
        <x:v>3137</x:v>
      </x:c>
    </x:row>
    <x:row r="30" spans="1:7" s="1" customFormat="1">
      <x:c r="A30" s="1" t="s">
        <x:v>2997</x:v>
      </x:c>
      <x:c r="B30" s="1" t="s">
        <x:v>3117</x:v>
      </x:c>
      <x:c r="C30" s="8" t="s">
        <x:v>1270</x:v>
      </x:c>
    </x:row>
    <x:row r="31" spans="1:7" s="4" customFormat="1">
      <x:c r="A31" s="4" t="s">
        <x:v>2997</x:v>
      </x:c>
      <x:c r="B31" s="4" t="s">
        <x:v>1193</x:v>
      </x:c>
      <x:c r="C31" s="10" t="s">
        <x:v>1272</x:v>
      </x:c>
    </x:row>
    <x:row r="32" spans="1:7" s="3" customFormat="1">
      <x:c r="A32" s="3" t="s">
        <x:v>2997</x:v>
      </x:c>
      <x:c r="B32" s="3" t="s">
        <x:v>3118</x:v>
      </x:c>
      <x:c r="C32" s="6" t="s">
        <x:v>3138</x:v>
      </x:c>
    </x:row>
    <x:row r="33" spans="1:7" s="1" customFormat="1">
      <x:c r="A33" s="1" t="s">
        <x:v>2997</x:v>
      </x:c>
      <x:c r="B33" s="1" t="s">
        <x:v>1226</x:v>
      </x:c>
      <x:c r="C33" s="8" t="s">
        <x:v>1322</x:v>
      </x:c>
    </x:row>
    <x:row r="34" spans="1:7" s="4" customFormat="1">
      <x:c r="A34" s="4" t="s">
        <x:v>2997</x:v>
      </x:c>
      <x:c r="B34" s="4" t="s">
        <x:v>1196</x:v>
      </x:c>
      <x:c r="C34" s="10" t="s">
        <x:v>1274</x:v>
      </x:c>
    </x:row>
    <x:row r="35" spans="1:7" s="3" customFormat="1">
      <x:c r="A35" s="3" t="s">
        <x:v>2997</x:v>
      </x:c>
      <x:c r="B35" s="3" t="s">
        <x:v>3119</x:v>
      </x:c>
      <x:c r="C35" s="6" t="s">
        <x:v>3139</x:v>
      </x:c>
    </x:row>
    <x:row r="36" spans="1:7" s="1" customFormat="1">
      <x:c r="A36" s="1" t="s">
        <x:v>2997</x:v>
      </x:c>
      <x:c r="B36" s="1" t="s">
        <x:v>3120</x:v>
      </x:c>
      <x:c r="C36" s="8" t="s">
        <x:v>3140</x:v>
      </x:c>
    </x:row>
    <x:row r="37" spans="1:7" s="4" customFormat="1">
      <x:c r="A37" s="4" t="s">
        <x:v>2997</x:v>
      </x:c>
      <x:c r="B37" s="4" t="s">
        <x:v>1210</x:v>
      </x:c>
      <x:c r="C37" s="10" t="s">
        <x:v>1289</x:v>
      </x:c>
    </x:row>
    <x:row r="38" spans="1:7" s="3" customFormat="1">
      <x:c r="A38" s="3" t="s">
        <x:v>2997</x:v>
      </x:c>
      <x:c r="B38" s="3" t="s">
        <x:v>1200</x:v>
      </x:c>
      <x:c r="C38" s="6" t="s">
        <x:v>1279</x:v>
      </x:c>
    </x:row>
    <x:row r="39" spans="1:7" s="1" customFormat="1">
      <x:c r="A39" s="1" t="s">
        <x:v>2997</x:v>
      </x:c>
      <x:c r="B39" s="1" t="s">
        <x:v>3121</x:v>
      </x:c>
      <x:c r="C39" s="8" t="s">
        <x:v>693</x:v>
      </x:c>
    </x:row>
    <x:row r="40" spans="1:7" s="4" customFormat="1">
      <x:c r="A40" s="4" t="s">
        <x:v>2997</x:v>
      </x:c>
      <x:c r="B40" s="4" t="s">
        <x:v>1849</x:v>
      </x:c>
      <x:c r="C40" s="10" t="s">
        <x:v>861</x:v>
      </x:c>
    </x:row>
    <x:row r="41" spans="1:7" s="3" customFormat="1">
      <x:c r="A41" s="3" t="s">
        <x:v>2997</x:v>
      </x:c>
      <x:c r="B41" s="3" t="s">
        <x:v>3122</x:v>
      </x:c>
      <x:c r="C41" s="6" t="s">
        <x:v>1326</x:v>
      </x:c>
    </x:row>
    <x:row r="42" spans="1:7" s="1" customFormat="1">
      <x:c r="A42" s="1" t="s">
        <x:v>2997</x:v>
      </x:c>
      <x:c r="B42" s="1" t="s">
        <x:v>3123</x:v>
      </x:c>
      <x:c r="C42" s="8" t="s">
        <x:v>799</x:v>
      </x:c>
    </x:row>
    <x:row r="43" spans="1:7" s="4" customFormat="1">
      <x:c r="A43" s="4" t="s">
        <x:v>2997</x:v>
      </x:c>
      <x:c r="B43" s="4" t="s">
        <x:v>1204</x:v>
      </x:c>
      <x:c r="C43" s="10" t="s">
        <x:v>1282</x:v>
      </x:c>
    </x:row>
    <x:row r="44" spans="1:7" s="3" customFormat="1">
      <x:c r="A44" s="3" t="s">
        <x:v>2997</x:v>
      </x:c>
      <x:c r="B44" s="3" t="s">
        <x:v>3124</x:v>
      </x:c>
      <x:c r="C44" s="6" t="s">
        <x:v>1298</x:v>
      </x:c>
    </x:row>
    <x:row r="45" spans="1:7" s="1" customFormat="1">
      <x:c r="A45" s="1" t="s">
        <x:v>2997</x:v>
      </x:c>
      <x:c r="B45" s="1" t="s">
        <x:v>3125</x:v>
      </x:c>
      <x:c r="C45" s="8" t="s">
        <x:v>3141</x:v>
      </x:c>
    </x:row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</x:sheetData>
  <x:hyperlinks>
    <x:hyperlink ref="C2" r:id="rId3365" tooltip="Send a mail to info@maltatiles.com"/>
    <x:hyperlink ref="C4" r:id="rId3366" tooltip="Send a mail to tilesandmarbleinfo@gmail.com"/>
    <x:hyperlink ref="C5" r:id="rId3367" tooltip="Send a mail to tilesatwholesaleprices@gmail.com"/>
    <x:hyperlink ref="C6" r:id="rId3368" tooltip="Send a mail to sales@fos.mt"/>
    <x:hyperlink ref="C7" r:id="rId3369" tooltip="Send a mail to info@satariano.com"/>
    <x:hyperlink ref="C8" r:id="rId3370" tooltip="Send a mail to showroom@vellafalzon.com"/>
    <x:hyperlink ref="C9" r:id="rId3371" tooltip="Send a mail to info@aandatiles.com"/>
    <x:hyperlink ref="C10" r:id="rId3372" tooltip="Send a mail to info@the-tile.com"/>
    <x:hyperlink ref="C11" r:id="rId3373" tooltip="Send a mail to info@tilewarehousemalta.com"/>
    <x:hyperlink ref="C12" r:id="rId3374" tooltip="Send a mail to malta@iperceramica.it"/>
    <x:hyperlink ref="C13" r:id="rId3375" tooltip="Send a mail to tresortradingltd@gmail.com"/>
    <x:hyperlink ref="C14" r:id="rId3376" tooltip="Send a mail to j.centrobagno@gmail.com"/>
    <x:hyperlink ref="C15" r:id="rId3377" tooltip="Send a mail to patrick@uniq.mt"/>
    <x:hyperlink ref="C16" r:id="rId3378" tooltip="Send a mail to info@vellmann.com"/>
    <x:hyperlink ref="C17" r:id="rId3379" tooltip="Send a mail to sales@carinibathrooms.com"/>
    <x:hyperlink ref="C18" r:id="rId3380" tooltip="Send a mail to info@mrcd.com.mt"/>
    <x:hyperlink ref="C19" r:id="rId3381" tooltip="Send a mail to faenzadiybathroom@gmail.com"/>
    <x:hyperlink ref="C21" r:id="rId3382" tooltip="Send a mail to jovanpisani@keramitbathrooms.com"/>
    <x:hyperlink ref="C22" r:id="rId3383" tooltip="Send a mail to info@absolute.com.mt"/>
    <x:hyperlink ref="C23" r:id="rId3384" tooltip="Send a mail to info@idealbathrooms.com.mt"/>
    <x:hyperlink ref="C24" r:id="rId3385" tooltip="Send a mail to info@valour.mt"/>
    <x:hyperlink ref="C25" r:id="rId3386" tooltip="Send a mail to info@ssbathrooms.com"/>
    <x:hyperlink ref="C26" r:id="rId3387" tooltip="Send a mail to info@vivo.com.mt"/>
    <x:hyperlink ref="C27" r:id="rId3388" tooltip="Send a mail to info@bathroomdesign.com.mt"/>
    <x:hyperlink ref="C28" r:id="rId3389" tooltip="Send a mail to info@banjuboutique.com"/>
    <x:hyperlink ref="C29" r:id="rId3390" tooltip="Send a mail to anthony@lqmco.com"/>
    <x:hyperlink ref="C30" r:id="rId3391" tooltip="Send a mail to meli@avantebathrooms.com"/>
    <x:hyperlink ref="C31" r:id="rId3392" tooltip="Send a mail to info@bathlinemalta.com"/>
    <x:hyperlink ref="C32" r:id="rId3393" tooltip="Send a mail to mireille@jpitre.com"/>
    <x:hyperlink ref="C33" r:id="rId3394" tooltip="Send a mail to info@bmsupplies.com"/>
    <x:hyperlink ref="C34" r:id="rId3395" tooltip="Send a mail to bc.bathrooms@gmail.com"/>
    <x:hyperlink ref="C35" r:id="rId3396" tooltip="Send a mail to info@calcatta-ceramica.com"/>
    <x:hyperlink ref="C36" r:id="rId3397" tooltip="Send a mail to Giorgiprojectpointltd@gmail.com"/>
    <x:hyperlink ref="C37" r:id="rId3398" tooltip="Send a mail to modabagnor@gmail.com"/>
    <x:hyperlink ref="C38" r:id="rId3399" tooltip="Send a mail to calbrosltd@gmail.com"/>
    <x:hyperlink ref="C39" r:id="rId3400" tooltip="Send a mail to info@designhubmalta.com.mt"/>
    <x:hyperlink ref="C40" r:id="rId3401" tooltip="Send a mail to info@distincthomes.com.mt"/>
    <x:hyperlink ref="C41" r:id="rId3402" tooltip="Send a mail to cristalbath@onvol.net"/>
    <x:hyperlink ref="C42" r:id="rId3403" tooltip="Send a mail to info@andrewvassallo.com"/>
    <x:hyperlink ref="C43" r:id="rId3404" tooltip="Send a mail to info@farellbathrooms.com"/>
    <x:hyperlink ref="C44" r:id="rId3405" tooltip="Send a mail to classic-bathrooms@outlook.com"/>
    <x:hyperlink ref="C45" r:id="rId3406" tooltip="Send a mail to neil.galea698@gmail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7"/>
  <x:sheetViews>
    <x:sheetView workbookViewId="0"/>
  </x:sheetViews>
  <x:sheetFormatPr defaultRowHeight="15"/>
  <x:cols>
    <x:col min="1" max="1" width="13.710625" style="0" customWidth="1"/>
    <x:col min="2" max="2" width="24.710625" style="0" customWidth="1"/>
    <x:col min="3" max="3" width="33.424911" style="0" customWidth="1"/>
    <x:col min="4" max="4" width="29.853482" style="0" customWidth="1"/>
    <x:col min="5" max="5" width="38.853482" style="0" customWidth="1"/>
    <x:col min="6" max="6" width="51.567768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5">
        <x:f>HYPERLINK("#'Summary List'!A53", "Back to Summary")</x:f>
      </x:c>
    </x:row>
    <x:row r="2" spans="1:7" s="3" customFormat="1">
      <x:c r="A2" s="3" t="s">
        <x:v>3142</x:v>
      </x:c>
      <x:c r="B2" s="3" t="s">
        <x:v>3143</x:v>
      </x:c>
      <x:c r="C2" s="6" t="s">
        <x:v>3151</x:v>
      </x:c>
      <x:c r="D2" s="7">
        <x:f>CONCATENATE(HYPERLINK("CALLTO:%2B356%209999%200247", "+356 9999 0247"))</x:f>
      </x:c>
      <x:c r="E2" s="6" t="s">
        <x:v>3156</x:v>
      </x:c>
      <x:c r="F2" s="6" t="s">
        <x:v>2148</x:v>
      </x:c>
    </x:row>
    <x:row r="3" spans="1:7" s="1" customFormat="1">
      <x:c r="A3" s="1" t="s">
        <x:v>3142</x:v>
      </x:c>
      <x:c r="B3" s="1" t="s">
        <x:v>2982</x:v>
      </x:c>
      <x:c r="C3" s="8" t="s">
        <x:v>3149</x:v>
      </x:c>
      <x:c r="D3" s="9">
        <x:f>CONCATENATE(HYPERLINK("CALLTO:%2B356%202144%201611", "+356 2144 1611"), " / ", HYPERLINK("CALLTO:%2B356%207777%204240", "+356 7777 4240"))</x:f>
      </x:c>
      <x:c r="E3" s="8" t="s">
        <x:v>2988</x:v>
      </x:c>
      <x:c r="F3" s="8" t="s">
        <x:v>2990</x:v>
      </x:c>
    </x:row>
    <x:row r="4" spans="1:7" s="4" customFormat="1">
      <x:c r="A4" s="4" t="s">
        <x:v>3142</x:v>
      </x:c>
      <x:c r="B4" s="4" t="s">
        <x:v>683</x:v>
      </x:c>
      <x:c r="C4" s="10" t="s">
        <x:v>712</x:v>
      </x:c>
      <x:c r="D4" s="11">
        <x:f>CONCATENATE(HYPERLINK("CALLTO:%2B356%207940%200404", "+356 7940 0404"))</x:f>
      </x:c>
      <x:c r="E4" s="10" t="s">
        <x:v>3157</x:v>
      </x:c>
      <x:c r="F4" s="10" t="s">
        <x:v>3159</x:v>
      </x:c>
    </x:row>
    <x:row r="5" spans="1:7" s="3" customFormat="1">
      <x:c r="A5" s="3" t="s">
        <x:v>3142</x:v>
      </x:c>
      <x:c r="B5" s="3" t="s">
        <x:v>3144</x:v>
      </x:c>
      <x:c r="C5" s="6" t="s">
        <x:v>3152</x:v>
      </x:c>
      <x:c r="D5" s="7">
        <x:f>CONCATENATE(HYPERLINK("CALLTO:%2B356%209949%203628", "+356 9949 3628"))</x:f>
      </x:c>
      <x:c r="E5" s="6" t="s">
        <x:v>3158</x:v>
      </x:c>
      <x:c r="F5" s="6" t="s">
        <x:v>3161</x:v>
      </x:c>
    </x:row>
    <x:row r="6" spans="1:7" s="1" customFormat="1">
      <x:c r="A6" s="1" t="s">
        <x:v>3142</x:v>
      </x:c>
      <x:c r="B6" s="1" t="s">
        <x:v>1529</x:v>
      </x:c>
      <x:c r="C6" s="8" t="s">
        <x:v>1614</x:v>
      </x:c>
      <x:c r="D6" s="9">
        <x:f>CONCATENATE(HYPERLINK("CALLTO:%2B356%207710%205385", "+356 7710 5385"))</x:f>
      </x:c>
      <x:c r="E6" s="8" t="s">
        <x:v>3160</x:v>
      </x:c>
      <x:c r="F6" s="8" t="s">
        <x:v>3162</x:v>
      </x:c>
    </x:row>
    <x:row r="7" spans="1:7" s="4" customFormat="1">
      <x:c r="A7" s="4" t="s">
        <x:v>3142</x:v>
      </x:c>
      <x:c r="B7" s="4" t="s">
        <x:v>3145</x:v>
      </x:c>
      <x:c r="C7" s="10" t="s">
        <x:v>793</x:v>
      </x:c>
      <x:c r="D7" s="11">
        <x:f>CONCATENATE(HYPERLINK("CALLTO:%2B356%207777%201522", "+356 7777 1522"))</x:f>
      </x:c>
      <x:c r="E7" s="10" t="s">
        <x:v>1035</x:v>
      </x:c>
      <x:c r="F7" s="10" t="s">
        <x:v>1676</x:v>
      </x:c>
    </x:row>
    <x:row r="8" spans="1:7" s="3" customFormat="1">
      <x:c r="A8" s="3" t="s">
        <x:v>3142</x:v>
      </x:c>
      <x:c r="B8" s="3" t="s">
        <x:v>992</x:v>
      </x:c>
      <x:c r="C8" s="6" t="s">
        <x:v>1013</x:v>
      </x:c>
      <x:c r="D8" s="7">
        <x:f>CONCATENATE(HYPERLINK("CALLTO:%2B356%202137%207378", "+356 2137 7378"))</x:f>
      </x:c>
      <x:c r="F8" s="6" t="s">
        <x:v>3164</x:v>
      </x:c>
    </x:row>
    <x:row r="9" spans="1:7" s="1" customFormat="1">
      <x:c r="A9" s="1" t="s">
        <x:v>3142</x:v>
      </x:c>
      <x:c r="B9" s="1" t="s">
        <x:v>3146</x:v>
      </x:c>
      <x:c r="C9" s="8" t="s">
        <x:v>3153</x:v>
      </x:c>
      <x:c r="F9" s="8" t="s">
        <x:v>3165</x:v>
      </x:c>
    </x:row>
    <x:row r="10" spans="1:7" s="4" customFormat="1"/>
    <x:row r="11" spans="1:7" s="3" customFormat="1">
      <x:c r="B11" s="3" t="s">
        <x:v>3147</x:v>
      </x:c>
      <x:c r="C11" s="6" t="s">
        <x:v>798</x:v>
      </x:c>
      <x:c r="F11" s="6" t="s">
        <x:v>3166</x:v>
      </x:c>
    </x:row>
    <x:row r="12" spans="1:7" s="1" customFormat="1">
      <x:c r="B12" s="1" t="s">
        <x:v>3148</x:v>
      </x:c>
      <x:c r="C12" s="8" t="s">
        <x:v>3154</x:v>
      </x:c>
    </x:row>
    <x:row r="13" spans="1:7" s="4" customFormat="1">
      <x:c r="B13" s="4" t="s">
        <x:v>3029</x:v>
      </x:c>
      <x:c r="C13" s="10" t="s">
        <x:v>3056</x:v>
      </x:c>
    </x:row>
    <x:row r="14" spans="1:7" s="3" customFormat="1">
      <x:c r="B14" s="3" t="s">
        <x:v>3150</x:v>
      </x:c>
      <x:c r="C14" s="6" t="s">
        <x:v>3155</x:v>
      </x:c>
    </x:row>
    <x:row r="15" spans="1:7" s="1" customFormat="1">
      <x:c r="B15" s="1" t="s">
        <x:v>1245</x:v>
      </x:c>
      <x:c r="C15" s="8" t="s">
        <x:v>1296</x:v>
      </x:c>
    </x:row>
    <x:row r="16" spans="1:7" s="4" customFormat="1">
      <x:c r="B16" s="4" t="s">
        <x:v>1249</x:v>
      </x:c>
      <x:c r="C16" s="10" t="s">
        <x:v>1318</x:v>
      </x:c>
    </x:row>
    <x:row r="17" spans="1:7" s="3" customFormat="1">
      <x:c r="B17" s="3" t="s">
        <x:v>844</x:v>
      </x:c>
      <x:c r="C17" s="6" t="s">
        <x:v>853</x:v>
      </x:c>
    </x:row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</x:sheetData>
  <x:hyperlinks>
    <x:hyperlink ref="C2" r:id="rId3407" tooltip="Send a mail to info@advancedsafety.com.mt"/>
    <x:hyperlink ref="C3" r:id="rId3408" tooltip="Send a mail to info@itpmalta.com"/>
    <x:hyperlink ref="C4" r:id="rId3409" tooltip="Send a mail to sales@seamless.com.mt"/>
    <x:hyperlink ref="C5" r:id="rId3410" tooltip="Send a mail to tcj@mbm.com.mt"/>
    <x:hyperlink ref="C6" r:id="rId3411" tooltip="Send a mail to sales@malta-design.com"/>
    <x:hyperlink ref="C7" r:id="rId3412" tooltip="Send a mail to contact@kibitec.com"/>
    <x:hyperlink ref="C8" r:id="rId3413" tooltip="Send a mail to info@grfmalta.com"/>
    <x:hyperlink ref="C9" r:id="rId3414" tooltip="Send a mail to borgconstructionworks@gmail.com"/>
    <x:hyperlink ref="C11" r:id="rId3415" tooltip="Send a mail to sales@jmvibro.com"/>
    <x:hyperlink ref="C12" r:id="rId3416" tooltip="Send a mail to Pronesti@mail.com"/>
    <x:hyperlink ref="C13" r:id="rId3417" tooltip="Send a mail to tresortradingltd@gmail.com"/>
    <x:hyperlink ref="C14" r:id="rId3418" tooltip="Send a mail to giorgiprojectpointltd@gmail.com"/>
    <x:hyperlink ref="C15" r:id="rId3419" tooltip="Send a mail to info@vellmann.com"/>
    <x:hyperlink ref="C16" r:id="rId3420" tooltip="Send a mail to info@the-tile.com"/>
    <x:hyperlink ref="C17" r:id="rId3421" tooltip="Send a mail to info@jpitre.com"/>
    <x:hyperlink ref="E2" r:id="rId3422" tooltip="Search San Pawl il‑Baħar / Bugibba, Malta on Google Maps"/>
    <x:hyperlink ref="E3" r:id="rId3423" tooltip="Search 12, Triq il-Parroċċa &#10;SVR 1262&#10;Santa Venera on Google Maps"/>
    <x:hyperlink ref="E4" r:id="rId3424" tooltip="Search M4 Shopping Complex, Triq il-Linja, Attard on Google Maps"/>
    <x:hyperlink ref="E5" r:id="rId3425" tooltip="Search San Giljan, Malta on Google Maps"/>
    <x:hyperlink ref="E6" r:id="rId3426" tooltip="Search Triq Domenico Cachia 54&#10;Birkirkara, BKR1017, Malta on Google Maps"/>
    <x:hyperlink ref="E7" r:id="rId3427" tooltip="Search 117 Triq L-Assemblea Nazzjonali,&#10;San Gwann SGN 3034, Malta on Google Maps"/>
    <x:hyperlink ref="F2" r:id="rId3428" tooltip="Visit madumahomeinteriors.com/"/>
    <x:hyperlink ref="F3" r:id="rId3429" tooltip="Visit seamless.com.mt/"/>
    <x:hyperlink ref="F4" r:id="rId3430" tooltip="Visit mbm.com.mt/"/>
    <x:hyperlink ref="F5" r:id="rId3431" tooltip="Visit malta-design.com/en/?brid=OdwV4IO9rLodP231ucwrAg"/>
    <x:hyperlink ref="F6" r:id="rId3432" tooltip="Visit kibitec.com/"/>
    <x:hyperlink ref="F7" r:id="rId3433" tooltip="Visit grfmalta.com/contact/"/>
    <x:hyperlink ref="F8" r:id="rId3434" tooltip="Visit facebook.com/Dwarehouse23"/>
    <x:hyperlink ref="F9" r:id="rId3435" tooltip="Visit facebook.com/profile.php?id=61574532256025"/>
    <x:hyperlink ref="F11" r:id="rId3436" tooltip="Visit the-tile.com/concrete-effect-tiles.html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0"/>
  <x:sheetViews>
    <x:sheetView workbookViewId="0"/>
  </x:sheetViews>
  <x:sheetFormatPr defaultRowHeight="15"/>
  <x:cols>
    <x:col min="1" max="1" width="14.139196" style="0" customWidth="1"/>
    <x:col min="2" max="2" width="23.282054" style="0" customWidth="1"/>
    <x:col min="3" max="3" width="27.996339" style="0" customWidth="1"/>
    <x:col min="4" max="4" width="18.710625" style="0" customWidth="1"/>
    <x:col min="5" max="5" width="56.139196" style="0" customWidth="1"/>
    <x:col min="6" max="6" width="64.282054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List'!A54", "Back to Summary")</x:f>
      </x:c>
    </x:row>
    <x:row r="2" spans="1:7" s="3" customFormat="1">
      <x:c r="A2" s="3" t="s">
        <x:v>3167</x:v>
      </x:c>
      <x:c r="B2" s="3" t="s">
        <x:v>3169</x:v>
      </x:c>
      <x:c r="C2" s="6" t="s">
        <x:v>3178</x:v>
      </x:c>
      <x:c r="D2" s="7">
        <x:f>CONCATENATE(HYPERLINK("CALLTO:%2B356%209933%204044", "+356 9933 4044"))</x:f>
      </x:c>
      <x:c r="E2" s="6" t="s">
        <x:v>3185</x:v>
      </x:c>
      <x:c r="F2" s="6" t="s">
        <x:v>811</x:v>
      </x:c>
    </x:row>
    <x:row r="3" spans="1:7" s="1" customFormat="1"/>
    <x:row r="4" spans="1:7" s="4" customFormat="1">
      <x:c r="A4" s="4" t="s">
        <x:v>3168</x:v>
      </x:c>
      <x:c r="B4" s="4" t="s">
        <x:v>3170</x:v>
      </x:c>
      <x:c r="C4" s="10" t="s">
        <x:v>3179</x:v>
      </x:c>
      <x:c r="D4" s="11">
        <x:f>CONCATENATE(HYPERLINK("CALLTO:%2B356%207986%208924", "+356 7986 8924"))</x:f>
      </x:c>
      <x:c r="E4" s="10" t="s">
        <x:v>1166</x:v>
      </x:c>
      <x:c r="F4" s="10" t="s">
        <x:v>2057</x:v>
      </x:c>
    </x:row>
    <x:row r="5" spans="1:7" s="3" customFormat="1">
      <x:c r="A5" s="3" t="s">
        <x:v>3168</x:v>
      </x:c>
      <x:c r="B5" s="3" t="s">
        <x:v>3171</x:v>
      </x:c>
      <x:c r="C5" s="6" t="s">
        <x:v>780</x:v>
      </x:c>
      <x:c r="D5" s="7">
        <x:f>CONCATENATE(HYPERLINK("CALLTO:%2B356%202747%207647", "+356 2747 7647"))</x:f>
      </x:c>
      <x:c r="E5" s="6" t="s">
        <x:v>3187</x:v>
      </x:c>
      <x:c r="F5" s="6" t="s">
        <x:v>3193</x:v>
      </x:c>
    </x:row>
    <x:row r="6" spans="1:7" s="1" customFormat="1">
      <x:c r="A6" s="1" t="s">
        <x:v>3168</x:v>
      </x:c>
      <x:c r="B6" s="1" t="s">
        <x:v>3172</x:v>
      </x:c>
      <x:c r="C6" s="8" t="s">
        <x:v>3180</x:v>
      </x:c>
      <x:c r="D6" s="9">
        <x:f>CONCATENATE(HYPERLINK("CALLTO:%2B356%202148%203131", "+356 2148 3131"))</x:f>
      </x:c>
      <x:c r="E6" s="8" t="s">
        <x:v>3188</x:v>
      </x:c>
      <x:c r="F6" s="8" t="s">
        <x:v>3194</x:v>
      </x:c>
    </x:row>
    <x:row r="7" spans="1:7" s="4" customFormat="1">
      <x:c r="A7" s="4" t="s">
        <x:v>3168</x:v>
      </x:c>
      <x:c r="B7" s="4" t="s">
        <x:v>846</x:v>
      </x:c>
      <x:c r="C7" s="10" t="s">
        <x:v>855</x:v>
      </x:c>
      <x:c r="D7" s="11">
        <x:f>CONCATENATE(HYPERLINK("CALLTO:%2B356%202737%200730", "+356 2737 0730"))</x:f>
      </x:c>
      <x:c r="E7" s="10" t="s">
        <x:v>3189</x:v>
      </x:c>
      <x:c r="F7" s="10" t="s">
        <x:v>868</x:v>
      </x:c>
    </x:row>
    <x:row r="8" spans="1:7" s="3" customFormat="1">
      <x:c r="A8" s="3" t="s">
        <x:v>3168</x:v>
      </x:c>
      <x:c r="B8" s="3" t="s">
        <x:v>3173</x:v>
      </x:c>
      <x:c r="C8" s="6" t="s">
        <x:v>3181</x:v>
      </x:c>
      <x:c r="D8" s="7">
        <x:f>CONCATENATE(HYPERLINK("CALLTO:%2B356%202157%202759", "+356 2157 2759"))</x:f>
      </x:c>
      <x:c r="E8" s="6" t="s">
        <x:v>3191</x:v>
      </x:c>
      <x:c r="F8" s="6" t="s">
        <x:v>869</x:v>
      </x:c>
    </x:row>
    <x:row r="9" spans="1:7" s="1" customFormat="1">
      <x:c r="A9" s="1" t="s">
        <x:v>3168</x:v>
      </x:c>
      <x:c r="B9" s="1" t="s">
        <x:v>3174</x:v>
      </x:c>
      <x:c r="C9" s="8" t="s">
        <x:v>798</x:v>
      </x:c>
      <x:c r="D9" s="9">
        <x:f>CONCATENATE(HYPERLINK("CALLTO:%2B356%202146%207421", "+356 2146 7421"))</x:f>
      </x:c>
      <x:c r="E9" s="8" t="s">
        <x:v>3190</x:v>
      </x:c>
      <x:c r="F9" s="8" t="s">
        <x:v>3195</x:v>
      </x:c>
    </x:row>
    <x:row r="10" spans="1:7" s="4" customFormat="1">
      <x:c r="A10" s="4" t="s">
        <x:v>3168</x:v>
      </x:c>
      <x:c r="B10" s="4" t="s">
        <x:v>3175</x:v>
      </x:c>
      <x:c r="C10" s="10" t="s">
        <x:v>3182</x:v>
      </x:c>
      <x:c r="D10" s="11">
        <x:f>CONCATENATE(HYPERLINK("CALLTO:%2B356%209987%203834", "+356 9987 3834"))</x:f>
      </x:c>
      <x:c r="E10" s="10" t="s">
        <x:v>3192</x:v>
      </x:c>
      <x:c r="F10" s="10" t="s">
        <x:v>3196</x:v>
      </x:c>
    </x:row>
    <x:row r="11" spans="1:7" s="3" customFormat="1">
      <x:c r="A11" s="3" t="s">
        <x:v>3168</x:v>
      </x:c>
      <x:c r="B11" s="3" t="s">
        <x:v>3176</x:v>
      </x:c>
      <x:c r="C11" s="6" t="s">
        <x:v>3183</x:v>
      </x:c>
      <x:c r="D11" s="7">
        <x:f>CONCATENATE(HYPERLINK("CALLTO:%2B356%207993%204883", "+356 7993 4883"))</x:f>
      </x:c>
      <x:c r="F11" s="6" t="s">
        <x:v>3197</x:v>
      </x:c>
    </x:row>
    <x:row r="12" spans="1:7" s="1" customFormat="1">
      <x:c r="A12" s="1" t="s">
        <x:v>3168</x:v>
      </x:c>
      <x:c r="B12" s="1" t="s">
        <x:v>3177</x:v>
      </x:c>
      <x:c r="C12" s="8" t="s">
        <x:v>3184</x:v>
      </x:c>
      <x:c r="D12" s="9">
        <x:f>CONCATENATE(HYPERLINK("CALLTO:%2B356%209927%204185", "+356 9927 4185"))</x:f>
      </x:c>
      <x:c r="F12" s="8" t="s">
        <x:v>3198</x:v>
      </x:c>
    </x:row>
    <x:row r="13" spans="1:7" s="4" customFormat="1">
      <x:c r="A13" s="4" t="s">
        <x:v>3168</x:v>
      </x:c>
      <x:c r="B13" s="4" t="s">
        <x:v>755</x:v>
      </x:c>
      <x:c r="C13" s="10" t="s">
        <x:v>785</x:v>
      </x:c>
      <x:c r="D13" s="11">
        <x:f>CONCATENATE(HYPERLINK("CALLTO:%2B356%207777%205495", "+356 7777 5495"))</x:f>
      </x:c>
      <x:c r="F13" s="10" t="s">
        <x:v>830</x:v>
      </x:c>
    </x:row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</x:sheetData>
  <x:hyperlinks>
    <x:hyperlink ref="C2" r:id="rId3437" tooltip="Send a mail to sakhr.turnkeyjob@gmail.com"/>
    <x:hyperlink ref="C4" r:id="rId3438" tooltip="Send a mail to resindecordesign@gmail.com"/>
    <x:hyperlink ref="C5" r:id="rId3439" tooltip="Send a mail to info@theresincentre.com"/>
    <x:hyperlink ref="C6" r:id="rId3440" tooltip="Send a mail to info@coleiro.com"/>
    <x:hyperlink ref="C7" r:id="rId3441" tooltip="Send a mail to info@radosystems.eu"/>
    <x:hyperlink ref="C8" r:id="rId3442" tooltip="Send a mail to info@flockimage.com"/>
    <x:hyperlink ref="C9" r:id="rId3443" tooltip="Send a mail to sales@jmvibro.com"/>
    <x:hyperlink ref="C10" r:id="rId3444" tooltip="Send a mail to zerafa.john@gmail.com"/>
    <x:hyperlink ref="C11" r:id="rId3445" tooltip="Send a mail to jvturnkey.gozo@gmail.com"/>
    <x:hyperlink ref="C12" r:id="rId3446" tooltip="Send a mail to info@Fodha.mt"/>
    <x:hyperlink ref="C13" r:id="rId3447" tooltip="Send a mail to airsolutions@ezee.mt"/>
    <x:hyperlink ref="E2" r:id="rId3448" tooltip="Search Bugibba, Malta on Google Maps"/>
    <x:hyperlink ref="E4" r:id="rId3449" tooltip="Search Birkirkara, Malta on Google Maps"/>
    <x:hyperlink ref="E5" r:id="rId3450" tooltip="Search The Resin &amp; Membrane Centre&#10;264, Old Railway Track Santa Venera on Google Maps"/>
    <x:hyperlink ref="E6" r:id="rId3451" tooltip="Search Msida Valley,&#10;B’Kara on Google Maps"/>
    <x:hyperlink ref="E7" r:id="rId3452" tooltip="Search 278, Triq il-Baltiku,, Saint Julian's, Malta on Google Maps"/>
    <x:hyperlink ref="E8" r:id="rId3453" tooltip="Search Flock Image, 5, Sir Luigi Preziosi Str, Mosta, MST 1521, MALTA on Google Maps"/>
    <x:hyperlink ref="E9" r:id="rId3454" tooltip="Search OneOneO, Triq il-Pitkali, Attard ATD 2214, Malta on Google Maps"/>
    <x:hyperlink ref="E10" r:id="rId3455" tooltip="Search 58, Donato del Piano Street, Zurrieq, ZRQ 2240, Malta on Google Maps"/>
    <x:hyperlink ref="F2" r:id="rId3456" tooltip="Visit facebook.com/p/Epoxy-Malta-100067612150590/"/>
    <x:hyperlink ref="F4" r:id="rId3457" tooltip="Visit resindecordesign.com/"/>
    <x:hyperlink ref="F5" r:id="rId3458" tooltip="Visit theresincentre.com/"/>
    <x:hyperlink ref="F6" r:id="rId3459" tooltip="Visit coleiro.com/floor-coatings/"/>
    <x:hyperlink ref="F7" r:id="rId3460" tooltip="Visit facebook.com/radoflooring/"/>
    <x:hyperlink ref="F8" r:id="rId3461" tooltip="Visit flockimage.com/"/>
    <x:hyperlink ref="F9" r:id="rId3462" tooltip="Visit jmvibro.com/"/>
    <x:hyperlink ref="F10" r:id="rId3463" tooltip="Visit checkyourtraders.com/listing/j-zerafa-ltd?fromCat=resin-flooring"/>
    <x:hyperlink ref="F11" r:id="rId3464" tooltip="Visit checkyourtraders.com/listing/jv-turnkey-gozo?fromCat=resin-flooring"/>
    <x:hyperlink ref="F12" r:id="rId3465" tooltip="Visit fodha.mt/"/>
    <x:hyperlink ref="F13" r:id="rId3466" tooltip="Visit airsolutionslimited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3"/>
  <x:sheetViews>
    <x:sheetView workbookViewId="0"/>
  </x:sheetViews>
  <x:sheetFormatPr defaultRowHeight="15"/>
  <x:cols>
    <x:col min="1" max="1" width="14.139196" style="0" customWidth="1"/>
    <x:col min="2" max="2" width="17.853482" style="0" customWidth="1"/>
    <x:col min="3" max="3" width="27.996339" style="0" customWidth="1"/>
    <x:col min="4" max="4" width="18.710625" style="0" customWidth="1"/>
    <x:col min="5" max="5" width="14.567768" style="0" customWidth="1"/>
    <x:col min="6" max="6" width="45.424911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List'!A55", "Back to Summary")</x:f>
      </x:c>
    </x:row>
    <x:row r="2" spans="1:7" s="3" customFormat="1">
      <x:c r="A2" s="3" t="s">
        <x:v>3167</x:v>
      </x:c>
      <x:c r="B2" s="3" t="s">
        <x:v>3169</x:v>
      </x:c>
      <x:c r="C2" s="6" t="s">
        <x:v>3178</x:v>
      </x:c>
      <x:c r="D2" s="7">
        <x:f>CONCATENATE(HYPERLINK("CALLTO:%2B356%209933%204044", "+356 9933 4044"))</x:f>
      </x:c>
      <x:c r="E2" s="6" t="s">
        <x:v>3185</x:v>
      </x:c>
      <x:c r="F2" s="6" t="s">
        <x:v>811</x:v>
      </x:c>
    </x:row>
    <x:row r="3" spans="1:7" s="1" customFormat="1">
      <x:c r="A3" s="1" t="s">
        <x:v>3167</x:v>
      </x:c>
      <x:c r="B3" s="1" t="s">
        <x:v>3199</x:v>
      </x:c>
      <x:c r="C3" s="8" t="s">
        <x:v>3181</x:v>
      </x:c>
      <x:c r="D3" s="9">
        <x:f>CONCATENATE(HYPERLINK("CALLTO:%2B356%202157%202759", "+356 2157 2759"))</x:f>
      </x:c>
      <x:c r="E3" s="8" t="s">
        <x:v>3200</x:v>
      </x:c>
    </x:row>
    <x:row r="4" spans="1:7" s="4" customFormat="1">
      <x:c r="A4" s="4" t="s">
        <x:v>3167</x:v>
      </x:c>
    </x:row>
    <x:row r="5" spans="1:7" s="3" customFormat="1">
      <x:c r="A5" s="3" t="s">
        <x:v>3167</x:v>
      </x:c>
    </x:row>
    <x:row r="6" spans="1:7" s="1" customFormat="1">
      <x:c r="A6" s="1" t="s">
        <x:v>3167</x:v>
      </x:c>
    </x:row>
    <x:row r="7" spans="1:7" s="4" customFormat="1">
      <x:c r="A7" s="4" t="s">
        <x:v>3167</x:v>
      </x:c>
    </x:row>
    <x:row r="8" spans="1:7" s="3" customFormat="1">
      <x:c r="A8" s="3" t="s">
        <x:v>3167</x:v>
      </x:c>
    </x:row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</x:sheetData>
  <x:hyperlinks>
    <x:hyperlink ref="C2" r:id="rId3467" tooltip="Send a mail to sakhr.turnkeyjob@gmail.com"/>
    <x:hyperlink ref="C3" r:id="rId3468" tooltip="Send a mail to info@flockimage.com"/>
    <x:hyperlink ref="E2" r:id="rId3469" tooltip="Search Bugibba, Malta on Google Maps"/>
    <x:hyperlink ref="E3" r:id="rId3470" tooltip="Search Mosta on Google Maps"/>
    <x:hyperlink ref="F2" r:id="rId3471" tooltip="Visit facebook.com/p/Epoxy-Malta-100067612150590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2"/>
  <x:sheetViews>
    <x:sheetView workbookViewId="0"/>
  </x:sheetViews>
  <x:sheetFormatPr defaultRowHeight="15"/>
  <x:cols>
    <x:col min="1" max="2" width="13.139196" style="0" customWidth="1"/>
    <x:col min="3" max="3" width="26.139196" style="0" customWidth="1"/>
    <x:col min="4" max="4" width="18.710625" style="0" customWidth="1"/>
    <x:col min="5" max="5" width="71.710625" style="0" customWidth="1"/>
    <x:col min="6" max="6" width="50.996339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List'!A56", "Back to Summary")</x:f>
      </x:c>
    </x:row>
    <x:row r="2" spans="1:7" s="3" customFormat="1">
      <x:c r="A2" s="3" t="s">
        <x:v>3201</x:v>
      </x:c>
      <x:c r="B2" s="3" t="s">
        <x:v>3202</x:v>
      </x:c>
      <x:c r="C2" s="6" t="s">
        <x:v>2094</x:v>
      </x:c>
      <x:c r="D2" s="7">
        <x:f>CONCATENATE(HYPERLINK("CALLTO:%2B356%209949%209925", "+356 9949 9925"))</x:f>
      </x:c>
      <x:c r="E2" s="6" t="s">
        <x:v>2105</x:v>
      </x:c>
      <x:c r="F2" s="6" t="s">
        <x:v>5311</x:v>
      </x:c>
    </x:row>
    <x:row r="3" spans="1:7" s="1" customFormat="1">
      <x:c r="A3" s="1" t="s">
        <x:v>3201</x:v>
      </x:c>
      <x:c r="B3" s="1" t="s">
        <x:v>3203</x:v>
      </x:c>
      <x:c r="C3" s="8" t="s">
        <x:v>3205</x:v>
      </x:c>
      <x:c r="D3" s="9">
        <x:f>CONCATENATE(HYPERLINK("CALLTO:%2B356%202166%202028", "+356 2166 2028"))</x:f>
      </x:c>
      <x:c r="E3" s="8" t="s">
        <x:v>3206</x:v>
      </x:c>
      <x:c r="F3" s="8" t="s">
        <x:v>2116</x:v>
      </x:c>
    </x:row>
    <x:row r="4" spans="1:7" s="4" customFormat="1">
      <x:c r="A4" s="4" t="s">
        <x:v>3201</x:v>
      </x:c>
      <x:c r="B4" s="4" t="s">
        <x:v>3204</x:v>
      </x:c>
      <x:c r="C4" s="10" t="s">
        <x:v>2291</x:v>
      </x:c>
      <x:c r="D4" s="11">
        <x:f>CONCATENATE(HYPERLINK("CALLTO:%2B356%202155%206694", "+356 2155 6694"))</x:f>
      </x:c>
      <x:c r="E4" s="10" t="s">
        <x:v>3208</x:v>
      </x:c>
      <x:c r="F4" s="10" t="s">
        <x:v>5256</x:v>
      </x:c>
    </x:row>
    <x:row r="5" spans="1:7" s="3" customFormat="1">
      <x:c r="A5" s="3" t="s">
        <x:v>3201</x:v>
      </x:c>
      <x:c r="B5" s="3" t="s">
        <x:v>2130</x:v>
      </x:c>
      <x:c r="C5" s="6" t="s">
        <x:v>2549</x:v>
      </x:c>
      <x:c r="D5" s="7">
        <x:f>CONCATENATE(HYPERLINK("CALLTO:%2B356%202141%206753", "+356 2141 6753"))</x:f>
      </x:c>
      <x:c r="E5" s="6" t="s">
        <x:v>2567</x:v>
      </x:c>
      <x:c r="F5" s="6" t="s">
        <x:v>3207</x:v>
      </x:c>
    </x:row>
    <x:row r="6" spans="1:7" s="1" customFormat="1">
      <x:c r="A6" s="1" t="s">
        <x:v>3201</x:v>
      </x:c>
    </x:row>
    <x:row r="7" spans="1:7" s="4" customFormat="1"/>
    <x:row r="8" spans="1:7" s="3" customFormat="1"/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</x:sheetData>
  <x:hyperlinks>
    <x:hyperlink ref="C2" r:id="rId3472" tooltip="Send a mail to info@vicalinteriors.com"/>
    <x:hyperlink ref="C3" r:id="rId3473" tooltip="Send a mail to info@betacentre.com.mt"/>
    <x:hyperlink ref="C4" r:id="rId3474" tooltip="Send a mail to customer@devalier.com.mt"/>
    <x:hyperlink ref="C5" r:id="rId3475" tooltip="Send a mail to shop@megastore.com.mt"/>
    <x:hyperlink ref="E2" r:id="rId3476" tooltip="Search 84, Qormi Road, Hamrun on Google Maps"/>
    <x:hyperlink ref="E3" r:id="rId3477" tooltip="Search Zabbar Road, Fgura on Google Maps"/>
    <x:hyperlink ref="E4" r:id="rId3478" tooltip="Search Fairline Centre, Santa Marta Str, Victoria Gozo, VCT 2552, Malta on Google Maps"/>
    <x:hyperlink ref="E5" r:id="rId3479" tooltip="Search Warehouse No. 25, Hard Rocks Industrial Park, Burmarrad Road, Naxxar, Malta on Google Maps"/>
    <x:hyperlink ref="F2" r:id="rId3480" tooltip="Visit vicalinteriors.com/"/>
    <x:hyperlink ref="F3" r:id="rId3481" tooltip="Visit beta.com.mt/"/>
    <x:hyperlink ref="F4" r:id="rId3482" tooltip="Visit dv.mt/"/>
    <x:hyperlink ref="F5" r:id="rId3483" tooltip="Visit megastore.com.mt/en_MT/c/Vinyl/160976/2/default/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21"/>
  <x:sheetViews>
    <x:sheetView workbookViewId="0"/>
  </x:sheetViews>
  <x:sheetFormatPr defaultRowHeight="15"/>
  <x:cols>
    <x:col min="1" max="1" width="17.996339" style="0" customWidth="1"/>
    <x:col min="2" max="2" width="22.996339" style="0" customWidth="1"/>
    <x:col min="3" max="3" width="35.139196" style="0" customWidth="1"/>
    <x:col min="4" max="4" width="29.853482" style="0" customWidth="1"/>
    <x:col min="5" max="5" width="76.424911" style="0" customWidth="1"/>
    <x:col min="6" max="6" width="47.853482" style="0" customWidth="1"/>
    <x:col min="7" max="7" width="12.710625" style="0" customWidth="1"/>
    <x:col min="8" max="8" width="20.996339" style="0" customWidth="1"/>
  </x:cols>
  <x:sheetData>
    <x:row r="1" spans="1:8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2" t="s">
        <x:v>3235</x:v>
      </x:c>
      <x:c r="H1" s="5">
        <x:f>HYPERLINK("#'Summary List'!A57", "Back to Summary")</x:f>
      </x:c>
    </x:row>
    <x:row r="2" spans="1:8" s="3" customFormat="1">
      <x:c r="A2" s="3" t="s">
        <x:v>3210</x:v>
      </x:c>
      <x:c r="B2" s="3" t="s">
        <x:v>3211</x:v>
      </x:c>
      <x:c r="C2" s="6" t="s">
        <x:v>3216</x:v>
      </x:c>
      <x:c r="D2" s="7">
        <x:f>CONCATENATE(HYPERLINK("CALLTO:%2B356%209994%207280", "+356 9994 7280"))</x:f>
      </x:c>
      <x:c r="E2" s="6" t="s">
        <x:v>3221</x:v>
      </x:c>
      <x:c r="F2" s="6" t="s">
        <x:v>2505</x:v>
      </x:c>
      <x:c r="G2" s="3" t="s">
        <x:v>2981</x:v>
      </x:c>
    </x:row>
    <x:row r="3" spans="1:8" s="1" customFormat="1">
      <x:c r="A3" s="1" t="s">
        <x:v>3210</x:v>
      </x:c>
      <x:c r="B3" s="1" t="s">
        <x:v>29</x:v>
      </x:c>
      <x:c r="C3" s="8" t="s">
        <x:v>55</x:v>
      </x:c>
      <x:c r="D3" s="9">
        <x:f>CONCATENATE(HYPERLINK("CALLTO:%2B356%202149%208658", "+356 2149 8658"))</x:f>
      </x:c>
      <x:c r="E3" s="8" t="s">
        <x:v>74</x:v>
      </x:c>
      <x:c r="F3" s="8" t="s">
        <x:v>81</x:v>
      </x:c>
      <x:c r="G3" s="1" t="s">
        <x:v>3236</x:v>
      </x:c>
    </x:row>
    <x:row r="4" spans="1:8" s="4" customFormat="1">
      <x:c r="A4" s="4" t="s">
        <x:v>3210</x:v>
      </x:c>
      <x:c r="B4" s="4" t="s">
        <x:v>3212</x:v>
      </x:c>
      <x:c r="C4" s="10" t="s">
        <x:v>3217</x:v>
      </x:c>
      <x:c r="D4" s="11">
        <x:f>CONCATENATE(HYPERLINK("CALLTO:%2B356%202144%201361", "+356 2144 1361"))</x:f>
      </x:c>
      <x:c r="E4" s="10" t="s">
        <x:v>3222</x:v>
      </x:c>
      <x:c r="F4" s="10" t="s">
        <x:v>82</x:v>
      </x:c>
      <x:c r="G4" s="4" t="s">
        <x:v>2981</x:v>
      </x:c>
    </x:row>
    <x:row r="5" spans="1:8" s="3" customFormat="1">
      <x:c r="A5" s="3" t="s">
        <x:v>3210</x:v>
      </x:c>
      <x:c r="B5" s="3" t="s">
        <x:v>3213</x:v>
      </x:c>
      <x:c r="C5" s="6" t="s">
        <x:v>2688</x:v>
      </x:c>
      <x:c r="D5" s="7">
        <x:f>CONCATENATE(HYPERLINK("CALLTO:%2B356%202142%204750", "+356 2142 4750"))</x:f>
      </x:c>
      <x:c r="E5" s="6" t="s">
        <x:v>3223</x:v>
      </x:c>
      <x:c r="F5" s="6" t="s">
        <x:v>3228</x:v>
      </x:c>
      <x:c r="G5" s="3" t="s">
        <x:v>2981</x:v>
      </x:c>
    </x:row>
    <x:row r="6" spans="1:8" s="1" customFormat="1">
      <x:c r="A6" s="1" t="s">
        <x:v>3210</x:v>
      </x:c>
      <x:c r="B6" s="1" t="s">
        <x:v>3214</x:v>
      </x:c>
      <x:c r="C6" s="8" t="s">
        <x:v>3218</x:v>
      </x:c>
      <x:c r="D6" s="9">
        <x:f>CONCATENATE(HYPERLINK("CALLTO:%2B356%209949%205000", "+356 9949 5000"), " / ", HYPERLINK("CALLTO:%2B356%202137%206968", "+356 2137 6968"))</x:f>
      </x:c>
      <x:c r="E6" s="8" t="s">
        <x:v>3224</x:v>
      </x:c>
      <x:c r="F6" s="8" t="s">
        <x:v>3230</x:v>
      </x:c>
      <x:c r="G6" s="1" t="s">
        <x:v>2981</x:v>
      </x:c>
    </x:row>
    <x:row r="7" spans="1:8" s="4" customFormat="1">
      <x:c r="A7" s="4" t="s">
        <x:v>3210</x:v>
      </x:c>
      <x:c r="B7" s="4" t="s">
        <x:v>3020</x:v>
      </x:c>
      <x:c r="C7" s="10" t="s">
        <x:v>793</x:v>
      </x:c>
      <x:c r="D7" s="11">
        <x:f>CONCATENATE(HYPERLINK("CALLTO:%2B356%207777%201522", "+356 7777 1522"))</x:f>
      </x:c>
      <x:c r="E7" s="10" t="s">
        <x:v>3160</x:v>
      </x:c>
      <x:c r="F7" s="10" t="s">
        <x:v>3162</x:v>
      </x:c>
      <x:c r="G7" s="4" t="s">
        <x:v>2981</x:v>
      </x:c>
    </x:row>
    <x:row r="8" spans="1:8" s="3" customFormat="1">
      <x:c r="A8" s="3" t="s">
        <x:v>3210</x:v>
      </x:c>
      <x:c r="B8" s="3" t="s">
        <x:v>3215</x:v>
      </x:c>
      <x:c r="C8" s="6" t="s">
        <x:v>2687</x:v>
      </x:c>
      <x:c r="D8" s="7">
        <x:f>CONCATENATE(HYPERLINK("CALLTO:%2B356%202138%200309", "+356 2138 0309"))</x:f>
      </x:c>
      <x:c r="E8" s="6" t="s">
        <x:v>3225</x:v>
      </x:c>
      <x:c r="F8" s="6" t="s">
        <x:v>3231</x:v>
      </x:c>
      <x:c r="G8" s="3" t="s">
        <x:v>3237</x:v>
      </x:c>
    </x:row>
    <x:row r="9" spans="1:8" s="1" customFormat="1">
      <x:c r="A9" s="1" t="s">
        <x:v>3210</x:v>
      </x:c>
      <x:c r="B9" s="1" t="s">
        <x:v>46</x:v>
      </x:c>
      <x:c r="C9" s="8" t="s">
        <x:v>3219</x:v>
      </x:c>
      <x:c r="D9" s="9">
        <x:f>CONCATENATE(HYPERLINK("CALLTO:%2B356%202144%209190", "+356 2144 9190"))</x:f>
      </x:c>
      <x:c r="E9" s="8" t="s">
        <x:v>3226</x:v>
      </x:c>
      <x:c r="F9" s="8" t="s">
        <x:v>3232</x:v>
      </x:c>
      <x:c r="G9" s="1" t="s">
        <x:v>2981</x:v>
      </x:c>
    </x:row>
    <x:row r="10" spans="1:8" s="4" customFormat="1">
      <x:c r="A10" s="4" t="s">
        <x:v>3210</x:v>
      </x:c>
      <x:c r="B10" s="4" t="s">
        <x:v>2492</x:v>
      </x:c>
      <x:c r="C10" s="10" t="s">
        <x:v>2499</x:v>
      </x:c>
      <x:c r="D10" s="11">
        <x:f>CONCATENATE(HYPERLINK("CALLTO:%2B356%202166%200546", "+356 2166 0546"))</x:f>
      </x:c>
      <x:c r="E10" s="10" t="s">
        <x:v>3227</x:v>
      </x:c>
      <x:c r="F10" s="10" t="s">
        <x:v>3233</x:v>
      </x:c>
      <x:c r="G10" s="4" t="s">
        <x:v>2981</x:v>
      </x:c>
    </x:row>
    <x:row r="11" spans="1:8" s="3" customFormat="1"/>
    <x:row r="12" spans="1:8" s="1" customFormat="1"/>
    <x:row r="13" spans="1:8" s="4" customFormat="1"/>
    <x:row r="14" spans="1:8" s="3" customFormat="1"/>
    <x:row r="15" spans="1:8" s="1" customFormat="1"/>
    <x:row r="16" spans="1:8" s="4" customFormat="1"/>
    <x:row r="17" spans="1:8" s="3" customFormat="1"/>
    <x:row r="18" spans="1:8" s="1" customFormat="1"/>
    <x:row r="19" spans="1:8" s="4" customFormat="1"/>
    <x:row r="20" spans="1:8" s="3" customFormat="1"/>
    <x:row r="21" spans="1:8" s="1" customFormat="1"/>
    <x:row r="22" spans="1:8" s="4" customFormat="1"/>
    <x:row r="23" spans="1:8" s="3" customFormat="1"/>
    <x:row r="24" spans="1:8" s="1" customFormat="1"/>
    <x:row r="25" spans="1:8" s="4" customFormat="1"/>
    <x:row r="26" spans="1:8" s="3" customFormat="1"/>
    <x:row r="27" spans="1:8" s="1" customFormat="1"/>
    <x:row r="28" spans="1:8" s="4" customFormat="1"/>
    <x:row r="29" spans="1:8" s="3" customFormat="1"/>
    <x:row r="30" spans="1:8" s="1" customFormat="1"/>
    <x:row r="31" spans="1:8" s="4" customFormat="1"/>
    <x:row r="32" spans="1:8" s="3" customFormat="1"/>
    <x:row r="33" spans="1:8" s="1" customFormat="1"/>
    <x:row r="34" spans="1:8" s="4" customFormat="1"/>
    <x:row r="35" spans="1:8" s="3" customFormat="1"/>
    <x:row r="36" spans="1:8" s="1" customFormat="1"/>
    <x:row r="37" spans="1:8" s="4" customFormat="1"/>
    <x:row r="38" spans="1:8" s="3" customFormat="1"/>
    <x:row r="39" spans="1:8" s="1" customFormat="1"/>
    <x:row r="40" spans="1:8" s="4" customFormat="1"/>
    <x:row r="41" spans="1:8" s="3" customFormat="1"/>
    <x:row r="42" spans="1:8" s="1" customFormat="1"/>
    <x:row r="43" spans="1:8" s="4" customFormat="1"/>
    <x:row r="44" spans="1:8" s="3" customFormat="1"/>
    <x:row r="45" spans="1:8" s="1" customFormat="1"/>
    <x:row r="46" spans="1:8" s="4" customFormat="1"/>
    <x:row r="47" spans="1:8" s="3" customFormat="1"/>
    <x:row r="48" spans="1:8" s="1" customFormat="1"/>
    <x:row r="49" spans="1:8" s="4" customFormat="1"/>
    <x:row r="50" spans="1:8" s="3" customFormat="1"/>
    <x:row r="51" spans="1:8" s="1" customFormat="1"/>
    <x:row r="52" spans="1:8" s="4" customFormat="1"/>
    <x:row r="53" spans="1:8" s="3" customFormat="1"/>
    <x:row r="54" spans="1:8" s="1" customFormat="1"/>
    <x:row r="55" spans="1:8" s="4" customFormat="1"/>
    <x:row r="56" spans="1:8" s="3" customFormat="1"/>
    <x:row r="57" spans="1:8" s="1" customFormat="1"/>
    <x:row r="58" spans="1:8" s="4" customFormat="1"/>
    <x:row r="59" spans="1:8" s="3" customFormat="1"/>
    <x:row r="60" spans="1:8" s="1" customFormat="1"/>
    <x:row r="61" spans="1:8" s="4" customFormat="1"/>
    <x:row r="62" spans="1:8" s="3" customFormat="1"/>
    <x:row r="63" spans="1:8" s="1" customFormat="1"/>
    <x:row r="64" spans="1:8" s="4" customFormat="1"/>
    <x:row r="65" spans="1:8" s="3" customFormat="1"/>
    <x:row r="66" spans="1:8" s="1" customFormat="1"/>
    <x:row r="67" spans="1:8" s="4" customFormat="1"/>
    <x:row r="68" spans="1:8" s="3" customFormat="1"/>
    <x:row r="69" spans="1:8" s="1" customFormat="1"/>
    <x:row r="70" spans="1:8" s="4" customFormat="1"/>
    <x:row r="71" spans="1:8" s="3" customFormat="1"/>
    <x:row r="72" spans="1:8" s="1" customFormat="1"/>
    <x:row r="73" spans="1:8" s="4" customFormat="1"/>
    <x:row r="74" spans="1:8" s="3" customFormat="1"/>
    <x:row r="75" spans="1:8" s="1" customFormat="1"/>
    <x:row r="76" spans="1:8" s="4" customFormat="1"/>
    <x:row r="77" spans="1:8" s="3" customFormat="1"/>
    <x:row r="78" spans="1:8" s="1" customFormat="1"/>
    <x:row r="79" spans="1:8" s="4" customFormat="1"/>
    <x:row r="80" spans="1:8" s="3" customFormat="1"/>
    <x:row r="81" spans="1:8" s="1" customFormat="1"/>
    <x:row r="82" spans="1:8" s="4" customFormat="1"/>
    <x:row r="83" spans="1:8" s="3" customFormat="1"/>
    <x:row r="84" spans="1:8" s="1" customFormat="1"/>
    <x:row r="85" spans="1:8" s="4" customFormat="1"/>
    <x:row r="86" spans="1:8" s="3" customFormat="1"/>
    <x:row r="87" spans="1:8" s="1" customFormat="1"/>
    <x:row r="88" spans="1:8" s="4" customFormat="1"/>
    <x:row r="89" spans="1:8" s="3" customFormat="1"/>
    <x:row r="90" spans="1:8" s="1" customFormat="1"/>
    <x:row r="91" spans="1:8" s="4" customFormat="1"/>
    <x:row r="92" spans="1:8" s="3" customFormat="1"/>
    <x:row r="93" spans="1:8" s="1" customFormat="1"/>
    <x:row r="94" spans="1:8" s="4" customFormat="1"/>
    <x:row r="95" spans="1:8" s="3" customFormat="1"/>
    <x:row r="96" spans="1:8" s="1" customFormat="1"/>
    <x:row r="97" spans="1:8" s="4" customFormat="1"/>
    <x:row r="98" spans="1:8" s="3" customFormat="1"/>
    <x:row r="99" spans="1:8" s="1" customFormat="1"/>
    <x:row r="100" spans="1:8" s="4" customFormat="1"/>
    <x:row r="101" spans="1:8" s="3" customFormat="1"/>
    <x:row r="102" spans="1:8" s="1" customFormat="1"/>
    <x:row r="103" spans="1:8" s="4" customFormat="1"/>
    <x:row r="104" spans="1:8" s="3" customFormat="1"/>
    <x:row r="105" spans="1:8" s="1" customFormat="1"/>
    <x:row r="106" spans="1:8" s="4" customFormat="1"/>
    <x:row r="107" spans="1:8" s="3" customFormat="1"/>
    <x:row r="108" spans="1:8" s="1" customFormat="1"/>
    <x:row r="109" spans="1:8" s="4" customFormat="1"/>
    <x:row r="110" spans="1:8" s="3" customFormat="1"/>
    <x:row r="111" spans="1:8" s="1" customFormat="1"/>
    <x:row r="112" spans="1:8" s="4" customFormat="1"/>
    <x:row r="113" spans="1:8" s="3" customFormat="1"/>
    <x:row r="114" spans="1:8" s="1" customFormat="1"/>
    <x:row r="115" spans="1:8" s="4" customFormat="1"/>
    <x:row r="116" spans="1:8" s="3" customFormat="1"/>
    <x:row r="117" spans="1:8" s="1" customFormat="1"/>
    <x:row r="118" spans="1:8" s="4" customFormat="1"/>
    <x:row r="119" spans="1:8" s="3" customFormat="1"/>
    <x:row r="120" spans="1:8" s="1" customFormat="1"/>
    <x:row r="121" spans="1:8" s="4" customFormat="1"/>
  </x:sheetData>
  <x:hyperlinks>
    <x:hyperlink ref="C2" r:id="rId3484" tooltip="Send a mail to ecomaxxltd@gmail.com"/>
    <x:hyperlink ref="C3" r:id="rId3485" tooltip="Send a mail to info@cutrico.com"/>
    <x:hyperlink ref="C4" r:id="rId3486" tooltip="Send a mail to enquiries@panta.mt"/>
    <x:hyperlink ref="C5" r:id="rId3487" tooltip="Send a mail to info@solarsolutions.com.mt"/>
    <x:hyperlink ref="C6" r:id="rId3488" tooltip="Send a mail to Info@klimaflo.com"/>
    <x:hyperlink ref="C7" r:id="rId3489" tooltip="Send a mail to contact@kibitec.com"/>
    <x:hyperlink ref="C8" r:id="rId3490" tooltip="Send a mail to info@alternativetechnologies.com.mt"/>
    <x:hyperlink ref="C9" r:id="rId3491" tooltip="Send a mail to info@smarteffects.com.mt"/>
    <x:hyperlink ref="C10" r:id="rId3492" tooltip="Send a mail to info@recowatt.com"/>
    <x:hyperlink ref="E2" r:id="rId3493" tooltip="Search 44, Triq Dun Karm,&#10;BKR9030,&#10;Birkirkara, &#10;Malta on Google Maps"/>
    <x:hyperlink ref="E3" r:id="rId3494" tooltip="Search Cutrico Ltd,&#10;Mriehel By-pass, Mriehel,&#10;Malta on Google Maps"/>
    <x:hyperlink ref="E4" r:id="rId3495" tooltip="Search Valley Road, L-Imsida MSD 9024, Malta on Google Maps"/>
    <x:hyperlink ref="E5" r:id="rId3496" tooltip="Search Triq tal-Balal, In-Naxxar on Google Maps"/>
    <x:hyperlink ref="E6" r:id="rId3497" tooltip="Search Tower Rd, Birkirkara BKR 4016, Malta on Google Maps"/>
    <x:hyperlink ref="E7" r:id="rId3498" tooltip="Search Triq Domenico Cachia 54&#10;Birkirkara, BKR1017, Malta on Google Maps"/>
    <x:hyperlink ref="E8" r:id="rId3499" tooltip="Search Triq Dun Guzepp Scerri, San Ġiljan, Malta on Google Maps"/>
    <x:hyperlink ref="E9" r:id="rId3500" tooltip="Search SMART EFFECTS LTD, MTP Business Centre, Level 3, Triq Dun Karm, Birkirkara, Malta on Google Maps"/>
    <x:hyperlink ref="E10" r:id="rId3501" tooltip="Search Mdina Road, Haż-Żebbuġ, ZBG 9019 Malta on Google Maps"/>
    <x:hyperlink ref="F2" r:id="rId3502" tooltip="Visit ecomaxxmalta.com"/>
    <x:hyperlink ref="F3" r:id="rId3503" tooltip="Visit cutrico.com/en/home.htm"/>
    <x:hyperlink ref="F4" r:id="rId3504" tooltip="Visit panta.mt/"/>
    <x:hyperlink ref="F5" r:id="rId3505" tooltip="Visit solarsolutions.com.mt/underfloor-heating/"/>
    <x:hyperlink ref="F6" r:id="rId3506" tooltip="Visit klimaflo.com/"/>
    <x:hyperlink ref="F7" r:id="rId3507" tooltip="Visit kibitec.com/"/>
    <x:hyperlink ref="F8" r:id="rId3508" tooltip="Visit alternativetechnologies.com.mt/underfloor-heating"/>
    <x:hyperlink ref="F9" r:id="rId3509" tooltip="Visit smarteffects.com.mt/hvac-needs-contact/"/>
    <x:hyperlink ref="F10" r:id="rId3510" tooltip="Visit recowatt.com/services/underfloor-heating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4"/>
  <x:sheetViews>
    <x:sheetView workbookViewId="0"/>
  </x:sheetViews>
  <x:sheetFormatPr defaultRowHeight="15"/>
  <x:cols>
    <x:col min="1" max="1" width="8.567768" style="0" customWidth="1"/>
    <x:col min="2" max="2" width="32.139196" style="0" customWidth="1"/>
    <x:col min="3" max="3" width="33.424911" style="0" customWidth="1"/>
    <x:col min="4" max="4" width="18.710625" style="0" customWidth="1"/>
    <x:col min="5" max="5" width="10.853482" style="0" customWidth="1"/>
    <x:col min="6" max="6" width="10.996339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List'!A58", "Back to Summary")</x:f>
      </x:c>
    </x:row>
    <x:row r="2" spans="1:7" s="3" customFormat="1">
      <x:c r="A2" s="3" t="s">
        <x:v>3238</x:v>
      </x:c>
      <x:c r="B2" s="3" t="s">
        <x:v>3239</x:v>
      </x:c>
      <x:c r="C2" s="6" t="s">
        <x:v>3255</x:v>
      </x:c>
    </x:row>
    <x:row r="3" spans="1:7" s="1" customFormat="1">
      <x:c r="A3" s="1" t="s">
        <x:v>3238</x:v>
      </x:c>
      <x:c r="B3" s="1" t="s">
        <x:v>1061</x:v>
      </x:c>
      <x:c r="C3" s="8" t="s">
        <x:v>1017</x:v>
      </x:c>
    </x:row>
    <x:row r="4" spans="1:7" s="4" customFormat="1">
      <x:c r="A4" s="4" t="s">
        <x:v>3238</x:v>
      </x:c>
      <x:c r="B4" s="4" t="s">
        <x:v>3240</x:v>
      </x:c>
      <x:c r="C4" s="10" t="s">
        <x:v>3256</x:v>
      </x:c>
    </x:row>
    <x:row r="5" spans="1:7" s="3" customFormat="1">
      <x:c r="A5" s="3" t="s">
        <x:v>3238</x:v>
      </x:c>
      <x:c r="B5" s="3" t="s">
        <x:v>3241</x:v>
      </x:c>
      <x:c r="C5" s="6" t="s">
        <x:v>798</x:v>
      </x:c>
    </x:row>
    <x:row r="6" spans="1:7" s="1" customFormat="1">
      <x:c r="A6" s="1" t="s">
        <x:v>3238</x:v>
      </x:c>
      <x:c r="B6" s="1" t="s">
        <x:v>3242</x:v>
      </x:c>
      <x:c r="C6" s="8" t="s">
        <x:v>3153</x:v>
      </x:c>
    </x:row>
    <x:row r="7" spans="1:7" s="4" customFormat="1">
      <x:c r="A7" s="4" t="s">
        <x:v>3238</x:v>
      </x:c>
      <x:c r="B7" s="4" t="s">
        <x:v>3243</x:v>
      </x:c>
      <x:c r="C7" s="10" t="s">
        <x:v>3257</x:v>
      </x:c>
    </x:row>
    <x:row r="8" spans="1:7" s="3" customFormat="1">
      <x:c r="A8" s="3" t="s">
        <x:v>3238</x:v>
      </x:c>
      <x:c r="B8" s="3" t="s">
        <x:v>3244</x:v>
      </x:c>
      <x:c r="C8" s="6" t="s">
        <x:v>3258</x:v>
      </x:c>
    </x:row>
    <x:row r="9" spans="1:7" s="1" customFormat="1">
      <x:c r="A9" s="1" t="s">
        <x:v>3238</x:v>
      </x:c>
      <x:c r="B9" s="1" t="s">
        <x:v>3245</x:v>
      </x:c>
      <x:c r="C9" s="8" t="s">
        <x:v>3259</x:v>
      </x:c>
    </x:row>
    <x:row r="10" spans="1:7" s="4" customFormat="1">
      <x:c r="A10" s="4" t="s">
        <x:v>3238</x:v>
      </x:c>
      <x:c r="B10" s="4" t="s">
        <x:v>763</x:v>
      </x:c>
      <x:c r="C10" s="10" t="s">
        <x:v>3260</x:v>
      </x:c>
    </x:row>
    <x:row r="11" spans="1:7" s="3" customFormat="1">
      <x:c r="A11" s="3" t="s">
        <x:v>3238</x:v>
      </x:c>
      <x:c r="B11" s="3" t="s">
        <x:v>3246</x:v>
      </x:c>
      <x:c r="C11" s="6" t="s">
        <x:v>3261</x:v>
      </x:c>
    </x:row>
    <x:row r="12" spans="1:7" s="1" customFormat="1">
      <x:c r="A12" s="1" t="s">
        <x:v>3238</x:v>
      </x:c>
      <x:c r="B12" s="1" t="s">
        <x:v>3247</x:v>
      </x:c>
      <x:c r="C12" s="8" t="s">
        <x:v>3262</x:v>
      </x:c>
    </x:row>
    <x:row r="13" spans="1:7" s="4" customFormat="1">
      <x:c r="A13" s="4" t="s">
        <x:v>3238</x:v>
      </x:c>
      <x:c r="B13" s="4" t="s">
        <x:v>3248</x:v>
      </x:c>
      <x:c r="C13" s="10" t="s">
        <x:v>1012</x:v>
      </x:c>
    </x:row>
    <x:row r="14" spans="1:7" s="3" customFormat="1">
      <x:c r="A14" s="3" t="s">
        <x:v>3238</x:v>
      </x:c>
      <x:c r="B14" s="3" t="s">
        <x:v>3249</x:v>
      </x:c>
      <x:c r="C14" s="6" t="s">
        <x:v>3263</x:v>
      </x:c>
    </x:row>
    <x:row r="15" spans="1:7" s="1" customFormat="1">
      <x:c r="A15" s="1" t="s">
        <x:v>3238</x:v>
      </x:c>
      <x:c r="B15" s="1" t="s">
        <x:v>3250</x:v>
      </x:c>
      <x:c r="C15" s="8" t="s">
        <x:v>3264</x:v>
      </x:c>
    </x:row>
    <x:row r="16" spans="1:7" s="4" customFormat="1">
      <x:c r="A16" s="4" t="s">
        <x:v>3238</x:v>
      </x:c>
      <x:c r="B16" s="4" t="s">
        <x:v>3251</x:v>
      </x:c>
      <x:c r="C16" s="10" t="s">
        <x:v>3265</x:v>
      </x:c>
    </x:row>
    <x:row r="17" spans="1:7" s="3" customFormat="1">
      <x:c r="A17" s="3" t="s">
        <x:v>3238</x:v>
      </x:c>
      <x:c r="B17" s="3" t="s">
        <x:v>3252</x:v>
      </x:c>
      <x:c r="C17" s="6" t="s">
        <x:v>3266</x:v>
      </x:c>
    </x:row>
    <x:row r="18" spans="1:7" s="1" customFormat="1">
      <x:c r="A18" s="1" t="s">
        <x:v>3238</x:v>
      </x:c>
      <x:c r="B18" s="1" t="s">
        <x:v>3253</x:v>
      </x:c>
      <x:c r="C18" s="8" t="s">
        <x:v>3267</x:v>
      </x:c>
    </x:row>
    <x:row r="19" spans="1:7" s="4" customFormat="1">
      <x:c r="A19" s="4" t="s">
        <x:v>3238</x:v>
      </x:c>
      <x:c r="B19" s="4" t="s">
        <x:v>3254</x:v>
      </x:c>
      <x:c r="C19" s="10" t="s">
        <x:v>3268</x:v>
      </x:c>
    </x:row>
    <x:row r="20" spans="1:7" s="3" customFormat="1">
      <x:c r="A20" s="3" t="s">
        <x:v>3238</x:v>
      </x:c>
      <x:c r="B20" s="3" t="s">
        <x:v>2079</x:v>
      </x:c>
      <x:c r="C20" s="6" t="s">
        <x:v>3269</x:v>
      </x:c>
    </x:row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</x:sheetData>
  <x:hyperlinks>
    <x:hyperlink ref="C2" r:id="rId3511" tooltip="Send a mail to sebastianpolitano@gmail.com"/>
    <x:hyperlink ref="C3" r:id="rId3512" tooltip="Send a mail to xil@xuerebinstall.com"/>
    <x:hyperlink ref="C4" r:id="rId3513" tooltip="Send a mail to sales@bitmac.mt"/>
    <x:hyperlink ref="C5" r:id="rId3514" tooltip="Send a mail to sales@jmvibro.com"/>
    <x:hyperlink ref="C6" r:id="rId3515" tooltip="Send a mail to borgconstructionworks@gmail.com"/>
    <x:hyperlink ref="C7" r:id="rId3516" tooltip="Send a mail to antoine.scicluna@attardbros.com"/>
    <x:hyperlink ref="C8" r:id="rId3517" tooltip="Send a mail to shawcontractors@gmail.com"/>
    <x:hyperlink ref="C9" r:id="rId3518" tooltip="Send a mail to mscworks24@gmail.com"/>
    <x:hyperlink ref="C10" r:id="rId3519" tooltip="Send a mail to info@kibitec.com"/>
    <x:hyperlink ref="C11" r:id="rId3520" tooltip="Send a mail to sales@theprofessionalsmalta.com"/>
    <x:hyperlink ref="C12" r:id="rId3521" tooltip="Send a mail to info@liquidscreed.mt"/>
    <x:hyperlink ref="C13" r:id="rId3522" tooltip="Send a mail to info@mbfmalta.com"/>
    <x:hyperlink ref="C14" r:id="rId3523" tooltip="Send a mail to zammitjonathan.87@gmail.com"/>
    <x:hyperlink ref="C15" r:id="rId3524" tooltip="Send a mail to screedcasts@gmail.com"/>
    <x:hyperlink ref="C16" r:id="rId3525" tooltip="Send a mail to info@mbigroupmalta.com"/>
    <x:hyperlink ref="C17" r:id="rId3526" tooltip="Send a mail to flowscreedmalta@outlook.com"/>
    <x:hyperlink ref="C18" r:id="rId3527" tooltip="Send a mail to info@rasonsltd.com"/>
    <x:hyperlink ref="C19" r:id="rId3528" tooltip="Send a mail to quotes@ptk.mt"/>
    <x:hyperlink ref="C20" r:id="rId3529" tooltip="Send a mail to sales@rsgroup.com.m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7"/>
  <x:sheetViews>
    <x:sheetView workbookViewId="0"/>
  </x:sheetViews>
  <x:sheetFormatPr defaultRowHeight="15"/>
  <x:cols>
    <x:col min="1" max="1" width="12.710625" style="0" customWidth="1"/>
    <x:col min="2" max="2" width="30.567768" style="0" customWidth="1"/>
    <x:col min="3" max="3" width="27.567768" style="0" customWidth="1"/>
    <x:col min="4" max="4" width="10.996339" style="0" customWidth="1"/>
    <x:col min="5" max="5" width="66.853482" style="0" customWidth="1"/>
    <x:col min="6" max="6" width="36.139196" style="0" customWidth="1"/>
    <x:col min="7" max="7" width="50.139196" style="0" customWidth="1"/>
    <x:col min="8" max="8" width="20.996339" style="0" customWidth="1"/>
  </x:cols>
  <x:sheetData>
    <x:row r="1" spans="1:8" s="2" customFormat="1">
      <x:c r="A1" s="2" t="s">
        <x:v>915</x:v>
      </x:c>
      <x:c r="B1" s="2" t="s">
        <x:v>2167</x:v>
      </x:c>
      <x:c r="C1" s="2" t="s">
        <x:v>502</x:v>
      </x:c>
      <x:c r="D1" s="2" t="s">
        <x:v>2462</x:v>
      </x:c>
      <x:c r="E1" s="2" t="s">
        <x:v>522</x:v>
      </x:c>
      <x:c r="F1" s="2" t="s">
        <x:v>529</x:v>
      </x:c>
      <x:c r="G1" s="2" t="s">
        <x:v>872</x:v>
      </x:c>
      <x:c r="H1" s="5">
        <x:f>HYPERLINK("#'Summary List'!A59", "Back to Summary")</x:f>
      </x:c>
    </x:row>
    <x:row r="2" spans="1:8" s="3" customFormat="1">
      <x:c r="A2" s="3" t="s">
        <x:v>3270</x:v>
      </x:c>
      <x:c r="B2" s="3" t="s">
        <x:v>3271</x:v>
      </x:c>
      <x:c r="C2" s="3" t="s">
        <x:v>3278</x:v>
      </x:c>
      <x:c r="D2" s="3" t="s">
        <x:v>3284</x:v>
      </x:c>
      <x:c r="E2" s="6" t="s">
        <x:v>3291</x:v>
      </x:c>
      <x:c r="F2" s="6" t="s">
        <x:v>3234</x:v>
      </x:c>
      <x:c r="G2" s="3" t="s">
        <x:v>3300</x:v>
      </x:c>
    </x:row>
    <x:row r="3" spans="1:8" s="1" customFormat="1">
      <x:c r="A3" s="1" t="s">
        <x:v>3270</x:v>
      </x:c>
      <x:c r="B3" s="1" t="s">
        <x:v>3272</x:v>
      </x:c>
      <x:c r="C3" s="1" t="s">
        <x:v>3279</x:v>
      </x:c>
      <x:c r="D3" s="1" t="s">
        <x:v>3285</x:v>
      </x:c>
      <x:c r="E3" s="8" t="s">
        <x:v>3292</x:v>
      </x:c>
      <x:c r="F3" s="8" t="s">
        <x:v>3209</x:v>
      </x:c>
    </x:row>
    <x:row r="4" spans="1:8" s="4" customFormat="1">
      <x:c r="A4" s="4" t="s">
        <x:v>3270</x:v>
      </x:c>
      <x:c r="B4" s="4" t="s">
        <x:v>3273</x:v>
      </x:c>
      <x:c r="C4" s="10" t="s">
        <x:v>3280</x:v>
      </x:c>
      <x:c r="D4" s="4" t="s">
        <x:v>3286</x:v>
      </x:c>
      <x:c r="E4" s="10" t="s">
        <x:v>3294</x:v>
      </x:c>
      <x:c r="F4" s="10" t="s">
        <x:v>3298</x:v>
      </x:c>
    </x:row>
    <x:row r="5" spans="1:8" s="3" customFormat="1">
      <x:c r="A5" s="3" t="s">
        <x:v>3270</x:v>
      </x:c>
      <x:c r="B5" s="3" t="s">
        <x:v>3274</x:v>
      </x:c>
      <x:c r="C5" s="6" t="s">
        <x:v>3281</x:v>
      </x:c>
      <x:c r="D5" s="3" t="s">
        <x:v>3287</x:v>
      </x:c>
      <x:c r="E5" s="6" t="s">
        <x:v>3293</x:v>
      </x:c>
    </x:row>
    <x:row r="6" spans="1:8" s="1" customFormat="1">
      <x:c r="A6" s="1" t="s">
        <x:v>3270</x:v>
      </x:c>
      <x:c r="B6" s="1" t="s">
        <x:v>3275</x:v>
      </x:c>
      <x:c r="C6" s="8" t="s">
        <x:v>3282</x:v>
      </x:c>
      <x:c r="D6" s="1" t="s">
        <x:v>3288</x:v>
      </x:c>
      <x:c r="E6" s="8" t="s">
        <x:v>3296</x:v>
      </x:c>
    </x:row>
    <x:row r="7" spans="1:8" s="4" customFormat="1">
      <x:c r="A7" s="4" t="s">
        <x:v>3270</x:v>
      </x:c>
      <x:c r="B7" s="4" t="s">
        <x:v>3276</x:v>
      </x:c>
      <x:c r="C7" s="10" t="s">
        <x:v>1909</x:v>
      </x:c>
      <x:c r="D7" s="4" t="s">
        <x:v>3289</x:v>
      </x:c>
      <x:c r="E7" s="10" t="s">
        <x:v>3295</x:v>
      </x:c>
    </x:row>
    <x:row r="8" spans="1:8" s="3" customFormat="1">
      <x:c r="A8" s="3" t="s">
        <x:v>3270</x:v>
      </x:c>
      <x:c r="B8" s="3" t="s">
        <x:v>3277</x:v>
      </x:c>
      <x:c r="C8" s="6" t="s">
        <x:v>3283</x:v>
      </x:c>
      <x:c r="D8" s="3" t="s">
        <x:v>3290</x:v>
      </x:c>
      <x:c r="E8" s="6" t="s">
        <x:v>3297</x:v>
      </x:c>
    </x:row>
    <x:row r="9" spans="1:8" s="1" customFormat="1"/>
    <x:row r="10" spans="1:8" s="4" customFormat="1"/>
    <x:row r="11" spans="1:8" s="3" customFormat="1"/>
    <x:row r="12" spans="1:8" s="1" customFormat="1"/>
    <x:row r="13" spans="1:8" s="4" customFormat="1"/>
    <x:row r="14" spans="1:8" s="3" customFormat="1"/>
    <x:row r="15" spans="1:8" s="1" customFormat="1"/>
    <x:row r="16" spans="1:8" s="4" customFormat="1"/>
    <x:row r="17" spans="1:8" s="3" customFormat="1"/>
    <x:row r="18" spans="1:8" s="1" customFormat="1"/>
    <x:row r="19" spans="1:8" s="4" customFormat="1"/>
    <x:row r="20" spans="1:8" s="3" customFormat="1"/>
    <x:row r="21" spans="1:8" s="1" customFormat="1"/>
    <x:row r="22" spans="1:8" s="4" customFormat="1"/>
    <x:row r="23" spans="1:8" s="3" customFormat="1"/>
    <x:row r="24" spans="1:8" s="1" customFormat="1"/>
    <x:row r="25" spans="1:8" s="4" customFormat="1"/>
    <x:row r="26" spans="1:8" s="3" customFormat="1"/>
    <x:row r="27" spans="1:8" s="1" customFormat="1"/>
    <x:row r="28" spans="1:8" s="4" customFormat="1"/>
    <x:row r="29" spans="1:8" s="3" customFormat="1"/>
    <x:row r="30" spans="1:8" s="1" customFormat="1"/>
    <x:row r="31" spans="1:8" s="4" customFormat="1"/>
    <x:row r="32" spans="1:8" s="3" customFormat="1"/>
    <x:row r="33" spans="1:8" s="1" customFormat="1"/>
    <x:row r="34" spans="1:8" s="4" customFormat="1"/>
    <x:row r="35" spans="1:8" s="3" customFormat="1"/>
    <x:row r="36" spans="1:8" s="1" customFormat="1"/>
    <x:row r="37" spans="1:8" s="4" customFormat="1"/>
    <x:row r="38" spans="1:8" s="3" customFormat="1"/>
    <x:row r="39" spans="1:8" s="1" customFormat="1"/>
    <x:row r="40" spans="1:8" s="4" customFormat="1"/>
    <x:row r="41" spans="1:8" s="3" customFormat="1"/>
    <x:row r="42" spans="1:8" s="1" customFormat="1"/>
    <x:row r="43" spans="1:8" s="4" customFormat="1"/>
    <x:row r="44" spans="1:8" s="3" customFormat="1"/>
    <x:row r="45" spans="1:8" s="1" customFormat="1"/>
    <x:row r="46" spans="1:8" s="4" customFormat="1"/>
    <x:row r="47" spans="1:8" s="3" customFormat="1"/>
    <x:row r="48" spans="1:8" s="1" customFormat="1"/>
    <x:row r="49" spans="1:8" s="4" customFormat="1"/>
    <x:row r="50" spans="1:8" s="3" customFormat="1"/>
    <x:row r="51" spans="1:8" s="1" customFormat="1"/>
    <x:row r="52" spans="1:8" s="4" customFormat="1"/>
    <x:row r="53" spans="1:8" s="3" customFormat="1"/>
    <x:row r="54" spans="1:8" s="1" customFormat="1"/>
    <x:row r="55" spans="1:8" s="4" customFormat="1"/>
    <x:row r="56" spans="1:8" s="3" customFormat="1"/>
    <x:row r="57" spans="1:8" s="1" customFormat="1"/>
    <x:row r="58" spans="1:8" s="4" customFormat="1"/>
    <x:row r="59" spans="1:8" s="3" customFormat="1"/>
    <x:row r="60" spans="1:8" s="1" customFormat="1"/>
    <x:row r="61" spans="1:8" s="4" customFormat="1"/>
    <x:row r="62" spans="1:8" s="3" customFormat="1"/>
    <x:row r="63" spans="1:8" s="1" customFormat="1"/>
    <x:row r="64" spans="1:8" s="4" customFormat="1"/>
    <x:row r="65" spans="1:8" s="3" customFormat="1"/>
    <x:row r="66" spans="1:8" s="1" customFormat="1"/>
    <x:row r="67" spans="1:8" s="4" customFormat="1"/>
    <x:row r="68" spans="1:8" s="3" customFormat="1"/>
    <x:row r="69" spans="1:8" s="1" customFormat="1"/>
    <x:row r="70" spans="1:8" s="4" customFormat="1"/>
    <x:row r="71" spans="1:8" s="3" customFormat="1"/>
    <x:row r="72" spans="1:8" s="1" customFormat="1"/>
    <x:row r="73" spans="1:8" s="4" customFormat="1"/>
    <x:row r="74" spans="1:8" s="3" customFormat="1"/>
    <x:row r="75" spans="1:8" s="1" customFormat="1"/>
    <x:row r="76" spans="1:8" s="4" customFormat="1"/>
    <x:row r="77" spans="1:8" s="3" customFormat="1"/>
    <x:row r="78" spans="1:8" s="1" customFormat="1"/>
    <x:row r="79" spans="1:8" s="4" customFormat="1"/>
    <x:row r="80" spans="1:8" s="3" customFormat="1"/>
    <x:row r="81" spans="1:8" s="1" customFormat="1"/>
    <x:row r="82" spans="1:8" s="4" customFormat="1"/>
    <x:row r="83" spans="1:8" s="3" customFormat="1"/>
    <x:row r="84" spans="1:8" s="1" customFormat="1"/>
    <x:row r="85" spans="1:8" s="4" customFormat="1"/>
    <x:row r="86" spans="1:8" s="3" customFormat="1"/>
    <x:row r="87" spans="1:8" s="1" customFormat="1"/>
    <x:row r="88" spans="1:8" s="4" customFormat="1"/>
    <x:row r="89" spans="1:8" s="3" customFormat="1"/>
    <x:row r="90" spans="1:8" s="1" customFormat="1"/>
    <x:row r="91" spans="1:8" s="4" customFormat="1"/>
    <x:row r="92" spans="1:8" s="3" customFormat="1"/>
    <x:row r="93" spans="1:8" s="1" customFormat="1"/>
    <x:row r="94" spans="1:8" s="4" customFormat="1"/>
    <x:row r="95" spans="1:8" s="3" customFormat="1"/>
    <x:row r="96" spans="1:8" s="1" customFormat="1"/>
    <x:row r="97" spans="1:8" s="4" customFormat="1"/>
  </x:sheetData>
  <x:hyperlinks>
    <x:hyperlink ref="C4" r:id="rId3530" tooltip="Send a mail to sales@fgp.com.mt"/>
    <x:hyperlink ref="C5" r:id="rId3531" tooltip="Send a mail to sales@brandimports.com.mt"/>
    <x:hyperlink ref="C6" r:id="rId3532" tooltip="Send a mail to benmaltalimited@gmail.com"/>
    <x:hyperlink ref="C7" r:id="rId3533" tooltip="Send a mail to info@treedfurniture.com"/>
    <x:hyperlink ref="C8" r:id="rId3534" tooltip="Send a mail to info@automationmalta.com"/>
    <x:hyperlink ref="E2" r:id="rId3535" tooltip="Search 81, Triq tal-Mensija, San Ġwann SGN 1604 on Google Maps"/>
    <x:hyperlink ref="E3" r:id="rId3536" tooltip="Search Midland Micro Enterprise Park, Block D, Triq Burmarrad, Naxxar NXR 6345 on Google Maps"/>
    <x:hyperlink ref="E4" r:id="rId3537" tooltip="Search 109, Triq Valletta, Ħal Luqa LQA 1762 on Google Maps"/>
    <x:hyperlink ref="E5" r:id="rId3538" tooltip="Search Showroom 26, Triq Haz-Zabbar, Paola on Google Maps"/>
    <x:hyperlink ref="E6" r:id="rId3539" tooltip="Search Ben Malta Limited&#10;Triq Dun Mikiel Xerri&#10;Attard ATD 2020&#10;Malta on Google Maps"/>
    <x:hyperlink ref="E7" r:id="rId3540" tooltip="Search KKW 019G Qasam Industrijali, Kordin, Paola on Google Maps"/>
    <x:hyperlink ref="E8" r:id="rId3541" tooltip="Search Paola on Google Maps"/>
    <x:hyperlink ref="F2" r:id="rId3542" tooltip="Visit brandimports.com.mt/en/"/>
    <x:hyperlink ref="F3" r:id="rId3543" tooltip="Visit benmaltalimited.com.mt/garage-doors"/>
    <x:hyperlink ref="F4" r:id="rId3544" tooltip="Visit automationmalta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47"/>
  <x:sheetViews>
    <x:sheetView workbookViewId="0"/>
  </x:sheetViews>
  <x:sheetFormatPr defaultRowHeight="15"/>
  <x:cols>
    <x:col min="1" max="1" width="13.282054" style="0" customWidth="1"/>
    <x:col min="2" max="2" width="20.424911" style="0" customWidth="1"/>
    <x:col min="3" max="3" width="32.996339" style="0" customWidth="1"/>
    <x:col min="4" max="4" width="29.853482" style="0" customWidth="1"/>
    <x:col min="5" max="5" width="59.853482" style="0" customWidth="1"/>
    <x:col min="6" max="6" width="94.710625" style="0" customWidth="1"/>
    <x:col min="7" max="7" width="20.996339" style="0" customWidth="1"/>
  </x:cols>
  <x:sheetData>
    <x:row r="1" spans="1:7" s="2" customFormat="1">
      <x:c r="A1" s="2" t="s">
        <x:v>3299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5">
        <x:f>HYPERLINK("#'Summary List'!A60", "Back to Summary")</x:f>
      </x:c>
    </x:row>
    <x:row r="2" spans="1:7" s="3" customFormat="1">
      <x:c r="A2" s="3" t="s">
        <x:v>0</x:v>
      </x:c>
      <x:c r="B2" s="3" t="s">
        <x:v>3302</x:v>
      </x:c>
      <x:c r="C2" s="6" t="s">
        <x:v>3313</x:v>
      </x:c>
      <x:c r="D2" s="7">
        <x:f>CONCATENATE(HYPERLINK("CALLTO:%2B356%202123%200349", "+356 2123 0349"), " / ", HYPERLINK("CALLTO:%2B356%209949%205359", "+356 9949 5359"))</x:f>
      </x:c>
      <x:c r="E2" s="6" t="s">
        <x:v>3321</x:v>
      </x:c>
      <x:c r="F2" s="6" t="s">
        <x:v>2442</x:v>
      </x:c>
    </x:row>
    <x:row r="3" spans="1:7" s="1" customFormat="1">
      <x:c r="A3" s="1" t="s">
        <x:v>3301</x:v>
      </x:c>
      <x:c r="B3" s="1" t="s">
        <x:v>3304</x:v>
      </x:c>
      <x:c r="C3" s="8" t="s">
        <x:v>3314</x:v>
      </x:c>
      <x:c r="D3" s="9">
        <x:f>CONCATENATE(HYPERLINK("CALLTO:%2B356%202141%208236", "+356 2141 8236"))</x:f>
      </x:c>
      <x:c r="E3" s="8" t="s">
        <x:v>3322</x:v>
      </x:c>
      <x:c r="F3" s="8" t="s">
        <x:v>3333</x:v>
      </x:c>
    </x:row>
    <x:row r="4" spans="1:7" s="4" customFormat="1">
      <x:c r="A4" s="4" t="s">
        <x:v>3301</x:v>
      </x:c>
      <x:c r="B4" s="4" t="s">
        <x:v>3303</x:v>
      </x:c>
      <x:c r="C4" s="10" t="s">
        <x:v>906</x:v>
      </x:c>
      <x:c r="D4" s="11">
        <x:f>CONCATENATE(HYPERLINK("CALLTO:%2B356%202143%20056979454867", "+356 2143 056979454867"))</x:f>
      </x:c>
      <x:c r="E4" s="10" t="s">
        <x:v>3323</x:v>
      </x:c>
      <x:c r="F4" s="10" t="s">
        <x:v>1674</x:v>
      </x:c>
    </x:row>
    <x:row r="5" spans="1:7" s="3" customFormat="1">
      <x:c r="A5" s="3" t="s">
        <x:v>3301</x:v>
      </x:c>
      <x:c r="B5" s="3" t="s">
        <x:v>3305</x:v>
      </x:c>
      <x:c r="C5" s="6" t="s">
        <x:v>3315</x:v>
      </x:c>
      <x:c r="D5" s="7">
        <x:f>CONCATENATE(HYPERLINK("CALLTO:%2B356%202279%202222", "+356 2279 2222"))</x:f>
      </x:c>
      <x:c r="E5" s="6" t="s">
        <x:v>3324</x:v>
      </x:c>
      <x:c r="F5" s="6" t="s">
        <x:v>3334</x:v>
      </x:c>
    </x:row>
    <x:row r="6" spans="1:7" s="1" customFormat="1">
      <x:c r="A6" s="1" t="s">
        <x:v>3301</x:v>
      </x:c>
      <x:c r="B6" s="1" t="s">
        <x:v>3306</x:v>
      </x:c>
      <x:c r="C6" s="8" t="s">
        <x:v>3316</x:v>
      </x:c>
      <x:c r="D6" s="9">
        <x:f>CONCATENATE(HYPERLINK("CALLTO:%2B356%209940%206493", "+356 9940 6493"))</x:f>
      </x:c>
      <x:c r="E6" s="8" t="s">
        <x:v>3325</x:v>
      </x:c>
      <x:c r="F6" s="8" t="s">
        <x:v>3335</x:v>
      </x:c>
    </x:row>
    <x:row r="7" spans="1:7" s="4" customFormat="1">
      <x:c r="A7" s="4" t="s">
        <x:v>3301</x:v>
      </x:c>
      <x:c r="B7" s="4" t="s">
        <x:v>3307</x:v>
      </x:c>
      <x:c r="C7" s="10" t="s">
        <x:v>3317</x:v>
      </x:c>
      <x:c r="D7" s="11">
        <x:f>CONCATENATE(HYPERLINK("CALLTO:%2B356%202780%200778", "+356 2780 0778"))</x:f>
      </x:c>
      <x:c r="E7" s="10" t="s">
        <x:v>3326</x:v>
      </x:c>
      <x:c r="F7" s="10" t="s">
        <x:v>3336</x:v>
      </x:c>
    </x:row>
    <x:row r="8" spans="1:7" s="3" customFormat="1">
      <x:c r="A8" s="3" t="s">
        <x:v>3301</x:v>
      </x:c>
      <x:c r="B8" s="3" t="s">
        <x:v>3308</x:v>
      </x:c>
      <x:c r="C8" s="6" t="s">
        <x:v>3318</x:v>
      </x:c>
      <x:c r="D8" s="7">
        <x:f>CONCATENATE(HYPERLINK("CALLTO:%2B356%202123%200349", "+356 2123 0349"))</x:f>
      </x:c>
      <x:c r="E8" s="6" t="s">
        <x:v>3327</x:v>
      </x:c>
      <x:c r="F8" s="6" t="s">
        <x:v>3337</x:v>
      </x:c>
    </x:row>
    <x:row r="9" spans="1:7" s="1" customFormat="1">
      <x:c r="A9" s="1" t="s">
        <x:v>3301</x:v>
      </x:c>
      <x:c r="B9" s="1" t="s">
        <x:v>3309</x:v>
      </x:c>
      <x:c r="C9" s="8" t="s">
        <x:v>902</x:v>
      </x:c>
      <x:c r="D9" s="9">
        <x:f>CONCATENATE(HYPERLINK("CALLTO:%2B356%202180%205805", "+356 2180 5805"))</x:f>
      </x:c>
      <x:c r="E9" s="8" t="s">
        <x:v>3328</x:v>
      </x:c>
      <x:c r="F9" s="8" t="s">
        <x:v>949</x:v>
      </x:c>
    </x:row>
    <x:row r="10" spans="1:7" s="4" customFormat="1">
      <x:c r="A10" s="4" t="s">
        <x:v>3301</x:v>
      </x:c>
      <x:c r="B10" s="4" t="s">
        <x:v>3310</x:v>
      </x:c>
      <x:c r="C10" s="10" t="s">
        <x:v>1497</x:v>
      </x:c>
      <x:c r="D10" s="11">
        <x:f>CONCATENATE(HYPERLINK("CALLTO:%2B356%207950%208457", "+356 7950 8457"))</x:f>
      </x:c>
      <x:c r="E10" s="10" t="s">
        <x:v>3330</x:v>
      </x:c>
      <x:c r="F10" s="10" t="s">
        <x:v>1674</x:v>
      </x:c>
    </x:row>
    <x:row r="11" spans="1:7" s="3" customFormat="1">
      <x:c r="A11" s="3" t="s">
        <x:v>3301</x:v>
      </x:c>
      <x:c r="B11" s="3" t="s">
        <x:v>3311</x:v>
      </x:c>
      <x:c r="C11" s="6" t="s">
        <x:v>3319</x:v>
      </x:c>
      <x:c r="D11" s="7">
        <x:f>CONCATENATE(HYPERLINK("CALLTO:%2B356%202704%200679", "+356 2704 0679"))</x:f>
      </x:c>
      <x:c r="E11" s="6" t="s">
        <x:v>3329</x:v>
      </x:c>
      <x:c r="F11" s="6" t="s">
        <x:v>2378</x:v>
      </x:c>
    </x:row>
    <x:row r="12" spans="1:7" s="1" customFormat="1">
      <x:c r="A12" s="1" t="s">
        <x:v>3301</x:v>
      </x:c>
      <x:c r="B12" s="1" t="s">
        <x:v>3312</x:v>
      </x:c>
      <x:c r="C12" s="8" t="s">
        <x:v>3320</x:v>
      </x:c>
      <x:c r="D12" s="9">
        <x:f>CONCATENATE(HYPERLINK("CALLTO:%2B356%209946%207979", "+356 9946 7979"))</x:f>
      </x:c>
      <x:c r="E12" s="8" t="s">
        <x:v>3331</x:v>
      </x:c>
      <x:c r="F12" s="8" t="s">
        <x:v>2422</x:v>
      </x:c>
    </x:row>
    <x:row r="13" spans="1:7" s="4" customFormat="1">
      <x:c r="A13" s="4" t="s">
        <x:v>3301</x:v>
      </x:c>
      <x:c r="B13" s="4" t="s">
        <x:v>1234</x:v>
      </x:c>
      <x:c r="C13" s="10" t="s">
        <x:v>1309</x:v>
      </x:c>
      <x:c r="D13" s="11">
        <x:f>CONCATENATE(HYPERLINK("CALLTO:%2B356%202167%206627", "+356 2167 6627"))</x:f>
      </x:c>
      <x:c r="E13" s="10" t="s">
        <x:v>2399</x:v>
      </x:c>
      <x:c r="F13" s="10" t="s">
        <x:v>3338</x:v>
      </x:c>
    </x:row>
    <x:row r="14" spans="1:7" s="3" customFormat="1">
      <x:c r="A14" s="3" t="s">
        <x:v>3301</x:v>
      </x:c>
      <x:c r="B14" s="3" t="s">
        <x:v>1529</x:v>
      </x:c>
      <x:c r="C14" s="6" t="s">
        <x:v>1614</x:v>
      </x:c>
      <x:c r="D14" s="7">
        <x:f>CONCATENATE(HYPERLINK("CALLTO:%2B356%207710%205385", "+356 7710 5385"))</x:f>
      </x:c>
      <x:c r="E14" s="6" t="s">
        <x:v>1709</x:v>
      </x:c>
      <x:c r="F14" s="6" t="s">
        <x:v>1954</x:v>
      </x:c>
    </x:row>
    <x:row r="15" spans="1:7" s="1" customFormat="1">
      <x:c r="A15" s="1" t="s">
        <x:v>3301</x:v>
      </x:c>
      <x:c r="B15" s="1" t="s">
        <x:v>955</x:v>
      </x:c>
      <x:c r="C15" s="8" t="s">
        <x:v>570</x:v>
      </x:c>
      <x:c r="D15" s="9">
        <x:f>CONCATENATE(HYPERLINK("CALLTO:%2B356%202326%202000", "+356 2326 2000"))</x:f>
      </x:c>
      <x:c r="E15" s="8" t="s">
        <x:v>3332</x:v>
      </x:c>
      <x:c r="F15" s="8" t="s">
        <x:v>2050</x:v>
      </x:c>
    </x:row>
    <x:row r="16" spans="1:7" s="4" customFormat="1">
      <x:c r="A16" s="4" t="s">
        <x:v>3301</x:v>
      </x:c>
      <x:c r="B16" s="4" t="s">
        <x:v>2315</x:v>
      </x:c>
      <x:c r="C16" s="10" t="s">
        <x:v>2347</x:v>
      </x:c>
      <x:c r="D16" s="11">
        <x:f>CONCATENATE(HYPERLINK("CALLTO:%2B356%202746%203330", "+356 2746 3330"))</x:f>
      </x:c>
      <x:c r="E16" s="10" t="s">
        <x:v>2443</x:v>
      </x:c>
    </x:row>
    <x:row r="17" spans="1:7" s="3" customFormat="1">
      <x:c r="A17" s="3" t="s">
        <x:v>3301</x:v>
      </x:c>
    </x:row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</x:sheetData>
  <x:hyperlinks>
    <x:hyperlink ref="C2" r:id="rId3545" tooltip="Send a mail to chrisbltd1@gmail.com"/>
    <x:hyperlink ref="C3" r:id="rId3546" tooltip="Send a mail to info@ortis.biz"/>
    <x:hyperlink ref="C4" r:id="rId3547" tooltip="Send a mail to info@soundsmart.com.mt"/>
    <x:hyperlink ref="C5" r:id="rId3548" tooltip="Send a mail to info@zamco.com.mt"/>
    <x:hyperlink ref="C6" r:id="rId3549" tooltip="Send a mail to info@stonecreations.com.mt"/>
    <x:hyperlink ref="C7" r:id="rId3550" tooltip="Send a mail to info@bbqstoremalta.com"/>
    <x:hyperlink ref="C8" r:id="rId3551" tooltip="Send a mail to info@sbl.com.mt"/>
    <x:hyperlink ref="C9" r:id="rId3552" tooltip="Send a mail to info@crosscraft.com.mt"/>
    <x:hyperlink ref="C10" r:id="rId3553" tooltip="Send a mail to info@bigmatmalta.com"/>
    <x:hyperlink ref="C11" r:id="rId3554" tooltip="Send a mail to info@know-howsystems.net"/>
    <x:hyperlink ref="C12" r:id="rId3555" tooltip="Send a mail to info@livelifeoutdoor.com.mt"/>
    <x:hyperlink ref="C13" r:id="rId3556" tooltip="Send a mail to info@fbpmalta.com"/>
    <x:hyperlink ref="C14" r:id="rId3557" tooltip="Send a mail to sales@malta-design.com"/>
    <x:hyperlink ref="C15" r:id="rId3558" tooltip="Send a mail to customercare@homemate.com.mt"/>
    <x:hyperlink ref="C16" r:id="rId3559" tooltip="Send a mail to home@jpitre.com"/>
    <x:hyperlink ref="E2" r:id="rId3560" tooltip="Search Triq Oscar Zammit, Hamrun on Google Maps"/>
    <x:hyperlink ref="E3" r:id="rId3561" tooltip="Search 5 triq L-Industrija Central business district,qormi Malta CBD 5030 on Google Maps"/>
    <x:hyperlink ref="E4" r:id="rId3562" tooltip="Search TRIQ IL-Kostituzzjoni,Mosta, Malta  MST 9050 on Google Maps"/>
    <x:hyperlink ref="E5" r:id="rId3563" tooltip="Search zamco building  Triq il-Mithna, Qormi, Malta on Google Maps"/>
    <x:hyperlink ref="E6" r:id="rId3564" tooltip="Search triq il-kanun ,Qormi,Malta on Google Maps"/>
    <x:hyperlink ref="E7" r:id="rId3565" tooltip="Search triq id -difiza Civili, Mosta ,Malta on Google Maps"/>
    <x:hyperlink ref="E8" r:id="rId3566" tooltip="Search 10 triq Oscar Zammit , HMR 1281 , MALTA on Google Maps"/>
    <x:hyperlink ref="E9" r:id="rId3567" tooltip="Search Bypass Mriehel, Qormi, QRM 9052 on Google Maps"/>
    <x:hyperlink ref="E10" r:id="rId3568" tooltip="Search Zona Industrial, ATD 4000 Ta' Qali, Malta. on Google Maps"/>
    <x:hyperlink ref="E11" r:id="rId3569" tooltip="Search Susan Flats B, Flat 05, Triq Il-Prinjolata, Ta' Xbiex, XBX1130, Malta. on Google Maps"/>
    <x:hyperlink ref="E12" r:id="rId3570" tooltip="Search St. Paul Street, Naxxar, Malta, NXR 4010 on Google Maps"/>
    <x:hyperlink ref="E13" r:id="rId3571" tooltip="Search 139, Bajada Street, Zabbar, Malta on Google Maps"/>
    <x:hyperlink ref="E14" r:id="rId3572" tooltip="Search Malta Design&#10;33 Triq l-Oleandru ,&#10;San Giljan, Malta on Google Maps"/>
    <x:hyperlink ref="E15" r:id="rId3573" tooltip="Search Triq L-Imprendituri, Birkirkara BKR 3000 on Google Maps"/>
    <x:hyperlink ref="E16" r:id="rId3574" tooltip="Search Pitre Home Ltd, Mdina Road, Qormi on Google Maps"/>
    <x:hyperlink ref="F2" r:id="rId3575" tooltip="Visit bbqworldmalta.mt/?utm_source=Yellow&amp;utm_medium=Yellow-Website&amp;utm_campaign=Landing-Page"/>
    <x:hyperlink ref="F3" r:id="rId3576" tooltip="Visit ortismalta.com"/>
    <x:hyperlink ref="F4" r:id="rId3577" tooltip="Visit bigmatmalta.com"/>
    <x:hyperlink ref="F5" r:id="rId3578" tooltip="Visit bullbbq.eu/en/home.htm"/>
    <x:hyperlink ref="F6" r:id="rId3579" tooltip="Visit stonecreations.com.mt"/>
    <x:hyperlink ref="F7" r:id="rId3580" tooltip="Visit bbqstoremalta.com"/>
    <x:hyperlink ref="F8" r:id="rId3581" tooltip="Visit bbqworldmalta.mt"/>
    <x:hyperlink ref="F9" r:id="rId3582" tooltip="Visit crosscraft.com.mt"/>
    <x:hyperlink ref="F10" r:id="rId3583" tooltip="Visit bigmatmalta.com"/>
    <x:hyperlink ref="F11" r:id="rId3584" tooltip="Visit khsmalta.com"/>
    <x:hyperlink ref="F12" r:id="rId3585" tooltip="Visit livelifemalta.com.mt/"/>
    <x:hyperlink ref="F13" r:id="rId3586" tooltip="Visit fbpmalta.com/index.php/products/household/bbqs"/>
    <x:hyperlink ref="F14" r:id="rId3587" tooltip="Visit homemate.com.mt/"/>
    <x:hyperlink ref="F15" r:id="rId3588" tooltip="Visit pitreonline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32"/>
  <x:sheetViews>
    <x:sheetView workbookViewId="0"/>
  </x:sheetViews>
  <x:sheetFormatPr defaultRowHeight="15"/>
  <x:cols>
    <x:col min="1" max="1" width="12.424911" style="0" customWidth="1"/>
    <x:col min="2" max="2" width="46.424911" style="0" customWidth="1"/>
    <x:col min="3" max="3" width="50.853482" style="0" customWidth="1"/>
    <x:col min="4" max="4" width="45.282054" style="0" customWidth="1"/>
    <x:col min="5" max="5" width="60.139196" style="0" customWidth="1"/>
    <x:col min="6" max="6" width="145.996339" style="0" customWidth="1"/>
    <x:col min="7" max="7" width="27.139196" style="0" customWidth="1"/>
    <x:col min="8" max="8" width="20.996339" style="0" customWidth="1"/>
  </x:cols>
  <x:sheetData>
    <x:row r="1" spans="1:8" s="2" customFormat="1">
      <x:c r="A1" s="2" t="s">
        <x:v>3339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2" t="s">
        <x:v>3629</x:v>
      </x:c>
      <x:c r="H1" s="5">
        <x:f>HYPERLINK("#'Summary List'!A61", "Back to Summary")</x:f>
      </x:c>
    </x:row>
    <x:row r="2" spans="1:8" s="3" customFormat="1">
      <x:c r="A2" s="3" t="s">
        <x:v>0</x:v>
      </x:c>
      <x:c r="B2" s="3" t="s">
        <x:v>3342</x:v>
      </x:c>
      <x:c r="C2" s="3" t="s">
        <x:v>3433</x:v>
      </x:c>
      <x:c r="D2" s="7">
        <x:f>CONCATENATE(HYPERLINK("CALLTO:%2B356%202137%204563", "+356 2137 4563"))</x:f>
      </x:c>
      <x:c r="E2" s="6" t="s">
        <x:v>3523</x:v>
      </x:c>
      <x:c r="F2" s="6" t="s">
        <x:v>740</x:v>
      </x:c>
    </x:row>
    <x:row r="3" spans="1:8" s="1" customFormat="1">
      <x:c r="A3" s="1" t="s">
        <x:v>3340</x:v>
      </x:c>
      <x:c r="B3" s="1" t="s">
        <x:v>3343</x:v>
      </x:c>
      <x:c r="C3" s="8" t="s">
        <x:v>3434</x:v>
      </x:c>
      <x:c r="D3" s="9">
        <x:f>CONCATENATE(HYPERLINK("CALLTO:%2B356%209989%209781", "+356 9989 9781"), " / ", HYPERLINK("CALLTO:%2B356%209942%204136", "+356 9942 4136"))</x:f>
      </x:c>
      <x:c r="E3" s="8" t="s">
        <x:v>3524</x:v>
      </x:c>
      <x:c r="F3" s="8" t="s">
        <x:v>5323</x:v>
      </x:c>
    </x:row>
    <x:row r="4" spans="1:8" s="4" customFormat="1">
      <x:c r="A4" s="4" t="s">
        <x:v>3340</x:v>
      </x:c>
      <x:c r="B4" s="4" t="s">
        <x:v>3344</x:v>
      </x:c>
      <x:c r="C4" s="10" t="s">
        <x:v>3435</x:v>
      </x:c>
      <x:c r="D4" s="11">
        <x:f>CONCATENATE(HYPERLINK("CALLTO:%2B356%202141%203044", "+356 2141 3044"))</x:f>
      </x:c>
      <x:c r="E4" s="10" t="s">
        <x:v>3525</x:v>
      </x:c>
      <x:c r="F4" s="10" t="s">
        <x:v>5324</x:v>
      </x:c>
    </x:row>
    <x:row r="5" spans="1:8" s="3" customFormat="1">
      <x:c r="A5" s="3" t="s">
        <x:v>3340</x:v>
      </x:c>
      <x:c r="B5" s="3" t="s">
        <x:v>3345</x:v>
      </x:c>
      <x:c r="C5" s="6" t="s">
        <x:v>3436</x:v>
      </x:c>
      <x:c r="D5" s="7">
        <x:f>CONCATENATE(HYPERLINK("CALLTO:%2B356%202141%209787", "+356 2141 9787"))</x:f>
      </x:c>
      <x:c r="E5" s="6" t="s">
        <x:v>3526</x:v>
      </x:c>
      <x:c r="F5" s="6" t="s">
        <x:v>4600</x:v>
      </x:c>
    </x:row>
    <x:row r="6" spans="1:8" s="1" customFormat="1">
      <x:c r="A6" s="1" t="s">
        <x:v>3340</x:v>
      </x:c>
      <x:c r="B6" s="1" t="s">
        <x:v>3346</x:v>
      </x:c>
      <x:c r="C6" s="8" t="s">
        <x:v>3437</x:v>
      </x:c>
      <x:c r="D6" s="9">
        <x:f>CONCATENATE(HYPERLINK("CALLTO:%2B356%202134%204620", "+356 2134 4620"))</x:f>
      </x:c>
      <x:c r="E6" s="8" t="s">
        <x:v>3527</x:v>
      </x:c>
      <x:c r="F6" s="8" t="s">
        <x:v>5325</x:v>
      </x:c>
    </x:row>
    <x:row r="7" spans="1:8" s="4" customFormat="1">
      <x:c r="A7" s="4" t="s">
        <x:v>3340</x:v>
      </x:c>
      <x:c r="B7" s="4" t="s">
        <x:v>3347</x:v>
      </x:c>
      <x:c r="C7" s="10" t="s">
        <x:v>3438</x:v>
      </x:c>
      <x:c r="D7" s="11">
        <x:f>CONCATENATE(HYPERLINK("CALLTO:%2B356%202125%207400", "+356 2125 7400"))</x:f>
      </x:c>
      <x:c r="E7" s="10" t="s">
        <x:v>3528</x:v>
      </x:c>
      <x:c r="F7" s="10" t="s">
        <x:v>5326</x:v>
      </x:c>
    </x:row>
    <x:row r="8" spans="1:8" s="3" customFormat="1">
      <x:c r="A8" s="3" t="s">
        <x:v>3340</x:v>
      </x:c>
      <x:c r="B8" s="3" t="s">
        <x:v>3348</x:v>
      </x:c>
      <x:c r="C8" s="6" t="s">
        <x:v>3439</x:v>
      </x:c>
      <x:c r="D8" s="7">
        <x:f>CONCATENATE(HYPERLINK("CALLTO:%2B356%209947%205183", "+356 9947 5183"))</x:f>
      </x:c>
      <x:c r="E8" s="6" t="s">
        <x:v>3529</x:v>
      </x:c>
      <x:c r="F8" s="6" t="s">
        <x:v>5327</x:v>
      </x:c>
    </x:row>
    <x:row r="9" spans="1:8" s="1" customFormat="1">
      <x:c r="A9" s="1" t="s">
        <x:v>3340</x:v>
      </x:c>
      <x:c r="B9" s="1" t="s">
        <x:v>3349</x:v>
      </x:c>
      <x:c r="C9" s="8" t="s">
        <x:v>3440</x:v>
      </x:c>
      <x:c r="D9" s="9">
        <x:f>CONCATENATE(HYPERLINK("CALLTO:%2B356%202182%204287", "+356 2182 4287"))</x:f>
      </x:c>
      <x:c r="E9" s="8" t="s">
        <x:v>3530</x:v>
      </x:c>
      <x:c r="F9" s="8" t="s">
        <x:v>5328</x:v>
      </x:c>
    </x:row>
    <x:row r="10" spans="1:8" s="4" customFormat="1">
      <x:c r="A10" s="4" t="s">
        <x:v>3340</x:v>
      </x:c>
      <x:c r="B10" s="4" t="s">
        <x:v>3350</x:v>
      </x:c>
      <x:c r="C10" s="10" t="s">
        <x:v>3441</x:v>
      </x:c>
      <x:c r="D10" s="11">
        <x:f>CONCATENATE(HYPERLINK("CALLTO:%2B356%202155%201166", "+356 2155 1166"))</x:f>
      </x:c>
      <x:c r="E10" s="10" t="s">
        <x:v>3531</x:v>
      </x:c>
      <x:c r="F10" s="10" t="s">
        <x:v>5329</x:v>
      </x:c>
    </x:row>
    <x:row r="11" spans="1:8" s="3" customFormat="1">
      <x:c r="A11" s="3" t="s">
        <x:v>3340</x:v>
      </x:c>
      <x:c r="B11" s="3" t="s">
        <x:v>3351</x:v>
      </x:c>
      <x:c r="C11" s="6" t="s">
        <x:v>3442</x:v>
      </x:c>
      <x:c r="D11" s="7">
        <x:f>CONCATENATE(HYPERLINK("CALLTO:%2B356%207996%200410", "+356 7996 0410"))</x:f>
      </x:c>
      <x:c r="E11" s="6" t="s">
        <x:v>3532</x:v>
      </x:c>
      <x:c r="F11" s="3" t="s">
        <x:v>144</x:v>
      </x:c>
    </x:row>
    <x:row r="12" spans="1:8" s="1" customFormat="1">
      <x:c r="A12" s="1" t="s">
        <x:v>3340</x:v>
      </x:c>
      <x:c r="B12" s="1" t="s">
        <x:v>3352</x:v>
      </x:c>
      <x:c r="C12" s="8" t="s">
        <x:v>3443</x:v>
      </x:c>
      <x:c r="D12" s="9">
        <x:f>CONCATENATE(HYPERLINK("CALLTO:%2B356%209947%206549", "+356 9947 6549"))</x:f>
      </x:c>
      <x:c r="E12" s="8" t="s">
        <x:v>3533</x:v>
      </x:c>
      <x:c r="F12" s="1" t="s">
        <x:v>144</x:v>
      </x:c>
    </x:row>
    <x:row r="13" spans="1:8" s="4" customFormat="1">
      <x:c r="A13" s="4" t="s">
        <x:v>3340</x:v>
      </x:c>
      <x:c r="B13" s="4" t="s">
        <x:v>3353</x:v>
      </x:c>
      <x:c r="C13" s="10" t="s">
        <x:v>3444</x:v>
      </x:c>
      <x:c r="D13" s="11">
        <x:f>CONCATENATE(HYPERLINK("CALLTO:%2B356%202148%203389", "+356 2148 3389"), " / ", HYPERLINK("CALLTO:%2B356%209945%204376", "+356 9945 4376"), " / ", HYPERLINK("CALLTO:%2B356%209988%205657", "+356 9988 5657"))</x:f>
      </x:c>
      <x:c r="E13" s="10" t="s">
        <x:v>3534</x:v>
      </x:c>
      <x:c r="F13" s="10" t="s">
        <x:v>5330</x:v>
      </x:c>
    </x:row>
    <x:row r="14" spans="1:8" s="3" customFormat="1">
      <x:c r="A14" s="3" t="s">
        <x:v>3340</x:v>
      </x:c>
      <x:c r="B14" s="3" t="s">
        <x:v>3354</x:v>
      </x:c>
      <x:c r="C14" s="6" t="s">
        <x:v>3445</x:v>
      </x:c>
      <x:c r="D14" s="7">
        <x:f>CONCATENATE(HYPERLINK("CALLTO:%2B356%209942%202429", "+356 9942 2429"))</x:f>
      </x:c>
      <x:c r="E14" s="6" t="s">
        <x:v>3535</x:v>
      </x:c>
      <x:c r="F14" s="6" t="s">
        <x:v>5331</x:v>
      </x:c>
    </x:row>
    <x:row r="15" spans="1:8" s="1" customFormat="1">
      <x:c r="A15" s="1" t="s">
        <x:v>3340</x:v>
      </x:c>
      <x:c r="B15" s="1" t="s">
        <x:v>3355</x:v>
      </x:c>
      <x:c r="C15" s="8" t="s">
        <x:v>3446</x:v>
      </x:c>
      <x:c r="D15" s="9">
        <x:f>CONCATENATE(HYPERLINK("CALLTO:%2B356%209947%203598", "+356 9947 3598"))</x:f>
      </x:c>
      <x:c r="E15" s="8" t="s">
        <x:v>3536</x:v>
      </x:c>
      <x:c r="F15" s="8" t="s">
        <x:v>5332</x:v>
      </x:c>
    </x:row>
    <x:row r="16" spans="1:8" s="4" customFormat="1">
      <x:c r="A16" s="4" t="s">
        <x:v>3340</x:v>
      </x:c>
      <x:c r="B16" s="4" t="s">
        <x:v>3356</x:v>
      </x:c>
      <x:c r="C16" s="10" t="s">
        <x:v>3447</x:v>
      </x:c>
      <x:c r="D16" s="11">
        <x:f>CONCATENATE(HYPERLINK("CALLTO:%2B356%209946%209316", "+356 9946 9316"))</x:f>
      </x:c>
      <x:c r="E16" s="10" t="s">
        <x:v>3537</x:v>
      </x:c>
      <x:c r="F16" s="10" t="s">
        <x:v>5333</x:v>
      </x:c>
    </x:row>
    <x:row r="17" spans="1:8" s="3" customFormat="1">
      <x:c r="A17" s="3" t="s">
        <x:v>3340</x:v>
      </x:c>
      <x:c r="B17" s="3" t="s">
        <x:v>3357</x:v>
      </x:c>
      <x:c r="C17" s="6" t="s">
        <x:v>3448</x:v>
      </x:c>
      <x:c r="D17" s="7">
        <x:f>CONCATENATE(HYPERLINK("CALLTO:%2B356%209909%200706", "+356 9909 0706"))</x:f>
      </x:c>
      <x:c r="E17" s="6" t="s">
        <x:v>3538</x:v>
      </x:c>
      <x:c r="F17" s="6" t="s">
        <x:v>5334</x:v>
      </x:c>
    </x:row>
    <x:row r="18" spans="1:8" s="1" customFormat="1">
      <x:c r="A18" s="1" t="s">
        <x:v>3340</x:v>
      </x:c>
      <x:c r="B18" s="1" t="s">
        <x:v>3358</x:v>
      </x:c>
      <x:c r="C18" s="8" t="s">
        <x:v>703</x:v>
      </x:c>
      <x:c r="D18" s="9">
        <x:f>CONCATENATE(HYPERLINK("CALLTO:%2B356%202146%204761", "+356 2146 4761"))</x:f>
      </x:c>
      <x:c r="E18" s="8" t="s">
        <x:v>3539</x:v>
      </x:c>
      <x:c r="F18" s="8" t="s">
        <x:v>747</x:v>
      </x:c>
    </x:row>
    <x:row r="19" spans="1:8" s="4" customFormat="1">
      <x:c r="A19" s="4" t="s">
        <x:v>3340</x:v>
      </x:c>
      <x:c r="B19" s="4" t="s">
        <x:v>3359</x:v>
      </x:c>
      <x:c r="C19" s="10" t="s">
        <x:v>3449</x:v>
      </x:c>
      <x:c r="D19" s="11">
        <x:f>CONCATENATE(HYPERLINK("CALLTO:%2B356%209944%203727", "+356 9944 3727"))</x:f>
      </x:c>
      <x:c r="E19" s="10" t="s">
        <x:v>3540</x:v>
      </x:c>
      <x:c r="F19" s="10" t="s">
        <x:v>5335</x:v>
      </x:c>
    </x:row>
    <x:row r="20" spans="1:8" s="3" customFormat="1">
      <x:c r="A20" s="3" t="s">
        <x:v>3340</x:v>
      </x:c>
      <x:c r="B20" s="3" t="s">
        <x:v>3360</x:v>
      </x:c>
      <x:c r="C20" s="6" t="s">
        <x:v>3450</x:v>
      </x:c>
      <x:c r="D20" s="7">
        <x:f>CONCATENATE(HYPERLINK("CALLTO:%2B356%209949%208678", "+356 9949 8678"))</x:f>
      </x:c>
      <x:c r="E20" s="6" t="s">
        <x:v>3541</x:v>
      </x:c>
      <x:c r="F20" s="6" t="s">
        <x:v>5336</x:v>
      </x:c>
    </x:row>
    <x:row r="21" spans="1:8" s="1" customFormat="1">
      <x:c r="A21" s="1" t="s">
        <x:v>3340</x:v>
      </x:c>
      <x:c r="B21" s="1" t="s">
        <x:v>3361</x:v>
      </x:c>
      <x:c r="C21" s="8" t="s">
        <x:v>3451</x:v>
      </x:c>
      <x:c r="D21" s="9">
        <x:f>CONCATENATE(HYPERLINK("CALLTO:%2B356%209947%201116", "+356 9947 1116"))</x:f>
      </x:c>
      <x:c r="E21" s="8" t="s">
        <x:v>3542</x:v>
      </x:c>
      <x:c r="F21" s="8" t="s">
        <x:v>5337</x:v>
      </x:c>
    </x:row>
    <x:row r="22" spans="1:8" s="4" customFormat="1">
      <x:c r="A22" s="4" t="s">
        <x:v>3340</x:v>
      </x:c>
      <x:c r="B22" s="4" t="s">
        <x:v>3362</x:v>
      </x:c>
      <x:c r="C22" s="10" t="s">
        <x:v>3452</x:v>
      </x:c>
      <x:c r="D22" s="11">
        <x:f>CONCATENATE(HYPERLINK("CALLTO:%2B356%209940%203980", "+356 9940 3980"))</x:f>
      </x:c>
      <x:c r="E22" s="10" t="s">
        <x:v>3543</x:v>
      </x:c>
      <x:c r="F22" s="10" t="s">
        <x:v>3618</x:v>
      </x:c>
    </x:row>
    <x:row r="23" spans="1:8" s="3" customFormat="1">
      <x:c r="A23" s="3" t="s">
        <x:v>3340</x:v>
      </x:c>
      <x:c r="B23" s="3" t="s">
        <x:v>3363</x:v>
      </x:c>
      <x:c r="C23" s="6" t="s">
        <x:v>3453</x:v>
      </x:c>
      <x:c r="D23" s="7">
        <x:f>CONCATENATE(HYPERLINK("CALLTO:%2B356%207922%207976", "+356 7922 7976"))</x:f>
      </x:c>
      <x:c r="E23" s="6" t="s">
        <x:v>3544</x:v>
      </x:c>
      <x:c r="F23" s="6" t="s">
        <x:v>5338</x:v>
      </x:c>
    </x:row>
    <x:row r="24" spans="1:8" s="1" customFormat="1">
      <x:c r="A24" s="1" t="s">
        <x:v>3340</x:v>
      </x:c>
      <x:c r="B24" s="1" t="s">
        <x:v>3364</x:v>
      </x:c>
      <x:c r="C24" s="8" t="s">
        <x:v>3454</x:v>
      </x:c>
      <x:c r="D24" s="9">
        <x:f>CONCATENATE(HYPERLINK("CALLTO:%2B356%209942%205030", "+356 9942 5030"))</x:f>
      </x:c>
      <x:c r="E24" s="8" t="s">
        <x:v>3545</x:v>
      </x:c>
      <x:c r="F24" s="1" t="s">
        <x:v>144</x:v>
      </x:c>
    </x:row>
    <x:row r="25" spans="1:8" s="4" customFormat="1">
      <x:c r="A25" s="4" t="s">
        <x:v>3340</x:v>
      </x:c>
      <x:c r="B25" s="4" t="s">
        <x:v>3365</x:v>
      </x:c>
      <x:c r="C25" s="10" t="s">
        <x:v>3455</x:v>
      </x:c>
      <x:c r="D25" s="11">
        <x:f>CONCATENATE(HYPERLINK("CALLTO:%2B356%207944%209303", "+356 7944 9303"))</x:f>
      </x:c>
      <x:c r="E25" s="10" t="s">
        <x:v>3546</x:v>
      </x:c>
      <x:c r="F25" s="10" t="s">
        <x:v>5339</x:v>
      </x:c>
    </x:row>
    <x:row r="26" spans="1:8" s="3" customFormat="1">
      <x:c r="A26" s="3" t="s">
        <x:v>3340</x:v>
      </x:c>
      <x:c r="B26" s="3" t="s">
        <x:v>3366</x:v>
      </x:c>
      <x:c r="C26" s="6" t="s">
        <x:v>3456</x:v>
      </x:c>
      <x:c r="D26" s="7">
        <x:f>CONCATENATE(HYPERLINK("CALLTO:%2B356%207996%202212", "+356 7996 2212"))</x:f>
      </x:c>
      <x:c r="E26" s="6" t="s">
        <x:v>3547</x:v>
      </x:c>
      <x:c r="F26" s="3" t="s">
        <x:v>144</x:v>
      </x:c>
    </x:row>
    <x:row r="27" spans="1:8" s="1" customFormat="1">
      <x:c r="A27" s="1" t="s">
        <x:v>3340</x:v>
      </x:c>
      <x:c r="B27" s="1" t="s">
        <x:v>3367</x:v>
      </x:c>
      <x:c r="C27" s="8" t="s">
        <x:v>3457</x:v>
      </x:c>
      <x:c r="D27" s="9">
        <x:f>CONCATENATE(HYPERLINK("CALLTO:%2B356%209949%201398", "+356 9949 1398"))</x:f>
      </x:c>
      <x:c r="E27" s="8" t="s">
        <x:v>3548</x:v>
      </x:c>
      <x:c r="F27" s="1" t="s">
        <x:v>144</x:v>
      </x:c>
    </x:row>
    <x:row r="28" spans="1:8" s="4" customFormat="1">
      <x:c r="A28" s="4" t="s">
        <x:v>3340</x:v>
      </x:c>
      <x:c r="B28" s="4" t="s">
        <x:v>3368</x:v>
      </x:c>
      <x:c r="C28" s="10" t="s">
        <x:v>3458</x:v>
      </x:c>
      <x:c r="D28" s="11">
        <x:f>CONCATENATE(HYPERLINK("CALLTO:%2B356%207923%206634", "+356 7923 6634"))</x:f>
      </x:c>
      <x:c r="E28" s="10" t="s">
        <x:v>3549</x:v>
      </x:c>
      <x:c r="F28" s="4" t="s">
        <x:v>144</x:v>
      </x:c>
    </x:row>
    <x:row r="29" spans="1:8" s="3" customFormat="1">
      <x:c r="A29" s="3" t="s">
        <x:v>3340</x:v>
      </x:c>
      <x:c r="B29" s="3" t="s">
        <x:v>3369</x:v>
      </x:c>
      <x:c r="C29" s="6" t="s">
        <x:v>3459</x:v>
      </x:c>
      <x:c r="D29" s="7">
        <x:f>CONCATENATE(HYPERLINK("CALLTO:%2B356%202145%206570", "+356 2145 6570"))</x:f>
      </x:c>
      <x:c r="E29" s="6" t="s">
        <x:v>3550</x:v>
      </x:c>
      <x:c r="F29" s="6" t="s">
        <x:v>5340</x:v>
      </x:c>
    </x:row>
    <x:row r="30" spans="1:8" s="1" customFormat="1">
      <x:c r="A30" s="1" t="s">
        <x:v>3340</x:v>
      </x:c>
      <x:c r="B30" s="1" t="s">
        <x:v>3370</x:v>
      </x:c>
      <x:c r="C30" s="8" t="s">
        <x:v>3460</x:v>
      </x:c>
      <x:c r="D30" s="9">
        <x:f>CONCATENATE(HYPERLINK("CALLTO:%2B356%209982%208812", "+356 9982 8812"))</x:f>
      </x:c>
      <x:c r="E30" s="8" t="s">
        <x:v>3551</x:v>
      </x:c>
      <x:c r="F30" s="1" t="s">
        <x:v>144</x:v>
      </x:c>
    </x:row>
    <x:row r="31" spans="1:8" s="4" customFormat="1">
      <x:c r="A31" s="4" t="s">
        <x:v>3340</x:v>
      </x:c>
      <x:c r="B31" s="4" t="s">
        <x:v>3371</x:v>
      </x:c>
      <x:c r="C31" s="10" t="s">
        <x:v>3461</x:v>
      </x:c>
      <x:c r="D31" s="11">
        <x:f>CONCATENATE(HYPERLINK("CALLTO:%2B356%207967%205584", "+356 7967 5584"))</x:f>
      </x:c>
      <x:c r="E31" s="10" t="s">
        <x:v>3552</x:v>
      </x:c>
      <x:c r="F31" s="4" t="s">
        <x:v>144</x:v>
      </x:c>
    </x:row>
    <x:row r="32" spans="1:8" s="3" customFormat="1">
      <x:c r="A32" s="3" t="s">
        <x:v>3340</x:v>
      </x:c>
      <x:c r="B32" s="3" t="s">
        <x:v>3372</x:v>
      </x:c>
      <x:c r="C32" s="6" t="s">
        <x:v>3462</x:v>
      </x:c>
      <x:c r="D32" s="7">
        <x:f>CONCATENATE(HYPERLINK("CALLTO:%2B356%207925%206551", "+356 7925 6551"))</x:f>
      </x:c>
      <x:c r="E32" s="6" t="s">
        <x:v>3553</x:v>
      </x:c>
      <x:c r="F32" s="6" t="s">
        <x:v>5341</x:v>
      </x:c>
    </x:row>
    <x:row r="33" spans="1:8" s="1" customFormat="1">
      <x:c r="A33" s="1" t="s">
        <x:v>3340</x:v>
      </x:c>
      <x:c r="B33" s="1" t="s">
        <x:v>3373</x:v>
      </x:c>
      <x:c r="C33" s="8" t="s">
        <x:v>3463</x:v>
      </x:c>
      <x:c r="D33" s="9">
        <x:f>CONCATENATE(HYPERLINK("CALLTO:%2B356%202124%201922", "+356 2124 1922"))</x:f>
      </x:c>
      <x:c r="E33" s="8" t="s">
        <x:v>3554</x:v>
      </x:c>
      <x:c r="F33" s="8" t="s">
        <x:v>5342</x:v>
      </x:c>
    </x:row>
    <x:row r="34" spans="1:8" s="4" customFormat="1">
      <x:c r="A34" s="4" t="s">
        <x:v>3340</x:v>
      </x:c>
      <x:c r="B34" s="4" t="s">
        <x:v>3374</x:v>
      </x:c>
      <x:c r="C34" s="10" t="s">
        <x:v>3464</x:v>
      </x:c>
      <x:c r="D34" s="11">
        <x:f>CONCATENATE(HYPERLINK("CALLTO:%2B356%202149%201643", "+356 2149 1643"))</x:f>
      </x:c>
      <x:c r="E34" s="10" t="s">
        <x:v>3555</x:v>
      </x:c>
      <x:c r="F34" s="10" t="s">
        <x:v>5343</x:v>
      </x:c>
    </x:row>
    <x:row r="35" spans="1:8" s="3" customFormat="1">
      <x:c r="A35" s="3" t="s">
        <x:v>3340</x:v>
      </x:c>
      <x:c r="B35" s="3" t="s">
        <x:v>3375</x:v>
      </x:c>
      <x:c r="C35" s="6" t="s">
        <x:v>3465</x:v>
      </x:c>
      <x:c r="D35" s="7">
        <x:f>CONCATENATE(HYPERLINK("CALLTO:%2B356%209986%202647", "+356 9986 2647"))</x:f>
      </x:c>
      <x:c r="E35" s="6" t="s">
        <x:v>3556</x:v>
      </x:c>
      <x:c r="F35" s="6" t="s">
        <x:v>5344</x:v>
      </x:c>
    </x:row>
    <x:row r="36" spans="1:8" s="1" customFormat="1">
      <x:c r="A36" s="1" t="s">
        <x:v>3340</x:v>
      </x:c>
      <x:c r="B36" s="1" t="s">
        <x:v>3376</x:v>
      </x:c>
      <x:c r="C36" s="8" t="s">
        <x:v>3466</x:v>
      </x:c>
      <x:c r="D36" s="9">
        <x:f>CONCATENATE(HYPERLINK("CALLTO:%2B356%209927%207571", "+356 9927 7571"))</x:f>
      </x:c>
      <x:c r="E36" s="8" t="s">
        <x:v>3557</x:v>
      </x:c>
      <x:c r="F36" s="8" t="s">
        <x:v>5345</x:v>
      </x:c>
    </x:row>
    <x:row r="37" spans="1:8" s="4" customFormat="1">
      <x:c r="A37" s="4" t="s">
        <x:v>3340</x:v>
      </x:c>
      <x:c r="B37" s="4" t="s">
        <x:v>3377</x:v>
      </x:c>
      <x:c r="C37" s="10" t="s">
        <x:v>3467</x:v>
      </x:c>
      <x:c r="D37" s="11">
        <x:f>CONCATENATE(HYPERLINK("CALLTO:%2B356%202149%202432", "+356 2149 2432"))</x:f>
      </x:c>
      <x:c r="E37" s="10" t="s">
        <x:v>3558</x:v>
      </x:c>
      <x:c r="F37" s="10" t="s">
        <x:v>5346</x:v>
      </x:c>
    </x:row>
    <x:row r="38" spans="1:8" s="3" customFormat="1">
      <x:c r="A38" s="3" t="s">
        <x:v>3340</x:v>
      </x:c>
      <x:c r="B38" s="3" t="s">
        <x:v>3378</x:v>
      </x:c>
      <x:c r="C38" s="6" t="s">
        <x:v>3468</x:v>
      </x:c>
      <x:c r="D38" s="7">
        <x:f>CONCATENATE(HYPERLINK("CALLTO:%2B356%207905%208588", "+356 7905 8588"))</x:f>
      </x:c>
      <x:c r="E38" s="6" t="s">
        <x:v>3559</x:v>
      </x:c>
      <x:c r="F38" s="6" t="s">
        <x:v>5347</x:v>
      </x:c>
    </x:row>
    <x:row r="39" spans="1:8" s="1" customFormat="1">
      <x:c r="A39" s="1" t="s">
        <x:v>3340</x:v>
      </x:c>
      <x:c r="B39" s="1" t="s">
        <x:v>3379</x:v>
      </x:c>
      <x:c r="C39" s="8" t="s">
        <x:v>3470</x:v>
      </x:c>
      <x:c r="D39" s="9">
        <x:f>CONCATENATE(HYPERLINK("CALLTO:%2B356%209920%207248", "+356 9920 7248"))</x:f>
      </x:c>
      <x:c r="E39" s="8" t="s">
        <x:v>1762</x:v>
      </x:c>
      <x:c r="F39" s="8" t="s">
        <x:v>5348</x:v>
      </x:c>
    </x:row>
    <x:row r="40" spans="1:8" s="4" customFormat="1">
      <x:c r="A40" s="4" t="s">
        <x:v>3340</x:v>
      </x:c>
      <x:c r="B40" s="4" t="s">
        <x:v>3380</x:v>
      </x:c>
      <x:c r="C40" s="10" t="s">
        <x:v>3469</x:v>
      </x:c>
      <x:c r="D40" s="11">
        <x:f>CONCATENATE(HYPERLINK("CALLTO:%2B356%209949%204304", "+356 9949 4304"))</x:f>
      </x:c>
      <x:c r="E40" s="10" t="s">
        <x:v>3560</x:v>
      </x:c>
      <x:c r="F40" s="10" t="s">
        <x:v>5349</x:v>
      </x:c>
    </x:row>
    <x:row r="41" spans="1:8" s="3" customFormat="1">
      <x:c r="A41" s="3" t="s">
        <x:v>3340</x:v>
      </x:c>
      <x:c r="B41" s="3" t="s">
        <x:v>3381</x:v>
      </x:c>
      <x:c r="C41" s="6" t="s">
        <x:v>3471</x:v>
      </x:c>
      <x:c r="D41" s="7">
        <x:f>CONCATENATE(HYPERLINK("CALLTO:%2B356%207732%200648", "+356 7732 0648"))</x:f>
      </x:c>
      <x:c r="E41" s="6" t="s">
        <x:v>3561</x:v>
      </x:c>
      <x:c r="F41" s="6" t="s">
        <x:v>5350</x:v>
      </x:c>
    </x:row>
    <x:row r="42" spans="1:8" s="1" customFormat="1">
      <x:c r="A42" s="1" t="s">
        <x:v>3340</x:v>
      </x:c>
      <x:c r="B42" s="1" t="s">
        <x:v>3382</x:v>
      </x:c>
      <x:c r="C42" s="8" t="s">
        <x:v>3472</x:v>
      </x:c>
      <x:c r="D42" s="9">
        <x:f>CONCATENATE(HYPERLINK("CALLTO:%2B356%209942%204050", "+356 9942 4050"))</x:f>
      </x:c>
      <x:c r="E42" s="8" t="s">
        <x:v>3562</x:v>
      </x:c>
      <x:c r="F42" s="8" t="s">
        <x:v>5351</x:v>
      </x:c>
    </x:row>
    <x:row r="43" spans="1:8" s="4" customFormat="1">
      <x:c r="A43" s="4" t="s">
        <x:v>3340</x:v>
      </x:c>
      <x:c r="B43" s="4" t="s">
        <x:v>3383</x:v>
      </x:c>
      <x:c r="C43" s="10" t="s">
        <x:v>3473</x:v>
      </x:c>
      <x:c r="D43" s="11">
        <x:f>CONCATENATE(HYPERLINK("CALLTO:%2B356%207926%202163", "+356 7926 2163"))</x:f>
      </x:c>
      <x:c r="E43" s="10" t="s">
        <x:v>3563</x:v>
      </x:c>
      <x:c r="F43" s="10" t="s">
        <x:v>5352</x:v>
      </x:c>
    </x:row>
    <x:row r="44" spans="1:8" s="3" customFormat="1">
      <x:c r="A44" s="3" t="s">
        <x:v>3340</x:v>
      </x:c>
      <x:c r="B44" s="3" t="s">
        <x:v>3384</x:v>
      </x:c>
      <x:c r="C44" s="6" t="s">
        <x:v>3474</x:v>
      </x:c>
      <x:c r="D44" s="7">
        <x:f>CONCATENATE(HYPERLINK("CALLTO:%2B356%207798%200389", "+356 7798 0389"))</x:f>
      </x:c>
      <x:c r="E44" s="6" t="s">
        <x:v>3564</x:v>
      </x:c>
      <x:c r="F44" s="6" t="s">
        <x:v>5353</x:v>
      </x:c>
    </x:row>
    <x:row r="45" spans="1:8" s="1" customFormat="1">
      <x:c r="A45" s="1" t="s">
        <x:v>3340</x:v>
      </x:c>
      <x:c r="B45" s="1" t="s">
        <x:v>3385</x:v>
      </x:c>
      <x:c r="C45" s="8" t="s">
        <x:v>3475</x:v>
      </x:c>
      <x:c r="D45" s="9">
        <x:f>CONCATENATE(HYPERLINK("CALLTO:%2B356%202149%200588", "+356 2149 0588"))</x:f>
      </x:c>
      <x:c r="E45" s="8" t="s">
        <x:v>3565</x:v>
      </x:c>
      <x:c r="F45" s="8" t="s">
        <x:v>5354</x:v>
      </x:c>
    </x:row>
    <x:row r="46" spans="1:8" s="4" customFormat="1">
      <x:c r="A46" s="4" t="s">
        <x:v>3340</x:v>
      </x:c>
      <x:c r="B46" s="4" t="s">
        <x:v>3386</x:v>
      </x:c>
      <x:c r="C46" s="10" t="s">
        <x:v>3476</x:v>
      </x:c>
      <x:c r="D46" s="11">
        <x:f>CONCATENATE(HYPERLINK("CALLTO:%2B356%209982%205244", "+356 9982 5244"))</x:f>
      </x:c>
      <x:c r="E46" s="10" t="s">
        <x:v>3566</x:v>
      </x:c>
      <x:c r="F46" s="4" t="s">
        <x:v>144</x:v>
      </x:c>
    </x:row>
    <x:row r="47" spans="1:8" s="3" customFormat="1">
      <x:c r="A47" s="3" t="s">
        <x:v>3340</x:v>
      </x:c>
      <x:c r="B47" s="3" t="s">
        <x:v>3387</x:v>
      </x:c>
      <x:c r="C47" s="6" t="s">
        <x:v>3477</x:v>
      </x:c>
      <x:c r="D47" s="7">
        <x:f>CONCATENATE(HYPERLINK("CALLTO:%2B356%209924%202312", "+356 9924 2312"))</x:f>
      </x:c>
      <x:c r="E47" s="6" t="s">
        <x:v>3567</x:v>
      </x:c>
      <x:c r="F47" s="6" t="s">
        <x:v>5355</x:v>
      </x:c>
    </x:row>
    <x:row r="48" spans="1:8" s="1" customFormat="1">
      <x:c r="A48" s="1" t="s">
        <x:v>3340</x:v>
      </x:c>
      <x:c r="B48" s="1" t="s">
        <x:v>677</x:v>
      </x:c>
      <x:c r="C48" s="8" t="s">
        <x:v>705</x:v>
      </x:c>
      <x:c r="D48" s="9">
        <x:f>CONCATENATE(HYPERLINK("CALLTO:%2B356%202145%202831", "+356 2145 2831"))</x:f>
      </x:c>
      <x:c r="E48" s="8" t="s">
        <x:v>3568</x:v>
      </x:c>
      <x:c r="F48" s="8" t="s">
        <x:v>4603</x:v>
      </x:c>
    </x:row>
    <x:row r="49" spans="1:8" s="4" customFormat="1">
      <x:c r="A49" s="4" t="s">
        <x:v>3340</x:v>
      </x:c>
      <x:c r="B49" s="4" t="s">
        <x:v>3388</x:v>
      </x:c>
      <x:c r="C49" s="10" t="s">
        <x:v>2554</x:v>
      </x:c>
      <x:c r="D49" s="11">
        <x:f>CONCATENATE(HYPERLINK("CALLTO:%2B356%202138%202595", "+356 2138 2595"))</x:f>
      </x:c>
      <x:c r="E49" s="10" t="s">
        <x:v>3569</x:v>
      </x:c>
      <x:c r="F49" s="10" t="s">
        <x:v>2559</x:v>
      </x:c>
    </x:row>
    <x:row r="50" spans="1:8" s="3" customFormat="1">
      <x:c r="A50" s="3" t="s">
        <x:v>3340</x:v>
      </x:c>
      <x:c r="B50" s="3" t="s">
        <x:v>3389</x:v>
      </x:c>
      <x:c r="C50" s="6" t="s">
        <x:v>3478</x:v>
      </x:c>
      <x:c r="D50" s="7">
        <x:f>CONCATENATE(HYPERLINK("CALLTO:%2B356%207909%201797", "+356 7909 1797"))</x:f>
      </x:c>
      <x:c r="E50" s="6" t="s">
        <x:v>3570</x:v>
      </x:c>
      <x:c r="F50" s="6" t="s">
        <x:v>5356</x:v>
      </x:c>
    </x:row>
    <x:row r="51" spans="1:8" s="1" customFormat="1">
      <x:c r="A51" s="1" t="s">
        <x:v>3340</x:v>
      </x:c>
      <x:c r="B51" s="1" t="s">
        <x:v>3390</x:v>
      </x:c>
      <x:c r="C51" s="8" t="s">
        <x:v>3479</x:v>
      </x:c>
      <x:c r="D51" s="9">
        <x:f>CONCATENATE(HYPERLINK("CALLTO:%2B356%202146%201078", "+356 2146 1078"))</x:f>
      </x:c>
      <x:c r="E51" s="8" t="s">
        <x:v>3571</x:v>
      </x:c>
      <x:c r="F51" s="8" t="s">
        <x:v>5357</x:v>
      </x:c>
    </x:row>
    <x:row r="52" spans="1:8" s="4" customFormat="1">
      <x:c r="A52" s="4" t="s">
        <x:v>3340</x:v>
      </x:c>
      <x:c r="B52" s="4" t="s">
        <x:v>3391</x:v>
      </x:c>
      <x:c r="C52" s="10" t="s">
        <x:v>3480</x:v>
      </x:c>
      <x:c r="D52" s="11">
        <x:f>CONCATENATE(HYPERLINK("CALLTO:%2B356%209947%202592", "+356 9947 2592"))</x:f>
      </x:c>
      <x:c r="E52" s="10" t="s">
        <x:v>3572</x:v>
      </x:c>
      <x:c r="F52" s="4" t="s">
        <x:v>144</x:v>
      </x:c>
    </x:row>
    <x:row r="53" spans="1:8" s="3" customFormat="1">
      <x:c r="A53" s="3" t="s">
        <x:v>3340</x:v>
      </x:c>
      <x:c r="B53" s="3" t="s">
        <x:v>3392</x:v>
      </x:c>
      <x:c r="C53" s="6" t="s">
        <x:v>3481</x:v>
      </x:c>
      <x:c r="D53" s="7">
        <x:f>CONCATENATE(HYPERLINK("CALLTO:%2B356%202146%203522", "+356 2146 3522"))</x:f>
      </x:c>
      <x:c r="E53" s="6" t="s">
        <x:v>3573</x:v>
      </x:c>
      <x:c r="F53" s="6" t="s">
        <x:v>741</x:v>
      </x:c>
    </x:row>
    <x:row r="54" spans="1:8" s="1" customFormat="1">
      <x:c r="A54" s="1" t="s">
        <x:v>3340</x:v>
      </x:c>
      <x:c r="B54" s="1" t="s">
        <x:v>3393</x:v>
      </x:c>
      <x:c r="C54" s="8" t="s">
        <x:v>3482</x:v>
      </x:c>
      <x:c r="D54" s="9">
        <x:f>CONCATENATE(HYPERLINK("CALLTO:%2B356%207005%20238925", "+356 7005 238925"))</x:f>
      </x:c>
      <x:c r="E54" s="8" t="s">
        <x:v>3574</x:v>
      </x:c>
      <x:c r="F54" s="8" t="s">
        <x:v>5358</x:v>
      </x:c>
    </x:row>
    <x:row r="55" spans="1:8" s="4" customFormat="1">
      <x:c r="A55" s="4" t="s">
        <x:v>3340</x:v>
      </x:c>
      <x:c r="B55" s="4" t="s">
        <x:v>3394</x:v>
      </x:c>
      <x:c r="C55" s="10" t="s">
        <x:v>3483</x:v>
      </x:c>
      <x:c r="D55" s="11">
        <x:f>CONCATENATE(HYPERLINK("CALLTO:%2B356%209947%203343", "+356 9947 3343"))</x:f>
      </x:c>
      <x:c r="E55" s="10" t="s">
        <x:v>3575</x:v>
      </x:c>
      <x:c r="F55" s="4" t="s">
        <x:v>144</x:v>
      </x:c>
    </x:row>
    <x:row r="56" spans="1:8" s="3" customFormat="1">
      <x:c r="A56" s="3" t="s">
        <x:v>3340</x:v>
      </x:c>
      <x:c r="B56" s="3" t="s">
        <x:v>3395</x:v>
      </x:c>
      <x:c r="C56" s="6" t="s">
        <x:v>3484</x:v>
      </x:c>
      <x:c r="D56" s="7">
        <x:f>CONCATENATE(HYPERLINK("CALLTO:%2B356%209993%208509", "+356 9993 8509"))</x:f>
      </x:c>
      <x:c r="E56" s="6" t="s">
        <x:v>3576</x:v>
      </x:c>
      <x:c r="F56" s="6" t="s">
        <x:v>5359</x:v>
      </x:c>
    </x:row>
    <x:row r="57" spans="1:8" s="1" customFormat="1">
      <x:c r="A57" s="1" t="s">
        <x:v>3340</x:v>
      </x:c>
      <x:c r="B57" s="1" t="s">
        <x:v>672</x:v>
      </x:c>
      <x:c r="C57" s="8" t="s">
        <x:v>700</x:v>
      </x:c>
      <x:c r="D57" s="9">
        <x:f>CONCATENATE(HYPERLINK("CALLTO:%2B356%202149%202908", "+356 2149 2908"))</x:f>
      </x:c>
      <x:c r="E57" s="8" t="s">
        <x:v>3577</x:v>
      </x:c>
      <x:c r="F57" s="8" t="s">
        <x:v>744</x:v>
      </x:c>
    </x:row>
    <x:row r="58" spans="1:8" s="4" customFormat="1">
      <x:c r="A58" s="4" t="s">
        <x:v>3340</x:v>
      </x:c>
      <x:c r="B58" s="4" t="s">
        <x:v>3396</x:v>
      </x:c>
      <x:c r="C58" s="10" t="s">
        <x:v>3485</x:v>
      </x:c>
      <x:c r="D58" s="11">
        <x:f>CONCATENATE(HYPERLINK("CALLTO:%2B356%207965%207308", "+356 7965 7308"))</x:f>
      </x:c>
      <x:c r="E58" s="10" t="s">
        <x:v>3578</x:v>
      </x:c>
      <x:c r="F58" s="10" t="s">
        <x:v>5360</x:v>
      </x:c>
    </x:row>
    <x:row r="59" spans="1:8" s="3" customFormat="1">
      <x:c r="A59" s="3" t="s">
        <x:v>3340</x:v>
      </x:c>
      <x:c r="B59" s="3" t="s">
        <x:v>3397</x:v>
      </x:c>
      <x:c r="C59" s="6" t="s">
        <x:v>3486</x:v>
      </x:c>
      <x:c r="D59" s="7">
        <x:f>CONCATENATE(HYPERLINK("CALLTO:%2B356%202122%206320", "+356 2122 6320"))</x:f>
      </x:c>
      <x:c r="E59" s="6" t="s">
        <x:v>3579</x:v>
      </x:c>
      <x:c r="F59" s="6" t="s">
        <x:v>5361</x:v>
      </x:c>
    </x:row>
    <x:row r="60" spans="1:8" s="1" customFormat="1">
      <x:c r="A60" s="1" t="s">
        <x:v>3340</x:v>
      </x:c>
      <x:c r="B60" s="1" t="s">
        <x:v>3398</x:v>
      </x:c>
      <x:c r="C60" s="1" t="s">
        <x:v>3487</x:v>
      </x:c>
      <x:c r="D60" s="9">
        <x:f>CONCATENATE(HYPERLINK("CALLTO:%2B356%207972%207953", "+356 7972 7953"))</x:f>
      </x:c>
      <x:c r="E60" s="8" t="s">
        <x:v>3580</x:v>
      </x:c>
      <x:c r="F60" s="8" t="s">
        <x:v>5362</x:v>
      </x:c>
    </x:row>
    <x:row r="61" spans="1:8" s="4" customFormat="1">
      <x:c r="A61" s="4" t="s">
        <x:v>3340</x:v>
      </x:c>
      <x:c r="B61" s="4" t="s">
        <x:v>3399</x:v>
      </x:c>
      <x:c r="C61" s="10" t="s">
        <x:v>3488</x:v>
      </x:c>
      <x:c r="D61" s="11">
        <x:f>CONCATENATE(HYPERLINK("CALLTO:%2B356%209944%200946", "+356 9944 0946"))</x:f>
      </x:c>
      <x:c r="E61" s="10" t="s">
        <x:v>3581</x:v>
      </x:c>
      <x:c r="F61" s="4" t="s">
        <x:v>144</x:v>
      </x:c>
    </x:row>
    <x:row r="62" spans="1:8" s="3" customFormat="1">
      <x:c r="A62" s="3" t="s">
        <x:v>3340</x:v>
      </x:c>
      <x:c r="B62" s="3" t="s">
        <x:v>3400</x:v>
      </x:c>
      <x:c r="C62" s="6" t="s">
        <x:v>3489</x:v>
      </x:c>
      <x:c r="D62" s="7">
        <x:f>CONCATENATE(HYPERLINK("CALLTO:%2B356%202748%205677", "+356 2748 5677"))</x:f>
      </x:c>
      <x:c r="E62" s="6" t="s">
        <x:v>3582</x:v>
      </x:c>
      <x:c r="F62" s="6" t="s">
        <x:v>5363</x:v>
      </x:c>
    </x:row>
    <x:row r="63" spans="1:8" s="1" customFormat="1">
      <x:c r="A63" s="1" t="s">
        <x:v>3340</x:v>
      </x:c>
      <x:c r="B63" s="1" t="s">
        <x:v>3401</x:v>
      </x:c>
      <x:c r="C63" s="8" t="s">
        <x:v>3490</x:v>
      </x:c>
      <x:c r="D63" s="9">
        <x:f>CONCATENATE(HYPERLINK("CALLTO:%2B356%207905%205395", "+356 7905 5395"))</x:f>
      </x:c>
      <x:c r="E63" s="8" t="s">
        <x:v>3583</x:v>
      </x:c>
      <x:c r="F63" s="8" t="s">
        <x:v>5364</x:v>
      </x:c>
    </x:row>
    <x:row r="64" spans="1:8" s="4" customFormat="1">
      <x:c r="A64" s="4" t="s">
        <x:v>3340</x:v>
      </x:c>
      <x:c r="B64" s="4" t="s">
        <x:v>3402</x:v>
      </x:c>
      <x:c r="C64" s="10" t="s">
        <x:v>3491</x:v>
      </x:c>
      <x:c r="D64" s="11">
        <x:f>CONCATENATE(HYPERLINK("CALLTO:%2B356%209949%200300", "+356 9949 0300"))</x:f>
      </x:c>
      <x:c r="E64" s="10" t="s">
        <x:v>3584</x:v>
      </x:c>
      <x:c r="F64" s="10" t="s">
        <x:v>5365</x:v>
      </x:c>
    </x:row>
    <x:row r="65" spans="1:8" s="3" customFormat="1">
      <x:c r="A65" s="3" t="s">
        <x:v>3340</x:v>
      </x:c>
      <x:c r="B65" s="3" t="s">
        <x:v>3403</x:v>
      </x:c>
      <x:c r="C65" s="6" t="s">
        <x:v>3492</x:v>
      </x:c>
      <x:c r="D65" s="7">
        <x:f>CONCATENATE(HYPERLINK("CALLTO:%2B356%202180%204756", "+356 2180 4756"))</x:f>
      </x:c>
      <x:c r="E65" s="6" t="s">
        <x:v>3585</x:v>
      </x:c>
      <x:c r="F65" s="6" t="s">
        <x:v>5366</x:v>
      </x:c>
    </x:row>
    <x:row r="66" spans="1:8" s="1" customFormat="1">
      <x:c r="A66" s="1" t="s">
        <x:v>3340</x:v>
      </x:c>
      <x:c r="B66" s="1" t="s">
        <x:v>3404</x:v>
      </x:c>
      <x:c r="C66" s="8" t="s">
        <x:v>3493</x:v>
      </x:c>
      <x:c r="D66" s="9">
        <x:f>CONCATENATE(HYPERLINK("CALLTO:%2B356%202166%200170", "+356 2166 0170"))</x:f>
      </x:c>
      <x:c r="E66" s="8" t="s">
        <x:v>3586</x:v>
      </x:c>
      <x:c r="F66" s="8" t="s">
        <x:v>5367</x:v>
      </x:c>
    </x:row>
    <x:row r="67" spans="1:8" s="4" customFormat="1">
      <x:c r="A67" s="4" t="s">
        <x:v>3340</x:v>
      </x:c>
      <x:c r="B67" s="4" t="s">
        <x:v>3405</x:v>
      </x:c>
      <x:c r="C67" s="10" t="s">
        <x:v>3494</x:v>
      </x:c>
      <x:c r="D67" s="11">
        <x:f>CONCATENATE(HYPERLINK("CALLTO:%2B356%209913%201020", "+356 9913 1020"))</x:f>
      </x:c>
      <x:c r="E67" s="10" t="s">
        <x:v>3587</x:v>
      </x:c>
      <x:c r="F67" s="10" t="s">
        <x:v>5368</x:v>
      </x:c>
    </x:row>
    <x:row r="68" spans="1:8" s="3" customFormat="1">
      <x:c r="A68" s="3" t="s">
        <x:v>3340</x:v>
      </x:c>
      <x:c r="B68" s="3" t="s">
        <x:v>3406</x:v>
      </x:c>
      <x:c r="C68" s="6" t="s">
        <x:v>3495</x:v>
      </x:c>
      <x:c r="D68" s="7">
        <x:f>CONCATENATE(HYPERLINK("CALLTO:%2B356%209983%205642", "+356 9983 5642"))</x:f>
      </x:c>
      <x:c r="E68" s="6" t="s">
        <x:v>3588</x:v>
      </x:c>
      <x:c r="F68" s="3" t="s">
        <x:v>144</x:v>
      </x:c>
    </x:row>
    <x:row r="69" spans="1:8" s="1" customFormat="1">
      <x:c r="A69" s="1" t="s">
        <x:v>3340</x:v>
      </x:c>
      <x:c r="B69" s="1" t="s">
        <x:v>3407</x:v>
      </x:c>
      <x:c r="C69" s="8" t="s">
        <x:v>3496</x:v>
      </x:c>
      <x:c r="D69" s="9">
        <x:f>CONCATENATE(HYPERLINK("CALLTO:%2B356%202169%205051", "+356 2169 5051"))</x:f>
      </x:c>
      <x:c r="E69" s="8" t="s">
        <x:v>3589</x:v>
      </x:c>
      <x:c r="F69" s="1" t="s">
        <x:v>144</x:v>
      </x:c>
    </x:row>
    <x:row r="70" spans="1:8" s="4" customFormat="1">
      <x:c r="A70" s="4" t="s">
        <x:v>3340</x:v>
      </x:c>
      <x:c r="B70" s="4" t="s">
        <x:v>3408</x:v>
      </x:c>
      <x:c r="C70" s="10" t="s">
        <x:v>1015</x:v>
      </x:c>
      <x:c r="D70" s="11">
        <x:f>CONCATENATE(HYPERLINK("CALLTO:%2B356%209921%205215", "+356 9921 5215"))</x:f>
      </x:c>
      <x:c r="E70" s="10" t="s">
        <x:v>3590</x:v>
      </x:c>
      <x:c r="F70" s="10" t="s">
        <x:v>1052</x:v>
      </x:c>
    </x:row>
    <x:row r="71" spans="1:8" s="3" customFormat="1">
      <x:c r="A71" s="3" t="s">
        <x:v>3340</x:v>
      </x:c>
      <x:c r="B71" s="3" t="s">
        <x:v>3409</x:v>
      </x:c>
      <x:c r="C71" s="6" t="s">
        <x:v>3497</x:v>
      </x:c>
      <x:c r="D71" s="7">
        <x:f>CONCATENATE(HYPERLINK("CALLTO:%2B356%209984%200315", "+356 9984 0315"))</x:f>
      </x:c>
      <x:c r="E71" s="6" t="s">
        <x:v>3591</x:v>
      </x:c>
      <x:c r="F71" s="3" t="s">
        <x:v>144</x:v>
      </x:c>
    </x:row>
    <x:row r="72" spans="1:8" s="1" customFormat="1">
      <x:c r="A72" s="1" t="s">
        <x:v>3340</x:v>
      </x:c>
      <x:c r="B72" s="1" t="s">
        <x:v>3410</x:v>
      </x:c>
      <x:c r="C72" s="8" t="s">
        <x:v>3498</x:v>
      </x:c>
      <x:c r="D72" s="9">
        <x:f>CONCATENATE(HYPERLINK("CALLTO:%2B356%202148%206022", "+356 2148 6022"))</x:f>
      </x:c>
      <x:c r="E72" s="8" t="s">
        <x:v>3592</x:v>
      </x:c>
      <x:c r="F72" s="8" t="s">
        <x:v>5369</x:v>
      </x:c>
    </x:row>
    <x:row r="73" spans="1:8" s="4" customFormat="1">
      <x:c r="A73" s="4" t="s">
        <x:v>3340</x:v>
      </x:c>
      <x:c r="B73" s="4" t="s">
        <x:v>3411</x:v>
      </x:c>
      <x:c r="C73" s="10" t="s">
        <x:v>3499</x:v>
      </x:c>
      <x:c r="D73" s="11">
        <x:f>CONCATENATE(HYPERLINK("CALLTO:%2B356%209947%203849", "+356 9947 3849"))</x:f>
      </x:c>
      <x:c r="E73" s="10" t="s">
        <x:v>3593</x:v>
      </x:c>
      <x:c r="F73" s="4" t="s">
        <x:v>144</x:v>
      </x:c>
    </x:row>
    <x:row r="74" spans="1:8" s="3" customFormat="1">
      <x:c r="A74" s="3" t="s">
        <x:v>3340</x:v>
      </x:c>
      <x:c r="B74" s="3" t="s">
        <x:v>3412</x:v>
      </x:c>
      <x:c r="C74" s="6" t="s">
        <x:v>3500</x:v>
      </x:c>
      <x:c r="D74" s="7">
        <x:f>CONCATENATE(HYPERLINK("CALLTO:%2B356%202155%204149", "+356 2155 4149"))</x:f>
      </x:c>
      <x:c r="E74" s="6" t="s">
        <x:v>3594</x:v>
      </x:c>
      <x:c r="F74" s="6" t="s">
        <x:v>5370</x:v>
      </x:c>
    </x:row>
    <x:row r="75" spans="1:8" s="1" customFormat="1">
      <x:c r="A75" s="1" t="s">
        <x:v>3340</x:v>
      </x:c>
      <x:c r="B75" s="1" t="s">
        <x:v>3413</x:v>
      </x:c>
      <x:c r="C75" s="8" t="s">
        <x:v>3501</x:v>
      </x:c>
      <x:c r="D75" s="9">
        <x:f>CONCATENATE(HYPERLINK("CALLTO:%2B356%209940%202482", "+356 9940 2482"))</x:f>
      </x:c>
      <x:c r="E75" s="8" t="s">
        <x:v>3595</x:v>
      </x:c>
      <x:c r="F75" s="8" t="s">
        <x:v>5371</x:v>
      </x:c>
    </x:row>
    <x:row r="76" spans="1:8" s="4" customFormat="1">
      <x:c r="A76" s="4" t="s">
        <x:v>3340</x:v>
      </x:c>
      <x:c r="B76" s="4" t="s">
        <x:v>3414</x:v>
      </x:c>
      <x:c r="C76" s="10" t="s">
        <x:v>3502</x:v>
      </x:c>
      <x:c r="D76" s="11">
        <x:f>CONCATENATE(HYPERLINK("CALLTO:%2B356%209949%207740", "+356 9949 7740"))</x:f>
      </x:c>
      <x:c r="E76" s="10" t="s">
        <x:v>3581</x:v>
      </x:c>
      <x:c r="F76" s="10" t="s">
        <x:v>5372</x:v>
      </x:c>
    </x:row>
    <x:row r="77" spans="1:8" s="3" customFormat="1">
      <x:c r="A77" s="3" t="s">
        <x:v>3340</x:v>
      </x:c>
      <x:c r="B77" s="3" t="s">
        <x:v>3415</x:v>
      </x:c>
      <x:c r="C77" s="6" t="s">
        <x:v>3503</x:v>
      </x:c>
      <x:c r="D77" s="7">
        <x:f>CONCATENATE(HYPERLINK("CALLTO:%2B356%202144%209878", "+356 2144 9878"))</x:f>
      </x:c>
      <x:c r="E77" s="6" t="s">
        <x:v>3596</x:v>
      </x:c>
      <x:c r="F77" s="6" t="s">
        <x:v>5373</x:v>
      </x:c>
    </x:row>
    <x:row r="78" spans="1:8" s="1" customFormat="1">
      <x:c r="A78" s="1" t="s">
        <x:v>3340</x:v>
      </x:c>
      <x:c r="B78" s="1" t="s">
        <x:v>3416</x:v>
      </x:c>
      <x:c r="C78" s="1" t="s">
        <x:v>144</x:v>
      </x:c>
      <x:c r="D78" s="9">
        <x:f>CONCATENATE(HYPERLINK("CALLTO:%2B356%209942%202717", "+356 9942 2717"))</x:f>
      </x:c>
      <x:c r="E78" s="8" t="s">
        <x:v>3597</x:v>
      </x:c>
      <x:c r="F78" s="1" t="s">
        <x:v>144</x:v>
      </x:c>
    </x:row>
    <x:row r="79" spans="1:8" s="4" customFormat="1">
      <x:c r="A79" s="4" t="s">
        <x:v>3340</x:v>
      </x:c>
      <x:c r="B79" s="4" t="s">
        <x:v>3417</x:v>
      </x:c>
      <x:c r="C79" s="10" t="s">
        <x:v>3504</x:v>
      </x:c>
      <x:c r="D79" s="11">
        <x:f>CONCATENATE(HYPERLINK("CALLTO:%2B356%209932%200809", "+356 9932 0809"))</x:f>
      </x:c>
      <x:c r="E79" s="10" t="s">
        <x:v>3598</x:v>
      </x:c>
      <x:c r="F79" s="10" t="s">
        <x:v>5374</x:v>
      </x:c>
    </x:row>
    <x:row r="80" spans="1:8" s="3" customFormat="1">
      <x:c r="A80" s="3" t="s">
        <x:v>3340</x:v>
      </x:c>
      <x:c r="B80" s="3" t="s">
        <x:v>3418</x:v>
      </x:c>
      <x:c r="C80" s="6" t="s">
        <x:v>3505</x:v>
      </x:c>
      <x:c r="D80" s="7">
        <x:f>CONCATENATE(HYPERLINK("CALLTO:%2B356%209946%200052", "+356 9946 0052"))</x:f>
      </x:c>
      <x:c r="E80" s="6" t="s">
        <x:v>3599</x:v>
      </x:c>
      <x:c r="F80" s="3" t="s">
        <x:v>144</x:v>
      </x:c>
    </x:row>
    <x:row r="81" spans="1:8" s="1" customFormat="1">
      <x:c r="A81" s="1" t="s">
        <x:v>3340</x:v>
      </x:c>
      <x:c r="B81" s="1" t="s">
        <x:v>3419</x:v>
      </x:c>
      <x:c r="C81" s="8" t="s">
        <x:v>3506</x:v>
      </x:c>
      <x:c r="D81" s="9">
        <x:f>CONCATENATE(HYPERLINK("CALLTO:%2B356%209939%205416", "+356 9939 5416"))</x:f>
      </x:c>
      <x:c r="E81" s="8" t="s">
        <x:v>3600</x:v>
      </x:c>
      <x:c r="F81" s="8" t="s">
        <x:v>5375</x:v>
      </x:c>
    </x:row>
    <x:row r="82" spans="1:8" s="4" customFormat="1">
      <x:c r="A82" s="4" t="s">
        <x:v>3340</x:v>
      </x:c>
      <x:c r="B82" s="4" t="s">
        <x:v>3420</x:v>
      </x:c>
      <x:c r="C82" s="10" t="s">
        <x:v>3507</x:v>
      </x:c>
      <x:c r="D82" s="11">
        <x:f>CONCATENATE(HYPERLINK("CALLTO:%2B356%202146%205156", "+356 2146 5156"))</x:f>
      </x:c>
      <x:c r="E82" s="10" t="s">
        <x:v>3601</x:v>
      </x:c>
      <x:c r="F82" s="10" t="s">
        <x:v>5376</x:v>
      </x:c>
    </x:row>
    <x:row r="83" spans="1:8" s="3" customFormat="1">
      <x:c r="A83" s="3" t="s">
        <x:v>3340</x:v>
      </x:c>
      <x:c r="B83" s="3" t="s">
        <x:v>3421</x:v>
      </x:c>
      <x:c r="C83" s="6" t="s">
        <x:v>1071</x:v>
      </x:c>
      <x:c r="D83" s="7">
        <x:f>CONCATENATE(HYPERLINK("CALLTO:%2B356%202180%208802", "+356 2180 8802"))</x:f>
      </x:c>
      <x:c r="E83" s="6" t="s">
        <x:v>3602</x:v>
      </x:c>
      <x:c r="F83" s="6" t="s">
        <x:v>4828</x:v>
      </x:c>
    </x:row>
    <x:row r="84" spans="1:8" s="1" customFormat="1">
      <x:c r="A84" s="1" t="s">
        <x:v>3340</x:v>
      </x:c>
      <x:c r="B84" s="1" t="s">
        <x:v>3422</x:v>
      </x:c>
      <x:c r="C84" s="8" t="s">
        <x:v>3508</x:v>
      </x:c>
      <x:c r="D84" s="9">
        <x:f>CONCATENATE(HYPERLINK("CALLTO:%2B356%202182%202143", "+356 2182 2143"))</x:f>
      </x:c>
      <x:c r="E84" s="8" t="s">
        <x:v>3603</x:v>
      </x:c>
      <x:c r="F84" s="8" t="s">
        <x:v>5377</x:v>
      </x:c>
    </x:row>
    <x:row r="85" spans="1:8" s="4" customFormat="1">
      <x:c r="A85" s="4" t="s">
        <x:v>3340</x:v>
      </x:c>
      <x:c r="B85" s="4" t="s">
        <x:v>3423</x:v>
      </x:c>
      <x:c r="C85" s="4" t="s">
        <x:v>144</x:v>
      </x:c>
      <x:c r="D85" s="11">
        <x:f>CONCATENATE(HYPERLINK("CALLTO:%2B356%209984%207115", "+356 9984 7115"))</x:f>
      </x:c>
      <x:c r="E85" s="10" t="s">
        <x:v>3604</x:v>
      </x:c>
      <x:c r="F85" s="4" t="s">
        <x:v>144</x:v>
      </x:c>
    </x:row>
    <x:row r="86" spans="1:8" s="3" customFormat="1">
      <x:c r="A86" s="3" t="s">
        <x:v>3340</x:v>
      </x:c>
      <x:c r="B86" s="3" t="s">
        <x:v>3424</x:v>
      </x:c>
      <x:c r="C86" s="6" t="s">
        <x:v>3509</x:v>
      </x:c>
      <x:c r="D86" s="7">
        <x:f>CONCATENATE(HYPERLINK("CALLTO:%2B356%209945%200440", "+356 9945 0440"))</x:f>
      </x:c>
      <x:c r="E86" s="6" t="s">
        <x:v>3605</x:v>
      </x:c>
      <x:c r="F86" s="6" t="s">
        <x:v>5378</x:v>
      </x:c>
    </x:row>
    <x:row r="87" spans="1:8" s="1" customFormat="1">
      <x:c r="A87" s="1" t="s">
        <x:v>3340</x:v>
      </x:c>
      <x:c r="B87" s="1" t="s">
        <x:v>3425</x:v>
      </x:c>
      <x:c r="C87" s="8" t="s">
        <x:v>3510</x:v>
      </x:c>
      <x:c r="D87" s="9">
        <x:f>CONCATENATE(HYPERLINK("CALLTO:%2B356%202155%204058", "+356 2155 4058"))</x:f>
      </x:c>
      <x:c r="E87" s="8" t="s">
        <x:v>3606</x:v>
      </x:c>
      <x:c r="F87" s="8" t="s">
        <x:v>5379</x:v>
      </x:c>
    </x:row>
    <x:row r="88" spans="1:8" s="4" customFormat="1">
      <x:c r="A88" s="4" t="s">
        <x:v>3341</x:v>
      </x:c>
      <x:c r="B88" s="4" t="s">
        <x:v>3342</x:v>
      </x:c>
      <x:c r="C88" s="4" t="s">
        <x:v>3433</x:v>
      </x:c>
      <x:c r="D88" s="11">
        <x:f>CONCATENATE(HYPERLINK("CALLTO:%2B356%202137%204563", "+356 2137 4563"))</x:f>
      </x:c>
      <x:c r="E88" s="10" t="s">
        <x:v>3523</x:v>
      </x:c>
      <x:c r="F88" s="10" t="s">
        <x:v>740</x:v>
      </x:c>
    </x:row>
    <x:row r="89" spans="1:8" s="3" customFormat="1">
      <x:c r="A89" s="3" t="s">
        <x:v>3341</x:v>
      </x:c>
      <x:c r="B89" s="3" t="s">
        <x:v>3345</x:v>
      </x:c>
      <x:c r="C89" s="6" t="s">
        <x:v>3436</x:v>
      </x:c>
      <x:c r="D89" s="7">
        <x:f>CONCATENATE(HYPERLINK("CALLTO:%2B356%202141%209787", "+356 2141 9787"))</x:f>
      </x:c>
      <x:c r="E89" s="6" t="s">
        <x:v>3526</x:v>
      </x:c>
      <x:c r="F89" s="6" t="s">
        <x:v>4600</x:v>
      </x:c>
    </x:row>
    <x:row r="90" spans="1:8" s="1" customFormat="1">
      <x:c r="A90" s="1" t="s">
        <x:v>3341</x:v>
      </x:c>
      <x:c r="B90" s="1" t="s">
        <x:v>3346</x:v>
      </x:c>
      <x:c r="C90" s="8" t="s">
        <x:v>3437</x:v>
      </x:c>
      <x:c r="D90" s="9">
        <x:f>CONCATENATE(HYPERLINK("CALLTO:%2B356%202134%204620", "+356 2134 4620"))</x:f>
      </x:c>
      <x:c r="E90" s="8" t="s">
        <x:v>3527</x:v>
      </x:c>
      <x:c r="F90" s="8" t="s">
        <x:v>5325</x:v>
      </x:c>
    </x:row>
    <x:row r="91" spans="1:8" s="4" customFormat="1">
      <x:c r="A91" s="4" t="s">
        <x:v>3341</x:v>
      </x:c>
      <x:c r="B91" s="4" t="s">
        <x:v>3351</x:v>
      </x:c>
      <x:c r="C91" s="10" t="s">
        <x:v>3442</x:v>
      </x:c>
      <x:c r="D91" s="11">
        <x:f>CONCATENATE(HYPERLINK("CALLTO:%2B356%207996%200410", "+356 7996 0410"))</x:f>
      </x:c>
      <x:c r="E91" s="10" t="s">
        <x:v>3532</x:v>
      </x:c>
      <x:c r="F91" s="10" t="s">
        <x:v>5380</x:v>
      </x:c>
    </x:row>
    <x:row r="92" spans="1:8" s="3" customFormat="1">
      <x:c r="A92" s="3" t="s">
        <x:v>3341</x:v>
      </x:c>
      <x:c r="B92" s="3" t="s">
        <x:v>3347</x:v>
      </x:c>
      <x:c r="C92" s="6" t="s">
        <x:v>3438</x:v>
      </x:c>
      <x:c r="D92" s="7">
        <x:f>CONCATENATE(HYPERLINK("CALLTO:%2B356%202125%207400", "+356 2125 7400"))</x:f>
      </x:c>
      <x:c r="E92" s="6" t="s">
        <x:v>3528</x:v>
      </x:c>
      <x:c r="F92" s="6" t="s">
        <x:v>5326</x:v>
      </x:c>
    </x:row>
    <x:row r="93" spans="1:8" s="1" customFormat="1">
      <x:c r="A93" s="1" t="s">
        <x:v>3341</x:v>
      </x:c>
      <x:c r="B93" s="1" t="s">
        <x:v>3349</x:v>
      </x:c>
      <x:c r="C93" s="8" t="s">
        <x:v>3440</x:v>
      </x:c>
      <x:c r="D93" s="9">
        <x:f>CONCATENATE(HYPERLINK("CALLTO:%2B356%202182%204287", "+356 2182 4287"))</x:f>
      </x:c>
      <x:c r="E93" s="8" t="s">
        <x:v>3530</x:v>
      </x:c>
      <x:c r="F93" s="8" t="s">
        <x:v>5328</x:v>
      </x:c>
    </x:row>
    <x:row r="94" spans="1:8" s="4" customFormat="1">
      <x:c r="A94" s="4" t="s">
        <x:v>3341</x:v>
      </x:c>
      <x:c r="B94" s="4" t="s">
        <x:v>3350</x:v>
      </x:c>
      <x:c r="C94" s="10" t="s">
        <x:v>3441</x:v>
      </x:c>
      <x:c r="D94" s="11">
        <x:f>CONCATENATE(HYPERLINK("CALLTO:%2B356%202155%201166", "+356 2155 1166"))</x:f>
      </x:c>
      <x:c r="E94" s="10" t="s">
        <x:v>3531</x:v>
      </x:c>
      <x:c r="F94" s="10" t="s">
        <x:v>5329</x:v>
      </x:c>
    </x:row>
    <x:row r="95" spans="1:8" s="3" customFormat="1">
      <x:c r="A95" s="3" t="s">
        <x:v>3341</x:v>
      </x:c>
      <x:c r="B95" s="3" t="s">
        <x:v>3356</x:v>
      </x:c>
      <x:c r="C95" s="6" t="s">
        <x:v>3447</x:v>
      </x:c>
      <x:c r="D95" s="7">
        <x:f>CONCATENATE(HYPERLINK("CALLTO:%2B356%209946%209316", "+356 9946 9316"))</x:f>
      </x:c>
      <x:c r="E95" s="6" t="s">
        <x:v>3537</x:v>
      </x:c>
      <x:c r="F95" s="6" t="s">
        <x:v>3624</x:v>
      </x:c>
    </x:row>
    <x:row r="96" spans="1:8" s="1" customFormat="1">
      <x:c r="A96" s="1" t="s">
        <x:v>3341</x:v>
      </x:c>
      <x:c r="B96" s="1" t="s">
        <x:v>3426</x:v>
      </x:c>
      <x:c r="C96" s="8" t="s">
        <x:v>3511</x:v>
      </x:c>
      <x:c r="D96" s="9">
        <x:f>CONCATENATE(HYPERLINK("CALLTO:%2B356%209982%202867", "+356 9982 2867"))</x:f>
      </x:c>
      <x:c r="E96" s="8" t="s">
        <x:v>3607</x:v>
      </x:c>
      <x:c r="F96" s="8" t="s">
        <x:v>3625</x:v>
      </x:c>
    </x:row>
    <x:row r="97" spans="1:8" s="4" customFormat="1">
      <x:c r="A97" s="4" t="s">
        <x:v>3341</x:v>
      </x:c>
      <x:c r="B97" s="4" t="s">
        <x:v>3352</x:v>
      </x:c>
      <x:c r="C97" s="10" t="s">
        <x:v>3443</x:v>
      </x:c>
      <x:c r="D97" s="11">
        <x:f>CONCATENATE(HYPERLINK("CALLTO:%2B356%209947%206549", "+356 9947 6549"))</x:f>
      </x:c>
      <x:c r="E97" s="10" t="s">
        <x:v>3533</x:v>
      </x:c>
      <x:c r="F97" s="4" t="s">
        <x:v>144</x:v>
      </x:c>
    </x:row>
    <x:row r="98" spans="1:8" s="3" customFormat="1">
      <x:c r="A98" s="3" t="s">
        <x:v>3341</x:v>
      </x:c>
      <x:c r="B98" s="3" t="s">
        <x:v>3353</x:v>
      </x:c>
      <x:c r="C98" s="6" t="s">
        <x:v>3444</x:v>
      </x:c>
      <x:c r="D98" s="7">
        <x:f>CONCATENATE(HYPERLINK("CALLTO:%2B356%202148%203389", "+356 2148 3389"), " / ", HYPERLINK("CALLTO:%2B356%209945%204376", "+356 9945 4376"), " / ", HYPERLINK("CALLTO:%2B356%209988%205657", "+356 9988 5657"))</x:f>
      </x:c>
      <x:c r="E98" s="6" t="s">
        <x:v>3534</x:v>
      </x:c>
      <x:c r="F98" s="6" t="s">
        <x:v>5330</x:v>
      </x:c>
    </x:row>
    <x:row r="99" spans="1:8" s="1" customFormat="1">
      <x:c r="A99" s="1" t="s">
        <x:v>3341</x:v>
      </x:c>
      <x:c r="B99" s="1" t="s">
        <x:v>3354</x:v>
      </x:c>
      <x:c r="C99" s="8" t="s">
        <x:v>3445</x:v>
      </x:c>
      <x:c r="D99" s="9">
        <x:f>CONCATENATE(HYPERLINK("CALLTO:%2B356%209942%202429", "+356 9942 2429"))</x:f>
      </x:c>
      <x:c r="E99" s="8" t="s">
        <x:v>3535</x:v>
      </x:c>
      <x:c r="F99" s="8" t="s">
        <x:v>5331</x:v>
      </x:c>
    </x:row>
    <x:row r="100" spans="1:8" s="4" customFormat="1">
      <x:c r="A100" s="4" t="s">
        <x:v>3341</x:v>
      </x:c>
      <x:c r="B100" s="4" t="s">
        <x:v>3355</x:v>
      </x:c>
      <x:c r="C100" s="10" t="s">
        <x:v>3446</x:v>
      </x:c>
      <x:c r="D100" s="11">
        <x:f>CONCATENATE(HYPERLINK("CALLTO:%2B356%209947%203598", "+356 9947 3598"))</x:f>
      </x:c>
      <x:c r="E100" s="10" t="s">
        <x:v>3536</x:v>
      </x:c>
      <x:c r="F100" s="10" t="s">
        <x:v>3626</x:v>
      </x:c>
    </x:row>
    <x:row r="101" spans="1:8" s="3" customFormat="1">
      <x:c r="A101" s="3" t="s">
        <x:v>3341</x:v>
      </x:c>
      <x:c r="B101" s="3" t="s">
        <x:v>3358</x:v>
      </x:c>
      <x:c r="C101" s="6" t="s">
        <x:v>703</x:v>
      </x:c>
      <x:c r="D101" s="7">
        <x:f>CONCATENATE(HYPERLINK("CALLTO:%2B356%202146%204761", "+356 2146 4761"))</x:f>
      </x:c>
      <x:c r="E101" s="6" t="s">
        <x:v>3539</x:v>
      </x:c>
      <x:c r="F101" s="6" t="s">
        <x:v>747</x:v>
      </x:c>
    </x:row>
    <x:row r="102" spans="1:8" s="1" customFormat="1">
      <x:c r="A102" s="1" t="s">
        <x:v>3341</x:v>
      </x:c>
      <x:c r="B102" s="1" t="s">
        <x:v>3357</x:v>
      </x:c>
      <x:c r="C102" s="8" t="s">
        <x:v>3448</x:v>
      </x:c>
      <x:c r="D102" s="9">
        <x:f>CONCATENATE(HYPERLINK("CALLTO:%2B356%209909%200706", "+356 9909 0706"))</x:f>
      </x:c>
      <x:c r="E102" s="8" t="s">
        <x:v>3538</x:v>
      </x:c>
      <x:c r="F102" s="8" t="s">
        <x:v>5334</x:v>
      </x:c>
    </x:row>
    <x:row r="103" spans="1:8" s="4" customFormat="1">
      <x:c r="A103" s="4" t="s">
        <x:v>3341</x:v>
      </x:c>
      <x:c r="B103" s="4" t="s">
        <x:v>3359</x:v>
      </x:c>
      <x:c r="C103" s="10" t="s">
        <x:v>3449</x:v>
      </x:c>
      <x:c r="D103" s="11">
        <x:f>CONCATENATE(HYPERLINK("CALLTO:%2B356%209944%203727", "+356 9944 3727"), " / ", HYPERLINK("CALLTO:%2B356%209944%203727", "+356 9944 3727"))</x:f>
      </x:c>
      <x:c r="E103" s="10" t="s">
        <x:v>3540</x:v>
      </x:c>
      <x:c r="F103" s="10" t="s">
        <x:v>5335</x:v>
      </x:c>
    </x:row>
    <x:row r="104" spans="1:8" s="3" customFormat="1">
      <x:c r="A104" s="3" t="s">
        <x:v>3341</x:v>
      </x:c>
      <x:c r="B104" s="3" t="s">
        <x:v>3360</x:v>
      </x:c>
      <x:c r="C104" s="6" t="s">
        <x:v>3450</x:v>
      </x:c>
      <x:c r="D104" s="7">
        <x:f>CONCATENATE(HYPERLINK("CALLTO:%2B356%209949%208678", "+356 9949 8678"))</x:f>
      </x:c>
      <x:c r="E104" s="6" t="s">
        <x:v>3541</x:v>
      </x:c>
      <x:c r="F104" s="6" t="s">
        <x:v>5336</x:v>
      </x:c>
    </x:row>
    <x:row r="105" spans="1:8" s="1" customFormat="1">
      <x:c r="A105" s="1" t="s">
        <x:v>3341</x:v>
      </x:c>
      <x:c r="B105" s="1" t="s">
        <x:v>3362</x:v>
      </x:c>
      <x:c r="C105" s="8" t="s">
        <x:v>3452</x:v>
      </x:c>
      <x:c r="D105" s="9">
        <x:f>CONCATENATE(HYPERLINK("CALLTO:%2B356%209940%203980", "+356 9940 3980"))</x:f>
      </x:c>
      <x:c r="E105" s="8" t="s">
        <x:v>3543</x:v>
      </x:c>
      <x:c r="F105" s="8" t="s">
        <x:v>3618</x:v>
      </x:c>
    </x:row>
    <x:row r="106" spans="1:8" s="4" customFormat="1">
      <x:c r="A106" s="4" t="s">
        <x:v>3341</x:v>
      </x:c>
      <x:c r="B106" s="4" t="s">
        <x:v>3363</x:v>
      </x:c>
      <x:c r="C106" s="10" t="s">
        <x:v>3453</x:v>
      </x:c>
      <x:c r="D106" s="11">
        <x:f>CONCATENATE(HYPERLINK("CALLTO:%2B356%207922%207976", "+356 7922 7976"))</x:f>
      </x:c>
      <x:c r="E106" s="10" t="s">
        <x:v>3544</x:v>
      </x:c>
      <x:c r="F106" s="10" t="s">
        <x:v>5338</x:v>
      </x:c>
    </x:row>
    <x:row r="107" spans="1:8" s="3" customFormat="1">
      <x:c r="A107" s="3" t="s">
        <x:v>3341</x:v>
      </x:c>
      <x:c r="B107" s="3" t="s">
        <x:v>3364</x:v>
      </x:c>
      <x:c r="C107" s="6" t="s">
        <x:v>3454</x:v>
      </x:c>
      <x:c r="D107" s="7">
        <x:f>CONCATENATE(HYPERLINK("CALLTO:%2B356%209942%205030", "+356 9942 5030"))</x:f>
      </x:c>
      <x:c r="E107" s="6" t="s">
        <x:v>3545</x:v>
      </x:c>
      <x:c r="F107" s="3" t="s">
        <x:v>144</x:v>
      </x:c>
    </x:row>
    <x:row r="108" spans="1:8" s="1" customFormat="1">
      <x:c r="A108" s="1" t="s">
        <x:v>3341</x:v>
      </x:c>
      <x:c r="B108" s="1" t="s">
        <x:v>3365</x:v>
      </x:c>
      <x:c r="C108" s="8" t="s">
        <x:v>3455</x:v>
      </x:c>
      <x:c r="D108" s="9">
        <x:f>CONCATENATE(HYPERLINK("CALLTO:%2B356%207944%209303", "+356 7944 9303"))</x:f>
      </x:c>
      <x:c r="E108" s="8" t="s">
        <x:v>3546</x:v>
      </x:c>
      <x:c r="F108" s="8" t="s">
        <x:v>5339</x:v>
      </x:c>
    </x:row>
    <x:row r="109" spans="1:8" s="4" customFormat="1">
      <x:c r="A109" s="4" t="s">
        <x:v>3341</x:v>
      </x:c>
      <x:c r="B109" s="4" t="s">
        <x:v>3427</x:v>
      </x:c>
      <x:c r="C109" s="10" t="s">
        <x:v>3512</x:v>
      </x:c>
      <x:c r="D109" s="11">
        <x:f>CONCATENATE(HYPERLINK("CALLTO:%2B356%202713%203292", "+356 2713 3292"))</x:f>
      </x:c>
      <x:c r="E109" s="10" t="s">
        <x:v>3608</x:v>
      </x:c>
      <x:c r="F109" s="10" t="s">
        <x:v>3627</x:v>
      </x:c>
    </x:row>
    <x:row r="110" spans="1:8" s="3" customFormat="1">
      <x:c r="A110" s="3" t="s">
        <x:v>3341</x:v>
      </x:c>
      <x:c r="B110" s="3" t="s">
        <x:v>3366</x:v>
      </x:c>
      <x:c r="C110" s="6" t="s">
        <x:v>3456</x:v>
      </x:c>
      <x:c r="D110" s="7">
        <x:f>CONCATENATE(HYPERLINK("CALLTO:%2B356%207996%202212", "+356 7996 2212"))</x:f>
      </x:c>
      <x:c r="E110" s="6" t="s">
        <x:v>3547</x:v>
      </x:c>
      <x:c r="F110" s="3" t="s">
        <x:v>144</x:v>
      </x:c>
    </x:row>
    <x:row r="111" spans="1:8" s="1" customFormat="1">
      <x:c r="A111" s="1" t="s">
        <x:v>3341</x:v>
      </x:c>
      <x:c r="B111" s="1" t="s">
        <x:v>3367</x:v>
      </x:c>
      <x:c r="C111" s="8" t="s">
        <x:v>3457</x:v>
      </x:c>
      <x:c r="D111" s="9">
        <x:f>CONCATENATE(HYPERLINK("CALLTO:%2B356%209949%201398", "+356 9949 1398"))</x:f>
      </x:c>
      <x:c r="E111" s="8" t="s">
        <x:v>3548</x:v>
      </x:c>
      <x:c r="F111" s="1" t="s">
        <x:v>144</x:v>
      </x:c>
    </x:row>
    <x:row r="112" spans="1:8" s="4" customFormat="1">
      <x:c r="A112" s="4" t="s">
        <x:v>3341</x:v>
      </x:c>
      <x:c r="B112" s="4" t="s">
        <x:v>3368</x:v>
      </x:c>
      <x:c r="C112" s="10" t="s">
        <x:v>3458</x:v>
      </x:c>
      <x:c r="D112" s="11">
        <x:f>CONCATENATE(HYPERLINK("CALLTO:%2B356%207923%206634", "+356 7923 6634"))</x:f>
      </x:c>
      <x:c r="E112" s="10" t="s">
        <x:v>3549</x:v>
      </x:c>
      <x:c r="F112" s="4" t="s">
        <x:v>144</x:v>
      </x:c>
    </x:row>
    <x:row r="113" spans="1:8" s="3" customFormat="1">
      <x:c r="A113" s="3" t="s">
        <x:v>3341</x:v>
      </x:c>
      <x:c r="B113" s="3" t="s">
        <x:v>3369</x:v>
      </x:c>
      <x:c r="C113" s="6" t="s">
        <x:v>3459</x:v>
      </x:c>
      <x:c r="D113" s="7">
        <x:f>CONCATENATE(HYPERLINK("CALLTO:%2B356%202145%206570", "+356 2145 6570"))</x:f>
      </x:c>
      <x:c r="E113" s="6" t="s">
        <x:v>3550</x:v>
      </x:c>
      <x:c r="F113" s="6" t="s">
        <x:v>5340</x:v>
      </x:c>
    </x:row>
    <x:row r="114" spans="1:8" s="1" customFormat="1">
      <x:c r="A114" s="1" t="s">
        <x:v>3341</x:v>
      </x:c>
      <x:c r="B114" s="1" t="s">
        <x:v>3428</x:v>
      </x:c>
      <x:c r="C114" s="8" t="s">
        <x:v>3513</x:v>
      </x:c>
      <x:c r="D114" s="9">
        <x:f>CONCATENATE(HYPERLINK("CALLTO:%2B356%209942%202382", "+356 9942 2382"))</x:f>
      </x:c>
      <x:c r="E114" s="8" t="s">
        <x:v>3609</x:v>
      </x:c>
      <x:c r="F114" s="8" t="s">
        <x:v>5381</x:v>
      </x:c>
    </x:row>
    <x:row r="115" spans="1:8" s="4" customFormat="1">
      <x:c r="A115" s="4" t="s">
        <x:v>3341</x:v>
      </x:c>
      <x:c r="B115" s="4" t="s">
        <x:v>3370</x:v>
      </x:c>
      <x:c r="C115" s="10" t="s">
        <x:v>3460</x:v>
      </x:c>
      <x:c r="D115" s="11">
        <x:f>CONCATENATE(HYPERLINK("CALLTO:%2B356%209982%208812", "+356 9982 8812"))</x:f>
      </x:c>
      <x:c r="E115" s="10" t="s">
        <x:v>3551</x:v>
      </x:c>
      <x:c r="F115" s="4" t="s">
        <x:v>144</x:v>
      </x:c>
    </x:row>
    <x:row r="116" spans="1:8" s="3" customFormat="1">
      <x:c r="A116" s="3" t="s">
        <x:v>3341</x:v>
      </x:c>
      <x:c r="B116" s="3" t="s">
        <x:v>3371</x:v>
      </x:c>
      <x:c r="C116" s="6" t="s">
        <x:v>3461</x:v>
      </x:c>
      <x:c r="D116" s="7">
        <x:f>CONCATENATE(HYPERLINK("CALLTO:%2B356%207967%205584", "+356 7967 5584"))</x:f>
      </x:c>
      <x:c r="E116" s="6" t="s">
        <x:v>3552</x:v>
      </x:c>
      <x:c r="F116" s="3" t="s">
        <x:v>144</x:v>
      </x:c>
    </x:row>
    <x:row r="117" spans="1:8" s="1" customFormat="1">
      <x:c r="A117" s="1" t="s">
        <x:v>3341</x:v>
      </x:c>
      <x:c r="B117" s="1" t="s">
        <x:v>3372</x:v>
      </x:c>
      <x:c r="C117" s="8" t="s">
        <x:v>3462</x:v>
      </x:c>
      <x:c r="D117" s="9">
        <x:f>CONCATENATE(HYPERLINK("CALLTO:%2B356%207925%206551", "+356 7925 6551"))</x:f>
      </x:c>
      <x:c r="E117" s="8" t="s">
        <x:v>3553</x:v>
      </x:c>
      <x:c r="F117" s="8" t="s">
        <x:v>5341</x:v>
      </x:c>
    </x:row>
    <x:row r="118" spans="1:8" s="4" customFormat="1">
      <x:c r="A118" s="4" t="s">
        <x:v>3341</x:v>
      </x:c>
      <x:c r="B118" s="4" t="s">
        <x:v>3373</x:v>
      </x:c>
      <x:c r="C118" s="10" t="s">
        <x:v>3463</x:v>
      </x:c>
      <x:c r="D118" s="11">
        <x:f>CONCATENATE(HYPERLINK("CALLTO:%2B356%202124%201922", "+356 2124 1922"))</x:f>
      </x:c>
      <x:c r="E118" s="10" t="s">
        <x:v>3554</x:v>
      </x:c>
      <x:c r="F118" s="10" t="s">
        <x:v>5342</x:v>
      </x:c>
    </x:row>
    <x:row r="119" spans="1:8" s="3" customFormat="1">
      <x:c r="A119" s="3" t="s">
        <x:v>3341</x:v>
      </x:c>
      <x:c r="B119" s="3" t="s">
        <x:v>3374</x:v>
      </x:c>
      <x:c r="C119" s="6" t="s">
        <x:v>3464</x:v>
      </x:c>
      <x:c r="D119" s="7">
        <x:f>CONCATENATE(HYPERLINK("CALLTO:%2B356%202149%201643", "+356 2149 1643"))</x:f>
      </x:c>
      <x:c r="E119" s="6" t="s">
        <x:v>3555</x:v>
      </x:c>
      <x:c r="F119" s="6" t="s">
        <x:v>5343</x:v>
      </x:c>
    </x:row>
    <x:row r="120" spans="1:8" s="1" customFormat="1">
      <x:c r="A120" s="1" t="s">
        <x:v>3341</x:v>
      </x:c>
      <x:c r="B120" s="1" t="s">
        <x:v>3375</x:v>
      </x:c>
      <x:c r="C120" s="8" t="s">
        <x:v>3465</x:v>
      </x:c>
      <x:c r="D120" s="9">
        <x:f>CONCATENATE(HYPERLINK("CALLTO:%2B356%209986%202647", "+356 9986 2647"))</x:f>
      </x:c>
      <x:c r="E120" s="8" t="s">
        <x:v>3556</x:v>
      </x:c>
      <x:c r="F120" s="8" t="s">
        <x:v>5344</x:v>
      </x:c>
    </x:row>
    <x:row r="121" spans="1:8" s="4" customFormat="1">
      <x:c r="A121" s="4" t="s">
        <x:v>3341</x:v>
      </x:c>
      <x:c r="B121" s="4" t="s">
        <x:v>3376</x:v>
      </x:c>
      <x:c r="C121" s="10" t="s">
        <x:v>3514</x:v>
      </x:c>
      <x:c r="D121" s="11">
        <x:f>CONCATENATE(HYPERLINK("CALLTO:%2B356%209927%207571", "+356 9927 7571"))</x:f>
      </x:c>
      <x:c r="E121" s="10" t="s">
        <x:v>3557</x:v>
      </x:c>
      <x:c r="F121" s="10" t="s">
        <x:v>5345</x:v>
      </x:c>
    </x:row>
    <x:row r="122" spans="1:8" s="3" customFormat="1">
      <x:c r="A122" s="3" t="s">
        <x:v>3341</x:v>
      </x:c>
      <x:c r="B122" s="3" t="s">
        <x:v>3377</x:v>
      </x:c>
      <x:c r="C122" s="6" t="s">
        <x:v>3467</x:v>
      </x:c>
      <x:c r="D122" s="7">
        <x:f>CONCATENATE(HYPERLINK("CALLTO:%2B356%202149%202432", "+356 2149 2432"))</x:f>
      </x:c>
      <x:c r="E122" s="6" t="s">
        <x:v>3558</x:v>
      </x:c>
      <x:c r="F122" s="6" t="s">
        <x:v>5346</x:v>
      </x:c>
    </x:row>
    <x:row r="123" spans="1:8" s="1" customFormat="1">
      <x:c r="A123" s="1" t="s">
        <x:v>3341</x:v>
      </x:c>
      <x:c r="B123" s="1" t="s">
        <x:v>3378</x:v>
      </x:c>
      <x:c r="C123" s="8" t="s">
        <x:v>3468</x:v>
      </x:c>
      <x:c r="D123" s="9">
        <x:f>CONCATENATE(HYPERLINK("CALLTO:%2B356%207905%208588", "+356 7905 8588"))</x:f>
      </x:c>
      <x:c r="E123" s="8" t="s">
        <x:v>3559</x:v>
      </x:c>
      <x:c r="F123" s="8" t="s">
        <x:v>5347</x:v>
      </x:c>
    </x:row>
    <x:row r="124" spans="1:8" s="4" customFormat="1">
      <x:c r="A124" s="4" t="s">
        <x:v>3341</x:v>
      </x:c>
      <x:c r="B124" s="4" t="s">
        <x:v>3379</x:v>
      </x:c>
      <x:c r="C124" s="10" t="s">
        <x:v>3470</x:v>
      </x:c>
      <x:c r="D124" s="11">
        <x:f>CONCATENATE(HYPERLINK("CALLTO:%2B356%209920%207248", "+356 9920 7248"))</x:f>
      </x:c>
      <x:c r="E124" s="10" t="s">
        <x:v>1762</x:v>
      </x:c>
      <x:c r="F124" s="10" t="s">
        <x:v>5348</x:v>
      </x:c>
    </x:row>
    <x:row r="125" spans="1:8" s="3" customFormat="1">
      <x:c r="A125" s="3" t="s">
        <x:v>3341</x:v>
      </x:c>
      <x:c r="B125" s="3" t="s">
        <x:v>3380</x:v>
      </x:c>
      <x:c r="C125" s="6" t="s">
        <x:v>3469</x:v>
      </x:c>
      <x:c r="D125" s="7">
        <x:f>CONCATENATE(HYPERLINK("CALLTO:%2B356%209949%204304", "+356 9949 4304"))</x:f>
      </x:c>
      <x:c r="E125" s="6" t="s">
        <x:v>3560</x:v>
      </x:c>
      <x:c r="F125" s="6" t="s">
        <x:v>5349</x:v>
      </x:c>
    </x:row>
    <x:row r="126" spans="1:8" s="1" customFormat="1">
      <x:c r="A126" s="1" t="s">
        <x:v>3341</x:v>
      </x:c>
      <x:c r="B126" s="1" t="s">
        <x:v>3381</x:v>
      </x:c>
      <x:c r="C126" s="8" t="s">
        <x:v>3471</x:v>
      </x:c>
      <x:c r="D126" s="9">
        <x:f>CONCATENATE(HYPERLINK("CALLTO:%2B356%207732%200648", "+356 7732 0648"))</x:f>
      </x:c>
      <x:c r="E126" s="8" t="s">
        <x:v>3561</x:v>
      </x:c>
      <x:c r="F126" s="8" t="s">
        <x:v>5350</x:v>
      </x:c>
    </x:row>
    <x:row r="127" spans="1:8" s="4" customFormat="1">
      <x:c r="A127" s="4" t="s">
        <x:v>3341</x:v>
      </x:c>
      <x:c r="B127" s="4" t="s">
        <x:v>3429</x:v>
      </x:c>
      <x:c r="C127" s="10" t="s">
        <x:v>3515</x:v>
      </x:c>
      <x:c r="D127" s="11">
        <x:f>CONCATENATE(HYPERLINK("CALLTO:%2B356%209986%207777", "+356 9986 7777"))</x:f>
      </x:c>
      <x:c r="E127" s="10" t="s">
        <x:v>3610</x:v>
      </x:c>
      <x:c r="F127" s="10" t="s">
        <x:v>5382</x:v>
      </x:c>
    </x:row>
    <x:row r="128" spans="1:8" s="3" customFormat="1">
      <x:c r="A128" s="3" t="s">
        <x:v>3341</x:v>
      </x:c>
      <x:c r="B128" s="3" t="s">
        <x:v>3382</x:v>
      </x:c>
      <x:c r="C128" s="6" t="s">
        <x:v>3472</x:v>
      </x:c>
      <x:c r="D128" s="7">
        <x:f>CONCATENATE(HYPERLINK("CALLTO:%2B356%209942%204050", "+356 9942 4050"))</x:f>
      </x:c>
      <x:c r="E128" s="6" t="s">
        <x:v>3562</x:v>
      </x:c>
      <x:c r="F128" s="6" t="s">
        <x:v>5351</x:v>
      </x:c>
    </x:row>
    <x:row r="129" spans="1:8" s="1" customFormat="1">
      <x:c r="A129" s="1" t="s">
        <x:v>3341</x:v>
      </x:c>
      <x:c r="B129" s="1" t="s">
        <x:v>3383</x:v>
      </x:c>
      <x:c r="C129" s="8" t="s">
        <x:v>3473</x:v>
      </x:c>
      <x:c r="D129" s="9">
        <x:f>CONCATENATE(HYPERLINK("CALLTO:%2B356%207926%202163", "+356 7926 2163"))</x:f>
      </x:c>
      <x:c r="E129" s="8" t="s">
        <x:v>3563</x:v>
      </x:c>
      <x:c r="F129" s="8" t="s">
        <x:v>5352</x:v>
      </x:c>
    </x:row>
    <x:row r="130" spans="1:8" s="4" customFormat="1">
      <x:c r="A130" s="4" t="s">
        <x:v>3341</x:v>
      </x:c>
      <x:c r="B130" s="4" t="s">
        <x:v>3386</x:v>
      </x:c>
      <x:c r="C130" s="10" t="s">
        <x:v>3476</x:v>
      </x:c>
      <x:c r="D130" s="11">
        <x:f>CONCATENATE(HYPERLINK("CALLTO:%2B356%209982%205244", "+356 9982 5244"))</x:f>
      </x:c>
      <x:c r="E130" s="10" t="s">
        <x:v>3566</x:v>
      </x:c>
      <x:c r="F130" s="4" t="s">
        <x:v>144</x:v>
      </x:c>
    </x:row>
    <x:row r="131" spans="1:8" s="3" customFormat="1">
      <x:c r="A131" s="3" t="s">
        <x:v>3341</x:v>
      </x:c>
      <x:c r="B131" s="3" t="s">
        <x:v>3430</x:v>
      </x:c>
      <x:c r="C131" s="6" t="s">
        <x:v>3516</x:v>
      </x:c>
      <x:c r="D131" s="7">
        <x:f>CONCATENATE(HYPERLINK("CALLTO:%2B356%202762%206262", "+356 2762 6262"))</x:f>
      </x:c>
      <x:c r="E131" s="6" t="s">
        <x:v>3611</x:v>
      </x:c>
      <x:c r="F131" s="6" t="s">
        <x:v>5383</x:v>
      </x:c>
    </x:row>
    <x:row r="132" spans="1:8" s="1" customFormat="1">
      <x:c r="A132" s="1" t="s">
        <x:v>3341</x:v>
      </x:c>
      <x:c r="B132" s="1" t="s">
        <x:v>3387</x:v>
      </x:c>
      <x:c r="C132" s="8" t="s">
        <x:v>3477</x:v>
      </x:c>
      <x:c r="D132" s="9">
        <x:f>CONCATENATE(HYPERLINK("CALLTO:%2B356%209924%202312", "+356 9924 2312"))</x:f>
      </x:c>
      <x:c r="E132" s="8" t="s">
        <x:v>3567</x:v>
      </x:c>
      <x:c r="F132" s="8" t="s">
        <x:v>5355</x:v>
      </x:c>
    </x:row>
    <x:row r="133" spans="1:8" s="4" customFormat="1">
      <x:c r="A133" s="4" t="s">
        <x:v>3341</x:v>
      </x:c>
      <x:c r="B133" s="4" t="s">
        <x:v>677</x:v>
      </x:c>
      <x:c r="C133" s="10" t="s">
        <x:v>705</x:v>
      </x:c>
      <x:c r="D133" s="11">
        <x:f>CONCATENATE(HYPERLINK("CALLTO:%2B356%202145%202831", "+356 2145 2831"))</x:f>
      </x:c>
      <x:c r="E133" s="10" t="s">
        <x:v>3568</x:v>
      </x:c>
      <x:c r="F133" s="10" t="s">
        <x:v>4603</x:v>
      </x:c>
    </x:row>
    <x:row r="134" spans="1:8" s="3" customFormat="1">
      <x:c r="A134" s="3" t="s">
        <x:v>3341</x:v>
      </x:c>
      <x:c r="B134" s="3" t="s">
        <x:v>3388</x:v>
      </x:c>
      <x:c r="C134" s="6" t="s">
        <x:v>2554</x:v>
      </x:c>
      <x:c r="D134" s="7">
        <x:f>CONCATENATE(HYPERLINK("CALLTO:%2B356%202138%202595", "+356 2138 2595"))</x:f>
      </x:c>
      <x:c r="E134" s="6" t="s">
        <x:v>3569</x:v>
      </x:c>
      <x:c r="F134" s="6" t="s">
        <x:v>2559</x:v>
      </x:c>
    </x:row>
    <x:row r="135" spans="1:8" s="1" customFormat="1">
      <x:c r="A135" s="1" t="s">
        <x:v>3341</x:v>
      </x:c>
      <x:c r="B135" s="1" t="s">
        <x:v>3389</x:v>
      </x:c>
      <x:c r="C135" s="8" t="s">
        <x:v>3478</x:v>
      </x:c>
      <x:c r="D135" s="9">
        <x:f>CONCATENATE(HYPERLINK("CALLTO:%2B356%207909%201797", "+356 7909 1797"))</x:f>
      </x:c>
      <x:c r="E135" s="8" t="s">
        <x:v>3570</x:v>
      </x:c>
      <x:c r="F135" s="8" t="s">
        <x:v>5356</x:v>
      </x:c>
    </x:row>
    <x:row r="136" spans="1:8" s="4" customFormat="1">
      <x:c r="A136" s="4" t="s">
        <x:v>3341</x:v>
      </x:c>
      <x:c r="B136" s="4" t="s">
        <x:v>3390</x:v>
      </x:c>
      <x:c r="C136" s="10" t="s">
        <x:v>3479</x:v>
      </x:c>
      <x:c r="D136" s="11">
        <x:f>CONCATENATE(HYPERLINK("CALLTO:%2B356%202146%201078", "+356 2146 1078"))</x:f>
      </x:c>
      <x:c r="E136" s="10" t="s">
        <x:v>3571</x:v>
      </x:c>
      <x:c r="F136" s="10" t="s">
        <x:v>5357</x:v>
      </x:c>
    </x:row>
    <x:row r="137" spans="1:8" s="3" customFormat="1">
      <x:c r="A137" s="3" t="s">
        <x:v>3341</x:v>
      </x:c>
      <x:c r="B137" s="3" t="s">
        <x:v>3391</x:v>
      </x:c>
      <x:c r="C137" s="6" t="s">
        <x:v>3480</x:v>
      </x:c>
      <x:c r="D137" s="7">
        <x:f>CONCATENATE(HYPERLINK("CALLTO:%2B356%209947%202592", "+356 9947 2592"))</x:f>
      </x:c>
      <x:c r="E137" s="6" t="s">
        <x:v>3572</x:v>
      </x:c>
      <x:c r="F137" s="3" t="s">
        <x:v>144</x:v>
      </x:c>
    </x:row>
    <x:row r="138" spans="1:8" s="1" customFormat="1">
      <x:c r="A138" s="1" t="s">
        <x:v>3341</x:v>
      </x:c>
      <x:c r="B138" s="1" t="s">
        <x:v>3393</x:v>
      </x:c>
      <x:c r="C138" s="8" t="s">
        <x:v>3482</x:v>
      </x:c>
      <x:c r="D138" s="9">
        <x:f>CONCATENATE(HYPERLINK("CALLTO:%2B356%207005%20238925", "+356 7005 238925"))</x:f>
      </x:c>
      <x:c r="E138" s="8" t="s">
        <x:v>3574</x:v>
      </x:c>
      <x:c r="F138" s="8" t="s">
        <x:v>5358</x:v>
      </x:c>
    </x:row>
    <x:row r="139" spans="1:8" s="4" customFormat="1">
      <x:c r="A139" s="4" t="s">
        <x:v>3341</x:v>
      </x:c>
      <x:c r="B139" s="4" t="s">
        <x:v>3394</x:v>
      </x:c>
      <x:c r="C139" s="10" t="s">
        <x:v>3483</x:v>
      </x:c>
      <x:c r="D139" s="11">
        <x:f>CONCATENATE(HYPERLINK("CALLTO:%2B356%209947%203343", "+356 9947 3343"))</x:f>
      </x:c>
      <x:c r="E139" s="10" t="s">
        <x:v>3575</x:v>
      </x:c>
      <x:c r="F139" s="4" t="s">
        <x:v>144</x:v>
      </x:c>
    </x:row>
    <x:row r="140" spans="1:8" s="3" customFormat="1">
      <x:c r="A140" s="3" t="s">
        <x:v>3341</x:v>
      </x:c>
      <x:c r="B140" s="3" t="s">
        <x:v>3395</x:v>
      </x:c>
      <x:c r="C140" s="6" t="s">
        <x:v>3484</x:v>
      </x:c>
      <x:c r="D140" s="7">
        <x:f>CONCATENATE(HYPERLINK("CALLTO:%2B356%209993%208509", "+356 9993 8509"))</x:f>
      </x:c>
      <x:c r="E140" s="6" t="s">
        <x:v>3576</x:v>
      </x:c>
      <x:c r="F140" s="6" t="s">
        <x:v>5359</x:v>
      </x:c>
    </x:row>
    <x:row r="141" spans="1:8" s="1" customFormat="1">
      <x:c r="A141" s="1" t="s">
        <x:v>3341</x:v>
      </x:c>
      <x:c r="B141" s="1" t="s">
        <x:v>672</x:v>
      </x:c>
      <x:c r="C141" s="8" t="s">
        <x:v>700</x:v>
      </x:c>
      <x:c r="D141" s="9">
        <x:f>CONCATENATE(HYPERLINK("CALLTO:%2B356%202149%202908", "+356 2149 2908"))</x:f>
      </x:c>
      <x:c r="E141" s="8" t="s">
        <x:v>3577</x:v>
      </x:c>
      <x:c r="F141" s="8" t="s">
        <x:v>744</x:v>
      </x:c>
    </x:row>
    <x:row r="142" spans="1:8" s="4" customFormat="1">
      <x:c r="A142" s="4" t="s">
        <x:v>3341</x:v>
      </x:c>
      <x:c r="B142" s="4" t="s">
        <x:v>3396</x:v>
      </x:c>
      <x:c r="C142" s="10" t="s">
        <x:v>3485</x:v>
      </x:c>
      <x:c r="D142" s="11">
        <x:f>CONCATENATE(HYPERLINK("CALLTO:%2B356%207965%207308", "+356 7965 7308"))</x:f>
      </x:c>
      <x:c r="E142" s="10" t="s">
        <x:v>3578</x:v>
      </x:c>
      <x:c r="F142" s="10" t="s">
        <x:v>5360</x:v>
      </x:c>
    </x:row>
    <x:row r="143" spans="1:8" s="3" customFormat="1">
      <x:c r="A143" s="3" t="s">
        <x:v>3341</x:v>
      </x:c>
      <x:c r="B143" s="3" t="s">
        <x:v>3397</x:v>
      </x:c>
      <x:c r="C143" s="6" t="s">
        <x:v>3486</x:v>
      </x:c>
      <x:c r="D143" s="7">
        <x:f>CONCATENATE(HYPERLINK("CALLTO:%2B356%202122%206320", "+356 2122 6320"))</x:f>
      </x:c>
      <x:c r="E143" s="6" t="s">
        <x:v>3579</x:v>
      </x:c>
      <x:c r="F143" s="6" t="s">
        <x:v>5361</x:v>
      </x:c>
    </x:row>
    <x:row r="144" spans="1:8" s="1" customFormat="1">
      <x:c r="A144" s="1" t="s">
        <x:v>3341</x:v>
      </x:c>
      <x:c r="B144" s="1" t="s">
        <x:v>3398</x:v>
      </x:c>
      <x:c r="C144" s="1" t="s">
        <x:v>3487</x:v>
      </x:c>
      <x:c r="D144" s="9">
        <x:f>CONCATENATE(HYPERLINK("CALLTO:%2B356%207972%207953", "+356 7972 7953"))</x:f>
      </x:c>
      <x:c r="E144" s="8" t="s">
        <x:v>3580</x:v>
      </x:c>
      <x:c r="F144" s="8" t="s">
        <x:v>5362</x:v>
      </x:c>
    </x:row>
    <x:row r="145" spans="1:8" s="4" customFormat="1">
      <x:c r="A145" s="4" t="s">
        <x:v>3341</x:v>
      </x:c>
      <x:c r="B145" s="4" t="s">
        <x:v>3399</x:v>
      </x:c>
      <x:c r="C145" s="10" t="s">
        <x:v>3488</x:v>
      </x:c>
      <x:c r="D145" s="11">
        <x:f>CONCATENATE(HYPERLINK("CALLTO:%2B356%209944%200946", "+356 9944 0946"))</x:f>
      </x:c>
      <x:c r="E145" s="10" t="s">
        <x:v>3581</x:v>
      </x:c>
      <x:c r="F145" s="4" t="s">
        <x:v>144</x:v>
      </x:c>
    </x:row>
    <x:row r="146" spans="1:8" s="3" customFormat="1">
      <x:c r="A146" s="3" t="s">
        <x:v>3341</x:v>
      </x:c>
      <x:c r="B146" s="3" t="s">
        <x:v>3400</x:v>
      </x:c>
      <x:c r="C146" s="6" t="s">
        <x:v>3489</x:v>
      </x:c>
      <x:c r="D146" s="7">
        <x:f>CONCATENATE(HYPERLINK("CALLTO:%2B356%202748%205677", "+356 2748 5677"))</x:f>
      </x:c>
      <x:c r="E146" s="6" t="s">
        <x:v>3582</x:v>
      </x:c>
      <x:c r="F146" s="6" t="s">
        <x:v>5363</x:v>
      </x:c>
    </x:row>
    <x:row r="147" spans="1:8" s="1" customFormat="1">
      <x:c r="A147" s="1" t="s">
        <x:v>3341</x:v>
      </x:c>
      <x:c r="B147" s="1" t="s">
        <x:v>3401</x:v>
      </x:c>
      <x:c r="C147" s="8" t="s">
        <x:v>3490</x:v>
      </x:c>
      <x:c r="D147" s="9">
        <x:f>CONCATENATE(HYPERLINK("CALLTO:%2B356%207905%205395", "+356 7905 5395"))</x:f>
      </x:c>
      <x:c r="E147" s="8" t="s">
        <x:v>3583</x:v>
      </x:c>
      <x:c r="F147" s="8" t="s">
        <x:v>5364</x:v>
      </x:c>
    </x:row>
    <x:row r="148" spans="1:8" s="4" customFormat="1">
      <x:c r="A148" s="4" t="s">
        <x:v>3341</x:v>
      </x:c>
      <x:c r="B148" s="4" t="s">
        <x:v>3402</x:v>
      </x:c>
      <x:c r="C148" s="10" t="s">
        <x:v>3517</x:v>
      </x:c>
      <x:c r="D148" s="11">
        <x:f>CONCATENATE(HYPERLINK("CALLTO:%2B356%209949%200300", "+356 9949 0300"))</x:f>
      </x:c>
      <x:c r="E148" s="10" t="s">
        <x:v>3584</x:v>
      </x:c>
      <x:c r="F148" s="10" t="s">
        <x:v>5365</x:v>
      </x:c>
    </x:row>
    <x:row r="149" spans="1:8" s="3" customFormat="1">
      <x:c r="A149" s="3" t="s">
        <x:v>3341</x:v>
      </x:c>
      <x:c r="B149" s="3" t="s">
        <x:v>3404</x:v>
      </x:c>
      <x:c r="C149" s="6" t="s">
        <x:v>3493</x:v>
      </x:c>
      <x:c r="D149" s="7">
        <x:f>CONCATENATE(HYPERLINK("CALLTO:%2B356%202166%200170", "+356 2166 0170"))</x:f>
      </x:c>
      <x:c r="E149" s="6" t="s">
        <x:v>3586</x:v>
      </x:c>
      <x:c r="F149" s="6" t="s">
        <x:v>5367</x:v>
      </x:c>
    </x:row>
    <x:row r="150" spans="1:8" s="1" customFormat="1">
      <x:c r="A150" s="1" t="s">
        <x:v>3341</x:v>
      </x:c>
      <x:c r="B150" s="1" t="s">
        <x:v>3405</x:v>
      </x:c>
      <x:c r="C150" s="8" t="s">
        <x:v>3494</x:v>
      </x:c>
      <x:c r="D150" s="9">
        <x:f>CONCATENATE(HYPERLINK("CALLTO:%2B356%209913%201020", "+356 9913 1020"))</x:f>
      </x:c>
      <x:c r="E150" s="8" t="s">
        <x:v>3587</x:v>
      </x:c>
      <x:c r="F150" s="8" t="s">
        <x:v>5368</x:v>
      </x:c>
    </x:row>
    <x:row r="151" spans="1:8" s="4" customFormat="1">
      <x:c r="A151" s="4" t="s">
        <x:v>3341</x:v>
      </x:c>
      <x:c r="B151" s="4" t="s">
        <x:v>3406</x:v>
      </x:c>
      <x:c r="C151" s="10" t="s">
        <x:v>3495</x:v>
      </x:c>
      <x:c r="D151" s="11">
        <x:f>CONCATENATE(HYPERLINK("CALLTO:%2B356%209983%205642", "+356 9983 5642"))</x:f>
      </x:c>
      <x:c r="E151" s="10" t="s">
        <x:v>3588</x:v>
      </x:c>
      <x:c r="F151" s="4" t="s">
        <x:v>144</x:v>
      </x:c>
    </x:row>
    <x:row r="152" spans="1:8" s="3" customFormat="1">
      <x:c r="A152" s="3" t="s">
        <x:v>3341</x:v>
      </x:c>
      <x:c r="B152" s="3" t="s">
        <x:v>3407</x:v>
      </x:c>
      <x:c r="C152" s="6" t="s">
        <x:v>3496</x:v>
      </x:c>
      <x:c r="D152" s="7">
        <x:f>CONCATENATE(HYPERLINK("CALLTO:%2B356%202169%205051", "+356 2169 5051"))</x:f>
      </x:c>
      <x:c r="E152" s="6" t="s">
        <x:v>3589</x:v>
      </x:c>
      <x:c r="F152" s="3" t="s">
        <x:v>144</x:v>
      </x:c>
    </x:row>
    <x:row r="153" spans="1:8" s="1" customFormat="1">
      <x:c r="A153" s="1" t="s">
        <x:v>3341</x:v>
      </x:c>
      <x:c r="B153" s="1" t="s">
        <x:v>2524</x:v>
      </x:c>
      <x:c r="C153" s="8" t="s">
        <x:v>2543</x:v>
      </x:c>
      <x:c r="D153" s="9">
        <x:f>CONCATENATE(HYPERLINK("CALLTO:%2B356%207943%204443", "+356 7943 4443"), " / ", HYPERLINK("CALLTO:%2B356%202143%204443", "+356 2143 4443"))</x:f>
      </x:c>
      <x:c r="E153" s="8" t="s">
        <x:v>2563</x:v>
      </x:c>
      <x:c r="F153" s="8" t="s">
        <x:v>2580</x:v>
      </x:c>
    </x:row>
    <x:row r="154" spans="1:8" s="4" customFormat="1">
      <x:c r="A154" s="4" t="s">
        <x:v>3341</x:v>
      </x:c>
      <x:c r="B154" s="4" t="s">
        <x:v>3409</x:v>
      </x:c>
      <x:c r="C154" s="10" t="s">
        <x:v>3497</x:v>
      </x:c>
      <x:c r="D154" s="11">
        <x:f>CONCATENATE(HYPERLINK("CALLTO:%2B356%209984%200315", "+356 9984 0315"))</x:f>
      </x:c>
      <x:c r="E154" s="10" t="s">
        <x:v>3591</x:v>
      </x:c>
      <x:c r="F154" s="4" t="s">
        <x:v>144</x:v>
      </x:c>
    </x:row>
    <x:row r="155" spans="1:8" s="3" customFormat="1">
      <x:c r="A155" s="3" t="s">
        <x:v>3341</x:v>
      </x:c>
      <x:c r="B155" s="3" t="s">
        <x:v>3410</x:v>
      </x:c>
      <x:c r="C155" s="6" t="s">
        <x:v>3518</x:v>
      </x:c>
      <x:c r="D155" s="7">
        <x:f>CONCATENATE(HYPERLINK("CALLTO:%2B356%202148%206022", "+356 2148 6022"))</x:f>
      </x:c>
      <x:c r="E155" s="6" t="s">
        <x:v>3592</x:v>
      </x:c>
      <x:c r="F155" s="6" t="s">
        <x:v>5369</x:v>
      </x:c>
    </x:row>
    <x:row r="156" spans="1:8" s="1" customFormat="1">
      <x:c r="A156" s="1" t="s">
        <x:v>3341</x:v>
      </x:c>
      <x:c r="B156" s="1" t="s">
        <x:v>3411</x:v>
      </x:c>
      <x:c r="C156" s="8" t="s">
        <x:v>3499</x:v>
      </x:c>
      <x:c r="D156" s="9">
        <x:f>CONCATENATE(HYPERLINK("CALLTO:%2B356%209947%203849", "+356 9947 3849"))</x:f>
      </x:c>
      <x:c r="E156" s="8" t="s">
        <x:v>3593</x:v>
      </x:c>
      <x:c r="F156" s="1" t="s">
        <x:v>144</x:v>
      </x:c>
    </x:row>
    <x:row r="157" spans="1:8" s="4" customFormat="1">
      <x:c r="A157" s="4" t="s">
        <x:v>3341</x:v>
      </x:c>
      <x:c r="B157" s="4" t="s">
        <x:v>3412</x:v>
      </x:c>
      <x:c r="C157" s="10" t="s">
        <x:v>3500</x:v>
      </x:c>
      <x:c r="D157" s="11">
        <x:f>CONCATENATE(HYPERLINK("CALLTO:%2B356%202155%204149", "+356 2155 4149"))</x:f>
      </x:c>
      <x:c r="E157" s="10" t="s">
        <x:v>3594</x:v>
      </x:c>
      <x:c r="F157" s="10" t="s">
        <x:v>5370</x:v>
      </x:c>
    </x:row>
    <x:row r="158" spans="1:8" s="3" customFormat="1">
      <x:c r="A158" s="3" t="s">
        <x:v>3341</x:v>
      </x:c>
      <x:c r="B158" s="3" t="s">
        <x:v>3413</x:v>
      </x:c>
      <x:c r="C158" s="6" t="s">
        <x:v>3501</x:v>
      </x:c>
      <x:c r="D158" s="7">
        <x:f>CONCATENATE(HYPERLINK("CALLTO:%2B356%209940%202482", "+356 9940 2482"))</x:f>
      </x:c>
      <x:c r="E158" s="6" t="s">
        <x:v>3595</x:v>
      </x:c>
      <x:c r="F158" s="6" t="s">
        <x:v>5371</x:v>
      </x:c>
    </x:row>
    <x:row r="159" spans="1:8" s="1" customFormat="1">
      <x:c r="A159" s="1" t="s">
        <x:v>3341</x:v>
      </x:c>
      <x:c r="B159" s="1" t="s">
        <x:v>3414</x:v>
      </x:c>
      <x:c r="C159" s="8" t="s">
        <x:v>3502</x:v>
      </x:c>
      <x:c r="D159" s="9">
        <x:f>CONCATENATE(HYPERLINK("CALLTO:%2B356%209949%207740", "+356 9949 7740"))</x:f>
      </x:c>
      <x:c r="E159" s="8" t="s">
        <x:v>3581</x:v>
      </x:c>
      <x:c r="F159" s="8" t="s">
        <x:v>5372</x:v>
      </x:c>
    </x:row>
    <x:row r="160" spans="1:8" s="4" customFormat="1">
      <x:c r="A160" s="4" t="s">
        <x:v>3341</x:v>
      </x:c>
      <x:c r="B160" s="4" t="s">
        <x:v>3415</x:v>
      </x:c>
      <x:c r="C160" s="10" t="s">
        <x:v>3503</x:v>
      </x:c>
      <x:c r="D160" s="11">
        <x:f>CONCATENATE(HYPERLINK("CALLTO:%2B356%202144%209878", "+356 2144 9878"))</x:f>
      </x:c>
      <x:c r="E160" s="10" t="s">
        <x:v>3596</x:v>
      </x:c>
      <x:c r="F160" s="10" t="s">
        <x:v>5373</x:v>
      </x:c>
    </x:row>
    <x:row r="161" spans="1:8" s="3" customFormat="1">
      <x:c r="A161" s="3" t="s">
        <x:v>3341</x:v>
      </x:c>
      <x:c r="B161" s="3" t="s">
        <x:v>3416</x:v>
      </x:c>
      <x:c r="C161" s="3" t="s">
        <x:v>144</x:v>
      </x:c>
      <x:c r="D161" s="7">
        <x:f>CONCATENATE(HYPERLINK("CALLTO:%2B356%209942%202717", "+356 9942 2717"))</x:f>
      </x:c>
      <x:c r="E161" s="6" t="s">
        <x:v>3597</x:v>
      </x:c>
      <x:c r="F161" s="3" t="s">
        <x:v>144</x:v>
      </x:c>
    </x:row>
    <x:row r="162" spans="1:8" s="1" customFormat="1">
      <x:c r="A162" s="1" t="s">
        <x:v>3341</x:v>
      </x:c>
      <x:c r="B162" s="1" t="s">
        <x:v>3418</x:v>
      </x:c>
      <x:c r="C162" s="8" t="s">
        <x:v>3505</x:v>
      </x:c>
      <x:c r="D162" s="9">
        <x:f>CONCATENATE(HYPERLINK("CALLTO:%2B356%209946%200052", "+356 9946 0052"))</x:f>
      </x:c>
      <x:c r="E162" s="8" t="s">
        <x:v>3599</x:v>
      </x:c>
      <x:c r="F162" s="1" t="s">
        <x:v>144</x:v>
      </x:c>
    </x:row>
    <x:row r="163" spans="1:8" s="4" customFormat="1">
      <x:c r="A163" s="4" t="s">
        <x:v>3341</x:v>
      </x:c>
      <x:c r="B163" s="4" t="s">
        <x:v>3419</x:v>
      </x:c>
      <x:c r="C163" s="10" t="s">
        <x:v>3506</x:v>
      </x:c>
      <x:c r="D163" s="11">
        <x:f>CONCATENATE(HYPERLINK("CALLTO:%2B356%209939%205416", "+356 9939 5416"))</x:f>
      </x:c>
      <x:c r="E163" s="10" t="s">
        <x:v>3600</x:v>
      </x:c>
      <x:c r="F163" s="10" t="s">
        <x:v>5375</x:v>
      </x:c>
    </x:row>
    <x:row r="164" spans="1:8" s="3" customFormat="1">
      <x:c r="A164" s="3" t="s">
        <x:v>3341</x:v>
      </x:c>
      <x:c r="B164" s="3" t="s">
        <x:v>3431</x:v>
      </x:c>
      <x:c r="C164" s="6" t="s">
        <x:v>3519</x:v>
      </x:c>
      <x:c r="D164" s="7">
        <x:f>CONCATENATE(HYPERLINK("CALLTO:%2B356%209944%204220", "+356 9944 4220"))</x:f>
      </x:c>
      <x:c r="E164" s="6" t="s">
        <x:v>3612</x:v>
      </x:c>
      <x:c r="F164" s="3" t="s">
        <x:v>144</x:v>
      </x:c>
    </x:row>
    <x:row r="165" spans="1:8" s="1" customFormat="1">
      <x:c r="A165" s="1" t="s">
        <x:v>3341</x:v>
      </x:c>
      <x:c r="B165" s="1" t="s">
        <x:v>3420</x:v>
      </x:c>
      <x:c r="C165" s="8" t="s">
        <x:v>3507</x:v>
      </x:c>
      <x:c r="D165" s="9">
        <x:f>CONCATENATE(HYPERLINK("CALLTO:%2B356%202146%205156", "+356 2146 5156"))</x:f>
      </x:c>
      <x:c r="E165" s="8" t="s">
        <x:v>3601</x:v>
      </x:c>
      <x:c r="F165" s="8" t="s">
        <x:v>5376</x:v>
      </x:c>
    </x:row>
    <x:row r="166" spans="1:8" s="4" customFormat="1">
      <x:c r="A166" s="4" t="s">
        <x:v>3341</x:v>
      </x:c>
      <x:c r="B166" s="4" t="s">
        <x:v>3421</x:v>
      </x:c>
      <x:c r="C166" s="10" t="s">
        <x:v>1071</x:v>
      </x:c>
      <x:c r="D166" s="11">
        <x:f>CONCATENATE(HYPERLINK("CALLTO:%2B356%202180%208802", "+356 2180 8802"))</x:f>
      </x:c>
      <x:c r="E166" s="10" t="s">
        <x:v>3602</x:v>
      </x:c>
      <x:c r="F166" s="10" t="s">
        <x:v>4828</x:v>
      </x:c>
    </x:row>
    <x:row r="167" spans="1:8" s="3" customFormat="1">
      <x:c r="A167" s="3" t="s">
        <x:v>3341</x:v>
      </x:c>
      <x:c r="B167" s="3" t="s">
        <x:v>3432</x:v>
      </x:c>
      <x:c r="C167" s="6" t="s">
        <x:v>3520</x:v>
      </x:c>
      <x:c r="D167" s="7">
        <x:f>CONCATENATE(HYPERLINK("CALLTO:%2B356%209959%204709", "+356 9959 4709"))</x:f>
      </x:c>
      <x:c r="E167" s="6" t="s">
        <x:v>3613</x:v>
      </x:c>
      <x:c r="F167" s="6" t="s">
        <x:v>3628</x:v>
      </x:c>
    </x:row>
    <x:row r="168" spans="1:8" s="1" customFormat="1">
      <x:c r="A168" s="1" t="s">
        <x:v>3341</x:v>
      </x:c>
      <x:c r="B168" s="1" t="s">
        <x:v>3422</x:v>
      </x:c>
      <x:c r="C168" s="8" t="s">
        <x:v>3508</x:v>
      </x:c>
      <x:c r="D168" s="9">
        <x:f>CONCATENATE(HYPERLINK("CALLTO:%2B356%202182%202143", "+356 2182 2143"))</x:f>
      </x:c>
      <x:c r="E168" s="8" t="s">
        <x:v>3603</x:v>
      </x:c>
      <x:c r="F168" s="8" t="s">
        <x:v>5377</x:v>
      </x:c>
    </x:row>
    <x:row r="169" spans="1:8" s="4" customFormat="1">
      <x:c r="A169" s="4" t="s">
        <x:v>3341</x:v>
      </x:c>
      <x:c r="B169" s="4" t="s">
        <x:v>3424</x:v>
      </x:c>
      <x:c r="C169" s="10" t="s">
        <x:v>3521</x:v>
      </x:c>
      <x:c r="D169" s="11">
        <x:f>CONCATENATE(HYPERLINK("CALLTO:%2B356%209945%200440", "+356 9945 0440"))</x:f>
      </x:c>
      <x:c r="E169" s="10" t="s">
        <x:v>3605</x:v>
      </x:c>
      <x:c r="F169" s="10" t="s">
        <x:v>5378</x:v>
      </x:c>
    </x:row>
    <x:row r="170" spans="1:8" s="3" customFormat="1">
      <x:c r="A170" s="3" t="s">
        <x:v>3341</x:v>
      </x:c>
      <x:c r="B170" s="3" t="s">
        <x:v>3425</x:v>
      </x:c>
      <x:c r="C170" s="6" t="s">
        <x:v>3510</x:v>
      </x:c>
      <x:c r="D170" s="7">
        <x:f>CONCATENATE(HYPERLINK("CALLTO:%2B356%202155%204058", "+356 2155 4058"))</x:f>
      </x:c>
      <x:c r="E170" s="6" t="s">
        <x:v>3606</x:v>
      </x:c>
      <x:c r="F170" s="6" t="s">
        <x:v>5379</x:v>
      </x:c>
    </x:row>
    <x:row r="171" spans="1:8" s="1" customFormat="1"/>
    <x:row r="172" spans="1:8" s="4" customFormat="1"/>
    <x:row r="173" spans="1:8" s="3" customFormat="1"/>
    <x:row r="174" spans="1:8" s="1" customFormat="1"/>
    <x:row r="175" spans="1:8" s="4" customFormat="1"/>
    <x:row r="176" spans="1:8" s="3" customFormat="1"/>
    <x:row r="177" spans="1:8" s="1" customFormat="1"/>
    <x:row r="178" spans="1:8" s="4" customFormat="1"/>
    <x:row r="179" spans="1:8" s="3" customFormat="1"/>
    <x:row r="180" spans="1:8" s="1" customFormat="1"/>
    <x:row r="181" spans="1:8" s="4" customFormat="1"/>
    <x:row r="182" spans="1:8" s="3" customFormat="1"/>
    <x:row r="183" spans="1:8" s="1" customFormat="1"/>
    <x:row r="184" spans="1:8" s="4" customFormat="1"/>
    <x:row r="185" spans="1:8" s="3" customFormat="1"/>
    <x:row r="186" spans="1:8" s="1" customFormat="1"/>
    <x:row r="187" spans="1:8" s="4" customFormat="1"/>
    <x:row r="188" spans="1:8" s="3" customFormat="1"/>
    <x:row r="189" spans="1:8" s="1" customFormat="1"/>
    <x:row r="190" spans="1:8" s="4" customFormat="1"/>
    <x:row r="191" spans="1:8" s="3" customFormat="1"/>
    <x:row r="192" spans="1:8" s="1" customFormat="1"/>
    <x:row r="193" spans="1:8" s="4" customFormat="1"/>
    <x:row r="194" spans="1:8" s="3" customFormat="1"/>
    <x:row r="195" spans="1:8" s="1" customFormat="1"/>
    <x:row r="196" spans="1:8" s="4" customFormat="1"/>
    <x:row r="197" spans="1:8" s="3" customFormat="1"/>
    <x:row r="198" spans="1:8" s="1" customFormat="1"/>
    <x:row r="199" spans="1:8" s="4" customFormat="1"/>
    <x:row r="200" spans="1:8" s="3" customFormat="1"/>
    <x:row r="201" spans="1:8" s="1" customFormat="1"/>
    <x:row r="202" spans="1:8" s="4" customFormat="1"/>
    <x:row r="203" spans="1:8" s="3" customFormat="1"/>
    <x:row r="204" spans="1:8" s="1" customFormat="1"/>
    <x:row r="205" spans="1:8" s="4" customFormat="1"/>
    <x:row r="206" spans="1:8" s="3" customFormat="1"/>
    <x:row r="207" spans="1:8" s="1" customFormat="1"/>
    <x:row r="208" spans="1:8" s="4" customFormat="1"/>
    <x:row r="209" spans="1:8" s="3" customFormat="1"/>
    <x:row r="210" spans="1:8" s="1" customFormat="1"/>
    <x:row r="211" spans="1:8" s="4" customFormat="1"/>
    <x:row r="212" spans="1:8" s="3" customFormat="1"/>
    <x:row r="213" spans="1:8" s="1" customFormat="1"/>
    <x:row r="214" spans="1:8" s="4" customFormat="1"/>
    <x:row r="215" spans="1:8" s="3" customFormat="1"/>
    <x:row r="216" spans="1:8" s="1" customFormat="1"/>
    <x:row r="217" spans="1:8" s="4" customFormat="1"/>
    <x:row r="218" spans="1:8" s="3" customFormat="1"/>
    <x:row r="219" spans="1:8" s="1" customFormat="1"/>
    <x:row r="220" spans="1:8" s="4" customFormat="1"/>
    <x:row r="221" spans="1:8" s="3" customFormat="1"/>
    <x:row r="222" spans="1:8" s="1" customFormat="1"/>
    <x:row r="223" spans="1:8" s="4" customFormat="1"/>
    <x:row r="224" spans="1:8" s="3" customFormat="1"/>
    <x:row r="225" spans="1:8" s="1" customFormat="1"/>
    <x:row r="226" spans="1:8" s="4" customFormat="1"/>
    <x:row r="227" spans="1:8" s="3" customFormat="1"/>
    <x:row r="228" spans="1:8" s="1" customFormat="1"/>
    <x:row r="229" spans="1:8" s="4" customFormat="1"/>
    <x:row r="230" spans="1:8" s="3" customFormat="1"/>
    <x:row r="231" spans="1:8" s="1" customFormat="1"/>
    <x:row r="232" spans="1:8" s="4" customFormat="1"/>
    <x:row r="233" spans="1:8" s="3" customFormat="1"/>
    <x:row r="234" spans="1:8" s="1" customFormat="1"/>
    <x:row r="235" spans="1:8" s="4" customFormat="1"/>
    <x:row r="236" spans="1:8" s="3" customFormat="1"/>
    <x:row r="237" spans="1:8" s="1" customFormat="1"/>
    <x:row r="238" spans="1:8" s="4" customFormat="1"/>
    <x:row r="239" spans="1:8" s="3" customFormat="1"/>
    <x:row r="240" spans="1:8" s="1" customFormat="1"/>
    <x:row r="241" spans="1:8" s="4" customFormat="1"/>
    <x:row r="242" spans="1:8" s="3" customFormat="1"/>
    <x:row r="243" spans="1:8" s="1" customFormat="1"/>
    <x:row r="244" spans="1:8" s="4" customFormat="1"/>
    <x:row r="245" spans="1:8" s="3" customFormat="1"/>
    <x:row r="246" spans="1:8" s="1" customFormat="1"/>
    <x:row r="247" spans="1:8" s="4" customFormat="1"/>
    <x:row r="248" spans="1:8" s="3" customFormat="1"/>
    <x:row r="249" spans="1:8" s="1" customFormat="1"/>
    <x:row r="250" spans="1:8" s="4" customFormat="1"/>
    <x:row r="251" spans="1:8" s="3" customFormat="1"/>
    <x:row r="252" spans="1:8" s="1" customFormat="1"/>
    <x:row r="253" spans="1:8" s="4" customFormat="1"/>
    <x:row r="254" spans="1:8" s="3" customFormat="1"/>
    <x:row r="255" spans="1:8" s="1" customFormat="1"/>
    <x:row r="256" spans="1:8" s="4" customFormat="1"/>
    <x:row r="257" spans="1:8" s="3" customFormat="1"/>
    <x:row r="258" spans="1:8" s="1" customFormat="1"/>
    <x:row r="259" spans="1:8" s="4" customFormat="1"/>
    <x:row r="260" spans="1:8" s="3" customFormat="1"/>
    <x:row r="261" spans="1:8" s="1" customFormat="1"/>
    <x:row r="262" spans="1:8" s="4" customFormat="1"/>
    <x:row r="263" spans="1:8" s="3" customFormat="1"/>
    <x:row r="264" spans="1:8" s="1" customFormat="1"/>
    <x:row r="265" spans="1:8" s="4" customFormat="1"/>
    <x:row r="266" spans="1:8" s="3" customFormat="1"/>
    <x:row r="267" spans="1:8" s="1" customFormat="1"/>
    <x:row r="268" spans="1:8" s="4" customFormat="1"/>
    <x:row r="269" spans="1:8" s="3" customFormat="1"/>
    <x:row r="270" spans="1:8" s="1" customFormat="1"/>
    <x:row r="271" spans="1:8" s="4" customFormat="1"/>
    <x:row r="272" spans="1:8" s="3" customFormat="1"/>
    <x:row r="273" spans="1:8" s="1" customFormat="1"/>
    <x:row r="274" spans="1:8" s="4" customFormat="1"/>
    <x:row r="275" spans="1:8" s="3" customFormat="1"/>
    <x:row r="276" spans="1:8" s="1" customFormat="1"/>
    <x:row r="277" spans="1:8" s="4" customFormat="1"/>
    <x:row r="278" spans="1:8" s="3" customFormat="1"/>
    <x:row r="279" spans="1:8" s="1" customFormat="1"/>
    <x:row r="280" spans="1:8" s="4" customFormat="1"/>
    <x:row r="281" spans="1:8" s="3" customFormat="1"/>
    <x:row r="282" spans="1:8" s="1" customFormat="1"/>
    <x:row r="283" spans="1:8" s="4" customFormat="1"/>
    <x:row r="284" spans="1:8" s="3" customFormat="1"/>
    <x:row r="285" spans="1:8" s="1" customFormat="1"/>
    <x:row r="286" spans="1:8" s="4" customFormat="1"/>
    <x:row r="287" spans="1:8" s="3" customFormat="1"/>
    <x:row r="288" spans="1:8" s="1" customFormat="1"/>
    <x:row r="289" spans="1:8" s="4" customFormat="1"/>
    <x:row r="290" spans="1:8" s="3" customFormat="1"/>
    <x:row r="291" spans="1:8" s="1" customFormat="1"/>
    <x:row r="292" spans="1:8" s="4" customFormat="1"/>
    <x:row r="293" spans="1:8" s="3" customFormat="1"/>
    <x:row r="294" spans="1:8" s="1" customFormat="1"/>
    <x:row r="295" spans="1:8" s="4" customFormat="1"/>
    <x:row r="296" spans="1:8" s="3" customFormat="1"/>
    <x:row r="297" spans="1:8" s="1" customFormat="1"/>
    <x:row r="298" spans="1:8" s="4" customFormat="1"/>
    <x:row r="299" spans="1:8" s="3" customFormat="1"/>
    <x:row r="300" spans="1:8" s="1" customFormat="1"/>
    <x:row r="301" spans="1:8" s="4" customFormat="1"/>
    <x:row r="302" spans="1:8" s="3" customFormat="1"/>
    <x:row r="303" spans="1:8" s="1" customFormat="1"/>
    <x:row r="304" spans="1:8" s="4" customFormat="1"/>
    <x:row r="305" spans="1:8" s="3" customFormat="1"/>
    <x:row r="306" spans="1:8" s="1" customFormat="1"/>
    <x:row r="307" spans="1:8" s="4" customFormat="1"/>
    <x:row r="308" spans="1:8" s="3" customFormat="1"/>
    <x:row r="309" spans="1:8" s="1" customFormat="1"/>
    <x:row r="310" spans="1:8" s="4" customFormat="1"/>
    <x:row r="311" spans="1:8" s="3" customFormat="1"/>
    <x:row r="312" spans="1:8" s="1" customFormat="1"/>
    <x:row r="313" spans="1:8" s="4" customFormat="1"/>
    <x:row r="314" spans="1:8" s="3" customFormat="1"/>
    <x:row r="315" spans="1:8" s="1" customFormat="1"/>
    <x:row r="316" spans="1:8" s="4" customFormat="1"/>
    <x:row r="317" spans="1:8" s="3" customFormat="1"/>
    <x:row r="318" spans="1:8" s="1" customFormat="1"/>
    <x:row r="319" spans="1:8" s="4" customFormat="1"/>
    <x:row r="320" spans="1:8" s="3" customFormat="1"/>
    <x:row r="321" spans="1:8" s="1" customFormat="1"/>
    <x:row r="322" spans="1:8" s="4" customFormat="1"/>
    <x:row r="323" spans="1:8" s="3" customFormat="1"/>
    <x:row r="324" spans="1:8" s="1" customFormat="1"/>
    <x:row r="325" spans="1:8" s="4" customFormat="1"/>
    <x:row r="326" spans="1:8" s="3" customFormat="1"/>
    <x:row r="327" spans="1:8" s="1" customFormat="1"/>
    <x:row r="328" spans="1:8" s="4" customFormat="1"/>
    <x:row r="329" spans="1:8" s="3" customFormat="1"/>
    <x:row r="330" spans="1:8" s="1" customFormat="1"/>
    <x:row r="331" spans="1:8" s="4" customFormat="1"/>
    <x:row r="332" spans="1:8" s="3" customFormat="1"/>
    <x:row r="333" spans="1:8" s="1" customFormat="1"/>
    <x:row r="334" spans="1:8" s="4" customFormat="1"/>
    <x:row r="335" spans="1:8" s="3" customFormat="1"/>
    <x:row r="336" spans="1:8" s="1" customFormat="1"/>
    <x:row r="337" spans="1:8" s="4" customFormat="1"/>
    <x:row r="338" spans="1:8" s="3" customFormat="1"/>
    <x:row r="339" spans="1:8" s="1" customFormat="1"/>
    <x:row r="340" spans="1:8" s="4" customFormat="1"/>
    <x:row r="341" spans="1:8" s="3" customFormat="1"/>
    <x:row r="342" spans="1:8" s="1" customFormat="1"/>
    <x:row r="343" spans="1:8" s="4" customFormat="1"/>
    <x:row r="344" spans="1:8" s="3" customFormat="1"/>
    <x:row r="345" spans="1:8" s="1" customFormat="1"/>
    <x:row r="346" spans="1:8" s="4" customFormat="1"/>
    <x:row r="347" spans="1:8" s="3" customFormat="1"/>
    <x:row r="348" spans="1:8" s="1" customFormat="1"/>
    <x:row r="349" spans="1:8" s="4" customFormat="1"/>
    <x:row r="350" spans="1:8" s="3" customFormat="1"/>
    <x:row r="351" spans="1:8" s="1" customFormat="1"/>
    <x:row r="352" spans="1:8" s="4" customFormat="1"/>
    <x:row r="353" spans="1:8" s="3" customFormat="1"/>
    <x:row r="354" spans="1:8" s="1" customFormat="1"/>
    <x:row r="355" spans="1:8" s="4" customFormat="1"/>
    <x:row r="356" spans="1:8" s="3" customFormat="1"/>
    <x:row r="357" spans="1:8" s="1" customFormat="1"/>
    <x:row r="358" spans="1:8" s="4" customFormat="1"/>
    <x:row r="359" spans="1:8" s="3" customFormat="1"/>
    <x:row r="360" spans="1:8" s="1" customFormat="1"/>
    <x:row r="361" spans="1:8" s="4" customFormat="1"/>
    <x:row r="362" spans="1:8" s="3" customFormat="1"/>
    <x:row r="363" spans="1:8" s="1" customFormat="1"/>
    <x:row r="364" spans="1:8" s="4" customFormat="1"/>
    <x:row r="365" spans="1:8" s="3" customFormat="1"/>
    <x:row r="366" spans="1:8" s="1" customFormat="1"/>
    <x:row r="367" spans="1:8" s="4" customFormat="1"/>
    <x:row r="368" spans="1:8" s="3" customFormat="1"/>
    <x:row r="369" spans="1:8" s="1" customFormat="1"/>
    <x:row r="370" spans="1:8" s="4" customFormat="1"/>
    <x:row r="371" spans="1:8" s="3" customFormat="1"/>
    <x:row r="372" spans="1:8" s="1" customFormat="1"/>
    <x:row r="373" spans="1:8" s="4" customFormat="1"/>
    <x:row r="374" spans="1:8" s="3" customFormat="1"/>
    <x:row r="375" spans="1:8" s="1" customFormat="1"/>
    <x:row r="376" spans="1:8" s="4" customFormat="1"/>
    <x:row r="377" spans="1:8" s="3" customFormat="1"/>
    <x:row r="378" spans="1:8" s="1" customFormat="1"/>
    <x:row r="379" spans="1:8" s="4" customFormat="1"/>
    <x:row r="380" spans="1:8" s="3" customFormat="1"/>
    <x:row r="381" spans="1:8" s="1" customFormat="1"/>
    <x:row r="382" spans="1:8" s="4" customFormat="1"/>
    <x:row r="383" spans="1:8" s="3" customFormat="1"/>
    <x:row r="384" spans="1:8" s="1" customFormat="1"/>
    <x:row r="385" spans="1:8" s="4" customFormat="1"/>
    <x:row r="386" spans="1:8" s="3" customFormat="1"/>
    <x:row r="387" spans="1:8" s="1" customFormat="1"/>
    <x:row r="388" spans="1:8" s="4" customFormat="1"/>
    <x:row r="389" spans="1:8" s="3" customFormat="1"/>
    <x:row r="390" spans="1:8" s="1" customFormat="1"/>
    <x:row r="391" spans="1:8" s="4" customFormat="1"/>
    <x:row r="392" spans="1:8" s="3" customFormat="1"/>
    <x:row r="393" spans="1:8" s="1" customFormat="1"/>
    <x:row r="394" spans="1:8" s="4" customFormat="1"/>
    <x:row r="395" spans="1:8" s="3" customFormat="1"/>
    <x:row r="396" spans="1:8" s="1" customFormat="1"/>
    <x:row r="397" spans="1:8" s="4" customFormat="1"/>
    <x:row r="398" spans="1:8" s="3" customFormat="1"/>
    <x:row r="399" spans="1:8" s="1" customFormat="1"/>
    <x:row r="400" spans="1:8" s="4" customFormat="1"/>
    <x:row r="401" spans="1:8" s="3" customFormat="1"/>
    <x:row r="402" spans="1:8" s="1" customFormat="1"/>
    <x:row r="403" spans="1:8" s="4" customFormat="1"/>
    <x:row r="404" spans="1:8" s="3" customFormat="1"/>
    <x:row r="405" spans="1:8" s="1" customFormat="1"/>
    <x:row r="406" spans="1:8" s="4" customFormat="1"/>
    <x:row r="407" spans="1:8" s="3" customFormat="1"/>
    <x:row r="408" spans="1:8" s="1" customFormat="1"/>
    <x:row r="409" spans="1:8" s="4" customFormat="1"/>
    <x:row r="410" spans="1:8" s="3" customFormat="1"/>
    <x:row r="411" spans="1:8" s="1" customFormat="1"/>
    <x:row r="412" spans="1:8" s="4" customFormat="1"/>
    <x:row r="413" spans="1:8" s="3" customFormat="1"/>
    <x:row r="414" spans="1:8" s="1" customFormat="1"/>
    <x:row r="415" spans="1:8" s="4" customFormat="1"/>
    <x:row r="416" spans="1:8" s="3" customFormat="1"/>
    <x:row r="417" spans="1:8" s="1" customFormat="1"/>
    <x:row r="418" spans="1:8" s="4" customFormat="1"/>
    <x:row r="419" spans="1:8" s="3" customFormat="1"/>
    <x:row r="420" spans="1:8" s="1" customFormat="1"/>
    <x:row r="421" spans="1:8" s="4" customFormat="1"/>
    <x:row r="422" spans="1:8" s="3" customFormat="1"/>
    <x:row r="423" spans="1:8" s="1" customFormat="1"/>
    <x:row r="424" spans="1:8" s="4" customFormat="1"/>
    <x:row r="425" spans="1:8" s="3" customFormat="1"/>
    <x:row r="426" spans="1:8" s="1" customFormat="1"/>
    <x:row r="427" spans="1:8" s="4" customFormat="1"/>
    <x:row r="428" spans="1:8" s="3" customFormat="1"/>
    <x:row r="429" spans="1:8" s="1" customFormat="1"/>
    <x:row r="430" spans="1:8" s="4" customFormat="1"/>
    <x:row r="431" spans="1:8" s="3" customFormat="1"/>
    <x:row r="432" spans="1:8" s="1" customFormat="1"/>
    <x:row r="433" spans="1:8" s="4" customFormat="1"/>
    <x:row r="434" spans="1:8" s="3" customFormat="1"/>
    <x:row r="435" spans="1:8" s="1" customFormat="1"/>
    <x:row r="436" spans="1:8" s="4" customFormat="1"/>
    <x:row r="437" spans="1:8" s="3" customFormat="1"/>
    <x:row r="438" spans="1:8" s="1" customFormat="1"/>
    <x:row r="439" spans="1:8" s="4" customFormat="1"/>
    <x:row r="440" spans="1:8" s="3" customFormat="1"/>
    <x:row r="441" spans="1:8" s="1" customFormat="1"/>
    <x:row r="442" spans="1:8" s="4" customFormat="1"/>
    <x:row r="443" spans="1:8" s="3" customFormat="1"/>
    <x:row r="444" spans="1:8" s="1" customFormat="1"/>
    <x:row r="445" spans="1:8" s="4" customFormat="1"/>
    <x:row r="446" spans="1:8" s="3" customFormat="1"/>
    <x:row r="447" spans="1:8" s="1" customFormat="1"/>
    <x:row r="448" spans="1:8" s="4" customFormat="1"/>
    <x:row r="449" spans="1:8" s="3" customFormat="1"/>
    <x:row r="450" spans="1:8" s="1" customFormat="1"/>
    <x:row r="451" spans="1:8" s="4" customFormat="1"/>
    <x:row r="452" spans="1:8" s="3" customFormat="1"/>
    <x:row r="453" spans="1:8" s="1" customFormat="1"/>
    <x:row r="454" spans="1:8" s="4" customFormat="1"/>
    <x:row r="455" spans="1:8" s="3" customFormat="1"/>
    <x:row r="456" spans="1:8" s="1" customFormat="1"/>
    <x:row r="457" spans="1:8" s="4" customFormat="1"/>
    <x:row r="458" spans="1:8" s="3" customFormat="1"/>
    <x:row r="459" spans="1:8" s="1" customFormat="1"/>
    <x:row r="460" spans="1:8" s="4" customFormat="1"/>
    <x:row r="461" spans="1:8" s="3" customFormat="1"/>
    <x:row r="462" spans="1:8" s="1" customFormat="1"/>
    <x:row r="463" spans="1:8" s="4" customFormat="1"/>
    <x:row r="464" spans="1:8" s="3" customFormat="1"/>
    <x:row r="465" spans="1:8" s="1" customFormat="1"/>
    <x:row r="466" spans="1:8" s="4" customFormat="1"/>
    <x:row r="467" spans="1:8" s="3" customFormat="1"/>
    <x:row r="468" spans="1:8" s="1" customFormat="1"/>
    <x:row r="469" spans="1:8" s="4" customFormat="1"/>
    <x:row r="470" spans="1:8" s="3" customFormat="1"/>
    <x:row r="471" spans="1:8" s="1" customFormat="1"/>
    <x:row r="472" spans="1:8" s="4" customFormat="1"/>
    <x:row r="473" spans="1:8" s="3" customFormat="1"/>
    <x:row r="474" spans="1:8" s="1" customFormat="1"/>
    <x:row r="475" spans="1:8" s="4" customFormat="1"/>
    <x:row r="476" spans="1:8" s="3" customFormat="1"/>
    <x:row r="477" spans="1:8" s="1" customFormat="1"/>
    <x:row r="478" spans="1:8" s="4" customFormat="1"/>
    <x:row r="479" spans="1:8" s="3" customFormat="1"/>
    <x:row r="480" spans="1:8" s="1" customFormat="1"/>
    <x:row r="481" spans="1:8" s="4" customFormat="1"/>
    <x:row r="482" spans="1:8" s="3" customFormat="1"/>
    <x:row r="483" spans="1:8" s="1" customFormat="1"/>
    <x:row r="484" spans="1:8" s="4" customFormat="1"/>
    <x:row r="485" spans="1:8" s="3" customFormat="1"/>
    <x:row r="486" spans="1:8" s="1" customFormat="1"/>
    <x:row r="487" spans="1:8" s="4" customFormat="1"/>
    <x:row r="488" spans="1:8" s="3" customFormat="1"/>
    <x:row r="489" spans="1:8" s="1" customFormat="1"/>
    <x:row r="490" spans="1:8" s="4" customFormat="1"/>
    <x:row r="491" spans="1:8" s="3" customFormat="1"/>
    <x:row r="492" spans="1:8" s="1" customFormat="1"/>
    <x:row r="493" spans="1:8" s="4" customFormat="1"/>
    <x:row r="494" spans="1:8" s="3" customFormat="1"/>
    <x:row r="495" spans="1:8" s="1" customFormat="1"/>
    <x:row r="496" spans="1:8" s="4" customFormat="1"/>
    <x:row r="497" spans="1:8" s="3" customFormat="1"/>
    <x:row r="498" spans="1:8" s="1" customFormat="1"/>
    <x:row r="499" spans="1:8" s="4" customFormat="1"/>
    <x:row r="500" spans="1:8" s="3" customFormat="1"/>
    <x:row r="501" spans="1:8" s="1" customFormat="1"/>
    <x:row r="502" spans="1:8" s="4" customFormat="1"/>
    <x:row r="503" spans="1:8" s="3" customFormat="1"/>
    <x:row r="504" spans="1:8" s="1" customFormat="1"/>
    <x:row r="505" spans="1:8" s="4" customFormat="1"/>
    <x:row r="506" spans="1:8" s="3" customFormat="1"/>
    <x:row r="507" spans="1:8" s="1" customFormat="1"/>
    <x:row r="508" spans="1:8" s="4" customFormat="1"/>
    <x:row r="509" spans="1:8" s="3" customFormat="1"/>
    <x:row r="510" spans="1:8" s="1" customFormat="1"/>
    <x:row r="511" spans="1:8" s="4" customFormat="1"/>
    <x:row r="512" spans="1:8" s="3" customFormat="1"/>
    <x:row r="513" spans="1:8" s="1" customFormat="1"/>
    <x:row r="514" spans="1:8" s="4" customFormat="1"/>
    <x:row r="515" spans="1:8" s="3" customFormat="1"/>
    <x:row r="516" spans="1:8" s="1" customFormat="1"/>
    <x:row r="517" spans="1:8" s="4" customFormat="1"/>
    <x:row r="518" spans="1:8" s="3" customFormat="1"/>
    <x:row r="519" spans="1:8" s="1" customFormat="1"/>
    <x:row r="520" spans="1:8" s="4" customFormat="1"/>
    <x:row r="521" spans="1:8" s="3" customFormat="1"/>
    <x:row r="522" spans="1:8" s="1" customFormat="1"/>
    <x:row r="523" spans="1:8" s="4" customFormat="1"/>
    <x:row r="524" spans="1:8" s="3" customFormat="1"/>
    <x:row r="525" spans="1:8" s="1" customFormat="1"/>
    <x:row r="526" spans="1:8" s="4" customFormat="1"/>
    <x:row r="527" spans="1:8" s="3" customFormat="1"/>
    <x:row r="528" spans="1:8" s="1" customFormat="1"/>
    <x:row r="529" spans="1:8" s="4" customFormat="1"/>
    <x:row r="530" spans="1:8" s="3" customFormat="1"/>
    <x:row r="531" spans="1:8" s="1" customFormat="1"/>
    <x:row r="532" spans="1:8" s="4" customFormat="1"/>
    <x:row r="533" spans="1:8" s="3" customFormat="1"/>
    <x:row r="534" spans="1:8" s="1" customFormat="1"/>
    <x:row r="535" spans="1:8" s="4" customFormat="1"/>
    <x:row r="536" spans="1:8" s="3" customFormat="1"/>
    <x:row r="537" spans="1:8" s="1" customFormat="1"/>
    <x:row r="538" spans="1:8" s="4" customFormat="1"/>
    <x:row r="539" spans="1:8" s="3" customFormat="1"/>
    <x:row r="540" spans="1:8" s="1" customFormat="1"/>
    <x:row r="541" spans="1:8" s="4" customFormat="1"/>
    <x:row r="542" spans="1:8" s="3" customFormat="1"/>
    <x:row r="543" spans="1:8" s="1" customFormat="1"/>
    <x:row r="544" spans="1:8" s="4" customFormat="1"/>
    <x:row r="545" spans="1:8" s="3" customFormat="1"/>
    <x:row r="546" spans="1:8" s="1" customFormat="1"/>
    <x:row r="547" spans="1:8" s="4" customFormat="1"/>
    <x:row r="548" spans="1:8" s="3" customFormat="1"/>
    <x:row r="549" spans="1:8" s="1" customFormat="1"/>
    <x:row r="550" spans="1:8" s="4" customFormat="1"/>
    <x:row r="551" spans="1:8" s="3" customFormat="1"/>
    <x:row r="552" spans="1:8" s="1" customFormat="1"/>
    <x:row r="553" spans="1:8" s="4" customFormat="1"/>
    <x:row r="554" spans="1:8" s="3" customFormat="1"/>
    <x:row r="555" spans="1:8" s="1" customFormat="1"/>
    <x:row r="556" spans="1:8" s="4" customFormat="1"/>
    <x:row r="557" spans="1:8" s="3" customFormat="1"/>
    <x:row r="558" spans="1:8" s="1" customFormat="1"/>
    <x:row r="559" spans="1:8" s="4" customFormat="1"/>
    <x:row r="560" spans="1:8" s="3" customFormat="1"/>
    <x:row r="561" spans="1:8" s="1" customFormat="1"/>
    <x:row r="562" spans="1:8" s="4" customFormat="1"/>
    <x:row r="563" spans="1:8" s="3" customFormat="1"/>
    <x:row r="564" spans="1:8" s="1" customFormat="1"/>
    <x:row r="565" spans="1:8" s="4" customFormat="1"/>
    <x:row r="566" spans="1:8" s="3" customFormat="1"/>
    <x:row r="567" spans="1:8" s="1" customFormat="1"/>
    <x:row r="568" spans="1:8" s="4" customFormat="1"/>
    <x:row r="569" spans="1:8" s="3" customFormat="1"/>
    <x:row r="570" spans="1:8" s="1" customFormat="1"/>
    <x:row r="571" spans="1:8" s="4" customFormat="1"/>
    <x:row r="572" spans="1:8" s="3" customFormat="1"/>
    <x:row r="573" spans="1:8" s="1" customFormat="1"/>
    <x:row r="574" spans="1:8" s="4" customFormat="1"/>
    <x:row r="575" spans="1:8" s="3" customFormat="1"/>
    <x:row r="576" spans="1:8" s="1" customFormat="1"/>
    <x:row r="577" spans="1:8" s="4" customFormat="1"/>
    <x:row r="578" spans="1:8" s="3" customFormat="1"/>
    <x:row r="579" spans="1:8" s="1" customFormat="1"/>
    <x:row r="580" spans="1:8" s="4" customFormat="1"/>
    <x:row r="581" spans="1:8" s="3" customFormat="1"/>
    <x:row r="582" spans="1:8" s="1" customFormat="1"/>
    <x:row r="583" spans="1:8" s="4" customFormat="1"/>
    <x:row r="584" spans="1:8" s="3" customFormat="1"/>
    <x:row r="585" spans="1:8" s="1" customFormat="1"/>
    <x:row r="586" spans="1:8" s="4" customFormat="1"/>
    <x:row r="587" spans="1:8" s="3" customFormat="1"/>
    <x:row r="588" spans="1:8" s="1" customFormat="1"/>
    <x:row r="589" spans="1:8" s="4" customFormat="1"/>
    <x:row r="590" spans="1:8" s="3" customFormat="1"/>
    <x:row r="591" spans="1:8" s="1" customFormat="1"/>
    <x:row r="592" spans="1:8" s="4" customFormat="1"/>
    <x:row r="593" spans="1:8" s="3" customFormat="1"/>
    <x:row r="594" spans="1:8" s="1" customFormat="1"/>
    <x:row r="595" spans="1:8" s="4" customFormat="1"/>
    <x:row r="596" spans="1:8" s="3" customFormat="1"/>
    <x:row r="597" spans="1:8" s="1" customFormat="1"/>
    <x:row r="598" spans="1:8" s="4" customFormat="1"/>
    <x:row r="599" spans="1:8" s="3" customFormat="1"/>
    <x:row r="600" spans="1:8" s="1" customFormat="1"/>
    <x:row r="601" spans="1:8" s="4" customFormat="1"/>
    <x:row r="602" spans="1:8" s="3" customFormat="1"/>
    <x:row r="603" spans="1:8" s="1" customFormat="1"/>
    <x:row r="604" spans="1:8" s="4" customFormat="1"/>
    <x:row r="605" spans="1:8" s="3" customFormat="1"/>
    <x:row r="606" spans="1:8" s="1" customFormat="1"/>
    <x:row r="607" spans="1:8" s="4" customFormat="1"/>
    <x:row r="608" spans="1:8" s="3" customFormat="1"/>
    <x:row r="609" spans="1:8" s="1" customFormat="1"/>
    <x:row r="610" spans="1:8" s="4" customFormat="1"/>
    <x:row r="611" spans="1:8" s="3" customFormat="1"/>
    <x:row r="612" spans="1:8" s="1" customFormat="1"/>
    <x:row r="613" spans="1:8" s="4" customFormat="1"/>
    <x:row r="614" spans="1:8" s="3" customFormat="1"/>
    <x:row r="615" spans="1:8" s="1" customFormat="1"/>
    <x:row r="616" spans="1:8" s="4" customFormat="1"/>
    <x:row r="617" spans="1:8" s="3" customFormat="1"/>
    <x:row r="618" spans="1:8" s="1" customFormat="1"/>
    <x:row r="619" spans="1:8" s="4" customFormat="1"/>
    <x:row r="620" spans="1:8" s="3" customFormat="1"/>
    <x:row r="621" spans="1:8" s="1" customFormat="1"/>
    <x:row r="622" spans="1:8" s="4" customFormat="1"/>
    <x:row r="623" spans="1:8" s="3" customFormat="1"/>
    <x:row r="624" spans="1:8" s="1" customFormat="1"/>
    <x:row r="625" spans="1:8" s="4" customFormat="1"/>
    <x:row r="626" spans="1:8" s="3" customFormat="1"/>
    <x:row r="627" spans="1:8" s="1" customFormat="1"/>
    <x:row r="628" spans="1:8" s="4" customFormat="1"/>
    <x:row r="629" spans="1:8" s="3" customFormat="1"/>
    <x:row r="630" spans="1:8" s="1" customFormat="1"/>
    <x:row r="631" spans="1:8" s="4" customFormat="1"/>
    <x:row r="632" spans="1:8" s="3" customFormat="1"/>
    <x:row r="633" spans="1:8" s="1" customFormat="1"/>
    <x:row r="634" spans="1:8" s="4" customFormat="1"/>
    <x:row r="635" spans="1:8" s="3" customFormat="1"/>
    <x:row r="636" spans="1:8" s="1" customFormat="1"/>
    <x:row r="637" spans="1:8" s="4" customFormat="1"/>
    <x:row r="638" spans="1:8" s="3" customFormat="1"/>
    <x:row r="639" spans="1:8" s="1" customFormat="1"/>
    <x:row r="640" spans="1:8" s="4" customFormat="1"/>
    <x:row r="641" spans="1:8" s="3" customFormat="1"/>
    <x:row r="642" spans="1:8" s="1" customFormat="1"/>
    <x:row r="643" spans="1:8" s="4" customFormat="1"/>
    <x:row r="644" spans="1:8" s="3" customFormat="1"/>
    <x:row r="645" spans="1:8" s="1" customFormat="1"/>
    <x:row r="646" spans="1:8" s="4" customFormat="1"/>
    <x:row r="647" spans="1:8" s="3" customFormat="1"/>
    <x:row r="648" spans="1:8" s="1" customFormat="1"/>
    <x:row r="649" spans="1:8" s="4" customFormat="1"/>
    <x:row r="650" spans="1:8" s="3" customFormat="1"/>
    <x:row r="651" spans="1:8" s="1" customFormat="1"/>
    <x:row r="652" spans="1:8" s="4" customFormat="1"/>
    <x:row r="653" spans="1:8" s="3" customFormat="1"/>
    <x:row r="654" spans="1:8" s="1" customFormat="1"/>
    <x:row r="655" spans="1:8" s="4" customFormat="1"/>
    <x:row r="656" spans="1:8" s="3" customFormat="1"/>
    <x:row r="657" spans="1:8" s="1" customFormat="1"/>
    <x:row r="658" spans="1:8" s="4" customFormat="1"/>
    <x:row r="659" spans="1:8" s="3" customFormat="1"/>
    <x:row r="660" spans="1:8" s="1" customFormat="1"/>
    <x:row r="661" spans="1:8" s="4" customFormat="1"/>
    <x:row r="662" spans="1:8" s="3" customFormat="1"/>
    <x:row r="663" spans="1:8" s="1" customFormat="1"/>
    <x:row r="664" spans="1:8" s="4" customFormat="1"/>
    <x:row r="665" spans="1:8" s="3" customFormat="1"/>
    <x:row r="666" spans="1:8" s="1" customFormat="1"/>
    <x:row r="667" spans="1:8" s="4" customFormat="1"/>
    <x:row r="668" spans="1:8" s="3" customFormat="1"/>
    <x:row r="669" spans="1:8" s="1" customFormat="1"/>
    <x:row r="670" spans="1:8" s="4" customFormat="1"/>
    <x:row r="671" spans="1:8" s="3" customFormat="1"/>
    <x:row r="672" spans="1:8" s="1" customFormat="1"/>
    <x:row r="673" spans="1:8" s="4" customFormat="1"/>
    <x:row r="674" spans="1:8" s="3" customFormat="1"/>
    <x:row r="675" spans="1:8" s="1" customFormat="1"/>
    <x:row r="676" spans="1:8" s="4" customFormat="1"/>
    <x:row r="677" spans="1:8" s="3" customFormat="1"/>
    <x:row r="678" spans="1:8" s="1" customFormat="1"/>
    <x:row r="679" spans="1:8" s="4" customFormat="1"/>
    <x:row r="680" spans="1:8" s="3" customFormat="1"/>
    <x:row r="681" spans="1:8" s="1" customFormat="1"/>
    <x:row r="682" spans="1:8" s="4" customFormat="1"/>
    <x:row r="683" spans="1:8" s="3" customFormat="1"/>
    <x:row r="684" spans="1:8" s="1" customFormat="1"/>
    <x:row r="685" spans="1:8" s="4" customFormat="1"/>
    <x:row r="686" spans="1:8" s="3" customFormat="1"/>
    <x:row r="687" spans="1:8" s="1" customFormat="1"/>
    <x:row r="688" spans="1:8" s="4" customFormat="1"/>
    <x:row r="689" spans="1:8" s="3" customFormat="1"/>
    <x:row r="690" spans="1:8" s="1" customFormat="1"/>
    <x:row r="691" spans="1:8" s="4" customFormat="1"/>
    <x:row r="692" spans="1:8" s="3" customFormat="1"/>
    <x:row r="693" spans="1:8" s="1" customFormat="1"/>
    <x:row r="694" spans="1:8" s="4" customFormat="1"/>
    <x:row r="695" spans="1:8" s="3" customFormat="1"/>
    <x:row r="696" spans="1:8" s="1" customFormat="1"/>
    <x:row r="697" spans="1:8" s="4" customFormat="1"/>
    <x:row r="698" spans="1:8" s="3" customFormat="1"/>
    <x:row r="699" spans="1:8" s="1" customFormat="1"/>
    <x:row r="700" spans="1:8" s="4" customFormat="1"/>
    <x:row r="701" spans="1:8" s="3" customFormat="1"/>
    <x:row r="702" spans="1:8" s="1" customFormat="1"/>
    <x:row r="703" spans="1:8" s="4" customFormat="1"/>
    <x:row r="704" spans="1:8" s="3" customFormat="1"/>
    <x:row r="705" spans="1:8" s="1" customFormat="1"/>
    <x:row r="706" spans="1:8" s="4" customFormat="1"/>
    <x:row r="707" spans="1:8" s="3" customFormat="1"/>
    <x:row r="708" spans="1:8" s="1" customFormat="1"/>
    <x:row r="709" spans="1:8" s="4" customFormat="1"/>
    <x:row r="710" spans="1:8" s="3" customFormat="1"/>
    <x:row r="711" spans="1:8" s="1" customFormat="1"/>
    <x:row r="712" spans="1:8" s="4" customFormat="1"/>
    <x:row r="713" spans="1:8" s="3" customFormat="1"/>
    <x:row r="714" spans="1:8" s="1" customFormat="1"/>
    <x:row r="715" spans="1:8" s="4" customFormat="1"/>
    <x:row r="716" spans="1:8" s="3" customFormat="1"/>
    <x:row r="717" spans="1:8" s="1" customFormat="1"/>
    <x:row r="718" spans="1:8" s="4" customFormat="1"/>
    <x:row r="719" spans="1:8" s="3" customFormat="1"/>
    <x:row r="720" spans="1:8" s="1" customFormat="1"/>
    <x:row r="721" spans="1:8" s="4" customFormat="1"/>
    <x:row r="722" spans="1:8" s="3" customFormat="1"/>
    <x:row r="723" spans="1:8" s="1" customFormat="1"/>
    <x:row r="724" spans="1:8" s="4" customFormat="1"/>
    <x:row r="725" spans="1:8" s="3" customFormat="1"/>
    <x:row r="726" spans="1:8" s="1" customFormat="1"/>
    <x:row r="727" spans="1:8" s="4" customFormat="1"/>
    <x:row r="728" spans="1:8" s="3" customFormat="1"/>
    <x:row r="729" spans="1:8" s="1" customFormat="1"/>
    <x:row r="730" spans="1:8" s="4" customFormat="1"/>
    <x:row r="731" spans="1:8" s="3" customFormat="1"/>
    <x:row r="732" spans="1:8" s="1" customFormat="1"/>
    <x:row r="733" spans="1:8" s="4" customFormat="1"/>
    <x:row r="734" spans="1:8" s="3" customFormat="1"/>
    <x:row r="735" spans="1:8" s="1" customFormat="1"/>
    <x:row r="736" spans="1:8" s="4" customFormat="1"/>
    <x:row r="737" spans="1:8" s="3" customFormat="1"/>
    <x:row r="738" spans="1:8" s="1" customFormat="1"/>
    <x:row r="739" spans="1:8" s="4" customFormat="1"/>
    <x:row r="740" spans="1:8" s="3" customFormat="1"/>
    <x:row r="741" spans="1:8" s="1" customFormat="1"/>
    <x:row r="742" spans="1:8" s="4" customFormat="1"/>
    <x:row r="743" spans="1:8" s="3" customFormat="1"/>
    <x:row r="744" spans="1:8" s="1" customFormat="1"/>
    <x:row r="745" spans="1:8" s="4" customFormat="1"/>
    <x:row r="746" spans="1:8" s="3" customFormat="1"/>
    <x:row r="747" spans="1:8" s="1" customFormat="1"/>
    <x:row r="748" spans="1:8" s="4" customFormat="1"/>
    <x:row r="749" spans="1:8" s="3" customFormat="1"/>
    <x:row r="750" spans="1:8" s="1" customFormat="1"/>
    <x:row r="751" spans="1:8" s="4" customFormat="1"/>
    <x:row r="752" spans="1:8" s="3" customFormat="1"/>
    <x:row r="753" spans="1:8" s="1" customFormat="1"/>
    <x:row r="754" spans="1:8" s="4" customFormat="1"/>
    <x:row r="755" spans="1:8" s="3" customFormat="1"/>
    <x:row r="756" spans="1:8" s="1" customFormat="1"/>
    <x:row r="757" spans="1:8" s="4" customFormat="1"/>
    <x:row r="758" spans="1:8" s="3" customFormat="1"/>
    <x:row r="759" spans="1:8" s="1" customFormat="1"/>
    <x:row r="760" spans="1:8" s="4" customFormat="1"/>
    <x:row r="761" spans="1:8" s="3" customFormat="1"/>
    <x:row r="762" spans="1:8" s="1" customFormat="1"/>
    <x:row r="763" spans="1:8" s="4" customFormat="1"/>
    <x:row r="764" spans="1:8" s="3" customFormat="1"/>
    <x:row r="765" spans="1:8" s="1" customFormat="1"/>
    <x:row r="766" spans="1:8" s="4" customFormat="1"/>
    <x:row r="767" spans="1:8" s="3" customFormat="1"/>
    <x:row r="768" spans="1:8" s="1" customFormat="1"/>
    <x:row r="769" spans="1:8" s="4" customFormat="1"/>
    <x:row r="770" spans="1:8" s="3" customFormat="1"/>
    <x:row r="771" spans="1:8" s="1" customFormat="1"/>
    <x:row r="772" spans="1:8" s="4" customFormat="1"/>
    <x:row r="773" spans="1:8" s="3" customFormat="1"/>
    <x:row r="774" spans="1:8" s="1" customFormat="1"/>
    <x:row r="775" spans="1:8" s="4" customFormat="1"/>
    <x:row r="776" spans="1:8" s="3" customFormat="1"/>
    <x:row r="777" spans="1:8" s="1" customFormat="1"/>
    <x:row r="778" spans="1:8" s="4" customFormat="1"/>
    <x:row r="779" spans="1:8" s="3" customFormat="1"/>
    <x:row r="780" spans="1:8" s="1" customFormat="1"/>
    <x:row r="781" spans="1:8" s="4" customFormat="1"/>
    <x:row r="782" spans="1:8" s="3" customFormat="1"/>
    <x:row r="783" spans="1:8" s="1" customFormat="1"/>
    <x:row r="784" spans="1:8" s="4" customFormat="1"/>
    <x:row r="785" spans="1:8" s="3" customFormat="1"/>
    <x:row r="786" spans="1:8" s="1" customFormat="1"/>
    <x:row r="787" spans="1:8" s="4" customFormat="1"/>
    <x:row r="788" spans="1:8" s="3" customFormat="1"/>
    <x:row r="789" spans="1:8" s="1" customFormat="1"/>
    <x:row r="790" spans="1:8" s="4" customFormat="1"/>
    <x:row r="791" spans="1:8" s="3" customFormat="1"/>
    <x:row r="792" spans="1:8" s="1" customFormat="1"/>
    <x:row r="793" spans="1:8" s="4" customFormat="1"/>
    <x:row r="794" spans="1:8" s="3" customFormat="1"/>
    <x:row r="795" spans="1:8" s="1" customFormat="1"/>
    <x:row r="796" spans="1:8" s="4" customFormat="1"/>
    <x:row r="797" spans="1:8" s="3" customFormat="1"/>
    <x:row r="798" spans="1:8" s="1" customFormat="1"/>
    <x:row r="799" spans="1:8" s="4" customFormat="1"/>
    <x:row r="800" spans="1:8" s="3" customFormat="1"/>
    <x:row r="801" spans="1:8" s="1" customFormat="1"/>
    <x:row r="802" spans="1:8" s="4" customFormat="1"/>
    <x:row r="803" spans="1:8" s="3" customFormat="1"/>
    <x:row r="804" spans="1:8" s="1" customFormat="1"/>
    <x:row r="805" spans="1:8" s="4" customFormat="1"/>
    <x:row r="806" spans="1:8" s="3" customFormat="1"/>
    <x:row r="807" spans="1:8" s="1" customFormat="1"/>
    <x:row r="808" spans="1:8" s="4" customFormat="1"/>
    <x:row r="809" spans="1:8" s="3" customFormat="1"/>
    <x:row r="810" spans="1:8" s="1" customFormat="1"/>
    <x:row r="811" spans="1:8" s="4" customFormat="1"/>
    <x:row r="812" spans="1:8" s="3" customFormat="1"/>
    <x:row r="813" spans="1:8" s="1" customFormat="1"/>
    <x:row r="814" spans="1:8" s="4" customFormat="1"/>
    <x:row r="815" spans="1:8" s="3" customFormat="1"/>
    <x:row r="816" spans="1:8" s="1" customFormat="1"/>
    <x:row r="817" spans="1:8" s="4" customFormat="1"/>
    <x:row r="818" spans="1:8" s="3" customFormat="1"/>
    <x:row r="819" spans="1:8" s="1" customFormat="1"/>
    <x:row r="820" spans="1:8" s="4" customFormat="1"/>
    <x:row r="821" spans="1:8" s="3" customFormat="1"/>
    <x:row r="822" spans="1:8" s="1" customFormat="1"/>
    <x:row r="823" spans="1:8" s="4" customFormat="1"/>
    <x:row r="824" spans="1:8" s="3" customFormat="1"/>
    <x:row r="825" spans="1:8" s="1" customFormat="1"/>
    <x:row r="826" spans="1:8" s="4" customFormat="1"/>
    <x:row r="827" spans="1:8" s="3" customFormat="1"/>
    <x:row r="828" spans="1:8" s="1" customFormat="1"/>
    <x:row r="829" spans="1:8" s="4" customFormat="1"/>
    <x:row r="830" spans="1:8" s="3" customFormat="1"/>
    <x:row r="831" spans="1:8" s="1" customFormat="1"/>
    <x:row r="832" spans="1:8" s="4" customFormat="1"/>
    <x:row r="833" spans="1:8" s="3" customFormat="1"/>
    <x:row r="834" spans="1:8" s="1" customFormat="1"/>
    <x:row r="835" spans="1:8" s="4" customFormat="1"/>
    <x:row r="836" spans="1:8" s="3" customFormat="1"/>
    <x:row r="837" spans="1:8" s="1" customFormat="1"/>
    <x:row r="838" spans="1:8" s="4" customFormat="1"/>
    <x:row r="839" spans="1:8" s="3" customFormat="1"/>
    <x:row r="840" spans="1:8" s="1" customFormat="1"/>
    <x:row r="841" spans="1:8" s="4" customFormat="1"/>
    <x:row r="842" spans="1:8" s="3" customFormat="1"/>
    <x:row r="843" spans="1:8" s="1" customFormat="1"/>
    <x:row r="844" spans="1:8" s="4" customFormat="1"/>
    <x:row r="845" spans="1:8" s="3" customFormat="1"/>
    <x:row r="846" spans="1:8" s="1" customFormat="1"/>
    <x:row r="847" spans="1:8" s="4" customFormat="1"/>
    <x:row r="848" spans="1:8" s="3" customFormat="1"/>
    <x:row r="849" spans="1:8" s="1" customFormat="1"/>
    <x:row r="850" spans="1:8" s="4" customFormat="1"/>
    <x:row r="851" spans="1:8" s="3" customFormat="1"/>
    <x:row r="852" spans="1:8" s="1" customFormat="1"/>
    <x:row r="853" spans="1:8" s="4" customFormat="1"/>
    <x:row r="854" spans="1:8" s="3" customFormat="1"/>
    <x:row r="855" spans="1:8" s="1" customFormat="1"/>
    <x:row r="856" spans="1:8" s="4" customFormat="1"/>
    <x:row r="857" spans="1:8" s="3" customFormat="1"/>
    <x:row r="858" spans="1:8" s="1" customFormat="1"/>
    <x:row r="859" spans="1:8" s="4" customFormat="1"/>
    <x:row r="860" spans="1:8" s="3" customFormat="1"/>
    <x:row r="861" spans="1:8" s="1" customFormat="1"/>
    <x:row r="862" spans="1:8" s="4" customFormat="1"/>
    <x:row r="863" spans="1:8" s="3" customFormat="1"/>
    <x:row r="864" spans="1:8" s="1" customFormat="1"/>
    <x:row r="865" spans="1:8" s="4" customFormat="1"/>
    <x:row r="866" spans="1:8" s="3" customFormat="1"/>
    <x:row r="867" spans="1:8" s="1" customFormat="1"/>
    <x:row r="868" spans="1:8" s="4" customFormat="1"/>
    <x:row r="869" spans="1:8" s="3" customFormat="1"/>
    <x:row r="870" spans="1:8" s="1" customFormat="1"/>
    <x:row r="871" spans="1:8" s="4" customFormat="1"/>
    <x:row r="872" spans="1:8" s="3" customFormat="1"/>
    <x:row r="873" spans="1:8" s="1" customFormat="1"/>
    <x:row r="874" spans="1:8" s="4" customFormat="1"/>
    <x:row r="875" spans="1:8" s="3" customFormat="1"/>
    <x:row r="876" spans="1:8" s="1" customFormat="1"/>
    <x:row r="877" spans="1:8" s="4" customFormat="1"/>
    <x:row r="878" spans="1:8" s="3" customFormat="1"/>
    <x:row r="879" spans="1:8" s="1" customFormat="1"/>
    <x:row r="880" spans="1:8" s="4" customFormat="1"/>
    <x:row r="881" spans="1:8" s="3" customFormat="1"/>
    <x:row r="882" spans="1:8" s="1" customFormat="1"/>
    <x:row r="883" spans="1:8" s="4" customFormat="1"/>
    <x:row r="884" spans="1:8" s="3" customFormat="1"/>
    <x:row r="885" spans="1:8" s="1" customFormat="1"/>
    <x:row r="886" spans="1:8" s="4" customFormat="1"/>
    <x:row r="887" spans="1:8" s="3" customFormat="1"/>
    <x:row r="888" spans="1:8" s="1" customFormat="1"/>
    <x:row r="889" spans="1:8" s="4" customFormat="1"/>
    <x:row r="890" spans="1:8" s="3" customFormat="1"/>
    <x:row r="891" spans="1:8" s="1" customFormat="1"/>
    <x:row r="892" spans="1:8" s="4" customFormat="1"/>
    <x:row r="893" spans="1:8" s="3" customFormat="1"/>
    <x:row r="894" spans="1:8" s="1" customFormat="1"/>
    <x:row r="895" spans="1:8" s="4" customFormat="1"/>
    <x:row r="896" spans="1:8" s="3" customFormat="1"/>
    <x:row r="897" spans="1:8" s="1" customFormat="1"/>
    <x:row r="898" spans="1:8" s="4" customFormat="1"/>
    <x:row r="899" spans="1:8" s="3" customFormat="1"/>
    <x:row r="900" spans="1:8" s="1" customFormat="1"/>
    <x:row r="901" spans="1:8" s="4" customFormat="1"/>
    <x:row r="902" spans="1:8" s="3" customFormat="1"/>
    <x:row r="903" spans="1:8" s="1" customFormat="1"/>
    <x:row r="904" spans="1:8" s="4" customFormat="1"/>
    <x:row r="905" spans="1:8" s="3" customFormat="1"/>
    <x:row r="906" spans="1:8" s="1" customFormat="1"/>
    <x:row r="907" spans="1:8" s="4" customFormat="1"/>
    <x:row r="908" spans="1:8" s="3" customFormat="1"/>
    <x:row r="909" spans="1:8" s="1" customFormat="1"/>
    <x:row r="910" spans="1:8" s="4" customFormat="1"/>
    <x:row r="911" spans="1:8" s="3" customFormat="1"/>
    <x:row r="912" spans="1:8" s="1" customFormat="1"/>
    <x:row r="913" spans="1:8" s="4" customFormat="1"/>
    <x:row r="914" spans="1:8" s="3" customFormat="1"/>
    <x:row r="915" spans="1:8" s="1" customFormat="1"/>
    <x:row r="916" spans="1:8" s="4" customFormat="1"/>
    <x:row r="917" spans="1:8" s="3" customFormat="1"/>
    <x:row r="918" spans="1:8" s="1" customFormat="1"/>
    <x:row r="919" spans="1:8" s="4" customFormat="1"/>
    <x:row r="920" spans="1:8" s="3" customFormat="1"/>
    <x:row r="921" spans="1:8" s="1" customFormat="1"/>
    <x:row r="922" spans="1:8" s="4" customFormat="1"/>
    <x:row r="923" spans="1:8" s="3" customFormat="1"/>
    <x:row r="924" spans="1:8" s="1" customFormat="1"/>
    <x:row r="925" spans="1:8" s="4" customFormat="1"/>
    <x:row r="926" spans="1:8" s="3" customFormat="1"/>
    <x:row r="927" spans="1:8" s="1" customFormat="1"/>
    <x:row r="928" spans="1:8" s="4" customFormat="1"/>
    <x:row r="929" spans="1:8" s="3" customFormat="1"/>
    <x:row r="930" spans="1:8" s="1" customFormat="1"/>
    <x:row r="931" spans="1:8" s="4" customFormat="1"/>
    <x:row r="932" spans="1:8" s="3" customFormat="1"/>
    <x:row r="933" spans="1:8" s="1" customFormat="1"/>
    <x:row r="934" spans="1:8" s="4" customFormat="1"/>
    <x:row r="935" spans="1:8" s="3" customFormat="1"/>
    <x:row r="936" spans="1:8" s="1" customFormat="1"/>
    <x:row r="937" spans="1:8" s="4" customFormat="1"/>
    <x:row r="938" spans="1:8" s="3" customFormat="1"/>
    <x:row r="939" spans="1:8" s="1" customFormat="1"/>
    <x:row r="940" spans="1:8" s="4" customFormat="1"/>
    <x:row r="941" spans="1:8" s="3" customFormat="1"/>
    <x:row r="942" spans="1:8" s="1" customFormat="1"/>
    <x:row r="943" spans="1:8" s="4" customFormat="1"/>
    <x:row r="944" spans="1:8" s="3" customFormat="1"/>
    <x:row r="945" spans="1:8" s="1" customFormat="1"/>
    <x:row r="946" spans="1:8" s="4" customFormat="1"/>
    <x:row r="947" spans="1:8" s="3" customFormat="1"/>
    <x:row r="948" spans="1:8" s="1" customFormat="1"/>
    <x:row r="949" spans="1:8" s="4" customFormat="1"/>
    <x:row r="950" spans="1:8" s="3" customFormat="1"/>
    <x:row r="951" spans="1:8" s="1" customFormat="1"/>
    <x:row r="952" spans="1:8" s="4" customFormat="1"/>
    <x:row r="953" spans="1:8" s="3" customFormat="1"/>
    <x:row r="954" spans="1:8" s="1" customFormat="1"/>
    <x:row r="955" spans="1:8" s="4" customFormat="1"/>
    <x:row r="956" spans="1:8" s="3" customFormat="1"/>
    <x:row r="957" spans="1:8" s="1" customFormat="1"/>
    <x:row r="958" spans="1:8" s="4" customFormat="1"/>
    <x:row r="959" spans="1:8" s="3" customFormat="1"/>
    <x:row r="960" spans="1:8" s="1" customFormat="1"/>
    <x:row r="961" spans="1:8" s="4" customFormat="1"/>
    <x:row r="962" spans="1:8" s="3" customFormat="1"/>
    <x:row r="963" spans="1:8" s="1" customFormat="1"/>
    <x:row r="964" spans="1:8" s="4" customFormat="1"/>
    <x:row r="965" spans="1:8" s="3" customFormat="1"/>
    <x:row r="966" spans="1:8" s="1" customFormat="1"/>
    <x:row r="967" spans="1:8" s="4" customFormat="1"/>
    <x:row r="968" spans="1:8" s="3" customFormat="1"/>
    <x:row r="969" spans="1:8" s="1" customFormat="1"/>
    <x:row r="970" spans="1:8" s="4" customFormat="1"/>
    <x:row r="971" spans="1:8" s="3" customFormat="1"/>
    <x:row r="972" spans="1:8" s="1" customFormat="1"/>
    <x:row r="973" spans="1:8" s="4" customFormat="1"/>
    <x:row r="974" spans="1:8" s="3" customFormat="1"/>
    <x:row r="975" spans="1:8" s="1" customFormat="1"/>
    <x:row r="976" spans="1:8" s="4" customFormat="1"/>
    <x:row r="977" spans="1:8" s="3" customFormat="1"/>
    <x:row r="978" spans="1:8" s="1" customFormat="1"/>
    <x:row r="979" spans="1:8" s="4" customFormat="1"/>
    <x:row r="980" spans="1:8" s="3" customFormat="1"/>
    <x:row r="981" spans="1:8" s="1" customFormat="1"/>
    <x:row r="982" spans="1:8" s="4" customFormat="1"/>
    <x:row r="983" spans="1:8" s="3" customFormat="1"/>
    <x:row r="984" spans="1:8" s="1" customFormat="1"/>
    <x:row r="985" spans="1:8" s="4" customFormat="1"/>
    <x:row r="986" spans="1:8" s="3" customFormat="1"/>
    <x:row r="987" spans="1:8" s="1" customFormat="1"/>
    <x:row r="988" spans="1:8" s="4" customFormat="1"/>
    <x:row r="989" spans="1:8" s="3" customFormat="1"/>
    <x:row r="990" spans="1:8" s="1" customFormat="1"/>
    <x:row r="991" spans="1:8" s="4" customFormat="1"/>
    <x:row r="992" spans="1:8" s="3" customFormat="1"/>
    <x:row r="993" spans="1:8" s="1" customFormat="1"/>
    <x:row r="994" spans="1:8" s="4" customFormat="1"/>
    <x:row r="995" spans="1:8" s="3" customFormat="1"/>
    <x:row r="996" spans="1:8" s="1" customFormat="1"/>
    <x:row r="997" spans="1:8" s="4" customFormat="1"/>
    <x:row r="998" spans="1:8" s="3" customFormat="1"/>
    <x:row r="999" spans="1:8" s="1" customFormat="1"/>
    <x:row r="1000" spans="1:8" s="4" customFormat="1"/>
    <x:row r="1001" spans="1:8" s="3" customFormat="1"/>
    <x:row r="1002" spans="1:8" s="1" customFormat="1"/>
    <x:row r="1003" spans="1:8" s="4" customFormat="1"/>
    <x:row r="1004" spans="1:8" s="3" customFormat="1"/>
    <x:row r="1005" spans="1:8" s="1" customFormat="1"/>
    <x:row r="1006" spans="1:8" s="4" customFormat="1"/>
    <x:row r="1007" spans="1:8" s="3" customFormat="1"/>
    <x:row r="1008" spans="1:8" s="1" customFormat="1"/>
    <x:row r="1009" spans="1:8" s="4" customFormat="1"/>
    <x:row r="1010" spans="1:8" s="3" customFormat="1"/>
    <x:row r="1011" spans="1:8" s="1" customFormat="1"/>
    <x:row r="1012" spans="1:8" s="4" customFormat="1"/>
    <x:row r="1013" spans="1:8" s="3" customFormat="1"/>
    <x:row r="1014" spans="1:8" s="1" customFormat="1"/>
    <x:row r="1015" spans="1:8" s="4" customFormat="1"/>
    <x:row r="1016" spans="1:8" s="3" customFormat="1"/>
    <x:row r="1017" spans="1:8" s="1" customFormat="1"/>
    <x:row r="1018" spans="1:8" s="4" customFormat="1"/>
    <x:row r="1019" spans="1:8" s="3" customFormat="1"/>
    <x:row r="1020" spans="1:8" s="1" customFormat="1"/>
    <x:row r="1021" spans="1:8" s="4" customFormat="1"/>
    <x:row r="1022" spans="1:8" s="3" customFormat="1"/>
    <x:row r="1023" spans="1:8" s="1" customFormat="1"/>
    <x:row r="1024" spans="1:8" s="4" customFormat="1"/>
    <x:row r="1025" spans="1:8" s="3" customFormat="1"/>
    <x:row r="1026" spans="1:8" s="1" customFormat="1"/>
    <x:row r="1027" spans="1:8" s="4" customFormat="1"/>
    <x:row r="1028" spans="1:8" s="3" customFormat="1"/>
    <x:row r="1029" spans="1:8" s="1" customFormat="1"/>
    <x:row r="1030" spans="1:8" s="4" customFormat="1"/>
    <x:row r="1031" spans="1:8" s="3" customFormat="1"/>
    <x:row r="1032" spans="1:8" s="1" customFormat="1"/>
  </x:sheetData>
  <x:hyperlinks>
    <x:hyperlink ref="C3" r:id="rId3589" tooltip="Send a mail to stakterinacons@outlook.com"/>
    <x:hyperlink ref="C4" r:id="rId3590" tooltip="Send a mail to info@stanthonyww.com"/>
    <x:hyperlink ref="C5" r:id="rId3591" tooltip="Send a mail to info@framegrip.com"/>
    <x:hyperlink ref="C6" r:id="rId3592" tooltip="Send a mail to sales@jlautier.com"/>
    <x:hyperlink ref="C7" r:id="rId3593" tooltip="Send a mail to sales@newstylesmalta.com"/>
    <x:hyperlink ref="C8" r:id="rId3594" tooltip="Send a mail to info@grimafurniture.com"/>
    <x:hyperlink ref="C9" r:id="rId3595" tooltip="Send a mail to info@amabilegalea.com"/>
    <x:hyperlink ref="C10" r:id="rId3596" tooltip="Send a mail to info@gozoaluminium.com"/>
    <x:hyperlink ref="C11" r:id="rId3597" tooltip="Send a mail to info@a1finishesltd.com"/>
    <x:hyperlink ref="C12" r:id="rId3598" tooltip="Send a mail to parus984@gmail.com"/>
    <x:hyperlink ref="C13" r:id="rId3599" tooltip="Send a mail to info@afdaaluminium.com"/>
    <x:hyperlink ref="C14" r:id="rId3600" tooltip="Send a mail to info@brandimports.com.mt"/>
    <x:hyperlink ref="C15" r:id="rId3601" tooltip="Send a mail to j3aluminium@gmail.com"/>
    <x:hyperlink ref="C16" r:id="rId3602" tooltip="Send a mail to nu-aluminium@outlook.com"/>
    <x:hyperlink ref="C17" r:id="rId3603" tooltip="Send a mail to info@ihomes.com.mt"/>
    <x:hyperlink ref="C18" r:id="rId3604" tooltip="Send a mail to info@nicholas.mt"/>
    <x:hyperlink ref="C19" r:id="rId3605" tooltip="Send a mail to chayron186@gmail.com"/>
    <x:hyperlink ref="C20" r:id="rId3606" tooltip="Send a mail to josefvella72@gmail.com"/>
    <x:hyperlink ref="C21" r:id="rId3607" tooltip="Send a mail to abelawoodworks@gmail.com"/>
    <x:hyperlink ref="C22" r:id="rId3608" tooltip="Send a mail to northalu@gmail.com"/>
    <x:hyperlink ref="C23" r:id="rId3609" tooltip="Send a mail to agood.installations@yahoo.com"/>
    <x:hyperlink ref="C24" r:id="rId3610" tooltip="Send a mail to gsf-1200@hotmail.com"/>
    <x:hyperlink ref="C25" r:id="rId3611" tooltip="Send a mail to jsbaluminiumworks@gmail.com"/>
    <x:hyperlink ref="C26" r:id="rId3612" tooltip="Send a mail to mario.camilleri9@gmail.com"/>
    <x:hyperlink ref="C27" r:id="rId3613" tooltip="Send a mail to info@acaluminium.com"/>
    <x:hyperlink ref="C28" r:id="rId3614" tooltip="Send a mail to lexport@go.com.mt"/>
    <x:hyperlink ref="C29" r:id="rId3615" tooltip="Send a mail to sales@adoremore.eu"/>
    <x:hyperlink ref="C30" r:id="rId3616" tooltip="Send a mail to alfalu@melita.com"/>
    <x:hyperlink ref="C31" r:id="rId3617" tooltip="Send a mail to xandrumallia@gmail.com"/>
    <x:hyperlink ref="C32" r:id="rId3618" tooltip="Send a mail to info@alukey.com.mt"/>
    <x:hyperlink ref="C33" r:id="rId3619" tooltip="Send a mail to info@aluminiumltd.com"/>
    <x:hyperlink ref="C34" r:id="rId3620" tooltip="Send a mail to info@aluwoodmalta.com"/>
    <x:hyperlink ref="C35" r:id="rId3621" tooltip="Send a mail to andrewvella66@gmail.com"/>
    <x:hyperlink ref="C36" r:id="rId3622" tooltip="Send a mail to azzopardialuminiumworks@gmail.com"/>
    <x:hyperlink ref="C37" r:id="rId3623" tooltip="Send a mail to info@basonaluminium.com"/>
    <x:hyperlink ref="C38" r:id="rId3624" tooltip="Send a mail to borgaluminiummalta@gmail.com"/>
    <x:hyperlink ref="C39" r:id="rId3625" tooltip="Send a mail to henry@bpapertures.com"/>
    <x:hyperlink ref="C40" r:id="rId3626" tooltip="Send a mail to cdsaluminium@gmail.com"/>
    <x:hyperlink ref="C41" r:id="rId3627" tooltip="Send a mail to info@cagroup.com.mt"/>
    <x:hyperlink ref="C42" r:id="rId3628" tooltip="Send a mail to mrgmv@onvol.net"/>
    <x:hyperlink ref="C43" r:id="rId3629" tooltip="Send a mail to chocoaluminium@gmail.com"/>
    <x:hyperlink ref="C44" r:id="rId3630" tooltip="Send a mail to info@comforabita.com"/>
    <x:hyperlink ref="C45" r:id="rId3631" tooltip="Send a mail to cba@cba.com.mt"/>
    <x:hyperlink ref="C46" r:id="rId3632" tooltip="Send a mail to daniobarbara1977@gmail.com"/>
    <x:hyperlink ref="C47" r:id="rId3633" tooltip="Send a mail to savdim65@gmail.com"/>
    <x:hyperlink ref="C48" r:id="rId3634" tooltip="Send a mail to info@dinglialuminium.com"/>
    <x:hyperlink ref="C49" r:id="rId3635" tooltip="Send a mail to sales@pvcmalta.com"/>
    <x:hyperlink ref="C50" r:id="rId3636" tooltip="Send a mail to dxaluworks@gmail.com"/>
    <x:hyperlink ref="C51" r:id="rId3637" tooltip="Send a mail to info@expressaluminium.com"/>
    <x:hyperlink ref="C52" r:id="rId3638" tooltip="Send a mail to simdebwebb@hotmail.com"/>
    <x:hyperlink ref="C53" r:id="rId3639" tooltip="Send a mail to sales@finestralmalta.com"/>
    <x:hyperlink ref="C54" r:id="rId3640" tooltip="Send a mail to faworks123@gmail.com"/>
    <x:hyperlink ref="C55" r:id="rId3641" tooltip="Send a mail to azzopardimark8@gmail.com"/>
    <x:hyperlink ref="C56" r:id="rId3642" tooltip="Send a mail to info@alugiorgio.com"/>
    <x:hyperlink ref="C57" r:id="rId3643" tooltip="Send a mail to info@grahamaluminium.com"/>
    <x:hyperlink ref="C58" r:id="rId3644" tooltip="Send a mail to guysmalta@gmail.com"/>
    <x:hyperlink ref="C59" r:id="rId3645" tooltip="Send a mail to horvinltd@gmail.com"/>
    <x:hyperlink ref="C61" r:id="rId3646" tooltip="Send a mail to johnjandb@gmail.com"/>
    <x:hyperlink ref="C62" r:id="rId3647" tooltip="Send a mail to info@jcdaluminium.com"/>
    <x:hyperlink ref="C63" r:id="rId3648" tooltip="Send a mail to jk.aluminium@yahoo.com"/>
    <x:hyperlink ref="C64" r:id="rId3649" tooltip="Send a mail to admin@jamarmalta.com"/>
    <x:hyperlink ref="C65" r:id="rId3650" tooltip="Send a mail to info@jasonaluminium.com"/>
    <x:hyperlink ref="C66" r:id="rId3651" tooltip="Send a mail to kkalworks@gmail.com"/>
    <x:hyperlink ref="C67" r:id="rId3652" tooltip="Send a mail to bjorn.vassallo@gmail.com"/>
    <x:hyperlink ref="C68" r:id="rId3653" tooltip="Send a mail to gmuscat@live.com"/>
    <x:hyperlink ref="C69" r:id="rId3654" tooltip="Send a mail to nicdimech@gmail.com"/>
    <x:hyperlink ref="C70" r:id="rId3655" tooltip="Send a mail to Info@perfectum.mt"/>
    <x:hyperlink ref="C71" r:id="rId3656" tooltip="Send a mail to matteo.pisani40@gmail.com"/>
    <x:hyperlink ref="C72" r:id="rId3657" tooltip="Send a mail to qormialum@gmail.com"/>
    <x:hyperlink ref="C73" r:id="rId3658" tooltip="Send a mail to rcalworks@gmail.com"/>
    <x:hyperlink ref="C74" r:id="rId3659" tooltip="Send a mail to rapa.aluminium@gmail.com"/>
    <x:hyperlink ref="C75" r:id="rId3660" tooltip="Send a mail to raymondfarrugia74@gmail.com"/>
    <x:hyperlink ref="C76" r:id="rId3661" tooltip="Send a mail to refinedaluworks@gmail.com"/>
    <x:hyperlink ref="C77" r:id="rId3662" tooltip="Send a mail to info@servgroupmalta.com"/>
    <x:hyperlink ref="C79" r:id="rId3663" tooltip="Send a mail to info@sptechniques.com"/>
    <x:hyperlink ref="C80" r:id="rId3664" tooltip="Send a mail to sunaluminium@hotmail.com"/>
    <x:hyperlink ref="C81" r:id="rId3665" tooltip="Send a mail to t.camillerialuminium@hotmail.com"/>
    <x:hyperlink ref="C82" r:id="rId3666" tooltip="Send a mail to info@towergroupmalta.com"/>
    <x:hyperlink ref="C83" r:id="rId3667" tooltip="Send a mail to info@trendsltdmalta.com"/>
    <x:hyperlink ref="C84" r:id="rId3668" tooltip="Send a mail to mario@windmillmalta.com"/>
    <x:hyperlink ref="C86" r:id="rId3669" tooltip="Send a mail to luke@woodware.com.mt"/>
    <x:hyperlink ref="C87" r:id="rId3670" tooltip="Send a mail to zammitalu@gmail.com"/>
    <x:hyperlink ref="C89" r:id="rId3671" tooltip="Send a mail to info@framegrip.com"/>
    <x:hyperlink ref="C90" r:id="rId3672" tooltip="Send a mail to sales@jlautier.com"/>
    <x:hyperlink ref="C91" r:id="rId3673" tooltip="Send a mail to info@a1finishesltd.com"/>
    <x:hyperlink ref="C92" r:id="rId3674" tooltip="Send a mail to sales@newstylesmalta.com"/>
    <x:hyperlink ref="C93" r:id="rId3675" tooltip="Send a mail to info@amabilegalea.com"/>
    <x:hyperlink ref="C94" r:id="rId3676" tooltip="Send a mail to info@gozoaluminium.com"/>
    <x:hyperlink ref="C95" r:id="rId3677" tooltip="Send a mail to nu-aluminium@outlook.com"/>
    <x:hyperlink ref="C96" r:id="rId3678" tooltip="Send a mail to info@sfdoorstyles.com.mt"/>
    <x:hyperlink ref="C97" r:id="rId3679" tooltip="Send a mail to parus984@gmail.com"/>
    <x:hyperlink ref="C98" r:id="rId3680" tooltip="Send a mail to info@afdaaluminium.com"/>
    <x:hyperlink ref="C99" r:id="rId3681" tooltip="Send a mail to info@brandimports.com.mt"/>
    <x:hyperlink ref="C100" r:id="rId3682" tooltip="Send a mail to j3aluminium@gmail.com"/>
    <x:hyperlink ref="C101" r:id="rId3683" tooltip="Send a mail to info@nicholas.mt"/>
    <x:hyperlink ref="C102" r:id="rId3684" tooltip="Send a mail to info@ihomes.com.mt"/>
    <x:hyperlink ref="C103" r:id="rId3685" tooltip="Send a mail to chayron186@gmail.com"/>
    <x:hyperlink ref="C104" r:id="rId3686" tooltip="Send a mail to josefvella72@gmail.com"/>
    <x:hyperlink ref="C105" r:id="rId3687" tooltip="Send a mail to northalu@gmail.com"/>
    <x:hyperlink ref="C106" r:id="rId3688" tooltip="Send a mail to agood.installations@yahoo.com"/>
    <x:hyperlink ref="C107" r:id="rId3689" tooltip="Send a mail to gsf-1200@hotmail.com"/>
    <x:hyperlink ref="C108" r:id="rId3690" tooltip="Send a mail to jsbaluminiumworks@gmail.com"/>
    <x:hyperlink ref="C109" r:id="rId3691" tooltip="Send a mail to sales@doorsandmore.in"/>
    <x:hyperlink ref="C110" r:id="rId3692" tooltip="Send a mail to mario.camilleri9@gmail.com"/>
    <x:hyperlink ref="C111" r:id="rId3693" tooltip="Send a mail to info@acaluminium.com"/>
    <x:hyperlink ref="C112" r:id="rId3694" tooltip="Send a mail to lexport@go.com.mt"/>
    <x:hyperlink ref="C113" r:id="rId3695" tooltip="Send a mail to sales@adoremore.eu"/>
    <x:hyperlink ref="C114" r:id="rId3696" tooltip="Send a mail to info@acmamalta.com"/>
    <x:hyperlink ref="C115" r:id="rId3697" tooltip="Send a mail to alfalu@melita.com"/>
    <x:hyperlink ref="C116" r:id="rId3698" tooltip="Send a mail to xandrumallia@gmail.com"/>
    <x:hyperlink ref="C117" r:id="rId3699" tooltip="Send a mail to info@alukey.com.mt"/>
    <x:hyperlink ref="C118" r:id="rId3700" tooltip="Send a mail to info@aluminiumltd.com"/>
    <x:hyperlink ref="C119" r:id="rId3701" tooltip="Send a mail to info@aluwoodmalta.com"/>
    <x:hyperlink ref="C120" r:id="rId3702" tooltip="Send a mail to andrewvella66@gmail.com"/>
    <x:hyperlink ref="C121" r:id="rId3703" tooltip="Send a mail to azzopardialumworks@gmail.com"/>
    <x:hyperlink ref="C122" r:id="rId3704" tooltip="Send a mail to info@basonaluminium.com"/>
    <x:hyperlink ref="C123" r:id="rId3705" tooltip="Send a mail to borgaluminiummalta@gmail.com"/>
    <x:hyperlink ref="C124" r:id="rId3706" tooltip="Send a mail to henry@bpapertures.com"/>
    <x:hyperlink ref="C125" r:id="rId3707" tooltip="Send a mail to cdsaluminium@gmail.com"/>
    <x:hyperlink ref="C126" r:id="rId3708" tooltip="Send a mail to info@cagroup.com.mt"/>
    <x:hyperlink ref="C127" r:id="rId3709" tooltip="Send a mail to tc@aluminium.mt"/>
    <x:hyperlink ref="C128" r:id="rId3710" tooltip="Send a mail to mrgmv@onvol.net"/>
    <x:hyperlink ref="C129" r:id="rId3711" tooltip="Send a mail to chocoaluminium@gmail.com"/>
    <x:hyperlink ref="C130" r:id="rId3712" tooltip="Send a mail to daniobarbara1977@gmail.com"/>
    <x:hyperlink ref="C131" r:id="rId3713" tooltip="Send a mail to info@deckor.com.mt"/>
    <x:hyperlink ref="C132" r:id="rId3714" tooltip="Send a mail to savdim65@gmail.com"/>
    <x:hyperlink ref="C133" r:id="rId3715" tooltip="Send a mail to info@dinglialuminium.com"/>
    <x:hyperlink ref="C134" r:id="rId3716" tooltip="Send a mail to sales@pvcmalta.com"/>
    <x:hyperlink ref="C135" r:id="rId3717" tooltip="Send a mail to dxaluworks@gmail.com"/>
    <x:hyperlink ref="C136" r:id="rId3718" tooltip="Send a mail to info@expressaluminium.com"/>
    <x:hyperlink ref="C137" r:id="rId3719" tooltip="Send a mail to simdebwebb@hotmail.com"/>
    <x:hyperlink ref="C138" r:id="rId3720" tooltip="Send a mail to faworks123@gmail.com"/>
    <x:hyperlink ref="C139" r:id="rId3721" tooltip="Send a mail to azzopardimark8@gmail.com"/>
    <x:hyperlink ref="C140" r:id="rId3722" tooltip="Send a mail to info@alugiorgio.com"/>
    <x:hyperlink ref="C141" r:id="rId3723" tooltip="Send a mail to info@grahamaluminium.com"/>
    <x:hyperlink ref="C142" r:id="rId3724" tooltip="Send a mail to guysmalta@gmail.com"/>
    <x:hyperlink ref="C143" r:id="rId3725" tooltip="Send a mail to horvinltd@gmail.com"/>
    <x:hyperlink ref="C145" r:id="rId3726" tooltip="Send a mail to johnjandb@gmail.com"/>
    <x:hyperlink ref="C146" r:id="rId3727" tooltip="Send a mail to info@jcdaluminium.com"/>
    <x:hyperlink ref="C147" r:id="rId3728" tooltip="Send a mail to jk.aluminium@yahoo.com"/>
    <x:hyperlink ref="C148" r:id="rId3729" tooltip="Send a mail to info@jamarmalta.com"/>
    <x:hyperlink ref="C149" r:id="rId3730" tooltip="Send a mail to kkalworks@gmail.com"/>
    <x:hyperlink ref="C150" r:id="rId3731" tooltip="Send a mail to bjorn.vassallo@gmail.com"/>
    <x:hyperlink ref="C151" r:id="rId3732" tooltip="Send a mail to gmuscat@live.com"/>
    <x:hyperlink ref="C152" r:id="rId3733" tooltip="Send a mail to nicdimech@gmail.com"/>
    <x:hyperlink ref="C153" r:id="rId3734" tooltip="Send a mail to info@nigeldimech.com"/>
    <x:hyperlink ref="C154" r:id="rId3735" tooltip="Send a mail to matteo.pisani40@gmail.com"/>
    <x:hyperlink ref="C155" r:id="rId3736" tooltip="Send a mail to gormialum@gmail.com"/>
    <x:hyperlink ref="C156" r:id="rId3737" tooltip="Send a mail to rcalworks@gmail.com"/>
    <x:hyperlink ref="C157" r:id="rId3738" tooltip="Send a mail to rapa.aluminium@gmail.com"/>
    <x:hyperlink ref="C158" r:id="rId3739" tooltip="Send a mail to raymondfarrugia74@gmail.com"/>
    <x:hyperlink ref="C159" r:id="rId3740" tooltip="Send a mail to refinedaluworks@gmail.com"/>
    <x:hyperlink ref="C160" r:id="rId3741" tooltip="Send a mail to info@servgroupmalta.com"/>
    <x:hyperlink ref="C162" r:id="rId3742" tooltip="Send a mail to sunaluminium@hotmail.com"/>
    <x:hyperlink ref="C163" r:id="rId3743" tooltip="Send a mail to t.camillerialuminium@hotmail.com"/>
    <x:hyperlink ref="C164" r:id="rId3744" tooltip="Send a mail to tonnalum@yahoo.com"/>
    <x:hyperlink ref="C165" r:id="rId3745" tooltip="Send a mail to info@towergroupmalta.com"/>
    <x:hyperlink ref="C166" r:id="rId3746" tooltip="Send a mail to info@trendsltdmalta.com"/>
    <x:hyperlink ref="C167" r:id="rId3747" tooltip="Send a mail to valormalta@gmail.com"/>
    <x:hyperlink ref="C168" r:id="rId3748" tooltip="Send a mail to mario@windmillmalta.com"/>
    <x:hyperlink ref="C169" r:id="rId3749" tooltip="Send a mail to luke@woodware.mt"/>
    <x:hyperlink ref="C170" r:id="rId3750" tooltip="Send a mail to zammitalu@gmail.com"/>
    <x:hyperlink ref="E2" r:id="rId3751" tooltip="Search 8 Triq il-Garra Victoria Gardens L-Ibrag, Swieqi on Google Maps"/>
    <x:hyperlink ref="E3" r:id="rId3752" tooltip="Search Triq il-Kappella ta' Santa Marija, Naxxar on Google Maps"/>
    <x:hyperlink ref="E4" r:id="rId3753" tooltip="Search Triq il-Fortizza, Mosta on Google Maps"/>
    <x:hyperlink ref="E5" r:id="rId3754" tooltip="Search Triq il-Mosta, Lija on Google Maps"/>
    <x:hyperlink ref="E6" r:id="rId3755" tooltip="Search Triq it-Torri, Msida on Google Maps"/>
    <x:hyperlink ref="E7" r:id="rId3756" tooltip="Search SUB 030A Qasam Industrijali, San Gwann on Google Maps"/>
    <x:hyperlink ref="E8" r:id="rId3757" tooltip="Search Zone 2 Triq L-Ghadam Central Business District, B'Kara on Google Maps"/>
    <x:hyperlink ref="E9" r:id="rId3758" tooltip="Search 34 Triq it-Torri San Gwann, Birgu on Google Maps"/>
    <x:hyperlink ref="E10" r:id="rId3759" tooltip="Search Factory GZB 2 Qasam Industrijali, Xewkija-Gozo on Google Maps"/>
    <x:hyperlink ref="E11" r:id="rId3760" tooltip="Search 2 Triq Lorenzo Gafa, Zebbug on Google Maps"/>
    <x:hyperlink ref="E12" r:id="rId3761" tooltip="Search 31 Triq il-Furnar, Qormi on Google Maps"/>
    <x:hyperlink ref="E13" r:id="rId3762" tooltip="Search Garage 10, Level -2 Sqaq il-Mithna Triq I-Imqabba, Qrendi on Google Maps"/>
    <x:hyperlink ref="E14" r:id="rId3763" tooltip="Search 26 Triq Haz-Zabbar, Paola on Google Maps"/>
    <x:hyperlink ref="E15" r:id="rId3764" tooltip="Search Triq Mro Giorgio Zarb Tal-Handaq, Qormi on Google Maps"/>
    <x:hyperlink ref="E16" r:id="rId3765" tooltip="Search GGX 0021 Qasam Industrijali, Xewkija-Gozo on Google Maps"/>
    <x:hyperlink ref="E17" r:id="rId3766" tooltip="Search No5 Triq Mons Alfred Mifsud, B'Kara on Google Maps"/>
    <x:hyperlink ref="E18" r:id="rId3767" tooltip="Search 33 Triq Angelo Melilli, Zebbug on Google Maps"/>
    <x:hyperlink ref="E19" r:id="rId3768" tooltip="Search Emmarie Triq id-Dahla Ta' San Tumas, M'Skala on Google Maps"/>
    <x:hyperlink ref="E20" r:id="rId3769" tooltip="Search Garage 25 Tal-Barrani Industrial Estate Triq il-Belt Valletta, Ghaxaq on Google Maps"/>
    <x:hyperlink ref="E21" r:id="rId3770" tooltip="Search 34 Triq Indri Psaila, Qormi on Google Maps"/>
    <x:hyperlink ref="E22" r:id="rId3771" tooltip="Search Scorpio Triq Garcia De Toledo Qawra, San Pawl ll-Bahar on Google Maps"/>
    <x:hyperlink ref="E23" r:id="rId3772" tooltip="Search Triq San Pawl ll-Bahar on Google Maps"/>
    <x:hyperlink ref="E24" r:id="rId3773" tooltip="Search 197 Telgha tal-Gizwiti, Marsa on Google Maps"/>
    <x:hyperlink ref="E25" r:id="rId3774" tooltip="Search Triq Pawlu Mifsud, Zebbug on Google Maps"/>
    <x:hyperlink ref="E26" r:id="rId3775" tooltip="Search 10 Triq Bingemma, Nadur-Gozo on Google Maps"/>
    <x:hyperlink ref="E27" r:id="rId3776" tooltip="Search 18 Triq Salvinu Spiteri, Sta Venera on Google Maps"/>
    <x:hyperlink ref="E28" r:id="rId3777" tooltip="Search 124 Triq San Gejtanu, Hamrun on Google Maps"/>
    <x:hyperlink ref="E29" r:id="rId3778" tooltip="Search Triq id-Difiza Civili, Mosta on Google Maps"/>
    <x:hyperlink ref="E30" r:id="rId3779" tooltip="Search 45 Stella Maris Triq James Smith Qawra, San Pawl ll-Bahar on Google Maps"/>
    <x:hyperlink ref="E31" r:id="rId3780" tooltip="Search 4 Triq il-Lvant, Zejtun on Google Maps"/>
    <x:hyperlink ref="E32" r:id="rId3781" tooltip="Search 57 Triq il-Qasam Sperimentali Hal Farrug, Luqa on Google Maps"/>
    <x:hyperlink ref="E33" r:id="rId3782" tooltip="Search 4, 11 Triq Valletta Qasam Industrijali, Marsa on Google Maps"/>
    <x:hyperlink ref="E34" r:id="rId3783" tooltip="Search Plot 121, Aluwood Bldg Triq Ha; Qormi Qasam Industrijali, Luqa on Google Maps"/>
    <x:hyperlink ref="E35" r:id="rId3784" tooltip="Search Triq in-Naggar, Mosta on Google Maps"/>
    <x:hyperlink ref="E36" r:id="rId3785" tooltip="Search Garage 7, Drive In Triq Lydda, Qormi on Google Maps"/>
    <x:hyperlink ref="E37" r:id="rId3786" tooltip="Search Zone 3 Triq San Gwakkin Central Business District, B'Kara on Google Maps"/>
    <x:hyperlink ref="E38" r:id="rId3787" tooltip="Search 13, Triq Luretu Cutajar, Zebbug, Haz-Zebbug on Google Maps"/>
    <x:hyperlink ref="E39" r:id="rId3788" tooltip="Search Mdina Road, Zebbug on Google Maps"/>
    <x:hyperlink ref="E40" r:id="rId3789" tooltip="Search Garage No 2 Triq tas-Sejba, Mqabba on Google Maps"/>
    <x:hyperlink ref="E41" r:id="rId3790" tooltip="Search 52, Triq Pinto, Qormi on Google Maps"/>
    <x:hyperlink ref="E42" r:id="rId3791" tooltip="Search 16-17 Waterside Place, Flt 9 Ix-Xatt ta' Qui Si-Sana, Sliema on Google Maps"/>
    <x:hyperlink ref="E43" r:id="rId3792" tooltip="Search 10c Midland Park Triq Burmarrad, Naxxar on Google Maps"/>
    <x:hyperlink ref="E44" r:id="rId3793" tooltip="Search Triq it-Territorji, B'Kara on Google Maps"/>
    <x:hyperlink ref="E45" r:id="rId3794" tooltip="Search Sub 029A Qasam Industrijali, San Gwann on Google Maps"/>
    <x:hyperlink ref="E46" r:id="rId3795" tooltip="Search Landscape Triq Gnien Fieres, Rabat on Google Maps"/>
    <x:hyperlink ref="E47" r:id="rId3796" tooltip="Search 3 Triq iz-Znuber, Mosta on Google Maps"/>
    <x:hyperlink ref="E48" r:id="rId3797" tooltip="Search Qasam Industrijali, Tal-Handaq, Qormi on Google Maps"/>
    <x:hyperlink ref="E49" r:id="rId3798" tooltip="Search 52 Triq il-Muzika, Iklin on Google Maps"/>
    <x:hyperlink ref="E50" r:id="rId3799" tooltip="Search Five Star Business Park Triq il-Belt Valetta, Ghaxaq on Google Maps"/>
    <x:hyperlink ref="E51" r:id="rId3800" tooltip="Search Express Bldg Triq Gharram, Zebbug on Google Maps"/>
    <x:hyperlink ref="E52" r:id="rId3801" tooltip="Search Oliand Triq Anthony John Coleiro Tal-Handaq, Qormi on Google Maps"/>
    <x:hyperlink ref="E53" r:id="rId3802" tooltip="Search SUB 029B Qasam Industrijali, San Gwann on Google Maps"/>
    <x:hyperlink ref="E54" r:id="rId3803" tooltip="Search Garage 144 Triq San Xmun, Fgura on Google Maps"/>
    <x:hyperlink ref="E55" r:id="rId3804" tooltip="Search 263 Triq il-Merhba, Fgura on Google Maps"/>
    <x:hyperlink ref="E56" r:id="rId3805" tooltip="Search Triq Mro Giuseppe Camilleri Tal-Hanhaq, Qormi on Google Maps"/>
    <x:hyperlink ref="E57" r:id="rId3806" tooltip="Search 23 Graham Aluminium Triq John Michael Testa Tal-Handaq, Qormi on Google Maps"/>
    <x:hyperlink ref="E58" r:id="rId3807" tooltip="Search Drive in fi triq il-Belt Valletta, Qormi on Google Maps"/>
    <x:hyperlink ref="E59" r:id="rId3808" tooltip="Search A 42 Qasam Industrijali, Marsa on Google Maps"/>
    <x:hyperlink ref="E60" r:id="rId3809" tooltip="Search Qart D'Orange Garage Trejqet il-Wied, Qormi on Google Maps"/>
    <x:hyperlink ref="E61" r:id="rId3810" tooltip="Search Triq I-Imdina, Zebbug on Google Maps"/>
    <x:hyperlink ref="E62" r:id="rId3811" tooltip="Search 13 Triq Mro Giorgio Zarb Tal-Handaq, Qormi on Google Maps"/>
    <x:hyperlink ref="E63" r:id="rId3812" tooltip="Search John Garage Triq Haz-Zebbug, Attard on Google Maps"/>
    <x:hyperlink ref="E64" r:id="rId3813" tooltip="Search 110, Triq Dun Bartilmew Attard, Zebbug on Google Maps"/>
    <x:hyperlink ref="E65" r:id="rId3814" tooltip="Search KW 19J Qasam Industrijali, Kordin, Paola on Google Maps"/>
    <x:hyperlink ref="E66" r:id="rId3815" tooltip="Search Oceanis Triq tas-Sliema, Gzira on Google Maps"/>
    <x:hyperlink ref="E67" r:id="rId3816" tooltip="Search 82 Triq il-Hareb, Ghaxaq on Google Maps"/>
    <x:hyperlink ref="E68" r:id="rId3817" tooltip="Search 12 Triq Wenzu Despott, Tarxien on Google Maps"/>
    <x:hyperlink ref="E69" r:id="rId3818" tooltip="Search Garage 23 Triq il-Bizzilla, Ghaxaq on Google Maps"/>
    <x:hyperlink ref="E70" r:id="rId3819" tooltip="Search Malta, Valletta on Google Maps"/>
    <x:hyperlink ref="E71" r:id="rId3820" tooltip="Search Casa Pisani Triq Pisoniano, Sannat-Gozo on Google Maps"/>
    <x:hyperlink ref="E72" r:id="rId3821" tooltip="Search Triq il-Palazz L-Ahmar, Sta Venera on Google Maps"/>
    <x:hyperlink ref="E73" r:id="rId3822" tooltip="Search 43 Triq Dun Bartilmew Attard, Zebbug on Google Maps"/>
    <x:hyperlink ref="E74" r:id="rId3823" tooltip="Search New Building Triq id-Dawwara, Victoria-Gozo on Google Maps"/>
    <x:hyperlink ref="E75" r:id="rId3824" tooltip="Search Triq Pietru D' Armenia, Pembroke on Google Maps"/>
    <x:hyperlink ref="E76" r:id="rId3825" tooltip="Search Triq I-Imdina, Zebbug on Google Maps"/>
    <x:hyperlink ref="E77" r:id="rId3826" tooltip="Search KW36 Qasam Indrustrijali Kordin Paola on Google Maps"/>
    <x:hyperlink ref="E78" r:id="rId3827" tooltip="Search Zone 2 Triq ll-Ghain Central Business District, B'Kara on Google Maps"/>
    <x:hyperlink ref="E79" r:id="rId3828" tooltip="Search F18, Lower Level Midland Industrial Oark Triq Burmarrad, Naxxar on Google Maps"/>
    <x:hyperlink ref="E80" r:id="rId3829" tooltip="Search 23 Triq Angelo Melilli, Zebbug on Google Maps"/>
    <x:hyperlink ref="E81" r:id="rId3830" tooltip="Search 8 Triq ll-Madonna Ta' Pompej, B'Kara on Google Maps"/>
    <x:hyperlink ref="E82" r:id="rId3831" tooltip="Search Towe Buildings Triq Graham, Zebbug on Google Maps"/>
    <x:hyperlink ref="E83" r:id="rId3832" tooltip="Search KK 011 Qasam Industrijali, Kordin, Paola on Google Maps"/>
    <x:hyperlink ref="E84" r:id="rId3833" tooltip="Search MRA 053 Qasam Industrijali, Marsa on Google Maps"/>
    <x:hyperlink ref="E85" r:id="rId3834" tooltip="Search 77 Triq il-Ballut Qasam Industrijali, Mosta on Google Maps"/>
    <x:hyperlink ref="E86" r:id="rId3835" tooltip="Search A8 Qasam Industrijali, Marsa on Google Maps"/>
    <x:hyperlink ref="E87" r:id="rId3836" tooltip="Search Sqaq Privat Triq tal-Ghajn, Fontana-Gozo on Google Maps"/>
    <x:hyperlink ref="E88" r:id="rId3837" tooltip="Search 8 Triq il-Garra Victoria Gardens L-Ibrag, Swieqi on Google Maps"/>
    <x:hyperlink ref="E89" r:id="rId3838" tooltip="Search Triq il-Mosta, Lija on Google Maps"/>
    <x:hyperlink ref="E90" r:id="rId3839" tooltip="Search Triq it-Torri, Msida on Google Maps"/>
    <x:hyperlink ref="E91" r:id="rId3840" tooltip="Search 2 Triq Lorenzo Gafa, Zebbug on Google Maps"/>
    <x:hyperlink ref="E92" r:id="rId3841" tooltip="Search SUB 030A Qasam Industrijali, San Gwann on Google Maps"/>
    <x:hyperlink ref="E93" r:id="rId3842" tooltip="Search 34 Triq it-Torri San Gwann, Birgu on Google Maps"/>
    <x:hyperlink ref="E94" r:id="rId3843" tooltip="Search Factory GZB 2 Qasam Industrijali, Xewkija-Gozo on Google Maps"/>
    <x:hyperlink ref="E95" r:id="rId3844" tooltip="Search GGX 0021 Qasam Industrijali, Xewkija-Gozo on Google Maps"/>
    <x:hyperlink ref="E96" r:id="rId3845" tooltip="Search Unit 1 &amp; 2 Qasam Industrijali, Luqa on Google Maps"/>
    <x:hyperlink ref="E97" r:id="rId3846" tooltip="Search 31 Triq il-Furnar, Qormi on Google Maps"/>
    <x:hyperlink ref="E98" r:id="rId3847" tooltip="Search Garage 10, Level -2 Sqaq il-Mithna Triq I-Imqabba, Qrendi on Google Maps"/>
    <x:hyperlink ref="E99" r:id="rId3848" tooltip="Search 26 Triq Haz-Zabbar, Paola on Google Maps"/>
    <x:hyperlink ref="E100" r:id="rId3849" tooltip="Search Triq Mro Giorgio Zarb Tal-Handaq, Qormi on Google Maps"/>
    <x:hyperlink ref="E101" r:id="rId3850" tooltip="Search 33 Triq Angelo Melilli, Zebbug on Google Maps"/>
    <x:hyperlink ref="E102" r:id="rId3851" tooltip="Search No5 Triq Mons Alfred Mifsud, B'Kara on Google Maps"/>
    <x:hyperlink ref="E103" r:id="rId3852" tooltip="Search Emmarie Triq id-Dahla Ta' San Tumas, M'Skala on Google Maps"/>
    <x:hyperlink ref="E104" r:id="rId3853" tooltip="Search Garage 25 Tal-Barrani Industrial Estate Triq il-Belt Valletta, Ghaxaq on Google Maps"/>
    <x:hyperlink ref="E105" r:id="rId3854" tooltip="Search Scorpio Triq Garcia De Toledo Qawra, San Pawl ll-Bahar on Google Maps"/>
    <x:hyperlink ref="E106" r:id="rId3855" tooltip="Search Triq San Pawl ll-Bahar on Google Maps"/>
    <x:hyperlink ref="E107" r:id="rId3856" tooltip="Search 197 Telgha tal-Gizwiti, Marsa on Google Maps"/>
    <x:hyperlink ref="E108" r:id="rId3857" tooltip="Search Triq Pawlu Mifsud, Zebbug on Google Maps"/>
    <x:hyperlink ref="E109" r:id="rId3858" tooltip="Search 217 Triq Salvu Psaila, B'Kara on Google Maps"/>
    <x:hyperlink ref="E110" r:id="rId3859" tooltip="Search 10 Triq Bingemma, Nadur-Gozo on Google Maps"/>
    <x:hyperlink ref="E111" r:id="rId3860" tooltip="Search 18 Triq Salvinu Spiteri, Sta Venera on Google Maps"/>
    <x:hyperlink ref="E112" r:id="rId3861" tooltip="Search 124 Triq San Gejtanu, Hamrun on Google Maps"/>
    <x:hyperlink ref="E113" r:id="rId3862" tooltip="Search Triq id-Difiza Civili, Mosta on Google Maps"/>
    <x:hyperlink ref="E114" r:id="rId3863" tooltip="Search BLB 010C Qasam Industrijali, Bulebel, Zejtun on Google Maps"/>
    <x:hyperlink ref="E115" r:id="rId3864" tooltip="Search 45 Stella Maris Triq James Smith Qawra, San Pawl ll-Bahar on Google Maps"/>
    <x:hyperlink ref="E116" r:id="rId3865" tooltip="Search 4 Triq il-Lvant, Zejtun on Google Maps"/>
    <x:hyperlink ref="E117" r:id="rId3866" tooltip="Search 57 Triq il-Qasam Sperimentali Hal Farrug, Luqa on Google Maps"/>
    <x:hyperlink ref="E118" r:id="rId3867" tooltip="Search 4, 11 Triq Valletta Qasam Industrijali, Marsa on Google Maps"/>
    <x:hyperlink ref="E119" r:id="rId3868" tooltip="Search Plot 121, Aluwood Bldg Triq Ha; Qormi Qasam Industrijali, Luqa on Google Maps"/>
    <x:hyperlink ref="E120" r:id="rId3869" tooltip="Search Triq in-Naggar, Mosta on Google Maps"/>
    <x:hyperlink ref="E121" r:id="rId3870" tooltip="Search Garage 7, Drive In Triq Lydda, Qormi on Google Maps"/>
    <x:hyperlink ref="E122" r:id="rId3871" tooltip="Search Zone 3 Triq San Gwakkin Central Business District, B'Kara on Google Maps"/>
    <x:hyperlink ref="E123" r:id="rId3872" tooltip="Search 13, Triq Luretu Cutajar, Zebbug, Haz-Zebbug on Google Maps"/>
    <x:hyperlink ref="E124" r:id="rId3873" tooltip="Search Mdina Road, Zebbug on Google Maps"/>
    <x:hyperlink ref="E125" r:id="rId3874" tooltip="Search Garage No 2 Triq tas-Sejba, Mqabba on Google Maps"/>
    <x:hyperlink ref="E126" r:id="rId3875" tooltip="Search 52, Triq Pinto, Qormi on Google Maps"/>
    <x:hyperlink ref="E127" r:id="rId3876" tooltip="Search 3 Triq Manwel Borg Gauci, Qormi on Google Maps"/>
    <x:hyperlink ref="E128" r:id="rId3877" tooltip="Search 16-17 Waterside Place, Flt 9 Ix-Xatt ta' Qui Si-Sana, Sliema on Google Maps"/>
    <x:hyperlink ref="E129" r:id="rId3878" tooltip="Search 10c Midland Park Triq Burmarrad, Naxxar on Google Maps"/>
    <x:hyperlink ref="E130" r:id="rId3879" tooltip="Search Landscape Triq Gnien Fieres, Rabat on Google Maps"/>
    <x:hyperlink ref="E131" r:id="rId3880" tooltip="Search 114 Triq il-Wied, B'Kara on Google Maps"/>
    <x:hyperlink ref="E132" r:id="rId3881" tooltip="Search 3 Triq iz-Znuber, Mosta on Google Maps"/>
    <x:hyperlink ref="E133" r:id="rId3882" tooltip="Search Qasam Industrijali, Tal-Handaq, Qormi on Google Maps"/>
    <x:hyperlink ref="E134" r:id="rId3883" tooltip="Search 52 Triq il-Muzika, Iklin on Google Maps"/>
    <x:hyperlink ref="E135" r:id="rId3884" tooltip="Search Five Star Business Park Triq il-Belt Valetta, Ghaxaq on Google Maps"/>
    <x:hyperlink ref="E136" r:id="rId3885" tooltip="Search Express Bldg Triq Gharram, Zebbug on Google Maps"/>
    <x:hyperlink ref="E137" r:id="rId3886" tooltip="Search Oliand Triq Anthony John Coleiro Tal-Handaq, Qormi on Google Maps"/>
    <x:hyperlink ref="E138" r:id="rId3887" tooltip="Search Garage 144 Triq San Xmun, Fgura on Google Maps"/>
    <x:hyperlink ref="E139" r:id="rId3888" tooltip="Search 263 Triq il-Merhba, Fgura on Google Maps"/>
    <x:hyperlink ref="E140" r:id="rId3889" tooltip="Search Triq Mro Giuseppe Camilleri Tal-Hanhaq, Qormi on Google Maps"/>
    <x:hyperlink ref="E141" r:id="rId3890" tooltip="Search 23 Graham Aluminium Triq John Michael Testa Tal-Handaq, Qormi on Google Maps"/>
    <x:hyperlink ref="E142" r:id="rId3891" tooltip="Search Drive in fi triq il-Belt Valletta, Qormi on Google Maps"/>
    <x:hyperlink ref="E143" r:id="rId3892" tooltip="Search A 42 Qasam Industrijali, Marsa on Google Maps"/>
    <x:hyperlink ref="E144" r:id="rId3893" tooltip="Search Qart D'Orange Garage Trejqet il-Wied, Qormi on Google Maps"/>
    <x:hyperlink ref="E145" r:id="rId3894" tooltip="Search Triq I-Imdina, Zebbug on Google Maps"/>
    <x:hyperlink ref="E146" r:id="rId3895" tooltip="Search 13 Triq Mro Giorgio Zarb Tal-Handaq, Qormi on Google Maps"/>
    <x:hyperlink ref="E147" r:id="rId3896" tooltip="Search John Garage Triq Haz-Zebbug, Attard on Google Maps"/>
    <x:hyperlink ref="E148" r:id="rId3897" tooltip="Search 110, Triq Dun Bartilmew Attard, Zebbug on Google Maps"/>
    <x:hyperlink ref="E149" r:id="rId3898" tooltip="Search Oceanis Triq tas-Sliema, Gzira on Google Maps"/>
    <x:hyperlink ref="E150" r:id="rId3899" tooltip="Search 82 Triq il-Hareb, Ghaxaq on Google Maps"/>
    <x:hyperlink ref="E151" r:id="rId3900" tooltip="Search 12 Triq Wenzu Despott, Tarxien on Google Maps"/>
    <x:hyperlink ref="E152" r:id="rId3901" tooltip="Search Garage 23 Triq il-Bizzilla, Ghaxaq on Google Maps"/>
    <x:hyperlink ref="E153" r:id="rId3902" tooltip="Search KKW 721, Corradino &#10;Industrial Estate&#10;Paola, PLA 3000, Malta on Google Maps"/>
    <x:hyperlink ref="E154" r:id="rId3903" tooltip="Search Casa Pisani Triq Pisoniano, Sannat-Gozo on Google Maps"/>
    <x:hyperlink ref="E155" r:id="rId3904" tooltip="Search Triq il-Palazz L-Ahmar, Sta Venera on Google Maps"/>
    <x:hyperlink ref="E156" r:id="rId3905" tooltip="Search 43 Triq Dun Bartilmew Attard, Zebbug on Google Maps"/>
    <x:hyperlink ref="E157" r:id="rId3906" tooltip="Search New Building Triq id-Dawwara, Victoria-Gozo on Google Maps"/>
    <x:hyperlink ref="E158" r:id="rId3907" tooltip="Search Triq Pietru D' Armenia, Pembroke on Google Maps"/>
    <x:hyperlink ref="E159" r:id="rId3908" tooltip="Search Triq I-Imdina, Zebbug on Google Maps"/>
    <x:hyperlink ref="E160" r:id="rId3909" tooltip="Search KW36 Qasam Indrustrijali Kordin Paola on Google Maps"/>
    <x:hyperlink ref="E161" r:id="rId3910" tooltip="Search Zone 2 Triq ll-Ghain Central Business District, B'Kara on Google Maps"/>
    <x:hyperlink ref="E162" r:id="rId3911" tooltip="Search 23 Triq Angelo Melilli, Zebbug on Google Maps"/>
    <x:hyperlink ref="E163" r:id="rId3912" tooltip="Search 8 Triq ll-Madonna Ta' Pompej, B'Kara on Google Maps"/>
    <x:hyperlink ref="E164" r:id="rId3913" tooltip="Search 29 Triq E Attard Bezzina, Zejtun on Google Maps"/>
    <x:hyperlink ref="E165" r:id="rId3914" tooltip="Search Towe Buildings Triq Graham, Zebbug on Google Maps"/>
    <x:hyperlink ref="E166" r:id="rId3915" tooltip="Search KK 011 Qasam Industrijali, Kordin, Paola on Google Maps"/>
    <x:hyperlink ref="E167" r:id="rId3916" tooltip="Search Triq l-isturnell Roza, Hal Luqa, Malta on Google Maps"/>
    <x:hyperlink ref="E168" r:id="rId3917" tooltip="Search MRA 053 Qasam Industrijali, Marsa on Google Maps"/>
    <x:hyperlink ref="E169" r:id="rId3918" tooltip="Search A8 Qasam Industrijali, Marsa on Google Maps"/>
    <x:hyperlink ref="E170" r:id="rId3919" tooltip="Search Sqaq Privat Triq tal-Ghajn, Fontana-Gozo on Google Maps"/>
    <x:hyperlink ref="F2" r:id="rId3920" tooltip="Visit pvc.com.mt"/>
    <x:hyperlink ref="F3" r:id="rId3921" tooltip="Visit kbstructuresltd.com"/>
    <x:hyperlink ref="F4" r:id="rId3922" tooltip="Visit stanthonyww.com"/>
    <x:hyperlink ref="F5" r:id="rId3923" tooltip="Visit framegrip.com"/>
    <x:hyperlink ref="F6" r:id="rId3924" tooltip="Visit jlautier.com"/>
    <x:hyperlink ref="F7" r:id="rId3925" tooltip="Visit newstylesmalta.com"/>
    <x:hyperlink ref="F8" r:id="rId3926" tooltip="Visit grimafurniture.com"/>
    <x:hyperlink ref="F9" r:id="rId3927" tooltip="Visit amabilegalea.com"/>
    <x:hyperlink ref="F10" r:id="rId3928" tooltip="Visit facebook.com/GozoAluminium/"/>
    <x:hyperlink ref="F13" r:id="rId3929" tooltip="Visit afdaaluminium.com"/>
    <x:hyperlink ref="F14" r:id="rId3930" tooltip="Visit brandimports.com.mt"/>
    <x:hyperlink ref="F15" r:id="rId3931" tooltip="Visit j3alumiuniumworks.com"/>
    <x:hyperlink ref="F16" r:id="rId3932" tooltip="Visit facebook.com/p/Nu-Aluminium-100064044373074/"/>
    <x:hyperlink ref="F17" r:id="rId3933" tooltip="Visit facebook.com/ihomes"/>
    <x:hyperlink ref="F18" r:id="rId3934" tooltip="Visit nicholas.mt"/>
    <x:hyperlink ref="F19" r:id="rId3935" tooltip="Visit facebook.com/p/Melvin-Aluminium-works-100057483907699/"/>
    <x:hyperlink ref="F20" r:id="rId3936" tooltip="Visit facebook.com/p/Josef-Aluminium-Metal-Works-100054319188613/"/>
    <x:hyperlink ref="F21" r:id="rId3937" tooltip="Visit abelawoodworks.wixsite.com/abelawoodworks"/>
    <x:hyperlink ref="F22" r:id="rId3938" tooltip="Visit facebook.com/people/Northalu/100055070154471/?utm_source=Yellow&amp;utm_medium=Yellow-Website&amp;utm_campaign=Landing-Page#"/>
    <x:hyperlink ref="F23" r:id="rId3939" tooltip="Visit agoodchildinstallations.com"/>
    <x:hyperlink ref="F25" r:id="rId3940" tooltip="Visit facebook.com/jsbaluminium.works"/>
    <x:hyperlink ref="F29" r:id="rId3941" tooltip="Visit adoremore.com.mt"/>
    <x:hyperlink ref="F32" r:id="rId3942" tooltip="Visit facebook.com/alukeyaluminium"/>
    <x:hyperlink ref="F33" r:id="rId3943" tooltip="Visit aluminium-ltd.business.site"/>
    <x:hyperlink ref="F34" r:id="rId3944" tooltip="Visit facebook.com/AluwoodCoLtd"/>
    <x:hyperlink ref="F35" r:id="rId3945" tooltip="Visit facebook.com/people/Andrew-vella-aluminium/100064883072627/"/>
    <x:hyperlink ref="F36" r:id="rId3946" tooltip="Visit facebook.com/azzopardialum"/>
    <x:hyperlink ref="F37" r:id="rId3947" tooltip="Visit basonaluminium.com"/>
    <x:hyperlink ref="F38" r:id="rId3948" tooltip="Visit facebook.com/borgalum/"/>
    <x:hyperlink ref="F39" r:id="rId3949" tooltip="Visit bpapertures.com/"/>
    <x:hyperlink ref="F40" r:id="rId3950" tooltip="Visit facebook.com/people/CDS-Aluminium-work/100064086582054/"/>
    <x:hyperlink ref="F41" r:id="rId3951" tooltip="Visit cagroup.com.mt"/>
    <x:hyperlink ref="F42" r:id="rId3952" tooltip="Visit salamander-windows.com/?utm_source=Yellow&amp;utm_medium=Yellow-Website&amp;utm_campaign=Landing-Page"/>
    <x:hyperlink ref="F43" r:id="rId3953" tooltip="Visit facebook.com/p/Choco-aluminium-works-100064574387617/"/>
    <x:hyperlink ref="F44" r:id="rId3954" tooltip="Visit comfortabita.com"/>
    <x:hyperlink ref="F45" r:id="rId3955" tooltip="Visit cuschierigroup.com"/>
    <x:hyperlink ref="F47" r:id="rId3956" tooltip="Visit dimechapertures.com/"/>
    <x:hyperlink ref="F48" r:id="rId3957" tooltip="Visit pvcmalta.com"/>
    <x:hyperlink ref="F49" location="'Alum Apertures'!https://2138 2595" tooltip="Visit 2138 2595" display="2138 2595"/>
    <x:hyperlink ref="F50" r:id="rId3958" tooltip="Visit facebook.com/p/DX-Aluminium-Works-100064182690832/"/>
    <x:hyperlink ref="F51" r:id="rId3959" tooltip="Visit expressaluminium.com"/>
    <x:hyperlink ref="F53" r:id="rId3960" tooltip="Visit finestralmalta.com"/>
    <x:hyperlink ref="F54" r:id="rId3961" tooltip="Visit aluminiumworks.in"/>
    <x:hyperlink ref="F56" r:id="rId3962" tooltip="Visit facebook.com/p/Giorgio-Aluminium-Co-Ltd-100065044507710/"/>
    <x:hyperlink ref="F57" r:id="rId3963" tooltip="Visit grahamaluminium.com"/>
    <x:hyperlink ref="F58" r:id="rId3964" tooltip="Visit facebook.com/Guys21485785/"/>
    <x:hyperlink ref="F59" r:id="rId3965" tooltip="Visit horvinltd.com"/>
    <x:hyperlink ref="F60" r:id="rId3966" tooltip="Visit icsaluminium.yolasite.com"/>
    <x:hyperlink ref="F62" r:id="rId3967" tooltip="Visit jcdaluminium.com"/>
    <x:hyperlink ref="F63" r:id="rId3968" tooltip="Visit jk-aluminium.com"/>
    <x:hyperlink ref="F64" r:id="rId3969" tooltip="Visit jamarmalta.com"/>
    <x:hyperlink ref="F65" r:id="rId3970" tooltip="Visit jasonaluminium.com"/>
    <x:hyperlink ref="F66" r:id="rId3971" tooltip="Visit facebook.com/KKAluWorks/"/>
    <x:hyperlink ref="F67" r:id="rId3972" tooltip="Visit facebook.com/p/Munita-Aluminium-100063476861515/"/>
    <x:hyperlink ref="F70" r:id="rId3973" tooltip="Visit facebook.com/perfectummt/"/>
    <x:hyperlink ref="F72" r:id="rId3974" tooltip="Visit facebook.com/QormiAluminium"/>
    <x:hyperlink ref="F74" r:id="rId3975" tooltip="Visit facebook.com/people/Rapa-Aluminium-Victoria-Gozo/100063473081953/?utm_source=Yellow&amp;utm_medium=Yellow-Website&amp;utm_campaign=Landing-Page#"/>
    <x:hyperlink ref="F75" r:id="rId3976" tooltip="Visit facebook.com/RayAluWorks/"/>
    <x:hyperlink ref="F76" r:id="rId3977" tooltip="Visit facebook.com/people/Refined-Aluminium-Metal-Works/100063567219937/?utm_source=Yellow&amp;utm_medium=Yellow-Website&amp;utm_campaign=Landing-Page#"/>
    <x:hyperlink ref="F77" r:id="rId3978" tooltip="Visit servgroupmalta.com"/>
    <x:hyperlink ref="F79" r:id="rId3979" tooltip="Visit sptechniques.com"/>
    <x:hyperlink ref="F81" r:id="rId3980" tooltip="Visit aluminium.mt/"/>
    <x:hyperlink ref="F82" r:id="rId3981" tooltip="Visit towergroupmalta.com"/>
    <x:hyperlink ref="F83" r:id="rId3982" tooltip="Visit trendsltdmalta.com"/>
    <x:hyperlink ref="F84" r:id="rId3983" tooltip="Visit facebook.com/windmillltd/"/>
    <x:hyperlink ref="F86" r:id="rId3984" tooltip="Visit facebook.com/bespokelocalfurniture"/>
    <x:hyperlink ref="F87" r:id="rId3985" tooltip="Visit facebook.com/zammitaluminum/"/>
    <x:hyperlink ref="F88" r:id="rId3986" tooltip="Visit pvc.com.mt"/>
    <x:hyperlink ref="F89" r:id="rId3987" tooltip="Visit framegrip.com"/>
    <x:hyperlink ref="F90" r:id="rId3988" tooltip="Visit jlautier.com"/>
    <x:hyperlink ref="F91" r:id="rId3989" tooltip="Visit a1finishesltd.com/"/>
    <x:hyperlink ref="F92" r:id="rId3990" tooltip="Visit newstylesmalta.com"/>
    <x:hyperlink ref="F93" r:id="rId3991" tooltip="Visit amabilegalea.com"/>
    <x:hyperlink ref="F94" r:id="rId3992" tooltip="Visit facebook.com/GozoAluminium/"/>
    <x:hyperlink ref="F95" r:id="rId3993" tooltip="Visit yellow.com.mt/nu-aluminium/aluminium-apertures-fixtures/"/>
    <x:hyperlink ref="F96" r:id="rId3994" tooltip="Visit sfdoorstyles.com.mt/"/>
    <x:hyperlink ref="F98" r:id="rId3995" tooltip="Visit afdaaluminium.com"/>
    <x:hyperlink ref="F99" r:id="rId3996" tooltip="Visit brandimports.com.mt"/>
    <x:hyperlink ref="F100" r:id="rId3997" tooltip="Visit j3aluminiumworks.com/"/>
    <x:hyperlink ref="F101" r:id="rId3998" tooltip="Visit nicholas.mt"/>
    <x:hyperlink ref="F102" r:id="rId3999" tooltip="Visit facebook.com/ihomes"/>
    <x:hyperlink ref="F103" r:id="rId4000" tooltip="Visit facebook.com/p/Melvin-Aluminium-works-100057483907699/"/>
    <x:hyperlink ref="F104" r:id="rId4001" tooltip="Visit facebook.com/p/Josef-Aluminium-Metal-Works-100054319188613/"/>
    <x:hyperlink ref="F105" r:id="rId4002" tooltip="Visit facebook.com/people/Northalu/100055070154471/?utm_source=Yellow&amp;utm_medium=Yellow-Website&amp;utm_campaign=Landing-Page#"/>
    <x:hyperlink ref="F106" r:id="rId4003" tooltip="Visit agoodchildinstallations.com"/>
    <x:hyperlink ref="F108" r:id="rId4004" tooltip="Visit facebook.com/jsbaluminium.works"/>
    <x:hyperlink ref="F109" r:id="rId4005" tooltip="Visit facebook.com/doorsand.more.3"/>
    <x:hyperlink ref="F113" r:id="rId4006" tooltip="Visit adoremore.com.mt"/>
    <x:hyperlink ref="F114" r:id="rId4007" tooltip="Visit acmamalta.com"/>
    <x:hyperlink ref="F117" r:id="rId4008" tooltip="Visit facebook.com/alukeyaluminium"/>
    <x:hyperlink ref="F118" r:id="rId4009" tooltip="Visit aluminium-ltd.business.site"/>
    <x:hyperlink ref="F119" r:id="rId4010" tooltip="Visit facebook.com/AluwoodCoLtd"/>
    <x:hyperlink ref="F120" r:id="rId4011" tooltip="Visit facebook.com/people/Andrew-vella-aluminium/100064883072627/"/>
    <x:hyperlink ref="F121" r:id="rId4012" tooltip="Visit facebook.com/azzopardialum"/>
    <x:hyperlink ref="F122" r:id="rId4013" tooltip="Visit basonaluminium.com"/>
    <x:hyperlink ref="F123" r:id="rId4014" tooltip="Visit facebook.com/borgalum/"/>
    <x:hyperlink ref="F124" r:id="rId4015" tooltip="Visit bpapertures.com/"/>
    <x:hyperlink ref="F125" r:id="rId4016" tooltip="Visit facebook.com/people/CDS-Aluminium-work/100064086582054/"/>
    <x:hyperlink ref="F126" r:id="rId4017" tooltip="Visit cagroup.com.mt"/>
    <x:hyperlink ref="F127" r:id="rId4018" tooltip="Visit facebook.com/p/TC-Aluminium-Works-100064147390058/"/>
    <x:hyperlink ref="F128" r:id="rId4019" tooltip="Visit salamander-windows.com/?utm_source=Yellow&amp;utm_medium=Yellow-Website&amp;utm_campaign=Landing-Page"/>
    <x:hyperlink ref="F129" r:id="rId4020" tooltip="Visit facebook.com/p/Choco-aluminium-works-100064574387617/"/>
    <x:hyperlink ref="F131" r:id="rId4021" tooltip="Visit deckor.com.mt/?brid=bHHAtQj_YIbnOwlfb4l7Qw"/>
    <x:hyperlink ref="F132" r:id="rId4022" tooltip="Visit dimechapertures.com/"/>
    <x:hyperlink ref="F133" r:id="rId4023" tooltip="Visit pvcmalta.com"/>
    <x:hyperlink ref="F134" location="'Alum Apertures'!https://2138 2595" tooltip="Visit 2138 2595" display="2138 2595"/>
    <x:hyperlink ref="F135" r:id="rId4024" tooltip="Visit facebook.com/p/DX-Aluminium-Works-100064182690832/"/>
    <x:hyperlink ref="F136" r:id="rId4025" tooltip="Visit expressaluminium.com"/>
    <x:hyperlink ref="F138" r:id="rId4026" tooltip="Visit aluminiumworks.in"/>
    <x:hyperlink ref="F140" r:id="rId4027" tooltip="Visit facebook.com/p/Giorgio-Aluminium-Co-Ltd-100065044507710/"/>
    <x:hyperlink ref="F141" r:id="rId4028" tooltip="Visit grahamaluminium.com"/>
    <x:hyperlink ref="F142" r:id="rId4029" tooltip="Visit facebook.com/Guys21485785/"/>
    <x:hyperlink ref="F143" r:id="rId4030" tooltip="Visit horvinltd.com"/>
    <x:hyperlink ref="F144" r:id="rId4031" tooltip="Visit icsaluminium.yolasite.com"/>
    <x:hyperlink ref="F146" r:id="rId4032" tooltip="Visit jcdaluminium.com"/>
    <x:hyperlink ref="F147" r:id="rId4033" tooltip="Visit jk-aluminium.com"/>
    <x:hyperlink ref="F148" r:id="rId4034" tooltip="Visit jamarmalta.com"/>
    <x:hyperlink ref="F149" r:id="rId4035" tooltip="Visit facebook.com/KKAluWorks/"/>
    <x:hyperlink ref="F150" r:id="rId4036" tooltip="Visit facebook.com/p/Munita-Aluminium-100063476861515/"/>
    <x:hyperlink ref="F153" r:id="rId4037" tooltip="Visit nigeldimech.com/"/>
    <x:hyperlink ref="F155" r:id="rId4038" tooltip="Visit facebook.com/QormiAluminium"/>
    <x:hyperlink ref="F157" r:id="rId4039" tooltip="Visit facebook.com/people/Rapa-Aluminium-Victoria-Gozo/100063473081953/?utm_source=Yellow&amp;utm_medium=Yellow-Website&amp;utm_campaign=Landing-Page#"/>
    <x:hyperlink ref="F158" r:id="rId4040" tooltip="Visit facebook.com/RayAluWorks/"/>
    <x:hyperlink ref="F159" r:id="rId4041" tooltip="Visit facebook.com/people/Refined-Aluminium-Metal-Works/100063567219937/?utm_source=Yellow&amp;utm_medium=Yellow-Website&amp;utm_campaign=Landing-Page#"/>
    <x:hyperlink ref="F160" r:id="rId4042" tooltip="Visit servgroupmalta.com"/>
    <x:hyperlink ref="F163" r:id="rId4043" tooltip="Visit aluminium.mt/"/>
    <x:hyperlink ref="F165" r:id="rId4044" tooltip="Visit towergroupmalta.com"/>
    <x:hyperlink ref="F166" r:id="rId4045" tooltip="Visit trendsltdmalta.com"/>
    <x:hyperlink ref="F167" r:id="rId4046" tooltip="Visit valormalta.wixsite.com/valor"/>
    <x:hyperlink ref="F168" r:id="rId4047" tooltip="Visit facebook.com/windmillltd/"/>
    <x:hyperlink ref="F169" r:id="rId4048" tooltip="Visit facebook.com/bespokelocalfurniture"/>
    <x:hyperlink ref="F170" r:id="rId4049" tooltip="Visit facebook.com/zammitaluminu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30"/>
  <x:sheetViews>
    <x:sheetView workbookViewId="0"/>
  </x:sheetViews>
  <x:sheetFormatPr defaultRowHeight="15"/>
  <x:cols>
    <x:col min="1" max="1" width="10.139196" style="0" customWidth="1"/>
    <x:col min="2" max="2" width="46.424911" style="0" customWidth="1"/>
    <x:col min="3" max="3" width="50.853482" style="0" customWidth="1"/>
    <x:col min="4" max="4" width="18.139196" style="0" customWidth="1"/>
    <x:col min="5" max="5" width="10.853482" style="0" customWidth="1"/>
    <x:col min="6" max="6" width="90.996339" style="0" customWidth="1"/>
    <x:col min="7" max="7" width="69.282054" style="0" customWidth="1"/>
    <x:col min="8" max="8" width="20.996339" style="0" customWidth="1"/>
  </x:cols>
  <x:sheetData>
    <x:row r="1" spans="1:8" s="2" customFormat="1">
      <x:c r="A1" s="2" t="s">
        <x:v>915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2" t="s">
        <x:v>3649</x:v>
      </x:c>
      <x:c r="H1" s="5">
        <x:f>HYPERLINK("#'Summary List'!A62", "Back to Summary")</x:f>
      </x:c>
    </x:row>
    <x:row r="2" spans="1:8" s="3" customFormat="1">
      <x:c r="A2" s="3" t="s">
        <x:v>3630</x:v>
      </x:c>
      <x:c r="B2" s="3" t="s">
        <x:v>3631</x:v>
      </x:c>
      <x:c r="C2" s="6" t="s">
        <x:v>3637</x:v>
      </x:c>
      <x:c r="D2" s="7">
        <x:f>CONCATENATE(HYPERLINK("CALLTO:%2B356%207972%207953", "+356 7972 7953"))</x:f>
      </x:c>
      <x:c r="F2" s="6" t="s">
        <x:v>3645</x:v>
      </x:c>
      <x:c r="G2" s="3" t="s">
        <x:v>3650</x:v>
      </x:c>
    </x:row>
    <x:row r="3" spans="1:8" s="1" customFormat="1">
      <x:c r="A3" s="1" t="s">
        <x:v>3630</x:v>
      </x:c>
      <x:c r="B3" s="1" t="s">
        <x:v>3632</x:v>
      </x:c>
      <x:c r="C3" s="8" t="s">
        <x:v>3638</x:v>
      </x:c>
      <x:c r="D3" s="9">
        <x:f>CONCATENATE(HYPERLINK("CALLTO:%2B356%209989%200075", "+356 9989 0075"))</x:f>
      </x:c>
      <x:c r="F3" s="8" t="s">
        <x:v>3646</x:v>
      </x:c>
      <x:c r="G3" s="1" t="s">
        <x:v>3649</x:v>
      </x:c>
    </x:row>
    <x:row r="4" spans="1:8" s="4" customFormat="1">
      <x:c r="A4" s="4" t="s">
        <x:v>3630</x:v>
      </x:c>
      <x:c r="B4" s="4" t="s">
        <x:v>3373</x:v>
      </x:c>
      <x:c r="C4" s="10" t="s">
        <x:v>3463</x:v>
      </x:c>
      <x:c r="D4" s="11">
        <x:f>CONCATENATE(HYPERLINK("CALLTO:%2B356%207949%201930", "+356 7949 1930"))</x:f>
      </x:c>
      <x:c r="F4" s="10" t="s">
        <x:v>3647</x:v>
      </x:c>
      <x:c r="G4" s="4" t="s">
        <x:v>3651</x:v>
      </x:c>
    </x:row>
    <x:row r="5" spans="1:8" s="3" customFormat="1">
      <x:c r="A5" s="3" t="s">
        <x:v>3630</x:v>
      </x:c>
      <x:c r="B5" s="3" t="s">
        <x:v>3376</x:v>
      </x:c>
      <x:c r="C5" s="6" t="s">
        <x:v>3514</x:v>
      </x:c>
      <x:c r="D5" s="7">
        <x:f>CONCATENATE(HYPERLINK("CALLTO:%2B356%209927%207571", "+356 9927 7571"))</x:f>
      </x:c>
      <x:c r="F5" s="6" t="s">
        <x:v>3648</x:v>
      </x:c>
      <x:c r="G5" s="3" t="s">
        <x:v>3652</x:v>
      </x:c>
    </x:row>
    <x:row r="6" spans="1:8" s="1" customFormat="1">
      <x:c r="A6" s="1" t="s">
        <x:v>3630</x:v>
      </x:c>
      <x:c r="B6" s="1" t="s">
        <x:v>672</x:v>
      </x:c>
      <x:c r="C6" s="8" t="s">
        <x:v>700</x:v>
      </x:c>
      <x:c r="D6" s="9">
        <x:f>CONCATENATE(HYPERLINK("CALLTO:%2B356%202149%202908", "+356 2149 2908"))</x:f>
      </x:c>
      <x:c r="G6" s="1" t="s">
        <x:v>3653</x:v>
      </x:c>
    </x:row>
    <x:row r="7" spans="1:8" s="4" customFormat="1">
      <x:c r="A7" s="4" t="s">
        <x:v>3630</x:v>
      </x:c>
      <x:c r="B7" s="4" t="s">
        <x:v>3342</x:v>
      </x:c>
      <x:c r="C7" s="10" t="s">
        <x:v>3639</x:v>
      </x:c>
      <x:c r="D7" s="11">
        <x:f>CONCATENATE(HYPERLINK("CALLTO:%2B356%20", "+356 "))</x:f>
      </x:c>
      <x:c r="G7" s="4" t="s">
        <x:v>3654</x:v>
      </x:c>
    </x:row>
    <x:row r="8" spans="1:8" s="3" customFormat="1">
      <x:c r="A8" s="3" t="s">
        <x:v>3630</x:v>
      </x:c>
      <x:c r="B8" s="3" t="s">
        <x:v>3343</x:v>
      </x:c>
      <x:c r="C8" s="6" t="s">
        <x:v>3640</x:v>
      </x:c>
      <x:c r="D8" s="7">
        <x:f>CONCATENATE(HYPERLINK("CALLTO:%2B356%20", "+356 "))</x:f>
      </x:c>
      <x:c r="G8" s="3" t="s">
        <x:v>3653</x:v>
      </x:c>
    </x:row>
    <x:row r="9" spans="1:8" s="1" customFormat="1">
      <x:c r="A9" s="1" t="s">
        <x:v>3630</x:v>
      </x:c>
      <x:c r="B9" s="1" t="s">
        <x:v>3633</x:v>
      </x:c>
      <x:c r="C9" s="8" t="s">
        <x:v>3436</x:v>
      </x:c>
      <x:c r="G9" s="1" t="s">
        <x:v>3653</x:v>
      </x:c>
    </x:row>
    <x:row r="10" spans="1:8" s="4" customFormat="1">
      <x:c r="A10" s="4" t="s">
        <x:v>3630</x:v>
      </x:c>
      <x:c r="B10" s="4" t="s">
        <x:v>3346</x:v>
      </x:c>
      <x:c r="C10" s="10" t="s">
        <x:v>3437</x:v>
      </x:c>
      <x:c r="G10" s="4" t="s">
        <x:v>3655</x:v>
      </x:c>
    </x:row>
    <x:row r="11" spans="1:8" s="3" customFormat="1">
      <x:c r="A11" s="3" t="s">
        <x:v>3630</x:v>
      </x:c>
      <x:c r="B11" s="3" t="s">
        <x:v>3347</x:v>
      </x:c>
      <x:c r="C11" s="6" t="s">
        <x:v>3438</x:v>
      </x:c>
      <x:c r="G11" s="3" t="s">
        <x:v>3656</x:v>
      </x:c>
    </x:row>
    <x:row r="12" spans="1:8" s="1" customFormat="1">
      <x:c r="A12" s="1" t="s">
        <x:v>3630</x:v>
      </x:c>
      <x:c r="B12" s="1" t="s">
        <x:v>3349</x:v>
      </x:c>
      <x:c r="C12" s="8" t="s">
        <x:v>3440</x:v>
      </x:c>
      <x:c r="G12" s="1" t="s">
        <x:v>3657</x:v>
      </x:c>
    </x:row>
    <x:row r="13" spans="1:8" s="4" customFormat="1">
      <x:c r="A13" s="4" t="s">
        <x:v>3630</x:v>
      </x:c>
      <x:c r="B13" s="4" t="s">
        <x:v>3350</x:v>
      </x:c>
      <x:c r="C13" s="10" t="s">
        <x:v>3441</x:v>
      </x:c>
      <x:c r="G13" s="4" t="s">
        <x:v>3656</x:v>
      </x:c>
    </x:row>
    <x:row r="14" spans="1:8" s="3" customFormat="1">
      <x:c r="A14" s="3" t="s">
        <x:v>3630</x:v>
      </x:c>
      <x:c r="B14" s="3" t="s">
        <x:v>3351</x:v>
      </x:c>
      <x:c r="C14" s="6" t="s">
        <x:v>3442</x:v>
      </x:c>
      <x:c r="G14" s="3" t="s">
        <x:v>3649</x:v>
      </x:c>
    </x:row>
    <x:row r="15" spans="1:8" s="1" customFormat="1">
      <x:c r="A15" s="1" t="s">
        <x:v>3630</x:v>
      </x:c>
      <x:c r="B15" s="1" t="s">
        <x:v>3352</x:v>
      </x:c>
      <x:c r="C15" s="8" t="s">
        <x:v>3443</x:v>
      </x:c>
      <x:c r="G15" s="1" t="s">
        <x:v>3658</x:v>
      </x:c>
    </x:row>
    <x:row r="16" spans="1:8" s="4" customFormat="1">
      <x:c r="A16" s="4" t="s">
        <x:v>3630</x:v>
      </x:c>
      <x:c r="B16" s="4" t="s">
        <x:v>3353</x:v>
      </x:c>
      <x:c r="C16" s="10" t="s">
        <x:v>3444</x:v>
      </x:c>
      <x:c r="G16" s="4" t="s">
        <x:v>3659</x:v>
      </x:c>
    </x:row>
    <x:row r="17" spans="1:8" s="3" customFormat="1">
      <x:c r="A17" s="3" t="s">
        <x:v>3630</x:v>
      </x:c>
      <x:c r="B17" s="3" t="s">
        <x:v>3355</x:v>
      </x:c>
      <x:c r="C17" s="6" t="s">
        <x:v>3446</x:v>
      </x:c>
      <x:c r="G17" s="3" t="s">
        <x:v>3653</x:v>
      </x:c>
    </x:row>
    <x:row r="18" spans="1:8" s="1" customFormat="1">
      <x:c r="A18" s="1" t="s">
        <x:v>3630</x:v>
      </x:c>
      <x:c r="B18" s="1" t="s">
        <x:v>3356</x:v>
      </x:c>
      <x:c r="C18" s="8" t="s">
        <x:v>3447</x:v>
      </x:c>
    </x:row>
    <x:row r="19" spans="1:8" s="4" customFormat="1">
      <x:c r="A19" s="4" t="s">
        <x:v>3630</x:v>
      </x:c>
      <x:c r="B19" s="4" t="s">
        <x:v>3358</x:v>
      </x:c>
      <x:c r="C19" s="10" t="s">
        <x:v>703</x:v>
      </x:c>
    </x:row>
    <x:row r="20" spans="1:8" s="3" customFormat="1">
      <x:c r="A20" s="3" t="s">
        <x:v>3630</x:v>
      </x:c>
      <x:c r="B20" s="3" t="s">
        <x:v>3359</x:v>
      </x:c>
      <x:c r="C20" s="6" t="s">
        <x:v>3449</x:v>
      </x:c>
    </x:row>
    <x:row r="21" spans="1:8" s="1" customFormat="1">
      <x:c r="A21" s="1" t="s">
        <x:v>3630</x:v>
      </x:c>
      <x:c r="B21" s="1" t="s">
        <x:v>3360</x:v>
      </x:c>
      <x:c r="C21" s="8" t="s">
        <x:v>3450</x:v>
      </x:c>
    </x:row>
    <x:row r="22" spans="1:8" s="4" customFormat="1">
      <x:c r="A22" s="4" t="s">
        <x:v>3630</x:v>
      </x:c>
      <x:c r="B22" s="4" t="s">
        <x:v>3362</x:v>
      </x:c>
      <x:c r="C22" s="10" t="s">
        <x:v>3452</x:v>
      </x:c>
    </x:row>
    <x:row r="23" spans="1:8" s="3" customFormat="1">
      <x:c r="A23" s="3" t="s">
        <x:v>3630</x:v>
      </x:c>
      <x:c r="B23" s="3" t="s">
        <x:v>3363</x:v>
      </x:c>
      <x:c r="C23" s="6" t="s">
        <x:v>3453</x:v>
      </x:c>
    </x:row>
    <x:row r="24" spans="1:8" s="1" customFormat="1">
      <x:c r="A24" s="1" t="s">
        <x:v>3630</x:v>
      </x:c>
      <x:c r="B24" s="1" t="s">
        <x:v>3364</x:v>
      </x:c>
      <x:c r="C24" s="8" t="s">
        <x:v>3454</x:v>
      </x:c>
    </x:row>
    <x:row r="25" spans="1:8" s="4" customFormat="1">
      <x:c r="A25" s="4" t="s">
        <x:v>3630</x:v>
      </x:c>
      <x:c r="B25" s="4" t="s">
        <x:v>3365</x:v>
      </x:c>
      <x:c r="C25" s="10" t="s">
        <x:v>3455</x:v>
      </x:c>
    </x:row>
    <x:row r="26" spans="1:8" s="3" customFormat="1">
      <x:c r="A26" s="3" t="s">
        <x:v>3630</x:v>
      </x:c>
      <x:c r="B26" s="3" t="s">
        <x:v>3366</x:v>
      </x:c>
      <x:c r="C26" s="6" t="s">
        <x:v>3456</x:v>
      </x:c>
    </x:row>
    <x:row r="27" spans="1:8" s="1" customFormat="1">
      <x:c r="A27" s="1" t="s">
        <x:v>3630</x:v>
      </x:c>
      <x:c r="B27" s="1" t="s">
        <x:v>3367</x:v>
      </x:c>
      <x:c r="C27" s="8" t="s">
        <x:v>3457</x:v>
      </x:c>
    </x:row>
    <x:row r="28" spans="1:8" s="4" customFormat="1">
      <x:c r="A28" s="4" t="s">
        <x:v>3630</x:v>
      </x:c>
      <x:c r="B28" s="4" t="s">
        <x:v>3368</x:v>
      </x:c>
      <x:c r="C28" s="10" t="s">
        <x:v>3458</x:v>
      </x:c>
    </x:row>
    <x:row r="29" spans="1:8" s="3" customFormat="1">
      <x:c r="A29" s="3" t="s">
        <x:v>3630</x:v>
      </x:c>
      <x:c r="B29" s="3" t="s">
        <x:v>3370</x:v>
      </x:c>
      <x:c r="C29" s="6" t="s">
        <x:v>3460</x:v>
      </x:c>
    </x:row>
    <x:row r="30" spans="1:8" s="1" customFormat="1">
      <x:c r="A30" s="1" t="s">
        <x:v>3630</x:v>
      </x:c>
      <x:c r="B30" s="1" t="s">
        <x:v>3371</x:v>
      </x:c>
      <x:c r="C30" s="8" t="s">
        <x:v>3461</x:v>
      </x:c>
    </x:row>
    <x:row r="31" spans="1:8" s="4" customFormat="1">
      <x:c r="A31" s="4" t="s">
        <x:v>3630</x:v>
      </x:c>
      <x:c r="B31" s="4" t="s">
        <x:v>3372</x:v>
      </x:c>
      <x:c r="C31" s="10" t="s">
        <x:v>3462</x:v>
      </x:c>
    </x:row>
    <x:row r="32" spans="1:8" s="3" customFormat="1">
      <x:c r="A32" s="3" t="s">
        <x:v>3630</x:v>
      </x:c>
      <x:c r="B32" s="3" t="s">
        <x:v>3373</x:v>
      </x:c>
      <x:c r="C32" s="6" t="s">
        <x:v>3463</x:v>
      </x:c>
    </x:row>
    <x:row r="33" spans="1:8" s="1" customFormat="1">
      <x:c r="A33" s="1" t="s">
        <x:v>3630</x:v>
      </x:c>
      <x:c r="B33" s="1" t="s">
        <x:v>3375</x:v>
      </x:c>
      <x:c r="C33" s="8" t="s">
        <x:v>3465</x:v>
      </x:c>
    </x:row>
    <x:row r="34" spans="1:8" s="4" customFormat="1">
      <x:c r="A34" s="4" t="s">
        <x:v>3630</x:v>
      </x:c>
      <x:c r="B34" s="4" t="s">
        <x:v>3376</x:v>
      </x:c>
      <x:c r="C34" s="10" t="s">
        <x:v>3463</x:v>
      </x:c>
    </x:row>
    <x:row r="35" spans="1:8" s="3" customFormat="1">
      <x:c r="A35" s="3" t="s">
        <x:v>3630</x:v>
      </x:c>
      <x:c r="B35" s="3" t="s">
        <x:v>3377</x:v>
      </x:c>
      <x:c r="C35" s="6" t="s">
        <x:v>3467</x:v>
      </x:c>
    </x:row>
    <x:row r="36" spans="1:8" s="1" customFormat="1">
      <x:c r="A36" s="1" t="s">
        <x:v>3630</x:v>
      </x:c>
      <x:c r="B36" s="1" t="s">
        <x:v>3378</x:v>
      </x:c>
      <x:c r="C36" s="8" t="s">
        <x:v>3468</x:v>
      </x:c>
    </x:row>
    <x:row r="37" spans="1:8" s="4" customFormat="1">
      <x:c r="A37" s="4" t="s">
        <x:v>3630</x:v>
      </x:c>
      <x:c r="B37" s="4" t="s">
        <x:v>3379</x:v>
      </x:c>
      <x:c r="C37" s="10" t="s">
        <x:v>3470</x:v>
      </x:c>
    </x:row>
    <x:row r="38" spans="1:8" s="3" customFormat="1">
      <x:c r="A38" s="3" t="s">
        <x:v>3630</x:v>
      </x:c>
      <x:c r="B38" s="3" t="s">
        <x:v>3380</x:v>
      </x:c>
      <x:c r="C38" s="6" t="s">
        <x:v>3641</x:v>
      </x:c>
    </x:row>
    <x:row r="39" spans="1:8" s="1" customFormat="1">
      <x:c r="A39" s="1" t="s">
        <x:v>3630</x:v>
      </x:c>
      <x:c r="B39" s="1" t="s">
        <x:v>3381</x:v>
      </x:c>
      <x:c r="C39" s="8" t="s">
        <x:v>3471</x:v>
      </x:c>
    </x:row>
    <x:row r="40" spans="1:8" s="4" customFormat="1">
      <x:c r="A40" s="4" t="s">
        <x:v>3630</x:v>
      </x:c>
      <x:c r="B40" s="4" t="s">
        <x:v>3382</x:v>
      </x:c>
      <x:c r="C40" s="10" t="s">
        <x:v>3472</x:v>
      </x:c>
    </x:row>
    <x:row r="41" spans="1:8" s="3" customFormat="1">
      <x:c r="A41" s="3" t="s">
        <x:v>3630</x:v>
      </x:c>
      <x:c r="B41" s="3" t="s">
        <x:v>3383</x:v>
      </x:c>
      <x:c r="C41" s="6" t="s">
        <x:v>3473</x:v>
      </x:c>
    </x:row>
    <x:row r="42" spans="1:8" s="1" customFormat="1">
      <x:c r="A42" s="1" t="s">
        <x:v>3630</x:v>
      </x:c>
      <x:c r="B42" s="1" t="s">
        <x:v>3384</x:v>
      </x:c>
      <x:c r="C42" s="8" t="s">
        <x:v>3474</x:v>
      </x:c>
    </x:row>
    <x:row r="43" spans="1:8" s="4" customFormat="1">
      <x:c r="A43" s="4" t="s">
        <x:v>3630</x:v>
      </x:c>
      <x:c r="B43" s="4" t="s">
        <x:v>3385</x:v>
      </x:c>
      <x:c r="C43" s="10" t="s">
        <x:v>3475</x:v>
      </x:c>
    </x:row>
    <x:row r="44" spans="1:8" s="3" customFormat="1">
      <x:c r="A44" s="3" t="s">
        <x:v>3630</x:v>
      </x:c>
      <x:c r="B44" s="3" t="s">
        <x:v>3386</x:v>
      </x:c>
      <x:c r="C44" s="6" t="s">
        <x:v>3476</x:v>
      </x:c>
    </x:row>
    <x:row r="45" spans="1:8" s="1" customFormat="1">
      <x:c r="A45" s="1" t="s">
        <x:v>3630</x:v>
      </x:c>
      <x:c r="B45" s="1" t="s">
        <x:v>3387</x:v>
      </x:c>
      <x:c r="C45" s="8" t="s">
        <x:v>3477</x:v>
      </x:c>
    </x:row>
    <x:row r="46" spans="1:8" s="4" customFormat="1">
      <x:c r="A46" s="4" t="s">
        <x:v>3630</x:v>
      </x:c>
      <x:c r="B46" s="4" t="s">
        <x:v>677</x:v>
      </x:c>
      <x:c r="C46" s="10" t="s">
        <x:v>705</x:v>
      </x:c>
    </x:row>
    <x:row r="47" spans="1:8" s="3" customFormat="1">
      <x:c r="A47" s="3" t="s">
        <x:v>3630</x:v>
      </x:c>
      <x:c r="B47" s="3" t="s">
        <x:v>3388</x:v>
      </x:c>
      <x:c r="C47" s="6" t="s">
        <x:v>2554</x:v>
      </x:c>
    </x:row>
    <x:row r="48" spans="1:8" s="1" customFormat="1">
      <x:c r="A48" s="1" t="s">
        <x:v>3630</x:v>
      </x:c>
      <x:c r="B48" s="1" t="s">
        <x:v>3389</x:v>
      </x:c>
      <x:c r="C48" s="8" t="s">
        <x:v>3478</x:v>
      </x:c>
    </x:row>
    <x:row r="49" spans="1:8" s="4" customFormat="1">
      <x:c r="A49" s="4" t="s">
        <x:v>3630</x:v>
      </x:c>
      <x:c r="B49" s="4" t="s">
        <x:v>3390</x:v>
      </x:c>
      <x:c r="C49" s="10" t="s">
        <x:v>3479</x:v>
      </x:c>
    </x:row>
    <x:row r="50" spans="1:8" s="3" customFormat="1">
      <x:c r="A50" s="3" t="s">
        <x:v>3630</x:v>
      </x:c>
      <x:c r="B50" s="3" t="s">
        <x:v>3391</x:v>
      </x:c>
      <x:c r="C50" s="6" t="s">
        <x:v>3480</x:v>
      </x:c>
    </x:row>
    <x:row r="51" spans="1:8" s="1" customFormat="1">
      <x:c r="A51" s="1" t="s">
        <x:v>3630</x:v>
      </x:c>
      <x:c r="B51" s="1" t="s">
        <x:v>3393</x:v>
      </x:c>
      <x:c r="C51" s="8" t="s">
        <x:v>3482</x:v>
      </x:c>
    </x:row>
    <x:row r="52" spans="1:8" s="4" customFormat="1">
      <x:c r="A52" s="4" t="s">
        <x:v>3630</x:v>
      </x:c>
      <x:c r="B52" s="4" t="s">
        <x:v>3394</x:v>
      </x:c>
      <x:c r="C52" s="10" t="s">
        <x:v>3483</x:v>
      </x:c>
    </x:row>
    <x:row r="53" spans="1:8" s="3" customFormat="1">
      <x:c r="A53" s="3" t="s">
        <x:v>3630</x:v>
      </x:c>
      <x:c r="B53" s="3" t="s">
        <x:v>3395</x:v>
      </x:c>
      <x:c r="C53" s="6" t="s">
        <x:v>3484</x:v>
      </x:c>
    </x:row>
    <x:row r="54" spans="1:8" s="1" customFormat="1">
      <x:c r="A54" s="1" t="s">
        <x:v>3630</x:v>
      </x:c>
      <x:c r="B54" s="1" t="s">
        <x:v>672</x:v>
      </x:c>
      <x:c r="C54" s="8" t="s">
        <x:v>700</x:v>
      </x:c>
    </x:row>
    <x:row r="55" spans="1:8" s="4" customFormat="1">
      <x:c r="A55" s="4" t="s">
        <x:v>3630</x:v>
      </x:c>
      <x:c r="B55" s="4" t="s">
        <x:v>3396</x:v>
      </x:c>
      <x:c r="C55" s="10" t="s">
        <x:v>3485</x:v>
      </x:c>
    </x:row>
    <x:row r="56" spans="1:8" s="3" customFormat="1">
      <x:c r="A56" s="3" t="s">
        <x:v>3630</x:v>
      </x:c>
      <x:c r="B56" s="3" t="s">
        <x:v>3397</x:v>
      </x:c>
      <x:c r="C56" s="6" t="s">
        <x:v>3486</x:v>
      </x:c>
    </x:row>
    <x:row r="57" spans="1:8" s="1" customFormat="1">
      <x:c r="A57" s="1" t="s">
        <x:v>3630</x:v>
      </x:c>
      <x:c r="B57" s="1" t="s">
        <x:v>3398</x:v>
      </x:c>
      <x:c r="C57" s="1" t="s">
        <x:v>3487</x:v>
      </x:c>
    </x:row>
    <x:row r="58" spans="1:8" s="4" customFormat="1">
      <x:c r="A58" s="4" t="s">
        <x:v>3630</x:v>
      </x:c>
      <x:c r="B58" s="4" t="s">
        <x:v>3399</x:v>
      </x:c>
      <x:c r="C58" s="10" t="s">
        <x:v>3488</x:v>
      </x:c>
    </x:row>
    <x:row r="59" spans="1:8" s="3" customFormat="1">
      <x:c r="A59" s="3" t="s">
        <x:v>3630</x:v>
      </x:c>
      <x:c r="B59" s="3" t="s">
        <x:v>3400</x:v>
      </x:c>
      <x:c r="C59" s="6" t="s">
        <x:v>3489</x:v>
      </x:c>
    </x:row>
    <x:row r="60" spans="1:8" s="1" customFormat="1">
      <x:c r="A60" s="1" t="s">
        <x:v>3630</x:v>
      </x:c>
      <x:c r="B60" s="1" t="s">
        <x:v>3401</x:v>
      </x:c>
      <x:c r="C60" s="8" t="s">
        <x:v>3490</x:v>
      </x:c>
    </x:row>
    <x:row r="61" spans="1:8" s="4" customFormat="1">
      <x:c r="A61" s="4" t="s">
        <x:v>3630</x:v>
      </x:c>
      <x:c r="B61" s="4" t="s">
        <x:v>3402</x:v>
      </x:c>
      <x:c r="C61" s="10" t="s">
        <x:v>3491</x:v>
      </x:c>
    </x:row>
    <x:row r="62" spans="1:8" s="3" customFormat="1">
      <x:c r="A62" s="3" t="s">
        <x:v>3630</x:v>
      </x:c>
      <x:c r="B62" s="3" t="s">
        <x:v>3403</x:v>
      </x:c>
      <x:c r="C62" s="6" t="s">
        <x:v>3492</x:v>
      </x:c>
    </x:row>
    <x:row r="63" spans="1:8" s="1" customFormat="1">
      <x:c r="A63" s="1" t="s">
        <x:v>3630</x:v>
      </x:c>
      <x:c r="B63" s="1" t="s">
        <x:v>3404</x:v>
      </x:c>
      <x:c r="C63" s="8" t="s">
        <x:v>3493</x:v>
      </x:c>
    </x:row>
    <x:row r="64" spans="1:8" s="4" customFormat="1">
      <x:c r="A64" s="4" t="s">
        <x:v>3630</x:v>
      </x:c>
      <x:c r="B64" s="4" t="s">
        <x:v>3405</x:v>
      </x:c>
      <x:c r="C64" s="10" t="s">
        <x:v>3494</x:v>
      </x:c>
    </x:row>
    <x:row r="65" spans="1:8" s="3" customFormat="1">
      <x:c r="A65" s="3" t="s">
        <x:v>3630</x:v>
      </x:c>
      <x:c r="B65" s="3" t="s">
        <x:v>3406</x:v>
      </x:c>
      <x:c r="C65" s="6" t="s">
        <x:v>3495</x:v>
      </x:c>
    </x:row>
    <x:row r="66" spans="1:8" s="1" customFormat="1">
      <x:c r="A66" s="1" t="s">
        <x:v>3630</x:v>
      </x:c>
      <x:c r="B66" s="1" t="s">
        <x:v>3407</x:v>
      </x:c>
      <x:c r="C66" s="8" t="s">
        <x:v>3496</x:v>
      </x:c>
    </x:row>
    <x:row r="67" spans="1:8" s="4" customFormat="1">
      <x:c r="A67" s="4" t="s">
        <x:v>3630</x:v>
      </x:c>
      <x:c r="B67" s="4" t="s">
        <x:v>3408</x:v>
      </x:c>
      <x:c r="C67" s="10" t="s">
        <x:v>1015</x:v>
      </x:c>
    </x:row>
    <x:row r="68" spans="1:8" s="3" customFormat="1">
      <x:c r="A68" s="3" t="s">
        <x:v>3630</x:v>
      </x:c>
      <x:c r="B68" s="3" t="s">
        <x:v>3409</x:v>
      </x:c>
      <x:c r="C68" s="6" t="s">
        <x:v>3497</x:v>
      </x:c>
    </x:row>
    <x:row r="69" spans="1:8" s="1" customFormat="1">
      <x:c r="A69" s="1" t="s">
        <x:v>3630</x:v>
      </x:c>
      <x:c r="B69" s="1" t="s">
        <x:v>3410</x:v>
      </x:c>
      <x:c r="C69" s="8" t="s">
        <x:v>3498</x:v>
      </x:c>
    </x:row>
    <x:row r="70" spans="1:8" s="4" customFormat="1">
      <x:c r="A70" s="4" t="s">
        <x:v>3630</x:v>
      </x:c>
      <x:c r="B70" s="4" t="s">
        <x:v>3411</x:v>
      </x:c>
      <x:c r="C70" s="10" t="s">
        <x:v>3499</x:v>
      </x:c>
    </x:row>
    <x:row r="71" spans="1:8" s="3" customFormat="1">
      <x:c r="A71" s="3" t="s">
        <x:v>3630</x:v>
      </x:c>
      <x:c r="B71" s="3" t="s">
        <x:v>3412</x:v>
      </x:c>
      <x:c r="C71" s="6" t="s">
        <x:v>3500</x:v>
      </x:c>
    </x:row>
    <x:row r="72" spans="1:8" s="1" customFormat="1">
      <x:c r="A72" s="1" t="s">
        <x:v>3630</x:v>
      </x:c>
      <x:c r="B72" s="1" t="s">
        <x:v>3413</x:v>
      </x:c>
      <x:c r="C72" s="8" t="s">
        <x:v>3501</x:v>
      </x:c>
    </x:row>
    <x:row r="73" spans="1:8" s="4" customFormat="1">
      <x:c r="A73" s="4" t="s">
        <x:v>3630</x:v>
      </x:c>
      <x:c r="B73" s="4" t="s">
        <x:v>3414</x:v>
      </x:c>
      <x:c r="C73" s="10" t="s">
        <x:v>3502</x:v>
      </x:c>
    </x:row>
    <x:row r="74" spans="1:8" s="3" customFormat="1">
      <x:c r="A74" s="3" t="s">
        <x:v>3630</x:v>
      </x:c>
      <x:c r="B74" s="3" t="s">
        <x:v>3415</x:v>
      </x:c>
      <x:c r="C74" s="6" t="s">
        <x:v>3503</x:v>
      </x:c>
    </x:row>
    <x:row r="75" spans="1:8" s="1" customFormat="1">
      <x:c r="A75" s="1" t="s">
        <x:v>3630</x:v>
      </x:c>
      <x:c r="B75" s="1" t="s">
        <x:v>3417</x:v>
      </x:c>
      <x:c r="C75" s="8" t="s">
        <x:v>3504</x:v>
      </x:c>
    </x:row>
    <x:row r="76" spans="1:8" s="4" customFormat="1">
      <x:c r="A76" s="4" t="s">
        <x:v>3630</x:v>
      </x:c>
      <x:c r="B76" s="4" t="s">
        <x:v>3418</x:v>
      </x:c>
      <x:c r="C76" s="10" t="s">
        <x:v>3505</x:v>
      </x:c>
    </x:row>
    <x:row r="77" spans="1:8" s="3" customFormat="1">
      <x:c r="A77" s="3" t="s">
        <x:v>3630</x:v>
      </x:c>
      <x:c r="B77" s="3" t="s">
        <x:v>3419</x:v>
      </x:c>
      <x:c r="C77" s="6" t="s">
        <x:v>3506</x:v>
      </x:c>
    </x:row>
    <x:row r="78" spans="1:8" s="1" customFormat="1">
      <x:c r="A78" s="1" t="s">
        <x:v>3630</x:v>
      </x:c>
      <x:c r="B78" s="1" t="s">
        <x:v>3420</x:v>
      </x:c>
      <x:c r="C78" s="8" t="s">
        <x:v>3507</x:v>
      </x:c>
    </x:row>
    <x:row r="79" spans="1:8" s="4" customFormat="1">
      <x:c r="A79" s="4" t="s">
        <x:v>3630</x:v>
      </x:c>
      <x:c r="B79" s="4" t="s">
        <x:v>3425</x:v>
      </x:c>
      <x:c r="C79" s="10" t="s">
        <x:v>3510</x:v>
      </x:c>
    </x:row>
    <x:row r="80" spans="1:8" s="3" customFormat="1">
      <x:c r="A80" s="3" t="s">
        <x:v>3630</x:v>
      </x:c>
      <x:c r="B80" s="3" t="s">
        <x:v>3431</x:v>
      </x:c>
      <x:c r="C80" s="6" t="s">
        <x:v>3519</x:v>
      </x:c>
    </x:row>
    <x:row r="81" spans="1:8" s="1" customFormat="1">
      <x:c r="A81" s="1" t="s">
        <x:v>3630</x:v>
      </x:c>
      <x:c r="B81" s="1" t="s">
        <x:v>3634</x:v>
      </x:c>
      <x:c r="C81" s="8" t="s">
        <x:v>3642</x:v>
      </x:c>
    </x:row>
    <x:row r="82" spans="1:8" s="4" customFormat="1">
      <x:c r="A82" s="4" t="s">
        <x:v>3630</x:v>
      </x:c>
      <x:c r="B82" s="4" t="s">
        <x:v>3635</x:v>
      </x:c>
      <x:c r="C82" s="10" t="s">
        <x:v>3643</x:v>
      </x:c>
    </x:row>
    <x:row r="83" spans="1:8" s="3" customFormat="1"/>
    <x:row r="84" spans="1:8" s="1" customFormat="1">
      <x:c r="B84" s="1" t="s">
        <x:v>3636</x:v>
      </x:c>
      <x:c r="C84" s="8" t="s">
        <x:v>3644</x:v>
      </x:c>
    </x:row>
    <x:row r="85" spans="1:8" s="4" customFormat="1"/>
    <x:row r="86" spans="1:8" s="3" customFormat="1"/>
    <x:row r="87" spans="1:8" s="1" customFormat="1"/>
    <x:row r="88" spans="1:8" s="4" customFormat="1"/>
    <x:row r="89" spans="1:8" s="3" customFormat="1"/>
    <x:row r="90" spans="1:8" s="1" customFormat="1"/>
    <x:row r="91" spans="1:8" s="4" customFormat="1"/>
    <x:row r="92" spans="1:8" s="3" customFormat="1"/>
    <x:row r="93" spans="1:8" s="1" customFormat="1"/>
    <x:row r="94" spans="1:8" s="4" customFormat="1"/>
    <x:row r="95" spans="1:8" s="3" customFormat="1"/>
    <x:row r="96" spans="1:8" s="1" customFormat="1"/>
    <x:row r="97" spans="1:8" s="4" customFormat="1"/>
    <x:row r="98" spans="1:8" s="3" customFormat="1"/>
    <x:row r="99" spans="1:8" s="1" customFormat="1"/>
    <x:row r="100" spans="1:8" s="4" customFormat="1"/>
    <x:row r="101" spans="1:8" s="3" customFormat="1"/>
    <x:row r="102" spans="1:8" s="1" customFormat="1"/>
    <x:row r="103" spans="1:8" s="4" customFormat="1"/>
    <x:row r="104" spans="1:8" s="3" customFormat="1"/>
    <x:row r="105" spans="1:8" s="1" customFormat="1"/>
    <x:row r="106" spans="1:8" s="4" customFormat="1"/>
    <x:row r="107" spans="1:8" s="3" customFormat="1"/>
    <x:row r="108" spans="1:8" s="1" customFormat="1"/>
    <x:row r="109" spans="1:8" s="4" customFormat="1"/>
    <x:row r="110" spans="1:8" s="3" customFormat="1"/>
    <x:row r="111" spans="1:8" s="1" customFormat="1"/>
    <x:row r="112" spans="1:8" s="4" customFormat="1"/>
    <x:row r="113" spans="1:8" s="3" customFormat="1"/>
    <x:row r="114" spans="1:8" s="1" customFormat="1"/>
    <x:row r="115" spans="1:8" s="4" customFormat="1"/>
    <x:row r="116" spans="1:8" s="3" customFormat="1"/>
    <x:row r="117" spans="1:8" s="1" customFormat="1"/>
    <x:row r="118" spans="1:8" s="4" customFormat="1"/>
    <x:row r="119" spans="1:8" s="3" customFormat="1"/>
    <x:row r="120" spans="1:8" s="1" customFormat="1"/>
    <x:row r="121" spans="1:8" s="4" customFormat="1"/>
    <x:row r="122" spans="1:8" s="3" customFormat="1"/>
    <x:row r="123" spans="1:8" s="1" customFormat="1"/>
    <x:row r="124" spans="1:8" s="4" customFormat="1"/>
    <x:row r="125" spans="1:8" s="3" customFormat="1"/>
    <x:row r="126" spans="1:8" s="1" customFormat="1"/>
    <x:row r="127" spans="1:8" s="4" customFormat="1"/>
    <x:row r="128" spans="1:8" s="3" customFormat="1"/>
    <x:row r="129" spans="1:8" s="1" customFormat="1"/>
    <x:row r="130" spans="1:8" s="4" customFormat="1"/>
    <x:row r="131" spans="1:8" s="3" customFormat="1"/>
    <x:row r="132" spans="1:8" s="1" customFormat="1"/>
    <x:row r="133" spans="1:8" s="4" customFormat="1"/>
    <x:row r="134" spans="1:8" s="3" customFormat="1"/>
    <x:row r="135" spans="1:8" s="1" customFormat="1"/>
    <x:row r="136" spans="1:8" s="4" customFormat="1"/>
    <x:row r="137" spans="1:8" s="3" customFormat="1"/>
    <x:row r="138" spans="1:8" s="1" customFormat="1"/>
    <x:row r="139" spans="1:8" s="4" customFormat="1"/>
    <x:row r="140" spans="1:8" s="3" customFormat="1"/>
    <x:row r="141" spans="1:8" s="1" customFormat="1"/>
    <x:row r="142" spans="1:8" s="4" customFormat="1"/>
    <x:row r="143" spans="1:8" s="3" customFormat="1"/>
    <x:row r="144" spans="1:8" s="1" customFormat="1"/>
    <x:row r="145" spans="1:8" s="4" customFormat="1"/>
    <x:row r="146" spans="1:8" s="3" customFormat="1"/>
    <x:row r="147" spans="1:8" s="1" customFormat="1"/>
    <x:row r="148" spans="1:8" s="4" customFormat="1"/>
    <x:row r="149" spans="1:8" s="3" customFormat="1"/>
    <x:row r="150" spans="1:8" s="1" customFormat="1"/>
    <x:row r="151" spans="1:8" s="4" customFormat="1"/>
    <x:row r="152" spans="1:8" s="3" customFormat="1"/>
    <x:row r="153" spans="1:8" s="1" customFormat="1"/>
    <x:row r="154" spans="1:8" s="4" customFormat="1"/>
    <x:row r="155" spans="1:8" s="3" customFormat="1"/>
    <x:row r="156" spans="1:8" s="1" customFormat="1"/>
    <x:row r="157" spans="1:8" s="4" customFormat="1"/>
    <x:row r="158" spans="1:8" s="3" customFormat="1"/>
    <x:row r="159" spans="1:8" s="1" customFormat="1"/>
    <x:row r="160" spans="1:8" s="4" customFormat="1"/>
    <x:row r="161" spans="1:8" s="3" customFormat="1"/>
    <x:row r="162" spans="1:8" s="1" customFormat="1"/>
    <x:row r="163" spans="1:8" s="4" customFormat="1"/>
    <x:row r="164" spans="1:8" s="3" customFormat="1"/>
    <x:row r="165" spans="1:8" s="1" customFormat="1"/>
    <x:row r="166" spans="1:8" s="4" customFormat="1"/>
    <x:row r="167" spans="1:8" s="3" customFormat="1"/>
    <x:row r="168" spans="1:8" s="1" customFormat="1"/>
    <x:row r="169" spans="1:8" s="4" customFormat="1"/>
    <x:row r="170" spans="1:8" s="3" customFormat="1"/>
    <x:row r="171" spans="1:8" s="1" customFormat="1"/>
    <x:row r="172" spans="1:8" s="4" customFormat="1"/>
    <x:row r="173" spans="1:8" s="3" customFormat="1"/>
    <x:row r="174" spans="1:8" s="1" customFormat="1"/>
    <x:row r="175" spans="1:8" s="4" customFormat="1"/>
    <x:row r="176" spans="1:8" s="3" customFormat="1"/>
    <x:row r="177" spans="1:8" s="1" customFormat="1"/>
    <x:row r="178" spans="1:8" s="4" customFormat="1"/>
    <x:row r="179" spans="1:8" s="3" customFormat="1"/>
    <x:row r="180" spans="1:8" s="1" customFormat="1"/>
    <x:row r="181" spans="1:8" s="4" customFormat="1"/>
    <x:row r="182" spans="1:8" s="3" customFormat="1"/>
    <x:row r="183" spans="1:8" s="1" customFormat="1"/>
    <x:row r="184" spans="1:8" s="4" customFormat="1"/>
    <x:row r="185" spans="1:8" s="3" customFormat="1"/>
    <x:row r="186" spans="1:8" s="1" customFormat="1"/>
    <x:row r="187" spans="1:8" s="4" customFormat="1"/>
    <x:row r="188" spans="1:8" s="3" customFormat="1"/>
    <x:row r="189" spans="1:8" s="1" customFormat="1"/>
    <x:row r="190" spans="1:8" s="4" customFormat="1"/>
    <x:row r="191" spans="1:8" s="3" customFormat="1"/>
    <x:row r="192" spans="1:8" s="1" customFormat="1"/>
    <x:row r="193" spans="1:8" s="4" customFormat="1"/>
    <x:row r="194" spans="1:8" s="3" customFormat="1"/>
    <x:row r="195" spans="1:8" s="1" customFormat="1"/>
    <x:row r="196" spans="1:8" s="4" customFormat="1"/>
    <x:row r="197" spans="1:8" s="3" customFormat="1"/>
    <x:row r="198" spans="1:8" s="1" customFormat="1"/>
    <x:row r="199" spans="1:8" s="4" customFormat="1"/>
    <x:row r="200" spans="1:8" s="3" customFormat="1"/>
    <x:row r="201" spans="1:8" s="1" customFormat="1"/>
    <x:row r="202" spans="1:8" s="4" customFormat="1"/>
    <x:row r="203" spans="1:8" s="3" customFormat="1"/>
    <x:row r="204" spans="1:8" s="1" customFormat="1"/>
    <x:row r="205" spans="1:8" s="4" customFormat="1"/>
    <x:row r="206" spans="1:8" s="3" customFormat="1"/>
    <x:row r="207" spans="1:8" s="1" customFormat="1"/>
    <x:row r="208" spans="1:8" s="4" customFormat="1"/>
    <x:row r="209" spans="1:8" s="3" customFormat="1"/>
    <x:row r="210" spans="1:8" s="1" customFormat="1"/>
    <x:row r="211" spans="1:8" s="4" customFormat="1"/>
    <x:row r="212" spans="1:8" s="3" customFormat="1"/>
    <x:row r="213" spans="1:8" s="1" customFormat="1"/>
    <x:row r="214" spans="1:8" s="4" customFormat="1"/>
    <x:row r="215" spans="1:8" s="3" customFormat="1"/>
    <x:row r="216" spans="1:8" s="1" customFormat="1"/>
    <x:row r="217" spans="1:8" s="4" customFormat="1"/>
    <x:row r="218" spans="1:8" s="3" customFormat="1"/>
    <x:row r="219" spans="1:8" s="1" customFormat="1"/>
    <x:row r="220" spans="1:8" s="4" customFormat="1"/>
    <x:row r="221" spans="1:8" s="3" customFormat="1"/>
    <x:row r="222" spans="1:8" s="1" customFormat="1"/>
    <x:row r="223" spans="1:8" s="4" customFormat="1"/>
    <x:row r="224" spans="1:8" s="3" customFormat="1"/>
    <x:row r="225" spans="1:8" s="1" customFormat="1"/>
    <x:row r="226" spans="1:8" s="4" customFormat="1"/>
    <x:row r="227" spans="1:8" s="3" customFormat="1"/>
    <x:row r="228" spans="1:8" s="1" customFormat="1"/>
    <x:row r="229" spans="1:8" s="4" customFormat="1"/>
    <x:row r="230" spans="1:8" s="3" customFormat="1"/>
    <x:row r="231" spans="1:8" s="1" customFormat="1"/>
    <x:row r="232" spans="1:8" s="4" customFormat="1"/>
    <x:row r="233" spans="1:8" s="3" customFormat="1"/>
    <x:row r="234" spans="1:8" s="1" customFormat="1"/>
    <x:row r="235" spans="1:8" s="4" customFormat="1"/>
    <x:row r="236" spans="1:8" s="3" customFormat="1"/>
    <x:row r="237" spans="1:8" s="1" customFormat="1"/>
    <x:row r="238" spans="1:8" s="4" customFormat="1"/>
    <x:row r="239" spans="1:8" s="3" customFormat="1"/>
    <x:row r="240" spans="1:8" s="1" customFormat="1"/>
    <x:row r="241" spans="1:8" s="4" customFormat="1"/>
    <x:row r="242" spans="1:8" s="3" customFormat="1"/>
    <x:row r="243" spans="1:8" s="1" customFormat="1"/>
    <x:row r="244" spans="1:8" s="4" customFormat="1"/>
    <x:row r="245" spans="1:8" s="3" customFormat="1"/>
    <x:row r="246" spans="1:8" s="1" customFormat="1"/>
    <x:row r="247" spans="1:8" s="4" customFormat="1"/>
    <x:row r="248" spans="1:8" s="3" customFormat="1"/>
    <x:row r="249" spans="1:8" s="1" customFormat="1"/>
    <x:row r="250" spans="1:8" s="4" customFormat="1"/>
    <x:row r="251" spans="1:8" s="3" customFormat="1"/>
    <x:row r="252" spans="1:8" s="1" customFormat="1"/>
    <x:row r="253" spans="1:8" s="4" customFormat="1"/>
    <x:row r="254" spans="1:8" s="3" customFormat="1"/>
    <x:row r="255" spans="1:8" s="1" customFormat="1"/>
    <x:row r="256" spans="1:8" s="4" customFormat="1"/>
    <x:row r="257" spans="1:8" s="3" customFormat="1"/>
    <x:row r="258" spans="1:8" s="1" customFormat="1"/>
    <x:row r="259" spans="1:8" s="4" customFormat="1"/>
    <x:row r="260" spans="1:8" s="3" customFormat="1"/>
    <x:row r="261" spans="1:8" s="1" customFormat="1"/>
    <x:row r="262" spans="1:8" s="4" customFormat="1"/>
    <x:row r="263" spans="1:8" s="3" customFormat="1"/>
    <x:row r="264" spans="1:8" s="1" customFormat="1"/>
    <x:row r="265" spans="1:8" s="4" customFormat="1"/>
    <x:row r="266" spans="1:8" s="3" customFormat="1"/>
    <x:row r="267" spans="1:8" s="1" customFormat="1"/>
    <x:row r="268" spans="1:8" s="4" customFormat="1"/>
    <x:row r="269" spans="1:8" s="3" customFormat="1"/>
    <x:row r="270" spans="1:8" s="1" customFormat="1"/>
    <x:row r="271" spans="1:8" s="4" customFormat="1"/>
    <x:row r="272" spans="1:8" s="3" customFormat="1"/>
    <x:row r="273" spans="1:8" s="1" customFormat="1"/>
    <x:row r="274" spans="1:8" s="4" customFormat="1"/>
    <x:row r="275" spans="1:8" s="3" customFormat="1"/>
    <x:row r="276" spans="1:8" s="1" customFormat="1"/>
    <x:row r="277" spans="1:8" s="4" customFormat="1"/>
    <x:row r="278" spans="1:8" s="3" customFormat="1"/>
    <x:row r="279" spans="1:8" s="1" customFormat="1"/>
    <x:row r="280" spans="1:8" s="4" customFormat="1"/>
    <x:row r="281" spans="1:8" s="3" customFormat="1"/>
    <x:row r="282" spans="1:8" s="1" customFormat="1"/>
    <x:row r="283" spans="1:8" s="4" customFormat="1"/>
    <x:row r="284" spans="1:8" s="3" customFormat="1"/>
    <x:row r="285" spans="1:8" s="1" customFormat="1"/>
    <x:row r="286" spans="1:8" s="4" customFormat="1"/>
    <x:row r="287" spans="1:8" s="3" customFormat="1"/>
    <x:row r="288" spans="1:8" s="1" customFormat="1"/>
    <x:row r="289" spans="1:8" s="4" customFormat="1"/>
    <x:row r="290" spans="1:8" s="3" customFormat="1"/>
    <x:row r="291" spans="1:8" s="1" customFormat="1"/>
    <x:row r="292" spans="1:8" s="4" customFormat="1"/>
    <x:row r="293" spans="1:8" s="3" customFormat="1"/>
    <x:row r="294" spans="1:8" s="1" customFormat="1"/>
    <x:row r="295" spans="1:8" s="4" customFormat="1"/>
    <x:row r="296" spans="1:8" s="3" customFormat="1"/>
    <x:row r="297" spans="1:8" s="1" customFormat="1"/>
    <x:row r="298" spans="1:8" s="4" customFormat="1"/>
    <x:row r="299" spans="1:8" s="3" customFormat="1"/>
    <x:row r="300" spans="1:8" s="1" customFormat="1"/>
    <x:row r="301" spans="1:8" s="4" customFormat="1"/>
    <x:row r="302" spans="1:8" s="3" customFormat="1"/>
    <x:row r="303" spans="1:8" s="1" customFormat="1"/>
    <x:row r="304" spans="1:8" s="4" customFormat="1"/>
    <x:row r="305" spans="1:8" s="3" customFormat="1"/>
    <x:row r="306" spans="1:8" s="1" customFormat="1"/>
    <x:row r="307" spans="1:8" s="4" customFormat="1"/>
    <x:row r="308" spans="1:8" s="3" customFormat="1"/>
    <x:row r="309" spans="1:8" s="1" customFormat="1"/>
    <x:row r="310" spans="1:8" s="4" customFormat="1"/>
    <x:row r="311" spans="1:8" s="3" customFormat="1"/>
    <x:row r="312" spans="1:8" s="1" customFormat="1"/>
    <x:row r="313" spans="1:8" s="4" customFormat="1"/>
    <x:row r="314" spans="1:8" s="3" customFormat="1"/>
    <x:row r="315" spans="1:8" s="1" customFormat="1"/>
    <x:row r="316" spans="1:8" s="4" customFormat="1"/>
    <x:row r="317" spans="1:8" s="3" customFormat="1"/>
    <x:row r="318" spans="1:8" s="1" customFormat="1"/>
    <x:row r="319" spans="1:8" s="4" customFormat="1"/>
    <x:row r="320" spans="1:8" s="3" customFormat="1"/>
    <x:row r="321" spans="1:8" s="1" customFormat="1"/>
    <x:row r="322" spans="1:8" s="4" customFormat="1"/>
    <x:row r="323" spans="1:8" s="3" customFormat="1"/>
    <x:row r="324" spans="1:8" s="1" customFormat="1"/>
    <x:row r="325" spans="1:8" s="4" customFormat="1"/>
    <x:row r="326" spans="1:8" s="3" customFormat="1"/>
    <x:row r="327" spans="1:8" s="1" customFormat="1"/>
    <x:row r="328" spans="1:8" s="4" customFormat="1"/>
    <x:row r="329" spans="1:8" s="3" customFormat="1"/>
    <x:row r="330" spans="1:8" s="1" customFormat="1"/>
  </x:sheetData>
  <x:hyperlinks>
    <x:hyperlink ref="C2" r:id="rId4050" tooltip="Send a mail to charliecalleja@hotmail.com"/>
    <x:hyperlink ref="C3" r:id="rId4051" tooltip="Send a mail to pmll.said@gmail.com"/>
    <x:hyperlink ref="C4" r:id="rId4052" tooltip="Send a mail to info@aluminiumltd.com"/>
    <x:hyperlink ref="C5" r:id="rId4053" tooltip="Send a mail to azzopardialumworks@gmail.com"/>
    <x:hyperlink ref="C6" r:id="rId4054" tooltip="Send a mail to info@grahamaluminium.com"/>
    <x:hyperlink ref="C7" r:id="rId4055" tooltip="Send a mail to sales@ampmalta.com"/>
    <x:hyperlink ref="C8" r:id="rId4056" tooltip="Send a mail to structures@portofino.mt"/>
    <x:hyperlink ref="C9" r:id="rId4057" tooltip="Send a mail to info@framegrip.com"/>
    <x:hyperlink ref="C10" r:id="rId4058" tooltip="Send a mail to sales@jlautier.com"/>
    <x:hyperlink ref="C11" r:id="rId4059" tooltip="Send a mail to sales@newstylesmalta.com"/>
    <x:hyperlink ref="C12" r:id="rId4060" tooltip="Send a mail to info@amabilegalea.com"/>
    <x:hyperlink ref="C13" r:id="rId4061" tooltip="Send a mail to info@gozoaluminium.com"/>
    <x:hyperlink ref="C14" r:id="rId4062" tooltip="Send a mail to info@a1finishesltd.com"/>
    <x:hyperlink ref="C15" r:id="rId4063" tooltip="Send a mail to parus984@gmail.com"/>
    <x:hyperlink ref="C16" r:id="rId4064" tooltip="Send a mail to info@afdaaluminium.com"/>
    <x:hyperlink ref="C17" r:id="rId4065" tooltip="Send a mail to j3aluminium@gmail.com"/>
    <x:hyperlink ref="C18" r:id="rId4066" tooltip="Send a mail to nu-aluminium@outlook.com"/>
    <x:hyperlink ref="C19" r:id="rId4067" tooltip="Send a mail to info@nicholas.mt"/>
    <x:hyperlink ref="C20" r:id="rId4068" tooltip="Send a mail to chayron186@gmail.com"/>
    <x:hyperlink ref="C21" r:id="rId4069" tooltip="Send a mail to josefvella72@gmail.com"/>
    <x:hyperlink ref="C22" r:id="rId4070" tooltip="Send a mail to northalu@gmail.com"/>
    <x:hyperlink ref="C23" r:id="rId4071" tooltip="Send a mail to agood.installations@yahoo.com"/>
    <x:hyperlink ref="C24" r:id="rId4072" tooltip="Send a mail to gsf-1200@hotmail.com"/>
    <x:hyperlink ref="C25" r:id="rId4073" tooltip="Send a mail to jsbaluminiumworks@gmail.com"/>
    <x:hyperlink ref="C26" r:id="rId4074" tooltip="Send a mail to mario.camilleri9@gmail.com"/>
    <x:hyperlink ref="C27" r:id="rId4075" tooltip="Send a mail to info@acaluminium.com"/>
    <x:hyperlink ref="C28" r:id="rId4076" tooltip="Send a mail to lexport@go.com.mt"/>
    <x:hyperlink ref="C29" r:id="rId4077" tooltip="Send a mail to alfalu@melita.com"/>
    <x:hyperlink ref="C30" r:id="rId4078" tooltip="Send a mail to xandrumallia@gmail.com"/>
    <x:hyperlink ref="C31" r:id="rId4079" tooltip="Send a mail to info@alukey.com.mt"/>
    <x:hyperlink ref="C32" r:id="rId4080" tooltip="Send a mail to info@aluminiumltd.com"/>
    <x:hyperlink ref="C33" r:id="rId4081" tooltip="Send a mail to andrewvella66@gmail.com"/>
    <x:hyperlink ref="C34" r:id="rId4082" tooltip="Send a mail to info@aluminiumltd.com"/>
    <x:hyperlink ref="C35" r:id="rId4083" tooltip="Send a mail to info@basonaluminium.com"/>
    <x:hyperlink ref="C36" r:id="rId4084" tooltip="Send a mail to borgaluminiummalta@gmail.com"/>
    <x:hyperlink ref="C37" r:id="rId4085" tooltip="Send a mail to henry@bpapertures.com"/>
    <x:hyperlink ref="C38" r:id="rId4086" tooltip="Send a mail to carmelspiteri2010@gmail.com"/>
    <x:hyperlink ref="C39" r:id="rId4087" tooltip="Send a mail to info@cagroup.com.mt"/>
    <x:hyperlink ref="C40" r:id="rId4088" tooltip="Send a mail to mrgmv@onvol.net"/>
    <x:hyperlink ref="C41" r:id="rId4089" tooltip="Send a mail to chocoaluminium@gmail.com"/>
    <x:hyperlink ref="C42" r:id="rId4090" tooltip="Send a mail to info@comforabita.com"/>
    <x:hyperlink ref="C43" r:id="rId4091" tooltip="Send a mail to cba@cba.com.mt"/>
    <x:hyperlink ref="C44" r:id="rId4092" tooltip="Send a mail to daniobarbara1977@gmail.com"/>
    <x:hyperlink ref="C45" r:id="rId4093" tooltip="Send a mail to savdim65@gmail.com"/>
    <x:hyperlink ref="C46" r:id="rId4094" tooltip="Send a mail to info@dinglialuminium.com"/>
    <x:hyperlink ref="C47" r:id="rId4095" tooltip="Send a mail to sales@pvcmalta.com"/>
    <x:hyperlink ref="C48" r:id="rId4096" tooltip="Send a mail to dxaluworks@gmail.com"/>
    <x:hyperlink ref="C49" r:id="rId4097" tooltip="Send a mail to info@expressaluminium.com"/>
    <x:hyperlink ref="C50" r:id="rId4098" tooltip="Send a mail to simdebwebb@hotmail.com"/>
    <x:hyperlink ref="C51" r:id="rId4099" tooltip="Send a mail to faworks123@gmail.com"/>
    <x:hyperlink ref="C52" r:id="rId4100" tooltip="Send a mail to azzopardimark8@gmail.com"/>
    <x:hyperlink ref="C53" r:id="rId4101" tooltip="Send a mail to info@alugiorgio.com"/>
    <x:hyperlink ref="C54" r:id="rId4102" tooltip="Send a mail to info@grahamaluminium.com"/>
    <x:hyperlink ref="C55" r:id="rId4103" tooltip="Send a mail to guysmalta@gmail.com"/>
    <x:hyperlink ref="C56" r:id="rId4104" tooltip="Send a mail to horvinltd@gmail.com"/>
    <x:hyperlink ref="C58" r:id="rId4105" tooltip="Send a mail to johnjandb@gmail.com"/>
    <x:hyperlink ref="C59" r:id="rId4106" tooltip="Send a mail to info@jcdaluminium.com"/>
    <x:hyperlink ref="C60" r:id="rId4107" tooltip="Send a mail to jk.aluminium@yahoo.com"/>
    <x:hyperlink ref="C61" r:id="rId4108" tooltip="Send a mail to admin@jamarmalta.com"/>
    <x:hyperlink ref="C62" r:id="rId4109" tooltip="Send a mail to info@jasonaluminium.com"/>
    <x:hyperlink ref="C63" r:id="rId4110" tooltip="Send a mail to kkalworks@gmail.com"/>
    <x:hyperlink ref="C64" r:id="rId4111" tooltip="Send a mail to bjorn.vassallo@gmail.com"/>
    <x:hyperlink ref="C65" r:id="rId4112" tooltip="Send a mail to gmuscat@live.com"/>
    <x:hyperlink ref="C66" r:id="rId4113" tooltip="Send a mail to nicdimech@gmail.com"/>
    <x:hyperlink ref="C67" r:id="rId4114" tooltip="Send a mail to Info@perfectum.mt"/>
    <x:hyperlink ref="C68" r:id="rId4115" tooltip="Send a mail to matteo.pisani40@gmail.com"/>
    <x:hyperlink ref="C69" r:id="rId4116" tooltip="Send a mail to qormialum@gmail.com"/>
    <x:hyperlink ref="C70" r:id="rId4117" tooltip="Send a mail to rcalworks@gmail.com"/>
    <x:hyperlink ref="C71" r:id="rId4118" tooltip="Send a mail to rapa.aluminium@gmail.com"/>
    <x:hyperlink ref="C72" r:id="rId4119" tooltip="Send a mail to raymondfarrugia74@gmail.com"/>
    <x:hyperlink ref="C73" r:id="rId4120" tooltip="Send a mail to refinedaluworks@gmail.com"/>
    <x:hyperlink ref="C74" r:id="rId4121" tooltip="Send a mail to info@servgroupmalta.com"/>
    <x:hyperlink ref="C75" r:id="rId4122" tooltip="Send a mail to info@sptechniques.com"/>
    <x:hyperlink ref="C76" r:id="rId4123" tooltip="Send a mail to sunaluminium@hotmail.com"/>
    <x:hyperlink ref="C77" r:id="rId4124" tooltip="Send a mail to t.camillerialuminium@hotmail.com"/>
    <x:hyperlink ref="C78" r:id="rId4125" tooltip="Send a mail to info@towergroupmalta.com"/>
    <x:hyperlink ref="C79" r:id="rId4126" tooltip="Send a mail to zammitalu@gmail.com"/>
    <x:hyperlink ref="C80" r:id="rId4127" tooltip="Send a mail to tonnalum@yahoo.com"/>
    <x:hyperlink ref="C81" r:id="rId4128" tooltip="Send a mail to aluminiumbypaul@gmail.com"/>
    <x:hyperlink ref="C82" r:id="rId4129" tooltip="Send a mail to dt.aluminium@outlook.com"/>
    <x:hyperlink ref="C84" r:id="rId4130" tooltip="Send a mail to amatohomeimprovements@gmail.com"/>
    <x:hyperlink ref="F2" r:id="rId4131" tooltip="Visit yellow.com.mt/i-c-s-aluminium_aluminium-apertures-fixtures%2Bqormi/?utm_source=chatgpt.com"/>
    <x:hyperlink ref="F3" r:id="rId4132" tooltip="Visit triedandtested.mt/listing/philip-said-aluminium-works"/>
    <x:hyperlink ref="F4" r:id="rId4133" tooltip="Visit facebook.com/alultd/"/>
    <x:hyperlink ref="F5" r:id="rId4134" tooltip="Visit checkyourtraders.com/listing/azzopardi-aluminium-metalworks?utm_source=chatgpt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5"/>
  <x:sheetViews>
    <x:sheetView workbookViewId="0"/>
  </x:sheetViews>
  <x:sheetFormatPr defaultRowHeight="15"/>
  <x:cols>
    <x:col min="1" max="1" width="7.996339" style="0" customWidth="1"/>
    <x:col min="2" max="2" width="12.567768" style="0" customWidth="1"/>
    <x:col min="3" max="3" width="21.710625" style="0" customWidth="1"/>
    <x:col min="4" max="4" width="29.853482" style="0" customWidth="1"/>
    <x:col min="5" max="5" width="33.139196" style="0" customWidth="1"/>
    <x:col min="6" max="6" width="27.567768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List'!A63", "Back to Summary")</x:f>
      </x:c>
    </x:row>
    <x:row r="2" spans="1:7" s="3" customFormat="1">
      <x:c r="A2" s="3" t="s">
        <x:v>3660</x:v>
      </x:c>
      <x:c r="B2" s="3" t="s">
        <x:v>994</x:v>
      </x:c>
      <x:c r="C2" s="6" t="s">
        <x:v>1015</x:v>
      </x:c>
      <x:c r="D2" s="7">
        <x:f>CONCATENATE(HYPERLINK("CALLTO:%2B356%209921%205215", "+356 9921 5215"))</x:f>
      </x:c>
      <x:c r="E2" s="6" t="s">
        <x:v>1037</x:v>
      </x:c>
      <x:c r="F2" s="6" t="s">
        <x:v>1052</x:v>
      </x:c>
    </x:row>
    <x:row r="3" spans="1:7" s="1" customFormat="1">
      <x:c r="A3" s="1" t="s">
        <x:v>3660</x:v>
      </x:c>
      <x:c r="B3" s="1" t="s">
        <x:v>3432</x:v>
      </x:c>
      <x:c r="C3" s="8" t="s">
        <x:v>3520</x:v>
      </x:c>
      <x:c r="D3" s="9">
        <x:f>CONCATENATE(HYPERLINK("CALLTO:%2B356%209959%204709", "+356 9959 4709"))</x:f>
      </x:c>
      <x:c r="E3" s="8" t="s">
        <x:v>3613</x:v>
      </x:c>
      <x:c r="F3" s="8" t="s">
        <x:v>3628</x:v>
      </x:c>
    </x:row>
    <x:row r="4" spans="1:7" s="4" customFormat="1">
      <x:c r="A4" s="4" t="s">
        <x:v>3660</x:v>
      </x:c>
      <x:c r="B4" s="4" t="s">
        <x:v>2524</x:v>
      </x:c>
      <x:c r="C4" s="10" t="s">
        <x:v>2543</x:v>
      </x:c>
      <x:c r="D4" s="11">
        <x:f>CONCATENATE(HYPERLINK("CALLTO:%2B356%207943%204443", "+356 7943 4443"), " / ", HYPERLINK("CALLTO:%2B356%202143%204443", "+356 2143 4443"))</x:f>
      </x:c>
      <x:c r="E4" s="10" t="s">
        <x:v>2563</x:v>
      </x:c>
      <x:c r="F4" s="10" t="s">
        <x:v>2580</x:v>
      </x:c>
    </x:row>
    <x:row r="5" spans="1:7" s="3" customFormat="1"/>
    <x:row r="6" spans="1:7" s="1" customFormat="1"/>
    <x:row r="7" spans="1:7" s="4" customFormat="1"/>
    <x:row r="8" spans="1:7" s="3" customFormat="1"/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</x:sheetData>
  <x:hyperlinks>
    <x:hyperlink ref="C2" r:id="rId4135" tooltip="Send a mail to Info@perfectum.mt"/>
    <x:hyperlink ref="C3" r:id="rId4136" tooltip="Send a mail to valormalta@gmail.com"/>
    <x:hyperlink ref="C4" r:id="rId4137" tooltip="Send a mail to info@nigeldimech.com"/>
    <x:hyperlink ref="E2" r:id="rId4138" tooltip="Search Valletta, Malta on Google Maps"/>
    <x:hyperlink ref="E3" r:id="rId4139" tooltip="Search Triq l-isturnell Roza, Hal Luqa, Malta on Google Maps"/>
    <x:hyperlink ref="E4" r:id="rId4140" tooltip="Search KKW 721, Corradino &#10;Industrial Estate&#10;Paola, PLA 3000, Malta on Google Maps"/>
    <x:hyperlink ref="F2" r:id="rId4141" tooltip="Visit facebook.com/perfectummt/"/>
    <x:hyperlink ref="F3" r:id="rId4142" tooltip="Visit valormalta.wixsite.com/valor"/>
    <x:hyperlink ref="F4" r:id="rId4143" tooltip="Visit nigeldimech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11"/>
  <x:sheetViews>
    <x:sheetView workbookViewId="0"/>
  </x:sheetViews>
  <x:sheetFormatPr defaultRowHeight="15"/>
  <x:cols>
    <x:col min="1" max="1" width="17.996339" style="0" customWidth="1"/>
    <x:col min="2" max="2" width="29.424911" style="0" customWidth="1"/>
    <x:col min="3" max="3" width="36.853482" style="0" customWidth="1"/>
    <x:col min="4" max="4" width="29.853482" style="0" customWidth="1"/>
    <x:col min="5" max="5" width="72.996339" style="0" customWidth="1"/>
    <x:col min="6" max="6" width="111.139196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List'!A64", "Back to Summary")</x:f>
      </x:c>
    </x:row>
    <x:row r="2" spans="1:7" s="3" customFormat="1">
      <x:c r="A2" s="3" t="s">
        <x:v>3339</x:v>
      </x:c>
      <x:c r="B2" s="3" t="s">
        <x:v>3664</x:v>
      </x:c>
      <x:c r="C2" s="6" t="s">
        <x:v>3688</x:v>
      </x:c>
      <x:c r="D2" s="7">
        <x:f>CONCATENATE(HYPERLINK("CALLTO:%2B356%207749%204054", "+356 7749 4054"))</x:f>
      </x:c>
      <x:c r="E2" s="6" t="s">
        <x:v>3701</x:v>
      </x:c>
      <x:c r="F2" s="6" t="s">
        <x:v>5384</x:v>
      </x:c>
    </x:row>
    <x:row r="3" spans="1:7" s="1" customFormat="1"/>
    <x:row r="4" spans="1:7" s="4" customFormat="1">
      <x:c r="A4" s="4" t="s">
        <x:v>3661</x:v>
      </x:c>
      <x:c r="B4" s="4" t="s">
        <x:v>3665</x:v>
      </x:c>
      <x:c r="C4" s="10" t="s">
        <x:v>3689</x:v>
      </x:c>
      <x:c r="D4" s="11">
        <x:f>CONCATENATE(HYPERLINK("CALLTO:%2B356%202143%200936", "+356 2143 0936"), " / ", HYPERLINK("CALLTO:%2B356%209943%200936", "+356 9943 0936"))</x:f>
      </x:c>
      <x:c r="E4" s="10" t="s">
        <x:v>3702</x:v>
      </x:c>
      <x:c r="F4" s="10" t="s">
        <x:v>3725</x:v>
      </x:c>
    </x:row>
    <x:row r="5" spans="1:7" s="3" customFormat="1">
      <x:c r="A5" s="3" t="s">
        <x:v>3661</x:v>
      </x:c>
      <x:c r="B5" s="3" t="s">
        <x:v>3666</x:v>
      </x:c>
      <x:c r="C5" s="6" t="s">
        <x:v>3690</x:v>
      </x:c>
      <x:c r="D5" s="7">
        <x:f>CONCATENATE(HYPERLINK("CALLTO:%2B356%207979%204242", "+356 7979 4242"), " / ", HYPERLINK("CALLTO:%2B356%207770%207433", "+356 7770 7433"))</x:f>
      </x:c>
      <x:c r="E5" s="6" t="s">
        <x:v>3703</x:v>
      </x:c>
      <x:c r="F5" s="6" t="s">
        <x:v>3726</x:v>
      </x:c>
    </x:row>
    <x:row r="6" spans="1:7" s="1" customFormat="1">
      <x:c r="A6" s="1" t="s">
        <x:v>3661</x:v>
      </x:c>
      <x:c r="B6" s="1" t="s">
        <x:v>3667</x:v>
      </x:c>
      <x:c r="C6" s="8" t="s">
        <x:v>3691</x:v>
      </x:c>
      <x:c r="D6" s="9">
        <x:f>CONCATENATE(HYPERLINK("CALLTO:%2B356%209952%204677", "+356 9952 4677"))</x:f>
      </x:c>
      <x:c r="E6" s="8" t="s">
        <x:v>3704</x:v>
      </x:c>
      <x:c r="F6" s="8" t="s">
        <x:v>5385</x:v>
      </x:c>
    </x:row>
    <x:row r="7" spans="1:7" s="4" customFormat="1"/>
    <x:row r="8" spans="1:7" s="3" customFormat="1">
      <x:c r="A8" s="3" t="s">
        <x:v>3662</x:v>
      </x:c>
      <x:c r="B8" s="3" t="s">
        <x:v>3668</x:v>
      </x:c>
      <x:c r="C8" s="6" t="s">
        <x:v>3439</x:v>
      </x:c>
      <x:c r="D8" s="7">
        <x:f>CONCATENATE(HYPERLINK("CALLTO:%2B356%209947%205183", "+356 9947 5183"))</x:f>
      </x:c>
      <x:c r="E8" s="6" t="s">
        <x:v>3705</x:v>
      </x:c>
      <x:c r="F8" s="6" t="s">
        <x:v>3727</x:v>
      </x:c>
    </x:row>
    <x:row r="9" spans="1:7" s="1" customFormat="1">
      <x:c r="A9" s="1" t="s">
        <x:v>3662</x:v>
      </x:c>
      <x:c r="B9" s="1" t="s">
        <x:v>3669</x:v>
      </x:c>
      <x:c r="C9" s="8" t="s">
        <x:v>3639</x:v>
      </x:c>
      <x:c r="D9" s="9">
        <x:f>CONCATENATE(HYPERLINK("CALLTO:%2B356%202137%204563", "+356 2137 4563"), " / ", HYPERLINK("CALLTO:%2B356%209999%206766", "+356 9999 6766"))</x:f>
      </x:c>
      <x:c r="E9" s="8" t="s">
        <x:v>3706</x:v>
      </x:c>
      <x:c r="F9" s="8" t="s">
        <x:v>3728</x:v>
      </x:c>
    </x:row>
    <x:row r="10" spans="1:7" s="4" customFormat="1">
      <x:c r="A10" s="4" t="s">
        <x:v>3662</x:v>
      </x:c>
      <x:c r="B10" s="4" t="s">
        <x:v>3670</x:v>
      </x:c>
      <x:c r="C10" s="10" t="s">
        <x:v>3459</x:v>
      </x:c>
      <x:c r="D10" s="11">
        <x:f>CONCATENATE(HYPERLINK("CALLTO:%2B356%202145%206570", "+356 2145 6570"), " / ", HYPERLINK("CALLTO:%2B356%202145%206560", "+356 2145 6560"))</x:f>
      </x:c>
      <x:c r="E10" s="10" t="s">
        <x:v>3707</x:v>
      </x:c>
      <x:c r="F10" s="10" t="s">
        <x:v>5386</x:v>
      </x:c>
    </x:row>
    <x:row r="11" spans="1:7" s="3" customFormat="1">
      <x:c r="A11" s="3" t="s">
        <x:v>3662</x:v>
      </x:c>
      <x:c r="B11" s="3" t="s">
        <x:v>3671</x:v>
      </x:c>
      <x:c r="C11" s="6" t="s">
        <x:v>2554</x:v>
      </x:c>
      <x:c r="D11" s="7">
        <x:f>CONCATENATE(HYPERLINK("CALLTO:%2B356%202138%202595", "+356 2138 2595"))</x:f>
      </x:c>
      <x:c r="E11" s="6" t="s">
        <x:v>2573</x:v>
      </x:c>
      <x:c r="F11" s="6" t="s">
        <x:v>2588</x:v>
      </x:c>
    </x:row>
    <x:row r="12" spans="1:7" s="1" customFormat="1">
      <x:c r="A12" s="1" t="s">
        <x:v>3662</x:v>
      </x:c>
      <x:c r="B12" s="1" t="s">
        <x:v>3672</x:v>
      </x:c>
      <x:c r="C12" s="8" t="s">
        <x:v>3435</x:v>
      </x:c>
      <x:c r="D12" s="9">
        <x:f>CONCATENATE(HYPERLINK("CALLTO:%2B356%202141%203044", "+356 2141 3044"), " / ", HYPERLINK("CALLTO:%2B356%209943%207436", "+356 9943 7436"))</x:f>
      </x:c>
      <x:c r="E12" s="8" t="s">
        <x:v>3708</x:v>
      </x:c>
      <x:c r="F12" s="8" t="s">
        <x:v>2589</x:v>
      </x:c>
    </x:row>
    <x:row r="13" spans="1:7" s="4" customFormat="1">
      <x:c r="A13" s="4" t="s">
        <x:v>3662</x:v>
      </x:c>
      <x:c r="B13" s="4" t="s">
        <x:v>3673</x:v>
      </x:c>
      <x:c r="C13" s="10" t="s">
        <x:v>2296</x:v>
      </x:c>
      <x:c r="D13" s="11">
        <x:f>CONCATENATE(HYPERLINK("CALLTO:%2B356%209989%207509", "+356 9989 7509"))</x:f>
      </x:c>
      <x:c r="E13" s="10" t="s">
        <x:v>3709</x:v>
      </x:c>
      <x:c r="F13" s="10" t="s">
        <x:v>3731</x:v>
      </x:c>
    </x:row>
    <x:row r="14" spans="1:7" s="3" customFormat="1">
      <x:c r="A14" s="3" t="s">
        <x:v>3662</x:v>
      </x:c>
      <x:c r="B14" s="3" t="s">
        <x:v>3674</x:v>
      </x:c>
      <x:c r="C14" s="6" t="s">
        <x:v>3692</x:v>
      </x:c>
      <x:c r="D14" s="7">
        <x:f>CONCATENATE(HYPERLINK("CALLTO:%2B356%202156%205946", "+356 2156 5946"), " / ", HYPERLINK("CALLTO:%2B356%209942%209340", "+356 9942 9340"))</x:f>
      </x:c>
      <x:c r="E14" s="6" t="s">
        <x:v>3710</x:v>
      </x:c>
      <x:c r="F14" s="6" t="s">
        <x:v>3732</x:v>
      </x:c>
    </x:row>
    <x:row r="15" spans="1:7" s="1" customFormat="1">
      <x:c r="A15" s="1" t="s">
        <x:v>3662</x:v>
      </x:c>
      <x:c r="B15" s="1" t="s">
        <x:v>3675</x:v>
      </x:c>
      <x:c r="C15" s="8" t="s">
        <x:v>3693</x:v>
      </x:c>
      <x:c r="D15" s="9">
        <x:f>CONCATENATE(HYPERLINK("CALLTO:%2B356%209940%206626", "+356 9940 6626"), " / ", HYPERLINK("CALLTO:%2B356%202123%202190", "+356 2123 2190"))</x:f>
      </x:c>
      <x:c r="E15" s="8" t="s">
        <x:v>3711</x:v>
      </x:c>
      <x:c r="F15" s="8" t="s">
        <x:v>3733</x:v>
      </x:c>
    </x:row>
    <x:row r="16" spans="1:7" s="4" customFormat="1">
      <x:c r="A16" s="4" t="s">
        <x:v>3662</x:v>
      </x:c>
      <x:c r="B16" s="4" t="s">
        <x:v>3676</x:v>
      </x:c>
      <x:c r="C16" s="10" t="s">
        <x:v>3694</x:v>
      </x:c>
      <x:c r="D16" s="11">
        <x:f>CONCATENATE(HYPERLINK("CALLTO:%2B356%207930%205449", "+356 7930 5449"))</x:f>
      </x:c>
      <x:c r="E16" s="10" t="s">
        <x:v>3712</x:v>
      </x:c>
      <x:c r="F16" s="10" t="s">
        <x:v>3734</x:v>
      </x:c>
    </x:row>
    <x:row r="17" spans="1:7" s="3" customFormat="1">
      <x:c r="A17" s="3" t="s">
        <x:v>3662</x:v>
      </x:c>
      <x:c r="B17" s="3" t="s">
        <x:v>3677</x:v>
      </x:c>
      <x:c r="C17" s="6" t="s">
        <x:v>3695</x:v>
      </x:c>
      <x:c r="D17" s="7">
        <x:f>CONCATENATE(HYPERLINK("CALLTO:%2B356%202147%202304", "+356 2147 2304"))</x:f>
      </x:c>
      <x:c r="E17" s="6" t="s">
        <x:v>3713</x:v>
      </x:c>
      <x:c r="F17" s="6" t="s">
        <x:v>3735</x:v>
      </x:c>
    </x:row>
    <x:row r="18" spans="1:7" s="1" customFormat="1">
      <x:c r="A18" s="1" t="s">
        <x:v>3662</x:v>
      </x:c>
      <x:c r="B18" s="1" t="s">
        <x:v>3678</x:v>
      </x:c>
      <x:c r="C18" s="8" t="s">
        <x:v>231</x:v>
      </x:c>
      <x:c r="D18" s="9">
        <x:f>CONCATENATE(HYPERLINK("CALLTO:%2B356%209947%203187", "+356 9947 3187"))</x:f>
      </x:c>
      <x:c r="E18" s="8" t="s">
        <x:v>3714</x:v>
      </x:c>
      <x:c r="F18" s="8" t="s">
        <x:v>5387</x:v>
      </x:c>
    </x:row>
    <x:row r="19" spans="1:7" s="4" customFormat="1">
      <x:c r="A19" s="4" t="s">
        <x:v>3662</x:v>
      </x:c>
      <x:c r="B19" s="4" t="s">
        <x:v>217</x:v>
      </x:c>
      <x:c r="C19" s="10" t="s">
        <x:v>227</x:v>
      </x:c>
      <x:c r="D19" s="11">
        <x:f>CONCATENATE(HYPERLINK("CALLTO:%2B356%202141%200441", "+356 2141 0441"), " / ", HYPERLINK("CALLTO:%2B356%209942%200685", "+356 9942 0685"))</x:f>
      </x:c>
      <x:c r="E19" s="10" t="s">
        <x:v>3715</x:v>
      </x:c>
      <x:c r="F19" s="10" t="s">
        <x:v>3737</x:v>
      </x:c>
    </x:row>
    <x:row r="20" spans="1:7" s="3" customFormat="1">
      <x:c r="A20" s="3" t="s">
        <x:v>3662</x:v>
      </x:c>
      <x:c r="B20" s="3" t="s">
        <x:v>3679</x:v>
      </x:c>
      <x:c r="C20" s="6" t="s">
        <x:v>3696</x:v>
      </x:c>
      <x:c r="D20" s="7">
        <x:f>CONCATENATE(HYPERLINK("CALLTO:%2B356%202122%200783", "+356 2122 0783"))</x:f>
      </x:c>
      <x:c r="E20" s="6" t="s">
        <x:v>3716</x:v>
      </x:c>
      <x:c r="F20" s="6" t="s">
        <x:v>3738</x:v>
      </x:c>
    </x:row>
    <x:row r="21" spans="1:7" s="1" customFormat="1">
      <x:c r="A21" s="1" t="s">
        <x:v>3662</x:v>
      </x:c>
      <x:c r="B21" s="1" t="s">
        <x:v>3680</x:v>
      </x:c>
      <x:c r="C21" s="8" t="s">
        <x:v>233</x:v>
      </x:c>
      <x:c r="D21" s="9">
        <x:f>CONCATENATE(HYPERLINK("CALLTO:%2B356%202168%205021", "+356 2168 5021"))</x:f>
      </x:c>
      <x:c r="E21" s="8" t="s">
        <x:v>3717</x:v>
      </x:c>
      <x:c r="F21" s="8" t="s">
        <x:v>3739</x:v>
      </x:c>
    </x:row>
    <x:row r="22" spans="1:7" s="4" customFormat="1">
      <x:c r="A22" s="4" t="s">
        <x:v>3662</x:v>
      </x:c>
      <x:c r="B22" s="4" t="s">
        <x:v>3681</x:v>
      </x:c>
      <x:c r="C22" s="10" t="s">
        <x:v>3509</x:v>
      </x:c>
      <x:c r="D22" s="11">
        <x:f>CONCATENATE(HYPERLINK("CALLTO:%2B356%207929%209248", "+356 7929 9248"))</x:f>
      </x:c>
      <x:c r="E22" s="10" t="s">
        <x:v>3718</x:v>
      </x:c>
      <x:c r="F22" s="10" t="s">
        <x:v>3740</x:v>
      </x:c>
    </x:row>
    <x:row r="23" spans="1:7" s="3" customFormat="1">
      <x:c r="A23" s="3" t="s">
        <x:v>3662</x:v>
      </x:c>
      <x:c r="B23" s="3" t="s">
        <x:v>3682</x:v>
      </x:c>
      <x:c r="C23" s="6" t="s">
        <x:v>1071</x:v>
      </x:c>
      <x:c r="D23" s="7">
        <x:f>CONCATENATE(HYPERLINK("CALLTO:%2B356%202180%208802", "+356 2180 8802"))</x:f>
      </x:c>
      <x:c r="E23" s="6" t="s">
        <x:v>3719</x:v>
      </x:c>
      <x:c r="F23" s="6" t="s">
        <x:v>3741</x:v>
      </x:c>
    </x:row>
    <x:row r="24" spans="1:7" s="1" customFormat="1">
      <x:c r="A24" s="1" t="s">
        <x:v>3662</x:v>
      </x:c>
      <x:c r="B24" s="1" t="s">
        <x:v>3683</x:v>
      </x:c>
      <x:c r="C24" s="8" t="s">
        <x:v>3697</x:v>
      </x:c>
      <x:c r="D24" s="9">
        <x:f>CONCATENATE(HYPERLINK("CALLTO:%2B356%207757%200506", "+356 7757 0506"))</x:f>
      </x:c>
      <x:c r="E24" s="8" t="s">
        <x:v>3720</x:v>
      </x:c>
      <x:c r="F24" s="8" t="s">
        <x:v>3742</x:v>
      </x:c>
    </x:row>
    <x:row r="25" spans="1:7" s="4" customFormat="1">
      <x:c r="A25" s="4" t="s">
        <x:v>3662</x:v>
      </x:c>
      <x:c r="B25" s="4" t="s">
        <x:v>3677</x:v>
      </x:c>
      <x:c r="C25" s="10" t="s">
        <x:v>3695</x:v>
      </x:c>
      <x:c r="D25" s="11">
        <x:f>CONCATENATE(HYPERLINK("CALLTO:%2B356%202147%202304", "+356 2147 2304"))</x:f>
      </x:c>
      <x:c r="E25" s="10" t="s">
        <x:v>3721</x:v>
      </x:c>
      <x:c r="F25" s="10" t="s">
        <x:v>3735</x:v>
      </x:c>
    </x:row>
    <x:row r="26" spans="1:7" s="3" customFormat="1">
      <x:c r="A26" s="3" t="s">
        <x:v>3662</x:v>
      </x:c>
      <x:c r="B26" s="3" t="s">
        <x:v>3685</x:v>
      </x:c>
      <x:c r="C26" s="6" t="s">
        <x:v>1627</x:v>
      </x:c>
      <x:c r="D26" s="7">
        <x:f>CONCATENATE(HYPERLINK("CALLTO:%2B356%207977%203801", "+356 7977 3801"))</x:f>
      </x:c>
      <x:c r="E26" s="6" t="s">
        <x:v>3722</x:v>
      </x:c>
      <x:c r="F26" s="6" t="s">
        <x:v>3736</x:v>
      </x:c>
    </x:row>
    <x:row r="27" spans="1:7" s="1" customFormat="1"/>
    <x:row r="28" spans="1:7" s="4" customFormat="1">
      <x:c r="A28" s="4" t="s">
        <x:v>3663</x:v>
      </x:c>
      <x:c r="B28" s="4" t="s">
        <x:v>3684</x:v>
      </x:c>
      <x:c r="C28" s="10" t="s">
        <x:v>3698</x:v>
      </x:c>
      <x:c r="D28" s="11">
        <x:f>CONCATENATE(HYPERLINK("CALLTO:%2B356%207953%209185", "+356 7953 9185"), " / ", HYPERLINK("CALLTO:%2B356%202146%201178", "+356 2146 1178"))</x:f>
      </x:c>
      <x:c r="E28" s="10" t="s">
        <x:v>3723</x:v>
      </x:c>
      <x:c r="F28" s="10" t="s">
        <x:v>3743</x:v>
      </x:c>
    </x:row>
    <x:row r="29" spans="1:7" s="3" customFormat="1">
      <x:c r="A29" s="3" t="s">
        <x:v>3663</x:v>
      </x:c>
      <x:c r="B29" s="3" t="s">
        <x:v>3686</x:v>
      </x:c>
      <x:c r="C29" s="6" t="s">
        <x:v>1622</x:v>
      </x:c>
      <x:c r="D29" s="7">
        <x:f>CONCATENATE(HYPERLINK("CALLTO:%2B356%202165%208888", "+356 2165 8888"))</x:f>
      </x:c>
      <x:c r="E29" s="6" t="s">
        <x:v>3724</x:v>
      </x:c>
      <x:c r="F29" s="6" t="s">
        <x:v>3744</x:v>
      </x:c>
    </x:row>
    <x:row r="30" spans="1:7" s="1" customFormat="1">
      <x:c r="A30" s="1" t="s">
        <x:v>3663</x:v>
      </x:c>
      <x:c r="B30" s="1" t="s">
        <x:v>3687</x:v>
      </x:c>
      <x:c r="C30" s="8" t="s">
        <x:v>3699</x:v>
      </x:c>
      <x:c r="D30" s="9">
        <x:f>CONCATENATE(HYPERLINK("CALLTO:%2B356%207933%20297", "+356 7933 297"))</x:f>
      </x:c>
    </x:row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</x:sheetData>
  <x:hyperlinks>
    <x:hyperlink ref="C2" r:id="rId4144" tooltip="Send a mail to info@conforthouse.mt"/>
    <x:hyperlink ref="C4" r:id="rId4145" tooltip="Send a mail to info@cassarwoodworks.com"/>
    <x:hyperlink ref="C5" r:id="rId4146" tooltip="Send a mail to info@ddoorcompany.com"/>
    <x:hyperlink ref="C6" r:id="rId4147" tooltip="Send a mail to mastercarpentermalta@outlook.com"/>
    <x:hyperlink ref="C8" r:id="rId4148" tooltip="Send a mail to info@grimafurniture.com"/>
    <x:hyperlink ref="C9" r:id="rId4149" tooltip="Send a mail to sales@ampmalta.com"/>
    <x:hyperlink ref="C10" r:id="rId4150" tooltip="Send a mail to sales@adoremore.eu"/>
    <x:hyperlink ref="C11" r:id="rId4151" tooltip="Send a mail to sales@pvcmalta.com"/>
    <x:hyperlink ref="C12" r:id="rId4152" tooltip="Send a mail to info@stanthonyww.com"/>
    <x:hyperlink ref="C13" r:id="rId4153" tooltip="Send a mail to candmww@gmail.com"/>
    <x:hyperlink ref="C14" r:id="rId4154" tooltip="Send a mail to info@pisaniwoodworks.com"/>
    <x:hyperlink ref="C15" r:id="rId4155" tooltip="Send a mail to masterwoodmalta@gmail.com"/>
    <x:hyperlink ref="C16" r:id="rId4156" tooltip="Send a mail to gilbertmicallef1@gmail.com"/>
    <x:hyperlink ref="C17" r:id="rId4157" tooltip="Send a mail to info@classicdesign.mt"/>
    <x:hyperlink ref="C18" r:id="rId4158" tooltip="Send a mail to joseph.briffa.woodworks@hotmail.com"/>
    <x:hyperlink ref="C19" r:id="rId4159" tooltip="Send a mail to pdgl1969@gmail.com"/>
    <x:hyperlink ref="C20" r:id="rId4160" tooltip="Send a mail to info@deliaww.net"/>
    <x:hyperlink ref="C21" r:id="rId4161" tooltip="Send a mail to info@baldacchinogroup.com"/>
    <x:hyperlink ref="C22" r:id="rId4162" tooltip="Send a mail to luke@woodware.com.mt"/>
    <x:hyperlink ref="C23" r:id="rId4163" tooltip="Send a mail to info@trendsltdmalta.com"/>
    <x:hyperlink ref="C24" r:id="rId4164" tooltip="Send a mail to Projectdarmalta@gmail.com"/>
    <x:hyperlink ref="C25" r:id="rId4165" tooltip="Send a mail to info@classicdesign.mt"/>
    <x:hyperlink ref="C26" r:id="rId4166" tooltip="Send a mail to cieffejoinery@fsh.com.mt"/>
    <x:hyperlink ref="C28" r:id="rId4167" tooltip="Send a mail to info@josephmifsud.com"/>
    <x:hyperlink ref="C29" r:id="rId4168" tooltip="Send a mail to info@kubekgroup.com"/>
    <x:hyperlink ref="C30" r:id="rId4169" tooltip="Send a mail to joelgattcarpentry@gmail.com"/>
    <x:hyperlink ref="E2" r:id="rId4170" tooltip="Search 71, Triq L-Imdina Qormi – Malta on Google Maps"/>
    <x:hyperlink ref="E4" r:id="rId4171" tooltip="Search George Cassar Woodworks&#10;Plot TQL027, Crafts Village,&#10;Ta’ Qali, on Google Maps"/>
    <x:hyperlink ref="E5" r:id="rId4172" tooltip="Search 128 Old Railway Track, Santa Venera on Google Maps"/>
    <x:hyperlink ref="E6" r:id="rId4173" tooltip="Search Ħal Għaxaq, Malta on Google Maps"/>
    <x:hyperlink ref="E8" r:id="rId4174" tooltip="Search Zone 2, Triq L-Ghadam, Central Business District&#10;B’Kara - Malta&#10;CBD 2060 on Google Maps"/>
    <x:hyperlink ref="E9" r:id="rId4175" tooltip="Search 8 Garra, Is-Swieqi on Google Maps"/>
    <x:hyperlink ref="E10" r:id="rId4176" tooltip="Search Adore More&#10;Triq Id-Difiza Civili.&#10;Mosta, MST 1743&#10;Malta on Google Maps"/>
    <x:hyperlink ref="E11" r:id="rId4177" tooltip="Search L, 52 Triq Il- Muzika, Iklin IKL 1091 on Google Maps"/>
    <x:hyperlink ref="E12" r:id="rId4178" tooltip="Search St. Anthony Woodworks&#10;Triq il-Fortizza,&#10;Mosta MST 4000 on Google Maps"/>
    <x:hyperlink ref="E13" r:id="rId4179" tooltip="Search C &amp; M Woodworks, Indri Psaila Street, Handaq Industrial Estate, Qormi on Google Maps"/>
    <x:hyperlink ref="E14" r:id="rId4180" tooltip="Search Pisani Woodworks Co. Ltd.&#10;GGX 002B,&#10;Industrial Estate,&#10;Xewkija XWK3000,&#10;Gozo on Google Maps"/>
    <x:hyperlink ref="E15" r:id="rId4181" tooltip="Search 106, Ind Estate, Luqa, LQA 3000, Malta on Google Maps"/>
    <x:hyperlink ref="E16" r:id="rId4182" tooltip="Search Pearl Court, Flat 1, Vjal Il-Helsien, Haz-Zebbug, Malta on Google Maps"/>
    <x:hyperlink ref="E17" r:id="rId4183" tooltip="Search Entrance 4 No:1 Triq Valletta Il-Marsa Marsa, Malta on Google Maps"/>
    <x:hyperlink ref="E18" r:id="rId4184" tooltip="Search Triq Mastru Karmenu Mallia, Hal Qormi, Malta on Google Maps"/>
    <x:hyperlink ref="E19" r:id="rId4185" tooltip="Search Triq Il-Kappar, Il-Mosta, Malta MST 03 on Google Maps"/>
    <x:hyperlink ref="E20" r:id="rId4186" tooltip="Search Factory A5a, Qasam Industrijali, Il-Marsa, Malta on Google Maps"/>
    <x:hyperlink ref="E21" r:id="rId4187" tooltip="Search Baldacchino Builldings, Valletta road, Iz-Zurrieq, Malta on Google Maps"/>
    <x:hyperlink ref="E22" r:id="rId4188" tooltip="Search A8, Industrial Estate, Marsa, Malta, MRS3000 on Google Maps"/>
    <x:hyperlink ref="E23" r:id="rId4189" tooltip="Search KKW011, Corradino Industrial Estate, Paola, PLA 3000, Malta on Google Maps"/>
    <x:hyperlink ref="E24" r:id="rId4190" tooltip="Search Naxxar, Malta on Google Maps"/>
    <x:hyperlink ref="E25" r:id="rId4191" tooltip="Search Triq Valletta Il-Marsa, Marsa, Malta on Google Maps"/>
    <x:hyperlink ref="E26" r:id="rId4192" tooltip="Search Hal Far Road, Birzebbugia, Malta on Google Maps"/>
    <x:hyperlink ref="E28" r:id="rId4193" tooltip="Search Joseph Mifsud Woodworks Ltd 48, Triq Dun Luret Callus Zebbug ZBG 2495 Malta on Google Maps"/>
    <x:hyperlink ref="E29" r:id="rId4194" tooltip="Search Kubek Showroom,&#10;Mdina Road, Qormi on Google Maps"/>
    <x:hyperlink ref="F2" r:id="rId4195" tooltip="Visit conforthouse.mt/"/>
    <x:hyperlink ref="F4" r:id="rId4196" tooltip="Visit cassarwoodworks.com/"/>
    <x:hyperlink ref="F5" r:id="rId4197" tooltip="Visit ddoorcompany.com/"/>
    <x:hyperlink ref="F6" r:id="rId4198" tooltip="Visit facebook.com/MasterCarpenter84/"/>
    <x:hyperlink ref="F8" r:id="rId4199" tooltip="Visit grimafurniture.com/"/>
    <x:hyperlink ref="F9" r:id="rId4200" tooltip="Visit pvc.com.mt/"/>
    <x:hyperlink ref="F10" r:id="rId4201" tooltip="Visit adoremore.com.mt/"/>
    <x:hyperlink ref="F11" r:id="rId4202" tooltip="Visit pvcmalta.com/en/home.htm"/>
    <x:hyperlink ref="F12" r:id="rId4203" tooltip="Visit stanthonyww.com/"/>
    <x:hyperlink ref="F13" r:id="rId4204" tooltip="Visit candmwoodworks.com/"/>
    <x:hyperlink ref="F14" r:id="rId4205" tooltip="Visit pisaniwoodworks.com/"/>
    <x:hyperlink ref="F15" r:id="rId4206" tooltip="Visit masterwoodmalta.net/"/>
    <x:hyperlink ref="F16" r:id="rId4207" tooltip="Visit findit.com.mt/en/directory/listings/9529/gilbert-micallef-woodwork-malta.htm?utm_source=chatgpt.com"/>
    <x:hyperlink ref="F17" r:id="rId4208" tooltip="Visit classicdesign.mt/"/>
    <x:hyperlink ref="F18" r:id="rId4209" tooltip="Visit findit.com.mt/en/directory/listings/10200/joseph-briffa-woodworks.htm"/>
    <x:hyperlink ref="F19" r:id="rId4210" tooltip="Visit findit.com.mt/en/directory/listings/3681/gauci-woodworks.htm"/>
    <x:hyperlink ref="F20" r:id="rId4211" tooltip="Visit findit.com.mt/en/directory/listings/9171/delia-woodworks-ltd.htm"/>
    <x:hyperlink ref="F21" r:id="rId4212" tooltip="Visit baldacchinogroup.com/menu/home.html"/>
    <x:hyperlink ref="F22" r:id="rId4213" tooltip="Visit facebook.com/bespokelocalfurniture/?utm_source=Yellow&amp;utm_medium=Yellow-Website&amp;utm_campaign=Landing-Page"/>
    <x:hyperlink ref="F23" r:id="rId4214" tooltip="Visit trendsltdmalta.com/"/>
    <x:hyperlink ref="F24" r:id="rId4215" tooltip="Visit facebook.com/profile.php?id=61577138676789"/>
    <x:hyperlink ref="F25" r:id="rId4216" tooltip="Visit classicdesign.mt/"/>
    <x:hyperlink ref="F26" r:id="rId4217" tooltip="Visit facebook.com/profile.php?id=100063608976880"/>
    <x:hyperlink ref="F28" r:id="rId4218" tooltip="Visit josephmifsud.com/en/home.htm"/>
    <x:hyperlink ref="F29" r:id="rId4219" tooltip="Visit findit.com.mt/en/directory/listings/5261/kubek-furniture-works.ht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40"/>
  <x:sheetViews>
    <x:sheetView workbookViewId="0"/>
  </x:sheetViews>
  <x:sheetFormatPr defaultRowHeight="15"/>
  <x:cols>
    <x:col min="1" max="1" width="23.282054" style="0" customWidth="1"/>
    <x:col min="2" max="2" width="18.853482" style="0" customWidth="1"/>
    <x:col min="3" max="3" width="33.853482" style="0" customWidth="1"/>
    <x:col min="4" max="4" width="29.853482" style="0" customWidth="1"/>
    <x:col min="5" max="5" width="41.996339" style="0" customWidth="1"/>
    <x:col min="6" max="6" width="51.853482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5">
        <x:f>HYPERLINK("#'Summary List'!A65", "Back to Summary")</x:f>
      </x:c>
    </x:row>
    <x:row r="2" spans="1:7" s="3" customFormat="1">
      <x:c r="A2" s="3" t="s">
        <x:v>3745</x:v>
      </x:c>
      <x:c r="B2" s="3" t="s">
        <x:v>3747</x:v>
      </x:c>
      <x:c r="C2" s="6" t="s">
        <x:v>3755</x:v>
      </x:c>
      <x:c r="D2" s="7">
        <x:f>CONCATENATE(HYPERLINK("CALLTO:%2B356%202755%205525", "+356 2755 5525"))</x:f>
      </x:c>
      <x:c r="E2" s="6" t="s">
        <x:v>3760</x:v>
      </x:c>
      <x:c r="F2" s="6" t="s">
        <x:v>722</x:v>
      </x:c>
    </x:row>
    <x:row r="3" spans="1:7" s="1" customFormat="1"/>
    <x:row r="4" spans="1:7" s="4" customFormat="1">
      <x:c r="A4" s="4" t="s">
        <x:v>3746</x:v>
      </x:c>
      <x:c r="B4" s="4" t="s">
        <x:v>3748</x:v>
      </x:c>
      <x:c r="C4" s="10" t="s">
        <x:v>3512</x:v>
      </x:c>
      <x:c r="D4" s="11">
        <x:f>CONCATENATE(HYPERLINK("CALLTO:%2B356%202713%203292", "+356 2713 3292"), " / ", HYPERLINK("CALLTO:%2B356%207713%203292", "+356 7713 3292"))</x:f>
      </x:c>
      <x:c r="E4" s="10" t="s">
        <x:v>3761</x:v>
      </x:c>
      <x:c r="F4" s="10" t="s">
        <x:v>3700</x:v>
      </x:c>
    </x:row>
    <x:row r="5" spans="1:7" s="3" customFormat="1">
      <x:c r="A5" s="3" t="s">
        <x:v>3746</x:v>
      </x:c>
      <x:c r="B5" s="3" t="s">
        <x:v>3417</x:v>
      </x:c>
      <x:c r="C5" s="6" t="s">
        <x:v>3504</x:v>
      </x:c>
      <x:c r="D5" s="7">
        <x:f>CONCATENATE(HYPERLINK("CALLTO:%2B356%209932%200809", "+356 9932 0809"))</x:f>
      </x:c>
      <x:c r="E5" s="6" t="s">
        <x:v>3762</x:v>
      </x:c>
      <x:c r="F5" s="6" t="s">
        <x:v>3767</x:v>
      </x:c>
    </x:row>
    <x:row r="6" spans="1:7" s="1" customFormat="1">
      <x:c r="A6" s="1" t="s">
        <x:v>3746</x:v>
      </x:c>
      <x:c r="B6" s="1" t="s">
        <x:v>3749</x:v>
      </x:c>
      <x:c r="C6" s="8" t="s">
        <x:v>3489</x:v>
      </x:c>
      <x:c r="D6" s="9">
        <x:f>CONCATENATE(HYPERLINK("CALLTO:%2B356%207924%208128", "+356 7924 8128"))</x:f>
      </x:c>
      <x:c r="E6" s="8" t="s">
        <x:v>3763</x:v>
      </x:c>
      <x:c r="F6" s="8" t="s">
        <x:v>3768</x:v>
      </x:c>
    </x:row>
    <x:row r="7" spans="1:7" s="4" customFormat="1">
      <x:c r="A7" s="4" t="s">
        <x:v>3746</x:v>
      </x:c>
      <x:c r="B7" s="4" t="s">
        <x:v>3670</x:v>
      </x:c>
      <x:c r="C7" s="10" t="s">
        <x:v>3459</x:v>
      </x:c>
      <x:c r="D7" s="11">
        <x:f>CONCATENATE(HYPERLINK("CALLTO:%2B356%202145%206570", "+356 2145 6570"), " / ", HYPERLINK("CALLTO:%2B356%202145%206560", "+356 2145 6560"))</x:f>
      </x:c>
      <x:c r="E7" s="10" t="s">
        <x:v>3707</x:v>
      </x:c>
      <x:c r="F7" s="10" t="s">
        <x:v>5386</x:v>
      </x:c>
    </x:row>
    <x:row r="8" spans="1:7" s="3" customFormat="1">
      <x:c r="A8" s="3" t="s">
        <x:v>3746</x:v>
      </x:c>
      <x:c r="B8" s="3" t="s">
        <x:v>3392</x:v>
      </x:c>
      <x:c r="C8" s="6" t="s">
        <x:v>698</x:v>
      </x:c>
      <x:c r="D8" s="7">
        <x:f>CONCATENATE(HYPERLINK("CALLTO:%2B356%202146%203522", "+356 2146 3522"))</x:f>
      </x:c>
      <x:c r="E8" s="6" t="s">
        <x:v>3764</x:v>
      </x:c>
      <x:c r="F8" s="6" t="s">
        <x:v>3730</x:v>
      </x:c>
    </x:row>
    <x:row r="9" spans="1:7" s="1" customFormat="1">
      <x:c r="A9" s="1" t="s">
        <x:v>3746</x:v>
      </x:c>
      <x:c r="B9" s="1" t="s">
        <x:v>3669</x:v>
      </x:c>
      <x:c r="C9" s="8" t="s">
        <x:v>3639</x:v>
      </x:c>
      <x:c r="D9" s="9">
        <x:f>CONCATENATE(HYPERLINK("CALLTO:%2B356%202137%204563", "+356 2137 4563"), " / ", HYPERLINK("CALLTO:%2B356%209999%206766", "+356 9999 6766"))</x:f>
      </x:c>
      <x:c r="E9" s="8" t="s">
        <x:v>3706</x:v>
      </x:c>
      <x:c r="F9" s="8" t="s">
        <x:v>3728</x:v>
      </x:c>
    </x:row>
    <x:row r="10" spans="1:7" s="4" customFormat="1">
      <x:c r="A10" s="4" t="s">
        <x:v>3746</x:v>
      </x:c>
      <x:c r="B10" s="4" t="s">
        <x:v>3750</x:v>
      </x:c>
      <x:c r="C10" s="10" t="s">
        <x:v>701</x:v>
      </x:c>
      <x:c r="D10" s="11">
        <x:f>CONCATENATE(HYPERLINK("CALLTO:%2B356%202347%202994", "+356 2347 2994"))</x:f>
      </x:c>
      <x:c r="E10" s="10" t="s">
        <x:v>3766</x:v>
      </x:c>
      <x:c r="F10" s="10" t="s">
        <x:v>3729</x:v>
      </x:c>
    </x:row>
    <x:row r="11" spans="1:7" s="3" customFormat="1">
      <x:c r="A11" s="3" t="s">
        <x:v>3746</x:v>
      </x:c>
      <x:c r="B11" s="3" t="s">
        <x:v>3751</x:v>
      </x:c>
      <x:c r="C11" s="6" t="s">
        <x:v>3756</x:v>
      </x:c>
      <x:c r="D11" s="7">
        <x:f>CONCATENATE(HYPERLINK("CALLTO:%2B356%207777%201108", "+356 7777 1108"))</x:f>
      </x:c>
      <x:c r="E11" s="6" t="s">
        <x:v>3765</x:v>
      </x:c>
      <x:c r="F11" s="6" t="s">
        <x:v>3769</x:v>
      </x:c>
    </x:row>
    <x:row r="12" spans="1:7" s="1" customFormat="1">
      <x:c r="A12" s="1" t="s">
        <x:v>3746</x:v>
      </x:c>
      <x:c r="B12" s="1" t="s">
        <x:v>994</x:v>
      </x:c>
      <x:c r="C12" s="8" t="s">
        <x:v>1015</x:v>
      </x:c>
      <x:c r="D12" s="9">
        <x:f>CONCATENATE(HYPERLINK("CALLTO:%2B356%209921%205215", "+356 9921 5215"))</x:f>
      </x:c>
      <x:c r="E12" s="8" t="s">
        <x:v>1037</x:v>
      </x:c>
      <x:c r="F12" s="8" t="s">
        <x:v>1052</x:v>
      </x:c>
    </x:row>
    <x:row r="13" spans="1:7" s="4" customFormat="1">
      <x:c r="A13" s="4" t="s">
        <x:v>3746</x:v>
      </x:c>
      <x:c r="B13" s="4" t="s">
        <x:v>2524</x:v>
      </x:c>
      <x:c r="C13" s="10" t="s">
        <x:v>2543</x:v>
      </x:c>
      <x:c r="D13" s="11">
        <x:f>CONCATENATE(HYPERLINK("CALLTO:%2B356%207943%204443", "+356 7943 4443"), " / ", HYPERLINK("CALLTO:%2B356%202143%204443", "+356 2143 4443"))</x:f>
      </x:c>
      <x:c r="E13" s="10" t="s">
        <x:v>2563</x:v>
      </x:c>
      <x:c r="F13" s="10" t="s">
        <x:v>2580</x:v>
      </x:c>
    </x:row>
    <x:row r="14" spans="1:7" s="3" customFormat="1"/>
    <x:row r="15" spans="1:7" s="1" customFormat="1">
      <x:c r="B15" s="1" t="s">
        <x:v>3752</x:v>
      </x:c>
      <x:c r="C15" s="8" t="s">
        <x:v>3757</x:v>
      </x:c>
    </x:row>
    <x:row r="16" spans="1:7" s="4" customFormat="1">
      <x:c r="B16" s="4" t="s">
        <x:v>1062</x:v>
      </x:c>
      <x:c r="C16" s="10" t="s">
        <x:v>1071</x:v>
      </x:c>
    </x:row>
    <x:row r="17" spans="1:7" s="3" customFormat="1">
      <x:c r="B17" s="3" t="s">
        <x:v>3753</x:v>
      </x:c>
      <x:c r="C17" s="6" t="s">
        <x:v>3688</x:v>
      </x:c>
    </x:row>
    <x:row r="18" spans="1:7" s="1" customFormat="1">
      <x:c r="B18" s="1" t="s">
        <x:v>3754</x:v>
      </x:c>
      <x:c r="C18" s="8" t="s">
        <x:v>2554</x:v>
      </x:c>
    </x:row>
    <x:row r="19" spans="1:7" s="4" customFormat="1">
      <x:c r="C19" s="10" t="s">
        <x:v>3695</x:v>
      </x:c>
    </x:row>
    <x:row r="20" spans="1:7" s="3" customFormat="1">
      <x:c r="C20" s="6" t="s">
        <x:v>3471</x:v>
      </x:c>
    </x:row>
    <x:row r="21" spans="1:7" s="1" customFormat="1">
      <x:c r="C21" s="8" t="s">
        <x:v>3639</x:v>
      </x:c>
    </x:row>
    <x:row r="22" spans="1:7" s="4" customFormat="1">
      <x:c r="C22" s="10" t="s">
        <x:v>3438</x:v>
      </x:c>
    </x:row>
    <x:row r="23" spans="1:7" s="3" customFormat="1">
      <x:c r="C23" s="6" t="s">
        <x:v>3758</x:v>
      </x:c>
    </x:row>
    <x:row r="24" spans="1:7" s="1" customFormat="1">
      <x:c r="C24" s="8" t="s">
        <x:v>700</x:v>
      </x:c>
    </x:row>
    <x:row r="25" spans="1:7" s="4" customFormat="1">
      <x:c r="C25" s="10" t="s">
        <x:v>3759</x:v>
      </x:c>
    </x:row>
    <x:row r="26" spans="1:7" s="3" customFormat="1">
      <x:c r="C26" s="6" t="s">
        <x:v>3442</x:v>
      </x:c>
    </x:row>
    <x:row r="27" spans="1:7" s="1" customFormat="1">
      <x:c r="C27" s="8" t="s">
        <x:v>3436</x:v>
      </x:c>
    </x:row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</x:sheetData>
  <x:hyperlinks>
    <x:hyperlink ref="C2" r:id="rId4220" tooltip="Send a mail to info@casconeporteefinestre.it"/>
    <x:hyperlink ref="C4" r:id="rId4221" tooltip="Send a mail to sales@doorsandmore.in"/>
    <x:hyperlink ref="C5" r:id="rId4222" tooltip="Send a mail to info@sptechniques.com"/>
    <x:hyperlink ref="C6" r:id="rId4223" tooltip="Send a mail to info@jcdaluminium.com"/>
    <x:hyperlink ref="C7" r:id="rId4224" tooltip="Send a mail to sales@adoremore.eu"/>
    <x:hyperlink ref="C8" r:id="rId4225" tooltip="Send a mail to info@finestralmalta.com"/>
    <x:hyperlink ref="C9" r:id="rId4226" tooltip="Send a mail to sales@ampmalta.com"/>
    <x:hyperlink ref="C10" r:id="rId4227" tooltip="Send a mail to info@windowworldinternational.net"/>
    <x:hyperlink ref="C11" r:id="rId4228" tooltip="Send a mail to sales@prodoormalta.com"/>
    <x:hyperlink ref="C12" r:id="rId4229" tooltip="Send a mail to Info@perfectum.mt"/>
    <x:hyperlink ref="C13" r:id="rId4230" tooltip="Send a mail to info@nigeldimech.com"/>
    <x:hyperlink ref="C15" r:id="rId4231" tooltip="Send a mail to quotes@ihomes.com.mt"/>
    <x:hyperlink ref="C16" r:id="rId4232" tooltip="Send a mail to info@trendsltdmalta.com"/>
    <x:hyperlink ref="C17" r:id="rId4233" tooltip="Send a mail to info@conforthouse.mt"/>
    <x:hyperlink ref="C18" r:id="rId4234" tooltip="Send a mail to sales@pvcmalta.com"/>
    <x:hyperlink ref="C19" r:id="rId4235" tooltip="Send a mail to info@classicdesign.mt"/>
    <x:hyperlink ref="C20" r:id="rId4236" tooltip="Send a mail to info@cagroup.com.mt"/>
    <x:hyperlink ref="C21" r:id="rId4237" tooltip="Send a mail to sales@ampmalta.com"/>
    <x:hyperlink ref="C22" r:id="rId4238" tooltip="Send a mail to sales@newstylesmalta.com"/>
    <x:hyperlink ref="C23" r:id="rId4239" tooltip="Send a mail to info@fourwalls.com.mt"/>
    <x:hyperlink ref="C24" r:id="rId4240" tooltip="Send a mail to info@grahamaluminium.com"/>
    <x:hyperlink ref="C25" r:id="rId4241" tooltip="Send a mail to office@ecoplast.com.mt"/>
    <x:hyperlink ref="C26" r:id="rId4242" tooltip="Send a mail to info@a1finishesltd.com"/>
    <x:hyperlink ref="C27" r:id="rId4243" tooltip="Send a mail to info@framegrip.com"/>
    <x:hyperlink ref="E2" r:id="rId4244" tooltip="Search Msida Valley Road, BKR9022 Birkirkara - Malta on Google Maps"/>
    <x:hyperlink ref="E4" r:id="rId4245" tooltip="Search 217, Doors and More&#10;Triq Salvo Psaila&#10;B'Kara BKR 9078&#10;Malta on Google Maps"/>
    <x:hyperlink ref="E5" r:id="rId4246" tooltip="Search Block  F 18, &#10;Midland Industrial Park, &#10;Burmarrd Street,&#10;Naxxar, NXR 6345 on Google Maps"/>
    <x:hyperlink ref="E6" r:id="rId4247" tooltip="Search Triq MRU Giorgio Zarb, Ħal Qormi on Google Maps"/>
    <x:hyperlink ref="E7" r:id="rId4248" tooltip="Search Adore More&#10;Triq Id-Difiza Civili.&#10;Mosta, MST 1743&#10;Malta on Google Maps"/>
    <x:hyperlink ref="E8" r:id="rId4249" tooltip="Search San Gwann Industrial Estate, SGN3000, Malta on Google Maps"/>
    <x:hyperlink ref="E9" r:id="rId4250" tooltip="Search 8 Garra, Is-Swieqi on Google Maps"/>
    <x:hyperlink ref="E10" r:id="rId4251" tooltip="Search Zircon Suites Triq ta' Zejfa,&#10;Mosta, Malta on Google Maps"/>
    <x:hyperlink ref="E11" r:id="rId4252" tooltip="Search Plot 35 Triq Mastru George Cachia&#10;Hal Qormi, Malta on Google Maps"/>
    <x:hyperlink ref="E12" r:id="rId4253" tooltip="Search Valletta, Malta on Google Maps"/>
    <x:hyperlink ref="E13" r:id="rId4254" tooltip="Search KKW 721, Corradino &#10;Industrial Estate&#10;Paola, PLA 3000, Malta on Google Maps"/>
    <x:hyperlink ref="F2" r:id="rId4255" tooltip="Visit casconehome.com/en/index.php"/>
    <x:hyperlink ref="F4" r:id="rId4256" tooltip="Visit facebook.com/doorsand.more.3/"/>
    <x:hyperlink ref="F5" r:id="rId4257" tooltip="Visit sptechniques.com/"/>
    <x:hyperlink ref="F6" r:id="rId4258" tooltip="Visit jcdaluminium.com/upvc-aluminium-doors-and-windows"/>
    <x:hyperlink ref="F7" r:id="rId4259" tooltip="Visit adoremore.com.mt/"/>
    <x:hyperlink ref="F8" r:id="rId4260" tooltip="Visit finestralmalta.com/"/>
    <x:hyperlink ref="F9" r:id="rId4261" tooltip="Visit pvc.com.mt/"/>
    <x:hyperlink ref="F10" r:id="rId4262" tooltip="Visit windowworld.eu/"/>
    <x:hyperlink ref="F11" r:id="rId4263" tooltip="Visit prodoormalta.com/"/>
    <x:hyperlink ref="F12" r:id="rId4264" tooltip="Visit facebook.com/perfectummt/"/>
    <x:hyperlink ref="F13" r:id="rId4265" tooltip="Visit nigeldimech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6"/>
  <x:sheetViews>
    <x:sheetView workbookViewId="0"/>
  </x:sheetViews>
  <x:sheetFormatPr defaultRowHeight="15"/>
  <x:cols>
    <x:col min="1" max="1" width="14.996339" style="0" customWidth="1"/>
    <x:col min="2" max="2" width="19.996339" style="0" customWidth="1"/>
    <x:col min="3" max="3" width="27.567768" style="0" customWidth="1"/>
    <x:col min="4" max="4" width="18.139196" style="0" customWidth="1"/>
    <x:col min="5" max="5" width="34.710625" style="0" customWidth="1"/>
    <x:col min="6" max="6" width="27.567768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5">
        <x:f>HYPERLINK("#'Summary List'!A66", "Back to Summary")</x:f>
      </x:c>
    </x:row>
    <x:row r="2" spans="1:7" s="3" customFormat="1">
      <x:c r="A2" s="3" t="s">
        <x:v>3770</x:v>
      </x:c>
      <x:c r="B2" s="3" t="s">
        <x:v>994</x:v>
      </x:c>
      <x:c r="C2" s="6" t="s">
        <x:v>3771</x:v>
      </x:c>
      <x:c r="D2" s="7">
        <x:f>CONCATENATE(HYPERLINK("CALLTO:%2B356%209921%205215", "+356 9921 5215"))</x:f>
      </x:c>
      <x:c r="E2" s="6" t="s">
        <x:v>1037</x:v>
      </x:c>
      <x:c r="F2" s="6" t="s">
        <x:v>1052</x:v>
      </x:c>
    </x:row>
    <x:row r="3" spans="1:7" s="1" customFormat="1">
      <x:c r="A3" s="1" t="s">
        <x:v>3770</x:v>
      </x:c>
      <x:c r="B3" s="1" t="s">
        <x:v>3432</x:v>
      </x:c>
      <x:c r="C3" s="8" t="s">
        <x:v>3520</x:v>
      </x:c>
      <x:c r="D3" s="9">
        <x:f>CONCATENATE(HYPERLINK("CALLTO:%2B356%209959%204709", "+356 9959 4709"))</x:f>
      </x:c>
      <x:c r="E3" s="8" t="s">
        <x:v>3613</x:v>
      </x:c>
      <x:c r="F3" s="8" t="s">
        <x:v>3628</x:v>
      </x:c>
    </x:row>
    <x:row r="4" spans="1:7" s="4" customFormat="1">
      <x:c r="A4" s="4" t="s">
        <x:v>3770</x:v>
      </x:c>
      <x:c r="B4" s="4" t="s">
        <x:v>3274</x:v>
      </x:c>
      <x:c r="C4" s="10" t="s">
        <x:v>3281</x:v>
      </x:c>
      <x:c r="D4" s="11">
        <x:f>CONCATENATE(HYPERLINK("CALLTO:%2B356%207925%209207", "+356 7925 9207"))</x:f>
      </x:c>
      <x:c r="E4" s="10" t="s">
        <x:v>3293</x:v>
      </x:c>
      <x:c r="F4" s="10" t="s">
        <x:v>3234</x:v>
      </x:c>
    </x:row>
    <x:row r="5" spans="1:7" s="3" customFormat="1">
      <x:c r="A5" s="3" t="s">
        <x:v>3770</x:v>
      </x:c>
      <x:c r="B5" s="3" t="s">
        <x:v>3379</x:v>
      </x:c>
      <x:c r="C5" s="6" t="s">
        <x:v>3470</x:v>
      </x:c>
      <x:c r="D5" s="7">
        <x:f>CONCATENATE(HYPERLINK("CALLTO:%2B356%209920%207248", "+356 9920 7248"))</x:f>
      </x:c>
      <x:c r="E5" s="6" t="s">
        <x:v>1762</x:v>
      </x:c>
      <x:c r="F5" s="6" t="s">
        <x:v>5348</x:v>
      </x:c>
    </x:row>
    <x:row r="6" spans="1:7" s="1" customFormat="1">
      <x:c r="A6" s="1" t="s">
        <x:v>3770</x:v>
      </x:c>
      <x:c r="B6" s="1" t="s">
        <x:v>3031</x:v>
      </x:c>
      <x:c r="C6" s="8" t="s">
        <x:v>3058</x:v>
      </x:c>
      <x:c r="D6" s="9">
        <x:f>CONCATENATE(HYPERLINK("CALLTO:%2B356%207709%202277", "+356 7709 2277"))</x:f>
      </x:c>
      <x:c r="F6" s="8" t="s">
        <x:v>2058</x:v>
      </x:c>
    </x:row>
    <x:row r="7" spans="1:7" s="4" customFormat="1"/>
    <x:row r="8" spans="1:7" s="3" customFormat="1"/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</x:sheetData>
  <x:hyperlinks>
    <x:hyperlink ref="C2" r:id="rId4266" tooltip="Send a mail to info@perfectum.mt"/>
    <x:hyperlink ref="C3" r:id="rId4267" tooltip="Send a mail to valormalta@gmail.com"/>
    <x:hyperlink ref="C4" r:id="rId4268" tooltip="Send a mail to sales@brandimports.com.mt"/>
    <x:hyperlink ref="C5" r:id="rId4269" tooltip="Send a mail to henry@bpapertures.com"/>
    <x:hyperlink ref="C6" r:id="rId4270" tooltip="Send a mail to info@rgroupmt.com"/>
    <x:hyperlink ref="E2" r:id="rId4271" tooltip="Search Valletta, Malta on Google Maps"/>
    <x:hyperlink ref="E3" r:id="rId4272" tooltip="Search Triq l-isturnell Roza, Hal Luqa, Malta on Google Maps"/>
    <x:hyperlink ref="E4" r:id="rId4273" tooltip="Search Showroom 26, Triq Haz-Zabbar, Paola on Google Maps"/>
    <x:hyperlink ref="E5" r:id="rId4274" tooltip="Search Mdina Road, Zebbug on Google Maps"/>
    <x:hyperlink ref="F2" r:id="rId4275" tooltip="Visit facebook.com/perfectummt/"/>
    <x:hyperlink ref="F3" r:id="rId4276" tooltip="Visit valormalta.wixsite.com/valor"/>
    <x:hyperlink ref="F4" r:id="rId4277" tooltip="Visit brandimports.com.mt/en/"/>
    <x:hyperlink ref="F5" r:id="rId4278" tooltip="Visit bpapertures.com/"/>
    <x:hyperlink ref="F6" r:id="rId4279" tooltip="Visit facebook.com/RGroupMalta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0"/>
  <x:sheetViews>
    <x:sheetView workbookViewId="0"/>
  </x:sheetViews>
  <x:sheetFormatPr defaultRowHeight="15"/>
  <x:cols>
    <x:col min="1" max="1" width="25.996339" style="0" customWidth="1"/>
    <x:col min="2" max="2" width="22.424911" style="0" customWidth="1"/>
    <x:col min="3" max="3" width="24.853482" style="0" customWidth="1"/>
    <x:col min="4" max="4" width="18.710625" style="0" customWidth="1"/>
    <x:col min="5" max="5" width="10.853482" style="0" customWidth="1"/>
    <x:col min="6" max="6" width="10.996339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List'!A67", "Back to Summary")</x:f>
      </x:c>
    </x:row>
    <x:row r="2" spans="1:7" s="3" customFormat="1">
      <x:c r="A2" s="3" t="s">
        <x:v>3772</x:v>
      </x:c>
      <x:c r="B2" s="3" t="s">
        <x:v>2124</x:v>
      </x:c>
      <x:c r="C2" s="6" t="s">
        <x:v>1487</x:v>
      </x:c>
      <x:c r="D2" s="7">
        <x:f>CONCATENATE(HYPERLINK("CALLTO:%2B356%209946%203204", "+356 9946 3204"))</x:f>
      </x:c>
    </x:row>
    <x:row r="3" spans="1:7" s="1" customFormat="1">
      <x:c r="A3" s="1" t="s">
        <x:v>3772</x:v>
      </x:c>
      <x:c r="B3" s="1" t="s">
        <x:v>845</x:v>
      </x:c>
      <x:c r="C3" s="8" t="s">
        <x:v>854</x:v>
      </x:c>
    </x:row>
    <x:row r="4" spans="1:7" s="4" customFormat="1">
      <x:c r="A4" s="4" t="s">
        <x:v>3772</x:v>
      </x:c>
      <x:c r="B4" s="4" t="s">
        <x:v>3773</x:v>
      </x:c>
      <x:c r="C4" s="10" t="s">
        <x:v>2549</x:v>
      </x:c>
    </x:row>
    <x:row r="5" spans="1:7" s="3" customFormat="1">
      <x:c r="A5" s="3" t="s">
        <x:v>3772</x:v>
      </x:c>
      <x:c r="B5" s="3" t="s">
        <x:v>3774</x:v>
      </x:c>
      <x:c r="C5" s="6" t="s">
        <x:v>3512</x:v>
      </x:c>
    </x:row>
    <x:row r="6" spans="1:7" s="1" customFormat="1">
      <x:c r="A6" s="1" t="s">
        <x:v>3772</x:v>
      </x:c>
      <x:c r="B6" s="1" t="s">
        <x:v>3775</x:v>
      </x:c>
      <x:c r="C6" s="8" t="s">
        <x:v>3690</x:v>
      </x:c>
    </x:row>
    <x:row r="7" spans="1:7" s="4" customFormat="1">
      <x:c r="A7" s="4" t="s">
        <x:v>3772</x:v>
      </x:c>
      <x:c r="B7" s="4" t="s">
        <x:v>3666</x:v>
      </x:c>
      <x:c r="C7" s="10" t="s">
        <x:v>3516</x:v>
      </x:c>
    </x:row>
    <x:row r="8" spans="1:7" s="3" customFormat="1">
      <x:c r="A8" s="3" t="s">
        <x:v>3772</x:v>
      </x:c>
      <x:c r="B8" s="3" t="s">
        <x:v>3776</x:v>
      </x:c>
      <x:c r="C8" s="6" t="s">
        <x:v>3779</x:v>
      </x:c>
    </x:row>
    <x:row r="9" spans="1:7" s="1" customFormat="1">
      <x:c r="A9" s="1" t="s">
        <x:v>3772</x:v>
      </x:c>
      <x:c r="B9" s="1" t="s">
        <x:v>3777</x:v>
      </x:c>
      <x:c r="C9" s="8" t="s">
        <x:v>3256</x:v>
      </x:c>
    </x:row>
    <x:row r="10" spans="1:7" s="4" customFormat="1">
      <x:c r="A10" s="4" t="s">
        <x:v>3772</x:v>
      </x:c>
      <x:c r="B10" s="4" t="s">
        <x:v>3240</x:v>
      </x:c>
      <x:c r="C10" s="10" t="s">
        <x:v>3058</x:v>
      </x:c>
    </x:row>
    <x:row r="11" spans="1:7" s="3" customFormat="1">
      <x:c r="A11" s="3" t="s">
        <x:v>3772</x:v>
      </x:c>
      <x:c r="B11" s="3" t="s">
        <x:v>3778</x:v>
      </x:c>
      <x:c r="C11" s="6" t="s">
        <x:v>1073</x:v>
      </x:c>
    </x:row>
    <x:row r="12" spans="1:7" s="1" customFormat="1">
      <x:c r="A12" s="1" t="s">
        <x:v>3772</x:v>
      </x:c>
      <x:c r="B12" s="1" t="s">
        <x:v>1063</x:v>
      </x:c>
    </x:row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</x:sheetData>
  <x:hyperlinks>
    <x:hyperlink ref="C2" r:id="rId4280" tooltip="Send a mail to sales@maltadiy.com"/>
    <x:hyperlink ref="C3" r:id="rId4281" tooltip="Send a mail to msida@iperceramica.mt"/>
    <x:hyperlink ref="C4" r:id="rId4282" tooltip="Send a mail to shop@megastore.com.mt"/>
    <x:hyperlink ref="C5" r:id="rId4283" tooltip="Send a mail to sales@doorsandmore.in"/>
    <x:hyperlink ref="C6" r:id="rId4284" tooltip="Send a mail to info@ddoorcompany.com"/>
    <x:hyperlink ref="C7" r:id="rId4285" tooltip="Send a mail to info@deckor.com.mt"/>
    <x:hyperlink ref="C8" r:id="rId4286" tooltip="Send a mail to viorel.limited@gmail.com"/>
    <x:hyperlink ref="C9" r:id="rId4287" tooltip="Send a mail to sales@bitmac.mt"/>
    <x:hyperlink ref="C10" r:id="rId4288" tooltip="Send a mail to info@rgroupmt.com"/>
    <x:hyperlink ref="C11" r:id="rId4289" tooltip="Send a mail to sales@dimech-ent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09"/>
  <x:sheetViews>
    <x:sheetView workbookViewId="0"/>
  </x:sheetViews>
  <x:sheetFormatPr defaultRowHeight="15"/>
  <x:cols>
    <x:col min="1" max="1" width="34.853482" style="0" customWidth="1"/>
    <x:col min="2" max="2" width="51.282054" style="0" customWidth="1"/>
    <x:col min="3" max="3" width="35.996339" style="0" customWidth="1"/>
    <x:col min="4" max="4" width="29.853482" style="0" customWidth="1"/>
    <x:col min="5" max="5" width="64.424911" style="0" customWidth="1"/>
    <x:col min="6" max="6" width="98.710625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List'!A68", "Back to Summary")</x:f>
      </x:c>
    </x:row>
    <x:row r="2" spans="1:7" s="3" customFormat="1">
      <x:c r="A2" s="3" t="s">
        <x:v>3780</x:v>
      </x:c>
      <x:c r="B2" s="3" t="s">
        <x:v>3788</x:v>
      </x:c>
      <x:c r="C2" s="6" t="s">
        <x:v>3822</x:v>
      </x:c>
      <x:c r="D2" s="7">
        <x:f>CONCATENATE(HYPERLINK("CALLTO:%2B356%202141%204933", "+356 2141 4933"))</x:f>
      </x:c>
      <x:c r="E2" s="6" t="s">
        <x:v>3857</x:v>
      </x:c>
      <x:c r="F2" s="6" t="s">
        <x:v>5388</x:v>
      </x:c>
    </x:row>
    <x:row r="3" spans="1:7" s="1" customFormat="1"/>
    <x:row r="4" spans="1:7" s="4" customFormat="1">
      <x:c r="A4" s="4" t="s">
        <x:v>3781</x:v>
      </x:c>
      <x:c r="B4" s="4" t="s">
        <x:v>3790</x:v>
      </x:c>
      <x:c r="C4" s="10" t="s">
        <x:v>3823</x:v>
      </x:c>
      <x:c r="D4" s="11">
        <x:f>CONCATENATE(HYPERLINK("CALLTO:%2B356%207999%20825579468519", "+356 7999 825579468519"))</x:f>
      </x:c>
      <x:c r="E4" s="10" t="s">
        <x:v>3858</x:v>
      </x:c>
      <x:c r="F4" s="10" t="s">
        <x:v>5389</x:v>
      </x:c>
    </x:row>
    <x:row r="5" spans="1:7" s="3" customFormat="1"/>
    <x:row r="6" spans="1:7" s="1" customFormat="1">
      <x:c r="A6" s="1" t="s">
        <x:v>3782</x:v>
      </x:c>
      <x:c r="B6" s="1" t="s">
        <x:v>3791</x:v>
      </x:c>
      <x:c r="C6" s="8" t="s">
        <x:v>3824</x:v>
      </x:c>
      <x:c r="D6" s="9">
        <x:f>CONCATENATE(HYPERLINK("CALLTO:%2B356%209960%200139", "+356 9960 0139"))</x:f>
      </x:c>
      <x:c r="E6" s="8" t="s">
        <x:v>3859</x:v>
      </x:c>
      <x:c r="F6" s="8" t="s">
        <x:v>5390</x:v>
      </x:c>
    </x:row>
    <x:row r="7" spans="1:7" s="4" customFormat="1">
      <x:c r="A7" s="4" t="s">
        <x:v>3783</x:v>
      </x:c>
      <x:c r="B7" s="4" t="s">
        <x:v>3792</x:v>
      </x:c>
      <x:c r="C7" s="10" t="s">
        <x:v>3825</x:v>
      </x:c>
      <x:c r="D7" s="11">
        <x:f>CONCATENATE(HYPERLINK("CALLTO:%2B356%202141%206517", "+356 2141 6517"), " / ", HYPERLINK("CALLTO:%2B356%209949%200249", "+356 9949 0249"))</x:f>
      </x:c>
      <x:c r="E7" s="10" t="s">
        <x:v>3860</x:v>
      </x:c>
      <x:c r="F7" s="10" t="s">
        <x:v>3877</x:v>
      </x:c>
    </x:row>
    <x:row r="8" spans="1:7" s="3" customFormat="1"/>
    <x:row r="9" spans="1:7" s="1" customFormat="1">
      <x:c r="A9" s="1" t="s">
        <x:v>3784</x:v>
      </x:c>
      <x:c r="B9" s="1" t="s">
        <x:v>3793</x:v>
      </x:c>
      <x:c r="C9" s="8" t="s">
        <x:v>3826</x:v>
      </x:c>
      <x:c r="D9" s="9">
        <x:f>CONCATENATE(HYPERLINK("CALLTO:%2B356%202149%201297", "+356 2149 1297"))</x:f>
      </x:c>
      <x:c r="E9" s="8" t="s">
        <x:v>3861</x:v>
      </x:c>
      <x:c r="F9" s="8" t="s">
        <x:v>3878</x:v>
      </x:c>
    </x:row>
    <x:row r="10" spans="1:7" s="4" customFormat="1">
      <x:c r="A10" s="4" t="s">
        <x:v>3784</x:v>
      </x:c>
      <x:c r="B10" s="4" t="s">
        <x:v>3794</x:v>
      </x:c>
      <x:c r="C10" s="10" t="s">
        <x:v>3827</x:v>
      </x:c>
      <x:c r="D10" s="11">
        <x:f>CONCATENATE(HYPERLINK("CALLTO:%2B356%209951%205003", "+356 9951 5003"))</x:f>
      </x:c>
      <x:c r="E10" s="10" t="s">
        <x:v>3862</x:v>
      </x:c>
      <x:c r="F10" s="10" t="s">
        <x:v>5243</x:v>
      </x:c>
    </x:row>
    <x:row r="11" spans="1:7" s="3" customFormat="1"/>
    <x:row r="12" spans="1:7" s="1" customFormat="1">
      <x:c r="A12" s="1" t="s">
        <x:v>3785</x:v>
      </x:c>
      <x:c r="B12" s="1" t="s">
        <x:v>96</x:v>
      </x:c>
      <x:c r="C12" s="8" t="s">
        <x:v>3828</x:v>
      </x:c>
      <x:c r="D12" s="9">
        <x:f>CONCATENATE(HYPERLINK("CALLTO:%2B356%209965%205581", "+356 9965 5581"), " / ", HYPERLINK("CALLTO:%2B356%207904%209069", "+356 7904 9069"))</x:f>
      </x:c>
      <x:c r="E12" s="8" t="s">
        <x:v>3863</x:v>
      </x:c>
      <x:c r="F12" s="8" t="s">
        <x:v>3879</x:v>
      </x:c>
    </x:row>
    <x:row r="13" spans="1:7" s="4" customFormat="1"/>
    <x:row r="14" spans="1:7" s="3" customFormat="1">
      <x:c r="A14" s="3" t="s">
        <x:v>3786</x:v>
      </x:c>
      <x:c r="B14" s="3" t="s">
        <x:v>3795</x:v>
      </x:c>
      <x:c r="C14" s="6" t="s">
        <x:v>3829</x:v>
      </x:c>
      <x:c r="D14" s="7">
        <x:f>CONCATENATE(HYPERLINK("CALLTO:%2B356%207982%202471", "+356 7982 2471"))</x:f>
      </x:c>
      <x:c r="E14" s="6" t="s">
        <x:v>3864</x:v>
      </x:c>
      <x:c r="F14" s="6" t="s">
        <x:v>3880</x:v>
      </x:c>
    </x:row>
    <x:row r="15" spans="1:7" s="1" customFormat="1">
      <x:c r="A15" s="1" t="s">
        <x:v>3786</x:v>
      </x:c>
      <x:c r="B15" s="1" t="s">
        <x:v>3796</x:v>
      </x:c>
      <x:c r="C15" s="8" t="s">
        <x:v>3830</x:v>
      </x:c>
      <x:c r="D15" s="9">
        <x:f>CONCATENATE(HYPERLINK("CALLTO:%2B356%207710%204522", "+356 7710 4522"))</x:f>
      </x:c>
      <x:c r="E15" s="8" t="s">
        <x:v>3865</x:v>
      </x:c>
      <x:c r="F15" s="8" t="s">
        <x:v>3881</x:v>
      </x:c>
    </x:row>
    <x:row r="16" spans="1:7" s="4" customFormat="1">
      <x:c r="A16" s="4" t="s">
        <x:v>3786</x:v>
      </x:c>
      <x:c r="B16" s="4" t="s">
        <x:v>3797</x:v>
      </x:c>
      <x:c r="C16" s="10" t="s">
        <x:v>3832</x:v>
      </x:c>
      <x:c r="D16" s="11">
        <x:f>CONCATENATE(HYPERLINK("CALLTO:%2B356%207940%201076", "+356 7940 1076"))</x:f>
      </x:c>
      <x:c r="E16" s="10" t="s">
        <x:v>3867</x:v>
      </x:c>
      <x:c r="F16" s="10" t="s">
        <x:v>3882</x:v>
      </x:c>
    </x:row>
    <x:row r="17" spans="1:7" s="3" customFormat="1">
      <x:c r="A17" s="3" t="s">
        <x:v>3786</x:v>
      </x:c>
      <x:c r="B17" s="3" t="s">
        <x:v>3798</x:v>
      </x:c>
      <x:c r="C17" s="6" t="s">
        <x:v>3831</x:v>
      </x:c>
      <x:c r="D17" s="7">
        <x:f>CONCATENATE(HYPERLINK("CALLTO:%2B356%207989%206534", "+356 7989 6534"))</x:f>
      </x:c>
      <x:c r="E17" s="6" t="s">
        <x:v>3866</x:v>
      </x:c>
      <x:c r="F17" s="6" t="s">
        <x:v>3883</x:v>
      </x:c>
    </x:row>
    <x:row r="18" spans="1:7" s="1" customFormat="1">
      <x:c r="A18" s="1" t="s">
        <x:v>3786</x:v>
      </x:c>
      <x:c r="B18" s="1" t="s">
        <x:v>3799</x:v>
      </x:c>
      <x:c r="C18" s="8" t="s">
        <x:v>3833</x:v>
      </x:c>
      <x:c r="D18" s="9">
        <x:f>CONCATENATE(HYPERLINK("CALLTO:%2B356%207706%200013", "+356 7706 0013"))</x:f>
      </x:c>
      <x:c r="E18" s="8" t="s">
        <x:v>3868</x:v>
      </x:c>
      <x:c r="F18" s="8" t="s">
        <x:v>3884</x:v>
      </x:c>
    </x:row>
    <x:row r="19" spans="1:7" s="4" customFormat="1">
      <x:c r="A19" s="4" t="s">
        <x:v>3786</x:v>
      </x:c>
      <x:c r="B19" s="4" t="s">
        <x:v>3800</x:v>
      </x:c>
      <x:c r="C19" s="10" t="s">
        <x:v>3834</x:v>
      </x:c>
      <x:c r="D19" s="11">
        <x:f>CONCATENATE(HYPERLINK("CALLTO:%2B356%202033%200129", "+356 2033 0129"))</x:f>
      </x:c>
      <x:c r="E19" s="10" t="s">
        <x:v>3869</x:v>
      </x:c>
      <x:c r="F19" s="10" t="s">
        <x:v>3885</x:v>
      </x:c>
    </x:row>
    <x:row r="20" spans="1:7" s="3" customFormat="1">
      <x:c r="A20" s="3" t="s">
        <x:v>3786</x:v>
      </x:c>
      <x:c r="B20" s="3" t="s">
        <x:v>3801</x:v>
      </x:c>
      <x:c r="C20" s="6" t="s">
        <x:v>3835</x:v>
      </x:c>
      <x:c r="D20" s="7">
        <x:f>CONCATENATE(HYPERLINK("CALLTO:%2B356%202790%200044", "+356 2790 0044"))</x:f>
      </x:c>
      <x:c r="E20" s="6" t="s">
        <x:v>3870</x:v>
      </x:c>
      <x:c r="F20" s="6" t="s">
        <x:v>3886</x:v>
      </x:c>
    </x:row>
    <x:row r="21" spans="1:7" s="1" customFormat="1">
      <x:c r="A21" s="1" t="s">
        <x:v>3786</x:v>
      </x:c>
      <x:c r="B21" s="1" t="s">
        <x:v>3802</x:v>
      </x:c>
      <x:c r="C21" s="8" t="s">
        <x:v>3836</x:v>
      </x:c>
      <x:c r="D21" s="9">
        <x:f>CONCATENATE(HYPERLINK("CALLTO:%2B356%202146%206119", "+356 2146 6119"))</x:f>
      </x:c>
      <x:c r="E21" s="8" t="s">
        <x:v>3871</x:v>
      </x:c>
      <x:c r="F21" s="8" t="s">
        <x:v>5391</x:v>
      </x:c>
    </x:row>
    <x:row r="22" spans="1:7" s="4" customFormat="1">
      <x:c r="A22" s="4" t="s">
        <x:v>3786</x:v>
      </x:c>
      <x:c r="B22" s="4" t="s">
        <x:v>3803</x:v>
      </x:c>
      <x:c r="C22" s="10" t="s">
        <x:v>3837</x:v>
      </x:c>
      <x:c r="D22" s="11">
        <x:f>CONCATENATE(HYPERLINK("CALLTO:%2B356%207713%200535", "+356 7713 0535"))</x:f>
      </x:c>
      <x:c r="E22" s="10" t="s">
        <x:v>3872</x:v>
      </x:c>
      <x:c r="F22" s="10" t="s">
        <x:v>5392</x:v>
      </x:c>
    </x:row>
    <x:row r="23" spans="1:7" s="3" customFormat="1">
      <x:c r="A23" s="3" t="s">
        <x:v>3786</x:v>
      </x:c>
      <x:c r="B23" s="3" t="s">
        <x:v>3804</x:v>
      </x:c>
      <x:c r="C23" s="6" t="s">
        <x:v>3838</x:v>
      </x:c>
      <x:c r="D23" s="7">
        <x:f>CONCATENATE(HYPERLINK("CALLTO:%2B356%207901%200975", "+356 7901 0975"))</x:f>
      </x:c>
      <x:c r="E23" s="6" t="s">
        <x:v>3873</x:v>
      </x:c>
      <x:c r="F23" s="6" t="s">
        <x:v>5393</x:v>
      </x:c>
    </x:row>
    <x:row r="24" spans="1:7" s="1" customFormat="1"/>
    <x:row r="25" spans="1:7" s="4" customFormat="1">
      <x:c r="A25" s="4" t="s">
        <x:v>3787</x:v>
      </x:c>
      <x:c r="B25" s="4" t="s">
        <x:v>3805</x:v>
      </x:c>
      <x:c r="C25" s="10" t="s">
        <x:v>3839</x:v>
      </x:c>
      <x:c r="D25" s="11">
        <x:f>CONCATENATE(HYPERLINK("CALLTO:%2B356%207745%204813", "+356 7745 4813"))</x:f>
      </x:c>
      <x:c r="E25" s="10" t="s">
        <x:v>3874</x:v>
      </x:c>
    </x:row>
    <x:row r="26" spans="1:7" s="3" customFormat="1">
      <x:c r="A26" s="3" t="s">
        <x:v>3787</x:v>
      </x:c>
      <x:c r="B26" s="3" t="s">
        <x:v>770</x:v>
      </x:c>
      <x:c r="C26" s="6" t="s">
        <x:v>3840</x:v>
      </x:c>
      <x:c r="D26" s="7">
        <x:f>CONCATENATE(HYPERLINK("CALLTO:%2B356%207947%205940", "+356 7947 5940"))</x:f>
      </x:c>
      <x:c r="E26" s="6" t="s">
        <x:v>3876</x:v>
      </x:c>
    </x:row>
    <x:row r="27" spans="1:7" s="1" customFormat="1">
      <x:c r="A27" s="1" t="s">
        <x:v>3787</x:v>
      </x:c>
      <x:c r="B27" s="1" t="s">
        <x:v>3806</x:v>
      </x:c>
      <x:c r="C27" s="8" t="s">
        <x:v>3841</x:v>
      </x:c>
      <x:c r="D27" s="9">
        <x:f>CONCATENATE(HYPERLINK("CALLTO:%2B356%209982%203248", "+356 9982 3248"), " / ", HYPERLINK("CALLTO:%2B356%209946%206511", "+356 9946 6511"))</x:f>
      </x:c>
    </x:row>
    <x:row r="28" spans="1:7" s="4" customFormat="1">
      <x:c r="A28" s="4" t="s">
        <x:v>3787</x:v>
      </x:c>
      <x:c r="B28" s="4" t="s">
        <x:v>3807</x:v>
      </x:c>
      <x:c r="C28" s="10" t="s">
        <x:v>3842</x:v>
      </x:c>
      <x:c r="D28" s="11">
        <x:f>CONCATENATE(HYPERLINK("CALLTO:%2B356%202258%204900", "+356 2258 4900"))</x:f>
      </x:c>
    </x:row>
    <x:row r="29" spans="1:7" s="3" customFormat="1"/>
    <x:row r="30" spans="1:7" s="1" customFormat="1">
      <x:c r="A30" s="1" t="s">
        <x:v>3789</x:v>
      </x:c>
      <x:c r="B30" s="1" t="s">
        <x:v>3808</x:v>
      </x:c>
      <x:c r="C30" s="8" t="s">
        <x:v>3843</x:v>
      </x:c>
      <x:c r="D30" s="9">
        <x:f>CONCATENATE(HYPERLINK("CALLTO:%2B356%207777%201732", "+356 7777 1732"))</x:f>
      </x:c>
    </x:row>
    <x:row r="31" spans="1:7" s="4" customFormat="1"/>
    <x:row r="32" spans="1:7" s="3" customFormat="1">
      <x:c r="B32" s="3" t="s">
        <x:v>3809</x:v>
      </x:c>
      <x:c r="C32" s="6" t="s">
        <x:v>3844</x:v>
      </x:c>
      <x:c r="D32" s="7">
        <x:f>CONCATENATE(HYPERLINK("CALLTO:%2B356%209960%206190", "+356 9960 6190"))</x:f>
      </x:c>
    </x:row>
    <x:row r="33" spans="1:7" s="1" customFormat="1">
      <x:c r="B33" s="1" t="s">
        <x:v>3810</x:v>
      </x:c>
      <x:c r="C33" s="8" t="s">
        <x:v>3845</x:v>
      </x:c>
      <x:c r="D33" s="9">
        <x:f>CONCATENATE(HYPERLINK("CALLTO:%2B356%207767%208691", "+356 7767 8691"))</x:f>
      </x:c>
    </x:row>
    <x:row r="34" spans="1:7" s="4" customFormat="1">
      <x:c r="B34" s="4" t="s">
        <x:v>3811</x:v>
      </x:c>
      <x:c r="C34" s="10" t="s">
        <x:v>3846</x:v>
      </x:c>
    </x:row>
    <x:row r="35" spans="1:7" s="3" customFormat="1">
      <x:c r="B35" s="3" t="s">
        <x:v>3812</x:v>
      </x:c>
      <x:c r="C35" s="6" t="s">
        <x:v>3847</x:v>
      </x:c>
    </x:row>
    <x:row r="36" spans="1:7" s="1" customFormat="1">
      <x:c r="B36" s="1" t="s">
        <x:v>3813</x:v>
      </x:c>
      <x:c r="C36" s="8" t="s">
        <x:v>3848</x:v>
      </x:c>
    </x:row>
    <x:row r="37" spans="1:7" s="4" customFormat="1">
      <x:c r="B37" s="4" t="s">
        <x:v>3815</x:v>
      </x:c>
      <x:c r="C37" s="10" t="s">
        <x:v>3849</x:v>
      </x:c>
    </x:row>
    <x:row r="38" spans="1:7" s="3" customFormat="1">
      <x:c r="B38" s="3" t="s">
        <x:v>3814</x:v>
      </x:c>
      <x:c r="C38" s="6" t="s">
        <x:v>3850</x:v>
      </x:c>
    </x:row>
    <x:row r="39" spans="1:7" s="1" customFormat="1">
      <x:c r="B39" s="1" t="s">
        <x:v>3816</x:v>
      </x:c>
      <x:c r="C39" s="8" t="s">
        <x:v>3851</x:v>
      </x:c>
    </x:row>
    <x:row r="40" spans="1:7" s="4" customFormat="1">
      <x:c r="B40" s="4" t="s">
        <x:v>3817</x:v>
      </x:c>
      <x:c r="C40" s="10" t="s">
        <x:v>3852</x:v>
      </x:c>
    </x:row>
    <x:row r="41" spans="1:7" s="3" customFormat="1">
      <x:c r="B41" s="3" t="s">
        <x:v>3818</x:v>
      </x:c>
      <x:c r="C41" s="6" t="s">
        <x:v>3853</x:v>
      </x:c>
    </x:row>
    <x:row r="42" spans="1:7" s="1" customFormat="1">
      <x:c r="B42" s="1" t="s">
        <x:v>3819</x:v>
      </x:c>
      <x:c r="C42" s="8" t="s">
        <x:v>3854</x:v>
      </x:c>
    </x:row>
    <x:row r="43" spans="1:7" s="4" customFormat="1">
      <x:c r="B43" s="4" t="s">
        <x:v>3820</x:v>
      </x:c>
      <x:c r="C43" s="10" t="s">
        <x:v>3855</x:v>
      </x:c>
    </x:row>
    <x:row r="44" spans="1:7" s="3" customFormat="1">
      <x:c r="B44" s="3" t="s">
        <x:v>3821</x:v>
      </x:c>
      <x:c r="C44" s="3" t="s">
        <x:v>3856</x:v>
      </x:c>
    </x:row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</x:sheetData>
  <x:hyperlinks>
    <x:hyperlink ref="C2" r:id="rId4290" tooltip="Send a mail to info@casacompleta.net"/>
    <x:hyperlink ref="C4" r:id="rId4291" tooltip="Send a mail to fourvcltd@gmail.com"/>
    <x:hyperlink ref="C6" r:id="rId4292" tooltip="Send a mail to abela.restoration@gmail.com"/>
    <x:hyperlink ref="C7" r:id="rId4293" tooltip="Send a mail to psbcontractors@gmail.com"/>
    <x:hyperlink ref="C9" r:id="rId4294" tooltip="Send a mail to info@recoop.com.mt"/>
    <x:hyperlink ref="C10" r:id="rId4295" tooltip="Send a mail to lizabologna@restoration-now.com"/>
    <x:hyperlink ref="C12" r:id="rId4296" tooltip="Send a mail to schembriw45@gmail.com"/>
    <x:hyperlink ref="C14" r:id="rId4297" tooltip="Send a mail to silvio.tonna@gmail.com"/>
    <x:hyperlink ref="C15" r:id="rId4298" tooltip="Send a mail to info@asbusiness.art"/>
    <x:hyperlink ref="C16" r:id="rId4299" tooltip="Send a mail to bmdsolutions2018@gmail.com"/>
    <x:hyperlink ref="C17" r:id="rId4300" tooltip="Send a mail to info@rgimalta.com"/>
    <x:hyperlink ref="C18" r:id="rId4301" tooltip="Send a mail to a_ablast@live.com"/>
    <x:hyperlink ref="C19" r:id="rId4302" tooltip="Send a mail to info@hicareservices.mt"/>
    <x:hyperlink ref="C20" r:id="rId4303" tooltip="Send a mail to info@pisanirestoration.com"/>
    <x:hyperlink ref="C21" r:id="rId4304" tooltip="Send a mail to info@farstoneconstruction.com"/>
    <x:hyperlink ref="C22" r:id="rId4305" tooltip="Send a mail to info@opaq.mt"/>
    <x:hyperlink ref="C23" r:id="rId4306" tooltip="Send a mail to marbrian01@gmail.com"/>
    <x:hyperlink ref="C25" r:id="rId4307" tooltip="Send a mail to neilborg9@gmail.com"/>
    <x:hyperlink ref="C26" r:id="rId4308" tooltip="Send a mail to norobturnkey@gmail.com"/>
    <x:hyperlink ref="C27" r:id="rId4309" tooltip="Send a mail to kitonkeith@gmail.com"/>
    <x:hyperlink ref="C28" r:id="rId4310" tooltip="Send a mail to info@axconstruction.mt"/>
    <x:hyperlink ref="C30" r:id="rId4311" tooltip="Send a mail to info@targe.mt"/>
    <x:hyperlink ref="C32" r:id="rId4312" tooltip="Send a mail to dgrestorations21@gmail.com"/>
    <x:hyperlink ref="C33" r:id="rId4313" tooltip="Send a mail to clivelee1986@gmail.com"/>
    <x:hyperlink ref="C34" r:id="rId4314" tooltip="Send a mail to rmrestoration80@gmail.com"/>
    <x:hyperlink ref="C35" r:id="rId4315" tooltip="Send a mail to cody-camilleri@outlook.com"/>
    <x:hyperlink ref="C36" r:id="rId4316" tooltip="Send a mail to Hubert.mifsud@icloud.com"/>
    <x:hyperlink ref="C37" r:id="rId4317" tooltip="Send a mail to rachellegaldes@gmail.com"/>
    <x:hyperlink ref="C38" r:id="rId4318" tooltip="Send a mail to allroundservices9@gmail.com"/>
    <x:hyperlink ref="C39" r:id="rId4319" tooltip="Send a mail to Tridentrockscapesolutions@gmail.com"/>
    <x:hyperlink ref="C40" r:id="rId4320" tooltip="Send a mail to kevinmallia85@gmail.com"/>
    <x:hyperlink ref="C41" r:id="rId4321" tooltip="Send a mail to am.stonerestoration@gmail.com"/>
    <x:hyperlink ref="C42" r:id="rId4322" tooltip="Send a mail to ton.micallef@hotmail.com"/>
    <x:hyperlink ref="C43" r:id="rId4323" tooltip="Send a mail to marcellomultiservice@gmail.com"/>
    <x:hyperlink ref="E2" r:id="rId4324" tooltip="Search Triq l-Imdina Attard on Google Maps"/>
    <x:hyperlink ref="E4" r:id="rId4325" tooltip="Search 8 Triq Salvu Cacciattolo , Zejtun on Google Maps"/>
    <x:hyperlink ref="E6" r:id="rId4326" tooltip="Search Abela Restoration&#10;55 Tal-Grazzja Triq Bugharbiel ,&#10;Zejtun, Malta ZTN 3435 on Google Maps"/>
    <x:hyperlink ref="E7" r:id="rId4327" tooltip="Search PS Buhagiar Building Contractors&#10;55, Anfield,&#10;Triq Raddet ir-Roti,&#10;Mosta, Malta. on Google Maps"/>
    <x:hyperlink ref="E9" r:id="rId4328" tooltip="Search ReCoop&#10;Zone 2 Triq L-Esportaturi Central Business District ,&#10;B’Kara, Malta CBD 2040 on Google Maps"/>
    <x:hyperlink ref="E10" r:id="rId4329" tooltip="Search Restoration Now&#10;Triq il-Baltiku ,&#10;San Giljan, Malta on Google Maps"/>
    <x:hyperlink ref="E12" r:id="rId4330" tooltip="Search Triq San Edwardu, Qormi, Malta on Google Maps"/>
    <x:hyperlink ref="E14" r:id="rId4331" tooltip="Search triq San Guzepp 28, Mosta, Malta on Google Maps"/>
    <x:hyperlink ref="E15" r:id="rId4332" tooltip="Search 30 Triq L-Imradd, Ta' Xbiex on Google Maps"/>
    <x:hyperlink ref="E16" r:id="rId4333" tooltip="Search KW 09B Qasam Industrijali, Kordin&#10;Paola&#10;PLA 3000 on Google Maps"/>
    <x:hyperlink ref="E17" r:id="rId4334" tooltip="Search 90, Valley Road Birkirkara, BKR 9014 on Google Maps"/>
    <x:hyperlink ref="E18" r:id="rId4335" tooltip="Search 2, Triq il-Qamh, Zebbug, Ħaz-Zebbug, Malta on Google Maps"/>
    <x:hyperlink ref="E19" r:id="rId4336" tooltip="Search The Peak Exclusive Residences 14, Triq D'Amato, Attard on Google Maps"/>
    <x:hyperlink ref="E20" r:id="rId4337" tooltip="Search 19, springvale, Triq it-Tabib Nikola Zammit on Google Maps"/>
    <x:hyperlink ref="E21" r:id="rId4338" tooltip="Search 23 Nightingale Triq Dun Salvatore Zarb ,&#10;Gharghur, Malta GHR 1620 on Google Maps"/>
    <x:hyperlink ref="E22" r:id="rId4339" tooltip="Search Triq John Borg Zejtun ZTN 2077 on Google Maps"/>
    <x:hyperlink ref="E23" r:id="rId4340" tooltip="Search Santa Marija Flats, Flt 3 Triq tal-Wej , Mosta Malta MST 2462 on Google Maps"/>
    <x:hyperlink ref="E25" r:id="rId4341" tooltip="Search Hardrocks Industrial Park,&#10;L/O Burmarrad, Malta on Google Maps"/>
    <x:hyperlink ref="E26" r:id="rId4342" tooltip="Search Targe Restoration Ltd., 12 Alley, 4 Castro Street Naxxar NXR2440, Malta on Google Maps"/>
    <x:hyperlink ref="F2" r:id="rId4343" tooltip="Visit casacompletamalta.com/"/>
    <x:hyperlink ref="F4" r:id="rId4344" tooltip="Visit fourvcmalta.com/"/>
    <x:hyperlink ref="F6" r:id="rId4345" tooltip="Visit yellow.com.mt/abela-restoration_building-restoration-conservation+zejtun/"/>
    <x:hyperlink ref="F7" r:id="rId4346" tooltip="Visit psbuhagiarconstructionltd.com/en/home.htm?utm_source=chatgpt.com"/>
    <x:hyperlink ref="F9" r:id="rId4347" tooltip="Visit recoop.mt/"/>
    <x:hyperlink ref="F10" r:id="rId4348" tooltip="Visit wsinstallationsmalta.com/"/>
    <x:hyperlink ref="F12" r:id="rId4349" tooltip="Visit facebook.com/RGImalta/"/>
    <x:hyperlink ref="F14" r:id="rId4350" tooltip="Visit alexblasting.com/"/>
    <x:hyperlink ref="F15" r:id="rId4351" tooltip="Visit hicareservices.mt/"/>
    <x:hyperlink ref="F16" r:id="rId4352" tooltip="Visit pisanirestoration.com/"/>
    <x:hyperlink ref="F17" r:id="rId4353" tooltip="Visit facebook.com/p/Farstone-Construction-Restoration-Ltd-100042529226772/"/>
    <x:hyperlink ref="F18" r:id="rId4354" tooltip="Visit opaq.mt/restoration/"/>
    <x:hyperlink ref="F19" r:id="rId4355" tooltip="Visit yellow.com.mt/nm-restoration/building-restoration-conservation/"/>
    <x:hyperlink ref="F20" r:id="rId4356" tooltip="Visit norobinstallations.com/?utm_source=Yellow&amp;utm_medium=Yellow-Website&amp;utm_campaign=Landing-Page"/>
    <x:hyperlink ref="F21" r:id="rId4357" tooltip="Visit kitonkeith.wixsite.com/kitoncontractors"/>
    <x:hyperlink ref="F22" r:id="rId4358" tooltip="Visit axconstruction.com.mt/"/>
    <x:hyperlink ref="F23" r:id="rId4359" tooltip="Visit targe.mt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80"/>
  <x:sheetViews>
    <x:sheetView workbookViewId="0"/>
  </x:sheetViews>
  <x:sheetFormatPr defaultRowHeight="15"/>
  <x:cols>
    <x:col min="1" max="1" width="13.139196" style="0" customWidth="1"/>
    <x:col min="2" max="2" width="37.710625" style="0" customWidth="1"/>
    <x:col min="3" max="3" width="33.853482" style="0" customWidth="1"/>
    <x:col min="4" max="4" width="18.710625" style="0" customWidth="1"/>
    <x:col min="5" max="5" width="10.853482" style="0" customWidth="1"/>
    <x:col min="6" max="6" width="10.996339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List'!A69", "Back to Summary")</x:f>
      </x:c>
    </x:row>
    <x:row r="2" spans="1:7" s="3" customFormat="1">
      <x:c r="A2" s="3" t="s">
        <x:v>3890</x:v>
      </x:c>
      <x:c r="B2" s="3" t="s">
        <x:v>3892</x:v>
      </x:c>
      <x:c r="C2" s="6" t="s">
        <x:v>3923</x:v>
      </x:c>
      <x:c r="D2" s="7">
        <x:f>CONCATENATE(HYPERLINK("CALLTO:%2B356%209944%205349", "+356 9944 5349"))</x:f>
      </x:c>
    </x:row>
    <x:row r="3" spans="1:7" s="1" customFormat="1">
      <x:c r="A3" s="1" t="s">
        <x:v>3890</x:v>
      </x:c>
      <x:c r="B3" s="1" t="s">
        <x:v>3893</x:v>
      </x:c>
      <x:c r="C3" s="8" t="s">
        <x:v>3924</x:v>
      </x:c>
      <x:c r="D3" s="9">
        <x:f>CONCATENATE(HYPERLINK("CALLTO:%2B356%209909%202191", "+356 9909 2191"))</x:f>
      </x:c>
    </x:row>
    <x:row r="4" spans="1:7" s="4" customFormat="1">
      <x:c r="A4" s="4" t="s">
        <x:v>3890</x:v>
      </x:c>
      <x:c r="B4" s="4" t="s">
        <x:v>3894</x:v>
      </x:c>
      <x:c r="C4" s="10" t="s">
        <x:v>3925</x:v>
      </x:c>
      <x:c r="D4" s="11">
        <x:f>CONCATENATE(HYPERLINK("CALLTO:%2B356%207947%204779", "+356 7947 4779"))</x:f>
      </x:c>
    </x:row>
    <x:row r="5" spans="1:7" s="3" customFormat="1">
      <x:c r="A5" s="3" t="s">
        <x:v>3890</x:v>
      </x:c>
      <x:c r="B5" s="3" t="s">
        <x:v>3895</x:v>
      </x:c>
      <x:c r="C5" s="6" t="s">
        <x:v>3926</x:v>
      </x:c>
      <x:c r="D5" s="7">
        <x:f>CONCATENATE(HYPERLINK("CALLTO:%2B356%207988%203859", "+356 7988 3859"))</x:f>
      </x:c>
    </x:row>
    <x:row r="6" spans="1:7" s="1" customFormat="1">
      <x:c r="A6" s="1" t="s">
        <x:v>3890</x:v>
      </x:c>
      <x:c r="B6" s="1" t="s">
        <x:v>3896</x:v>
      </x:c>
      <x:c r="C6" s="8" t="s">
        <x:v>3927</x:v>
      </x:c>
      <x:c r="D6" s="9">
        <x:f>CONCATENATE(HYPERLINK("CALLTO:%2B356%202132%202999", "+356 2132 2999"))</x:f>
      </x:c>
    </x:row>
    <x:row r="7" spans="1:7" s="4" customFormat="1">
      <x:c r="A7" s="4" t="s">
        <x:v>3890</x:v>
      </x:c>
      <x:c r="B7" s="4" t="s">
        <x:v>3897</x:v>
      </x:c>
      <x:c r="C7" s="10" t="s">
        <x:v>3928</x:v>
      </x:c>
      <x:c r="D7" s="11">
        <x:f>CONCATENATE(HYPERLINK("CALLTO:%2B356%207949%200585", "+356 7949 0585"))</x:f>
      </x:c>
    </x:row>
    <x:row r="8" spans="1:7" s="3" customFormat="1">
      <x:c r="A8" s="3" t="s">
        <x:v>3890</x:v>
      </x:c>
      <x:c r="B8" s="3" t="s">
        <x:v>3898</x:v>
      </x:c>
      <x:c r="C8" s="6" t="s">
        <x:v>3929</x:v>
      </x:c>
      <x:c r="D8" s="7">
        <x:f>CONCATENATE(HYPERLINK("CALLTO:%2B356%209948%208215", "+356 9948 8215"))</x:f>
      </x:c>
    </x:row>
    <x:row r="9" spans="1:7" s="1" customFormat="1">
      <x:c r="A9" s="1" t="s">
        <x:v>3890</x:v>
      </x:c>
      <x:c r="B9" s="1" t="s">
        <x:v>3899</x:v>
      </x:c>
      <x:c r="C9" s="8" t="s">
        <x:v>3930</x:v>
      </x:c>
      <x:c r="D9" s="9">
        <x:f>CONCATENATE(HYPERLINK("CALLTO:%2B356%209980%209539", "+356 9980 9539"))</x:f>
      </x:c>
    </x:row>
    <x:row r="10" spans="1:7" s="4" customFormat="1">
      <x:c r="A10" s="4" t="s">
        <x:v>3890</x:v>
      </x:c>
      <x:c r="B10" s="4" t="s">
        <x:v>3900</x:v>
      </x:c>
      <x:c r="C10" s="10" t="s">
        <x:v>3931</x:v>
      </x:c>
      <x:c r="D10" s="11">
        <x:f>CONCATENATE(HYPERLINK("CALLTO:%2B356%207932%208188", "+356 7932 8188"))</x:f>
      </x:c>
    </x:row>
    <x:row r="11" spans="1:7" s="3" customFormat="1">
      <x:c r="A11" s="3" t="s">
        <x:v>3890</x:v>
      </x:c>
      <x:c r="B11" s="3" t="s">
        <x:v>3901</x:v>
      </x:c>
      <x:c r="C11" s="6" t="s">
        <x:v>3932</x:v>
      </x:c>
      <x:c r="D11" s="7">
        <x:f>CONCATENATE(HYPERLINK("CALLTO:%2B356%209947%202475", "+356 9947 2475"))</x:f>
      </x:c>
    </x:row>
    <x:row r="12" spans="1:7" s="1" customFormat="1">
      <x:c r="A12" s="1" t="s">
        <x:v>3890</x:v>
      </x:c>
      <x:c r="B12" s="1" t="s">
        <x:v>3902</x:v>
      </x:c>
      <x:c r="C12" s="8" t="s">
        <x:v>3933</x:v>
      </x:c>
      <x:c r="D12" s="9">
        <x:f>CONCATENATE(HYPERLINK("CALLTO:%2B356%209940%205020", "+356 9940 5020"))</x:f>
      </x:c>
    </x:row>
    <x:row r="13" spans="1:7" s="4" customFormat="1">
      <x:c r="A13" s="4" t="s">
        <x:v>3890</x:v>
      </x:c>
      <x:c r="B13" s="4" t="s">
        <x:v>3903</x:v>
      </x:c>
      <x:c r="C13" s="10" t="s">
        <x:v>3934</x:v>
      </x:c>
      <x:c r="D13" s="11">
        <x:f>CONCATENATE(HYPERLINK("CALLTO:%2B356%209947%205418", "+356 9947 5418"))</x:f>
      </x:c>
    </x:row>
    <x:row r="14" spans="1:7" s="3" customFormat="1">
      <x:c r="A14" s="3" t="s">
        <x:v>3890</x:v>
      </x:c>
      <x:c r="B14" s="3" t="s">
        <x:v>3904</x:v>
      </x:c>
      <x:c r="C14" s="6" t="s">
        <x:v>3935</x:v>
      </x:c>
      <x:c r="D14" s="7">
        <x:f>CONCATENATE(HYPERLINK("CALLTO:%2B356%209947%205417", "+356 9947 5417"))</x:f>
      </x:c>
    </x:row>
    <x:row r="15" spans="1:7" s="1" customFormat="1">
      <x:c r="A15" s="1" t="s">
        <x:v>3890</x:v>
      </x:c>
      <x:c r="B15" s="1" t="s">
        <x:v>3905</x:v>
      </x:c>
      <x:c r="C15" s="8" t="s">
        <x:v>3936</x:v>
      </x:c>
      <x:c r="D15" s="9">
        <x:f>CONCATENATE(HYPERLINK("CALLTO:%2B356%207928%204997", "+356 7928 4997"))</x:f>
      </x:c>
    </x:row>
    <x:row r="16" spans="1:7" s="4" customFormat="1">
      <x:c r="A16" s="4" t="s">
        <x:v>3890</x:v>
      </x:c>
      <x:c r="B16" s="4" t="s">
        <x:v>3906</x:v>
      </x:c>
      <x:c r="C16" s="10" t="s">
        <x:v>3937</x:v>
      </x:c>
      <x:c r="D16" s="11">
        <x:f>CONCATENATE(HYPERLINK("CALLTO:%2B356%209949%208011", "+356 9949 8011"))</x:f>
      </x:c>
    </x:row>
    <x:row r="17" spans="1:7" s="3" customFormat="1">
      <x:c r="A17" s="3" t="s">
        <x:v>3890</x:v>
      </x:c>
      <x:c r="B17" s="3" t="s">
        <x:v>3907</x:v>
      </x:c>
      <x:c r="C17" s="6" t="s">
        <x:v>3938</x:v>
      </x:c>
      <x:c r="D17" s="7">
        <x:f>CONCATENATE(HYPERLINK("CALLTO:%2B356%209942%205236", "+356 9942 5236"))</x:f>
      </x:c>
    </x:row>
    <x:row r="18" spans="1:7" s="1" customFormat="1">
      <x:c r="A18" s="1" t="s">
        <x:v>3890</x:v>
      </x:c>
      <x:c r="B18" s="1" t="s">
        <x:v>3908</x:v>
      </x:c>
      <x:c r="C18" s="8" t="s">
        <x:v>3939</x:v>
      </x:c>
      <x:c r="D18" s="9">
        <x:f>CONCATENATE(HYPERLINK("CALLTO:%2B356%209914%202799", "+356 9914 2799"))</x:f>
      </x:c>
    </x:row>
    <x:row r="19" spans="1:7" s="4" customFormat="1">
      <x:c r="A19" s="4" t="s">
        <x:v>3890</x:v>
      </x:c>
      <x:c r="B19" s="4" t="s">
        <x:v>3909</x:v>
      </x:c>
      <x:c r="C19" s="10" t="s">
        <x:v>3940</x:v>
      </x:c>
      <x:c r="D19" s="11">
        <x:f>CONCATENATE(HYPERLINK("CALLTO:%2B356%207944%205840", "+356 7944 5840"))</x:f>
      </x:c>
    </x:row>
    <x:row r="20" spans="1:7" s="3" customFormat="1">
      <x:c r="A20" s="3" t="s">
        <x:v>3890</x:v>
      </x:c>
      <x:c r="B20" s="3" t="s">
        <x:v>3910</x:v>
      </x:c>
      <x:c r="C20" s="6" t="s">
        <x:v>3941</x:v>
      </x:c>
      <x:c r="D20" s="7">
        <x:f>CONCATENATE(HYPERLINK("CALLTO:%2B356%209945%200685", "+356 9945 0685"))</x:f>
      </x:c>
    </x:row>
    <x:row r="21" spans="1:7" s="1" customFormat="1">
      <x:c r="A21" s="1" t="s">
        <x:v>3890</x:v>
      </x:c>
      <x:c r="B21" s="1" t="s">
        <x:v>3911</x:v>
      </x:c>
      <x:c r="C21" s="8" t="s">
        <x:v>3942</x:v>
      </x:c>
      <x:c r="D21" s="9">
        <x:f>CONCATENATE(HYPERLINK("CALLTO:%2B356%209994%203884", "+356 9994 3884"))</x:f>
      </x:c>
    </x:row>
    <x:row r="22" spans="1:7" s="4" customFormat="1">
      <x:c r="A22" s="4" t="s">
        <x:v>3890</x:v>
      </x:c>
      <x:c r="B22" s="4" t="s">
        <x:v>3912</x:v>
      </x:c>
      <x:c r="C22" s="10" t="s">
        <x:v>3943</x:v>
      </x:c>
      <x:c r="D22" s="11">
        <x:f>CONCATENATE(HYPERLINK("CALLTO:%2B356%209949%201447", "+356 9949 1447"))</x:f>
      </x:c>
    </x:row>
    <x:row r="23" spans="1:7" s="3" customFormat="1">
      <x:c r="A23" s="3" t="s">
        <x:v>3890</x:v>
      </x:c>
      <x:c r="B23" s="3" t="s">
        <x:v>3913</x:v>
      </x:c>
      <x:c r="C23" s="6" t="s">
        <x:v>3926</x:v>
      </x:c>
      <x:c r="D23" s="7">
        <x:f>CONCATENATE(HYPERLINK("CALLTO:%2B356%209928%208468", "+356 9928 8468"))</x:f>
      </x:c>
    </x:row>
    <x:row r="24" spans="1:7" s="1" customFormat="1">
      <x:c r="A24" s="1" t="s">
        <x:v>3890</x:v>
      </x:c>
      <x:c r="B24" s="1" t="s">
        <x:v>3914</x:v>
      </x:c>
      <x:c r="C24" s="8" t="s">
        <x:v>3944</x:v>
      </x:c>
      <x:c r="D24" s="9">
        <x:f>CONCATENATE(HYPERLINK("CALLTO:%2B356%209947%202279", "+356 9947 2279"))</x:f>
      </x:c>
    </x:row>
    <x:row r="25" spans="1:7" s="4" customFormat="1">
      <x:c r="A25" s="4" t="s">
        <x:v>3890</x:v>
      </x:c>
      <x:c r="B25" s="4" t="s">
        <x:v>3915</x:v>
      </x:c>
      <x:c r="C25" s="10" t="s">
        <x:v>3945</x:v>
      </x:c>
      <x:c r="D25" s="11">
        <x:f>CONCATENATE(HYPERLINK("CALLTO:%2B356%207988%203859", "+356 7988 3859"))</x:f>
      </x:c>
    </x:row>
    <x:row r="26" spans="1:7" s="3" customFormat="1">
      <x:c r="A26" s="3" t="s">
        <x:v>3890</x:v>
      </x:c>
      <x:c r="B26" s="3" t="s">
        <x:v>3916</x:v>
      </x:c>
      <x:c r="C26" s="6" t="s">
        <x:v>3946</x:v>
      </x:c>
      <x:c r="D26" s="7">
        <x:f>CONCATENATE(HYPERLINK("CALLTO:%2B356%209940%204502", "+356 9940 4502"))</x:f>
      </x:c>
    </x:row>
    <x:row r="27" spans="1:7" s="1" customFormat="1">
      <x:c r="A27" s="1" t="s">
        <x:v>3890</x:v>
      </x:c>
      <x:c r="B27" s="1" t="s">
        <x:v>3917</x:v>
      </x:c>
      <x:c r="C27" s="8" t="s">
        <x:v>3947</x:v>
      </x:c>
      <x:c r="D27" s="9">
        <x:f>CONCATENATE(HYPERLINK("CALLTO:%2B356%209949%202584", "+356 9949 2584"))</x:f>
      </x:c>
    </x:row>
    <x:row r="28" spans="1:7" s="4" customFormat="1"/>
    <x:row r="29" spans="1:7" s="3" customFormat="1">
      <x:c r="A29" s="3" t="s">
        <x:v>3891</x:v>
      </x:c>
      <x:c r="B29" s="3" t="s">
        <x:v>93</x:v>
      </x:c>
      <x:c r="C29" s="6" t="s">
        <x:v>2667</x:v>
      </x:c>
      <x:c r="D29" s="7">
        <x:f>CONCATENATE(HYPERLINK("CALLTO:%2B356%207904%206128", "+356 7904 6128"))</x:f>
      </x:c>
    </x:row>
    <x:row r="30" spans="1:7" s="1" customFormat="1">
      <x:c r="A30" s="1" t="s">
        <x:v>3891</x:v>
      </x:c>
      <x:c r="B30" s="1" t="s">
        <x:v>3918</x:v>
      </x:c>
      <x:c r="D30" s="9">
        <x:f>CONCATENATE(HYPERLINK("CALLTO:%2B356%209942%203019", "+356 9942 3019"))</x:f>
      </x:c>
    </x:row>
    <x:row r="31" spans="1:7" s="4" customFormat="1">
      <x:c r="A31" s="4" t="s">
        <x:v>3891</x:v>
      </x:c>
      <x:c r="B31" s="4" t="s">
        <x:v>3919</x:v>
      </x:c>
      <x:c r="D31" s="11">
        <x:f>CONCATENATE(HYPERLINK("CALLTO:%2B356%209991%204422", "+356 9991 4422"))</x:f>
      </x:c>
    </x:row>
    <x:row r="32" spans="1:7" s="3" customFormat="1">
      <x:c r="A32" s="3" t="s">
        <x:v>3891</x:v>
      </x:c>
      <x:c r="B32" s="3" t="s">
        <x:v>3920</x:v>
      </x:c>
      <x:c r="D32" s="7">
        <x:f>CONCATENATE(HYPERLINK("CALLTO:%2B356%202143%206820", "+356 2143 6820"))</x:f>
      </x:c>
    </x:row>
    <x:row r="33" spans="1:7" s="1" customFormat="1">
      <x:c r="A33" s="1" t="s">
        <x:v>3891</x:v>
      </x:c>
      <x:c r="B33" s="1" t="s">
        <x:v>3921</x:v>
      </x:c>
      <x:c r="D33" s="9">
        <x:f>CONCATENATE(HYPERLINK("CALLTO:%2B356%209990%203317", "+356 9990 3317"))</x:f>
      </x:c>
    </x:row>
    <x:row r="34" spans="1:7" s="4" customFormat="1">
      <x:c r="A34" s="4" t="s">
        <x:v>3891</x:v>
      </x:c>
      <x:c r="B34" s="4" t="s">
        <x:v>3922</x:v>
      </x:c>
      <x:c r="D34" s="11">
        <x:f>CONCATENATE(HYPERLINK("CALLTO:%2B356%202143%204534", "+356 2143 4534"))</x:f>
      </x:c>
    </x:row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</x:sheetData>
  <x:hyperlinks>
    <x:hyperlink ref="C2" r:id="rId4360" tooltip="Send a mail to markanthonymicallef@gmail.com"/>
    <x:hyperlink ref="C3" r:id="rId4361" tooltip="Send a mail to benjamin.cilia@gmail.com"/>
    <x:hyperlink ref="C4" r:id="rId4362" tooltip="Send a mail to ramonbartolo1472@gmail.com"/>
    <x:hyperlink ref="C5" r:id="rId4363" tooltip="Send a mail to jlcamilleri@mail.com"/>
    <x:hyperlink ref="C6" r:id="rId4364" tooltip="Send a mail to info@renergy.com.mt"/>
    <x:hyperlink ref="C7" r:id="rId4365" tooltip="Send a mail to info@marktls.com"/>
    <x:hyperlink ref="C8" r:id="rId4366" tooltip="Send a mail to mannicranehire@hotmail.com"/>
    <x:hyperlink ref="C9" r:id="rId4367" tooltip="Send a mail to abtowerladderservice@hotmail.com"/>
    <x:hyperlink ref="C10" r:id="rId4368" tooltip="Send a mail to svet_mifsud@hotmail.com"/>
    <x:hyperlink ref="C11" r:id="rId4369" tooltip="Send a mail to chris.tl.cranes@gmail.com"/>
    <x:hyperlink ref="C12" r:id="rId4370" tooltip="Send a mail to johnsoncranehire@onvol.net"/>
    <x:hyperlink ref="C13" r:id="rId4371" tooltip="Send a mail to gaucikevin1@gmail.com"/>
    <x:hyperlink ref="C14" r:id="rId4372" tooltip="Send a mail to vanessa_caruana@hotmail.com"/>
    <x:hyperlink ref="C15" r:id="rId4373" tooltip="Send a mail to tanuzzisons@gmail.com"/>
    <x:hyperlink ref="C16" r:id="rId4374" tooltip="Send a mail to bch@onvol.net"/>
    <x:hyperlink ref="C17" r:id="rId4375" tooltip="Send a mail to dwardu1988@melita.com"/>
    <x:hyperlink ref="C18" r:id="rId4376" tooltip="Send a mail to dborg383@gmail.com"/>
    <x:hyperlink ref="C19" r:id="rId4377" tooltip="Send a mail to fabianschembri@hotmail.com"/>
    <x:hyperlink ref="C20" r:id="rId4378" tooltip="Send a mail to rg.ciantar@gmail.com"/>
    <x:hyperlink ref="C21" r:id="rId4379" tooltip="Send a mail to irreggaegatt@gmail.com"/>
    <x:hyperlink ref="C22" r:id="rId4380" tooltip="Send a mail to jona.lia185@gmail.com"/>
    <x:hyperlink ref="C23" r:id="rId4381" tooltip="Send a mail to jlcamilleri@mail.com"/>
    <x:hyperlink ref="C24" r:id="rId4382" tooltip="Send a mail to swaey@swaey.com"/>
    <x:hyperlink ref="C25" r:id="rId4383" tooltip="Send a mail to info@godwinsgarage.com"/>
    <x:hyperlink ref="C26" r:id="rId4384" tooltip="Send a mail to harryc1@go.net.mt"/>
    <x:hyperlink ref="C27" r:id="rId4385" tooltip="Send a mail to info@exterminatormalta.com"/>
    <x:hyperlink ref="C29" r:id="rId4386" tooltip="Send a mail to sales@hc.com.m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31"/>
  <x:sheetViews>
    <x:sheetView workbookViewId="0"/>
  </x:sheetViews>
  <x:sheetFormatPr defaultRowHeight="15"/>
  <x:cols>
    <x:col min="1" max="1" width="8.282054" style="0" customWidth="1"/>
    <x:col min="2" max="2" width="28.139196" style="0" customWidth="1"/>
    <x:col min="3" max="3" width="31.996339" style="0" customWidth="1"/>
    <x:col min="4" max="4" width="29.853482" style="0" customWidth="1"/>
    <x:col min="5" max="5" width="57.139196" style="0" customWidth="1"/>
    <x:col min="6" max="6" width="121.567768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List'!A70", "Back to Summary")</x:f>
      </x:c>
    </x:row>
    <x:row r="2" spans="1:7" s="3" customFormat="1">
      <x:c r="A2" s="3" t="s">
        <x:v>3948</x:v>
      </x:c>
      <x:c r="B2" s="3" t="s">
        <x:v>3790</x:v>
      </x:c>
      <x:c r="C2" s="6" t="s">
        <x:v>3823</x:v>
      </x:c>
      <x:c r="D2" s="7">
        <x:f>CONCATENATE(HYPERLINK("CALLTO:%2B356%207999%20825579468519", "+356 7999 825579468519"))</x:f>
      </x:c>
      <x:c r="E2" s="6" t="s">
        <x:v>3858</x:v>
      </x:c>
      <x:c r="F2" s="6" t="s">
        <x:v>5389</x:v>
      </x:c>
    </x:row>
    <x:row r="3" spans="1:7" s="1" customFormat="1">
      <x:c r="A3" s="1" t="s">
        <x:v>3948</x:v>
      </x:c>
      <x:c r="B3" s="1" t="s">
        <x:v>96</x:v>
      </x:c>
      <x:c r="C3" s="8" t="s">
        <x:v>3828</x:v>
      </x:c>
      <x:c r="D3" s="9">
        <x:f>CONCATENATE(HYPERLINK("CALLTO:%2B356%209965%205581", "+356 9965 5581"), " / ", HYPERLINK("CALLTO:%2B356%207904%209069", "+356 7904 9069"))</x:f>
      </x:c>
      <x:c r="E3" s="8" t="s">
        <x:v>3863</x:v>
      </x:c>
      <x:c r="F3" s="8" t="s">
        <x:v>5243</x:v>
      </x:c>
    </x:row>
    <x:row r="4" spans="1:7" s="4" customFormat="1">
      <x:c r="A4" s="4" t="s">
        <x:v>3948</x:v>
      </x:c>
      <x:c r="B4" s="4" t="s">
        <x:v>770</x:v>
      </x:c>
      <x:c r="C4" s="10" t="s">
        <x:v>3840</x:v>
      </x:c>
      <x:c r="D4" s="11">
        <x:f>CONCATENATE(HYPERLINK("CALLTO:%2B356%207947%205940", "+356 7947 5940"))</x:f>
      </x:c>
      <x:c r="E4" s="10" t="s">
        <x:v>3872</x:v>
      </x:c>
      <x:c r="F4" s="10" t="s">
        <x:v>3886</x:v>
      </x:c>
    </x:row>
    <x:row r="5" spans="1:7" s="3" customFormat="1">
      <x:c r="A5" s="3" t="s">
        <x:v>3948</x:v>
      </x:c>
      <x:c r="B5" s="3" t="s">
        <x:v>3806</x:v>
      </x:c>
      <x:c r="C5" s="6" t="s">
        <x:v>3841</x:v>
      </x:c>
      <x:c r="D5" s="7">
        <x:f>CONCATENATE(HYPERLINK("CALLTO:%2B356%209982%203248", "+356 9982 3248"), " / ", HYPERLINK("CALLTO:%2B356%209946%206511", "+356 9946 6511"))</x:f>
      </x:c>
      <x:c r="E5" s="6" t="s">
        <x:v>3873</x:v>
      </x:c>
      <x:c r="F5" s="6" t="s">
        <x:v>5391</x:v>
      </x:c>
    </x:row>
    <x:row r="6" spans="1:7" s="1" customFormat="1">
      <x:c r="A6" s="1" t="s">
        <x:v>3948</x:v>
      </x:c>
      <x:c r="B6" s="1" t="s">
        <x:v>3788</x:v>
      </x:c>
      <x:c r="C6" s="8" t="s">
        <x:v>3822</x:v>
      </x:c>
      <x:c r="D6" s="9">
        <x:f>CONCATENATE(HYPERLINK("CALLTO:%2B356%202141%204933", "+356 2141 4933"))</x:f>
      </x:c>
      <x:c r="E6" s="8" t="s">
        <x:v>3857</x:v>
      </x:c>
      <x:c r="F6" s="8" t="s">
        <x:v>5388</x:v>
      </x:c>
    </x:row>
    <x:row r="7" spans="1:7" s="4" customFormat="1">
      <x:c r="A7" s="4" t="s">
        <x:v>3948</x:v>
      </x:c>
      <x:c r="B7" s="4" t="s">
        <x:v>3807</x:v>
      </x:c>
      <x:c r="C7" s="10" t="s">
        <x:v>3842</x:v>
      </x:c>
      <x:c r="D7" s="11">
        <x:f>CONCATENATE(HYPERLINK("CALLTO:%2B356%202258%204900", "+356 2258 4900"))</x:f>
      </x:c>
      <x:c r="E7" s="10" t="s">
        <x:v>3874</x:v>
      </x:c>
      <x:c r="F7" s="10" t="s">
        <x:v>5392</x:v>
      </x:c>
    </x:row>
    <x:row r="8" spans="1:7" s="3" customFormat="1">
      <x:c r="A8" s="3" t="s">
        <x:v>3948</x:v>
      </x:c>
      <x:c r="B8" s="3" t="s">
        <x:v>3949</x:v>
      </x:c>
      <x:c r="C8" s="6" t="s">
        <x:v>3968</x:v>
      </x:c>
      <x:c r="D8" s="7">
        <x:f>CONCATENATE(HYPERLINK("CALLTO:%2B356%209942%207087", "+356 9942 7087"))</x:f>
      </x:c>
      <x:c r="E8" s="6" t="s">
        <x:v>3990</x:v>
      </x:c>
      <x:c r="F8" s="6" t="s">
        <x:v>3875</x:v>
      </x:c>
    </x:row>
    <x:row r="9" spans="1:7" s="1" customFormat="1">
      <x:c r="A9" s="1" t="s">
        <x:v>3948</x:v>
      </x:c>
      <x:c r="B9" s="1" t="s">
        <x:v>3950</x:v>
      </x:c>
      <x:c r="C9" s="8" t="s">
        <x:v>3969</x:v>
      </x:c>
      <x:c r="D9" s="9">
        <x:f>CONCATENATE(HYPERLINK("CALLTO:%2B356%202141%207565", "+356 2141 7565"), " / ", HYPERLINK("CALLTO:%2B356%207926%209566", "+356 7926 9566"))</x:f>
      </x:c>
      <x:c r="E9" s="8" t="s">
        <x:v>3991</x:v>
      </x:c>
      <x:c r="F9" s="8" t="s">
        <x:v>4009</x:v>
      </x:c>
    </x:row>
    <x:row r="10" spans="1:7" s="4" customFormat="1">
      <x:c r="A10" s="4" t="s">
        <x:v>3948</x:v>
      </x:c>
      <x:c r="B10" s="4" t="s">
        <x:v>3951</x:v>
      </x:c>
      <x:c r="C10" s="10" t="s">
        <x:v>1017</x:v>
      </x:c>
      <x:c r="D10" s="11">
        <x:f>CONCATENATE(HYPERLINK("CALLTO:%2B356%202149%205799", "+356 2149 5799"), " / ", HYPERLINK("CALLTO:%2B356%209949%202278", "+356 9949 2278"))</x:f>
      </x:c>
      <x:c r="E10" s="10" t="s">
        <x:v>3992</x:v>
      </x:c>
      <x:c r="F10" s="10" t="s">
        <x:v>5252</x:v>
      </x:c>
    </x:row>
    <x:row r="11" spans="1:7" s="3" customFormat="1">
      <x:c r="A11" s="3" t="s">
        <x:v>3948</x:v>
      </x:c>
      <x:c r="B11" s="3" t="s">
        <x:v>3952</x:v>
      </x:c>
      <x:c r="C11" s="6" t="s">
        <x:v>3970</x:v>
      </x:c>
      <x:c r="D11" s="7">
        <x:f>CONCATENATE(HYPERLINK("CALLTO:%2B356%207714%206264", "+356 7714 6264"))</x:f>
      </x:c>
      <x:c r="E11" s="6" t="s">
        <x:v>3993</x:v>
      </x:c>
      <x:c r="F11" s="6" t="s">
        <x:v>4010</x:v>
      </x:c>
    </x:row>
    <x:row r="12" spans="1:7" s="1" customFormat="1">
      <x:c r="A12" s="1" t="s">
        <x:v>3948</x:v>
      </x:c>
      <x:c r="B12" s="1" t="s">
        <x:v>3953</x:v>
      </x:c>
      <x:c r="C12" s="8" t="s">
        <x:v>3971</x:v>
      </x:c>
      <x:c r="D12" s="9">
        <x:f>CONCATENATE(HYPERLINK("CALLTO:%2B356%209974%200534", "+356 9974 0534"))</x:f>
      </x:c>
      <x:c r="E12" s="8" t="s">
        <x:v>3994</x:v>
      </x:c>
      <x:c r="F12" s="8" t="s">
        <x:v>4011</x:v>
      </x:c>
    </x:row>
    <x:row r="13" spans="1:7" s="4" customFormat="1">
      <x:c r="A13" s="4" t="s">
        <x:v>3948</x:v>
      </x:c>
      <x:c r="B13" s="4" t="s">
        <x:v>3954</x:v>
      </x:c>
      <x:c r="C13" s="10" t="s">
        <x:v>3972</x:v>
      </x:c>
      <x:c r="D13" s="11">
        <x:f>CONCATENATE(HYPERLINK("CALLTO:%2B356%207945%201708", "+356 7945 1708"), " / ", HYPERLINK("CALLTO:%2B356%207966%204023", "+356 7966 4023"))</x:f>
      </x:c>
      <x:c r="E13" s="10" t="s">
        <x:v>3995</x:v>
      </x:c>
      <x:c r="F13" s="10" t="s">
        <x:v>4012</x:v>
      </x:c>
    </x:row>
    <x:row r="14" spans="1:7" s="3" customFormat="1">
      <x:c r="A14" s="3" t="s">
        <x:v>3948</x:v>
      </x:c>
      <x:c r="B14" s="3" t="s">
        <x:v>2282</x:v>
      </x:c>
      <x:c r="C14" s="6" t="s">
        <x:v>2295</x:v>
      </x:c>
      <x:c r="D14" s="7">
        <x:f>CONCATENATE(HYPERLINK("CALLTO:%2B356%207907%206528", "+356 7907 6528"))</x:f>
      </x:c>
      <x:c r="E14" s="6" t="s">
        <x:v>3996</x:v>
      </x:c>
      <x:c r="F14" s="6" t="s">
        <x:v>4013</x:v>
      </x:c>
    </x:row>
    <x:row r="15" spans="1:7" s="1" customFormat="1">
      <x:c r="A15" s="1" t="s">
        <x:v>3948</x:v>
      </x:c>
      <x:c r="B15" s="1" t="s">
        <x:v>3955</x:v>
      </x:c>
      <x:c r="C15" s="8" t="s">
        <x:v>3973</x:v>
      </x:c>
      <x:c r="D15" s="9">
        <x:f>CONCATENATE(HYPERLINK("CALLTO:%2B356%209947%202039", "+356 9947 2039"))</x:f>
      </x:c>
      <x:c r="E15" s="8" t="s">
        <x:v>3997</x:v>
      </x:c>
      <x:c r="F15" s="8" t="s">
        <x:v>4014</x:v>
      </x:c>
    </x:row>
    <x:row r="16" spans="1:7" s="4" customFormat="1">
      <x:c r="A16" s="4" t="s">
        <x:v>3948</x:v>
      </x:c>
      <x:c r="B16" s="4" t="s">
        <x:v>3956</x:v>
      </x:c>
      <x:c r="C16" s="10" t="s">
        <x:v>3149</x:v>
      </x:c>
      <x:c r="D16" s="11">
        <x:f>CONCATENATE(HYPERLINK("CALLTO:%2B356%209981%202218", "+356 9981 2218"))</x:f>
      </x:c>
      <x:c r="E16" s="10" t="s">
        <x:v>3998</x:v>
      </x:c>
      <x:c r="F16" s="10" t="s">
        <x:v>4015</x:v>
      </x:c>
    </x:row>
    <x:row r="17" spans="1:7" s="3" customFormat="1">
      <x:c r="A17" s="3" t="s">
        <x:v>3948</x:v>
      </x:c>
      <x:c r="B17" s="3" t="s">
        <x:v>3026</x:v>
      </x:c>
      <x:c r="C17" s="6" t="s">
        <x:v>3974</x:v>
      </x:c>
      <x:c r="D17" s="7">
        <x:f>CONCATENATE(HYPERLINK("CALLTO:%2B356%209945%200232", "+356 9945 0232"))</x:f>
      </x:c>
      <x:c r="E17" s="6" t="s">
        <x:v>3999</x:v>
      </x:c>
      <x:c r="F17" s="6" t="s">
        <x:v>4016</x:v>
      </x:c>
    </x:row>
    <x:row r="18" spans="1:7" s="1" customFormat="1">
      <x:c r="A18" s="1" t="s">
        <x:v>3948</x:v>
      </x:c>
      <x:c r="B18" s="1" t="s">
        <x:v>3957</x:v>
      </x:c>
      <x:c r="C18" s="8" t="s">
        <x:v>2088</x:v>
      </x:c>
      <x:c r="D18" s="9">
        <x:f>CONCATENATE(HYPERLINK("CALLTO:%2B356%207989%205238", "+356 7989 5238"), " / ", HYPERLINK("CALLTO:%2B356%202166%200850", "+356 2166 0850"))</x:f>
      </x:c>
      <x:c r="E18" s="8" t="s">
        <x:v>4000</x:v>
      </x:c>
      <x:c r="F18" s="8" t="s">
        <x:v>3888</x:v>
      </x:c>
    </x:row>
    <x:row r="19" spans="1:7" s="4" customFormat="1">
      <x:c r="A19" s="4" t="s">
        <x:v>3948</x:v>
      </x:c>
      <x:c r="B19" s="4" t="s">
        <x:v>3958</x:v>
      </x:c>
      <x:c r="C19" s="10" t="s">
        <x:v>3975</x:v>
      </x:c>
      <x:c r="D19" s="11">
        <x:f>CONCATENATE(HYPERLINK("CALLTO:%2B356%202778%200006", "+356 2778 0006"))</x:f>
      </x:c>
      <x:c r="E19" s="10" t="s">
        <x:v>4001</x:v>
      </x:c>
      <x:c r="F19" s="10" t="s">
        <x:v>4018</x:v>
      </x:c>
    </x:row>
    <x:row r="20" spans="1:7" s="3" customFormat="1">
      <x:c r="A20" s="3" t="s">
        <x:v>3948</x:v>
      </x:c>
      <x:c r="B20" s="3" t="s">
        <x:v>3959</x:v>
      </x:c>
      <x:c r="C20" s="6" t="s">
        <x:v>3976</x:v>
      </x:c>
      <x:c r="D20" s="7">
        <x:f>CONCATENATE(HYPERLINK("CALLTO:%2B356%202704%200036", "+356 2704 0036"), " / ", HYPERLINK("CALLTO:%2B356%209945%205071", "+356 9945 5071"))</x:f>
      </x:c>
      <x:c r="E20" s="6" t="s">
        <x:v>4002</x:v>
      </x:c>
      <x:c r="F20" s="6" t="s">
        <x:v>4019</x:v>
      </x:c>
    </x:row>
    <x:row r="21" spans="1:7" s="1" customFormat="1">
      <x:c r="A21" s="1" t="s">
        <x:v>3948</x:v>
      </x:c>
      <x:c r="B21" s="1" t="s">
        <x:v>3960</x:v>
      </x:c>
      <x:c r="C21" s="8" t="s">
        <x:v>3977</x:v>
      </x:c>
      <x:c r="D21" s="9">
        <x:f>CONCATENATE(HYPERLINK("CALLTO:%2B356%202716%201605", "+356 2716 1605"), " / ", HYPERLINK("CALLTO:%2B356%209916%201605", "+356 9916 1605"))</x:f>
      </x:c>
      <x:c r="E21" s="8" t="s">
        <x:v>3160</x:v>
      </x:c>
      <x:c r="F21" s="8" t="s">
        <x:v>4020</x:v>
      </x:c>
    </x:row>
    <x:row r="22" spans="1:7" s="4" customFormat="1">
      <x:c r="A22" s="4" t="s">
        <x:v>3948</x:v>
      </x:c>
      <x:c r="B22" s="4" t="s">
        <x:v>3961</x:v>
      </x:c>
      <x:c r="C22" s="10" t="s">
        <x:v>793</x:v>
      </x:c>
      <x:c r="D22" s="11">
        <x:f>CONCATENATE(HYPERLINK("CALLTO:%2B356%207777%201522", "+356 7777 1522"))</x:f>
      </x:c>
      <x:c r="E22" s="10" t="s">
        <x:v>4003</x:v>
      </x:c>
      <x:c r="F22" s="10" t="s">
        <x:v>3162</x:v>
      </x:c>
    </x:row>
    <x:row r="23" spans="1:7" s="3" customFormat="1">
      <x:c r="A23" s="3" t="s">
        <x:v>3948</x:v>
      </x:c>
      <x:c r="B23" s="3" t="s">
        <x:v>3962</x:v>
      </x:c>
      <x:c r="C23" s="6" t="s">
        <x:v>3152</x:v>
      </x:c>
      <x:c r="D23" s="7">
        <x:f>CONCATENATE(HYPERLINK("CALLTO:%2B356%209949%203628", "+356 9949 3628"))</x:f>
      </x:c>
      <x:c r="E23" s="6" t="s">
        <x:v>4004</x:v>
      </x:c>
      <x:c r="F23" s="6" t="s">
        <x:v>3887</x:v>
      </x:c>
    </x:row>
    <x:row r="24" spans="1:7" s="1" customFormat="1">
      <x:c r="A24" s="1" t="s">
        <x:v>3948</x:v>
      </x:c>
      <x:c r="B24" s="1" t="s">
        <x:v>2079</x:v>
      </x:c>
      <x:c r="C24" s="8" t="s">
        <x:v>2090</x:v>
      </x:c>
      <x:c r="D24" s="9">
        <x:f>CONCATENATE(HYPERLINK("CALLTO:%2B356%202180%205486", "+356 2180 5486"), " / ", HYPERLINK("CALLTO:%2B356%202780%205486", "+356 2780 5486"))</x:f>
      </x:c>
      <x:c r="E24" s="8" t="s">
        <x:v>4005</x:v>
      </x:c>
      <x:c r="F24" s="8" t="s">
        <x:v>4021</x:v>
      </x:c>
    </x:row>
    <x:row r="25" spans="1:7" s="4" customFormat="1">
      <x:c r="A25" s="4" t="s">
        <x:v>3948</x:v>
      </x:c>
      <x:c r="B25" s="4" t="s">
        <x:v>3963</x:v>
      </x:c>
      <x:c r="C25" s="10" t="s">
        <x:v>3978</x:v>
      </x:c>
      <x:c r="D25" s="11">
        <x:f>CONCATENATE(HYPERLINK("CALLTO:%2B356%207751%206885", "+356 7751 6885"))</x:f>
      </x:c>
      <x:c r="E25" s="10" t="s">
        <x:v>4006</x:v>
      </x:c>
      <x:c r="F25" s="10" t="s">
        <x:v>4022</x:v>
      </x:c>
    </x:row>
    <x:row r="26" spans="1:7" s="3" customFormat="1">
      <x:c r="A26" s="3" t="s">
        <x:v>3948</x:v>
      </x:c>
      <x:c r="B26" s="3" t="s">
        <x:v>3964</x:v>
      </x:c>
      <x:c r="C26" s="6" t="s">
        <x:v>3979</x:v>
      </x:c>
      <x:c r="D26" s="7">
        <x:f>CONCATENATE(HYPERLINK("CALLTO:%2B356%202060%201107", "+356 2060 1107"))</x:f>
      </x:c>
      <x:c r="E26" s="6" t="s">
        <x:v>4007</x:v>
      </x:c>
      <x:c r="F26" s="6" t="s">
        <x:v>4023</x:v>
      </x:c>
    </x:row>
    <x:row r="27" spans="1:7" s="1" customFormat="1">
      <x:c r="A27" s="1" t="s">
        <x:v>3948</x:v>
      </x:c>
      <x:c r="B27" s="1" t="s">
        <x:v>3965</x:v>
      </x:c>
      <x:c r="C27" s="8" t="s">
        <x:v>3980</x:v>
      </x:c>
      <x:c r="D27" s="9">
        <x:f>CONCATENATE(HYPERLINK("CALLTO:%2B356%207920%209404", "+356 7920 9404"))</x:f>
      </x:c>
      <x:c r="E27" s="8" t="s">
        <x:v>4008</x:v>
      </x:c>
      <x:c r="F27" s="8" t="s">
        <x:v>4024</x:v>
      </x:c>
    </x:row>
    <x:row r="28" spans="1:7" s="4" customFormat="1">
      <x:c r="A28" s="4" t="s">
        <x:v>3948</x:v>
      </x:c>
      <x:c r="B28" s="4" t="s">
        <x:v>3966</x:v>
      </x:c>
      <x:c r="C28" s="10" t="s">
        <x:v>3981</x:v>
      </x:c>
      <x:c r="D28" s="11">
        <x:f>CONCATENATE(HYPERLINK("CALLTO:%2B356%209957%202399", "+356 9957 2399"))</x:f>
      </x:c>
      <x:c r="F28" s="10" t="s">
        <x:v>4025</x:v>
      </x:c>
    </x:row>
    <x:row r="29" spans="1:7" s="3" customFormat="1">
      <x:c r="A29" s="3" t="s">
        <x:v>3948</x:v>
      </x:c>
      <x:c r="B29" s="3" t="s">
        <x:v>3967</x:v>
      </x:c>
      <x:c r="C29" s="6" t="s">
        <x:v>3982</x:v>
      </x:c>
      <x:c r="D29" s="7">
        <x:f>CONCATENATE(HYPERLINK("CALLTO:%2B356%209947%206961", "+356 9947 6961"))</x:f>
      </x:c>
      <x:c r="F29" s="6" t="s">
        <x:v>4026</x:v>
      </x:c>
    </x:row>
    <x:row r="30" spans="1:7" s="1" customFormat="1"/>
    <x:row r="31" spans="1:7" s="4" customFormat="1">
      <x:c r="C31" s="10" t="s">
        <x:v>3968</x:v>
      </x:c>
    </x:row>
    <x:row r="32" spans="1:7" s="3" customFormat="1">
      <x:c r="C32" s="6" t="s">
        <x:v>3983</x:v>
      </x:c>
    </x:row>
    <x:row r="33" spans="1:7" s="1" customFormat="1">
      <x:c r="C33" s="8" t="s">
        <x:v>3984</x:v>
      </x:c>
    </x:row>
    <x:row r="34" spans="1:7" s="4" customFormat="1">
      <x:c r="C34" s="10" t="s">
        <x:v>3985</x:v>
      </x:c>
    </x:row>
    <x:row r="35" spans="1:7" s="3" customFormat="1">
      <x:c r="C35" s="6" t="s">
        <x:v>3986</x:v>
      </x:c>
    </x:row>
    <x:row r="36" spans="1:7" s="1" customFormat="1">
      <x:c r="C36" s="8" t="s">
        <x:v>3987</x:v>
      </x:c>
    </x:row>
    <x:row r="37" spans="1:7" s="4" customFormat="1">
      <x:c r="C37" s="10" t="s">
        <x:v>3988</x:v>
      </x:c>
    </x:row>
    <x:row r="38" spans="1:7" s="3" customFormat="1">
      <x:c r="C38" s="6" t="s">
        <x:v>3989</x:v>
      </x:c>
    </x:row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  <x:row r="231" spans="1:7" s="1" customFormat="1"/>
  </x:sheetData>
  <x:hyperlinks>
    <x:hyperlink ref="C2" r:id="rId4387" tooltip="Send a mail to fourvcltd@gmail.com"/>
    <x:hyperlink ref="C3" r:id="rId4388" tooltip="Send a mail to schembriw45@gmail.com"/>
    <x:hyperlink ref="C4" r:id="rId4389" tooltip="Send a mail to norobturnkey@gmail.com"/>
    <x:hyperlink ref="C5" r:id="rId4390" tooltip="Send a mail to kitonkeith@gmail.com"/>
    <x:hyperlink ref="C6" r:id="rId4391" tooltip="Send a mail to info@casacompleta.net"/>
    <x:hyperlink ref="C7" r:id="rId4392" tooltip="Send a mail to info@axconstruction.mt"/>
    <x:hyperlink ref="C8" r:id="rId4393" tooltip="Send a mail to info@togetherturnkey.com"/>
    <x:hyperlink ref="C9" r:id="rId4394" tooltip="Send a mail to admin@aaconstructionworks.com"/>
    <x:hyperlink ref="C10" r:id="rId4395" tooltip="Send a mail to xil@xuerebinstall.com"/>
    <x:hyperlink ref="C11" r:id="rId4396" tooltip="Send a mail to info@trustprojects.com.mt"/>
    <x:hyperlink ref="C12" r:id="rId4397" tooltip="Send a mail to aurelia@auraprojects.eu"/>
    <x:hyperlink ref="C13" r:id="rId4398" tooltip="Send a mail to info@aagturnkey.com"/>
    <x:hyperlink ref="C14" r:id="rId4399" tooltip="Send a mail to info@ts-malta.com"/>
    <x:hyperlink ref="C15" r:id="rId4400" tooltip="Send a mail to marcofalzon@gmail.com"/>
    <x:hyperlink ref="C16" r:id="rId4401" tooltip="Send a mail to info@itpmalta.com"/>
    <x:hyperlink ref="C17" r:id="rId4402" tooltip="Send a mail to info@agfmalta.com"/>
    <x:hyperlink ref="C18" r:id="rId4403" tooltip="Send a mail to info@aptc.com.mt"/>
    <x:hyperlink ref="C19" r:id="rId4404" tooltip="Send a mail to ac@accontractors.eu"/>
    <x:hyperlink ref="C20" r:id="rId4405" tooltip="Send a mail to info@keycontractors.com.mt"/>
    <x:hyperlink ref="C21" r:id="rId4406" tooltip="Send a mail to info@csprojects.com.mt"/>
    <x:hyperlink ref="C22" r:id="rId4407" tooltip="Send a mail to contact@kibitec.com"/>
    <x:hyperlink ref="C23" r:id="rId4408" tooltip="Send a mail to tcj@mbm.com.mt"/>
    <x:hyperlink ref="C24" r:id="rId4409" tooltip="Send a mail to info@rsgroup.com.mt"/>
    <x:hyperlink ref="C25" r:id="rId4410" tooltip="Send a mail to info@gcturnkeyprojects.com"/>
    <x:hyperlink ref="C26" r:id="rId4411" tooltip="Send a mail to kenneth@tanti-interiors.com"/>
    <x:hyperlink ref="C27" r:id="rId4412" tooltip="Send a mail to delta_projects@hotmail.com"/>
    <x:hyperlink ref="C28" r:id="rId4413" tooltip="Send a mail to imturnkeycontractors@gmail.com"/>
    <x:hyperlink ref="C29" r:id="rId4414" tooltip="Send a mail to nickybon84@gmail.com"/>
    <x:hyperlink ref="C31" r:id="rId4415" tooltip="Send a mail to info@togetherturnkey.com"/>
    <x:hyperlink ref="C32" r:id="rId4416" tooltip="Send a mail to charlesturnkey35@gmail.com"/>
    <x:hyperlink ref="C33" r:id="rId4417" tooltip="Send a mail to joshua@joshuaturnkey.com"/>
    <x:hyperlink ref="C34" r:id="rId4418" tooltip="Send a mail to mercieca.installations@gmail.com"/>
    <x:hyperlink ref="C35" r:id="rId4419" tooltip="Send a mail to info.proactiveinterior@gmail.com"/>
    <x:hyperlink ref="C36" r:id="rId4420" tooltip="Send a mail to mccoloursltd@gmail.com"/>
    <x:hyperlink ref="C37" r:id="rId4421" tooltip="Send a mail to kbgprojects@hotmail.com"/>
    <x:hyperlink ref="C38" r:id="rId4422" tooltip="Send a mail to hamody.zedan00@gmail.com"/>
    <x:hyperlink ref="E2" r:id="rId4423" tooltip="Search 8 Triq Salvu Cacciattolo , Zejtun on Google Maps"/>
    <x:hyperlink ref="E3" r:id="rId4424" tooltip="Search Triq San Edwardu, Qormi, Malta on Google Maps"/>
    <x:hyperlink ref="E4" r:id="rId4425" tooltip="Search Triq John Borg Zejtun ZTN 2077 on Google Maps"/>
    <x:hyperlink ref="E5" r:id="rId4426" tooltip="Search Santa Marija Flats, Flt 3 Triq tal-Wej , Mosta Malta MST 2462 on Google Maps"/>
    <x:hyperlink ref="E6" r:id="rId4427" tooltip="Search Triq l-Imdina Attard on Google Maps"/>
    <x:hyperlink ref="E7" r:id="rId4428" tooltip="Search Hardrocks Industrial Park,&#10;L/O Burmarrad, Malta on Google Maps"/>
    <x:hyperlink ref="E8" r:id="rId4429" tooltip="Search 46 The Cottage Triq Hal Dwin ,&#10;Zebbug, ZBG 3064, MT on Google Maps"/>
    <x:hyperlink ref="E9" r:id="rId4430" tooltip="Search St. Helen, Triq Caravaggio, Ħal Għargħur, GHR 1606 on Google Maps"/>
    <x:hyperlink ref="E10" r:id="rId4431" tooltip="Search Xuereb Installations Ltd. Tal-Hlas Road, Qormi QRM 5011. Malt on Google Maps"/>
    <x:hyperlink ref="E11" r:id="rId4432" tooltip="Search Trust Projects&#10;Triq it-Torri ,&#10;Mosta, Malta on Google Maps"/>
    <x:hyperlink ref="E12" r:id="rId4433" tooltip="Search 64A, Level 6, Recency House&#10;Bisazza Street, Sliema, SLM 1640 on Google Maps"/>
    <x:hyperlink ref="E13" r:id="rId4434" tooltip="Search Fl 2, Palm Street 3, Paola, Malta on Google Maps"/>
    <x:hyperlink ref="E14" r:id="rId4435" tooltip="Search Country View, Triq Tas-Sriedek, Mosta on Google Maps"/>
    <x:hyperlink ref="E15" r:id="rId4436" tooltip="Search 21a Triq il-Principessa Margerita ,&#10;Msida, Malta MSD 1331 on Google Maps"/>
    <x:hyperlink ref="E16" r:id="rId4437" tooltip="Search Galine’, Josmar Complex Triq id-Difiza Civili,&#10;Mosta, Malta&#10;MST 1743 on Google Maps"/>
    <x:hyperlink ref="E17" r:id="rId4438" tooltip="Search APTC LTD No. 3 app 1 MRO Frank Galea Street &#10;Zebbug, Malta on Google Maps"/>
    <x:hyperlink ref="E18" r:id="rId4439" tooltip="Search A.C. Contractors Ltd&#10;37, Triq L-Imghazel, Swieqi&#10;SWQ 3141, Malta on Google Maps"/>
    <x:hyperlink ref="E19" r:id="rId4440" tooltip="Search Trejqet Isouard&#10;Marsa MRS 2020&#10;Malta on Google Maps"/>
    <x:hyperlink ref="E20" r:id="rId4441" tooltip="Search CS Group Limited&#10;25, Triq il-MuzikaIklin, IKL 1091&#10;Malta on Google Maps"/>
    <x:hyperlink ref="E21" r:id="rId4442" tooltip="Search Triq Domenico Cachia 54&#10;Birkirkara, BKR1017, Malta on Google Maps"/>
    <x:hyperlink ref="E22" r:id="rId4443" tooltip="Search MBM Smart-Depot, Upper Cross Road Marsa, MRS 1042 on Google Maps"/>
    <x:hyperlink ref="E23" r:id="rId4444" tooltip="Search Triq L-Imdina,&#10;Haz-Zebbug, ZBG 9018 on Google Maps"/>
    <x:hyperlink ref="E24" r:id="rId4445" tooltip="Search 55, Triq Is-Soll, Santa Venera on Google Maps"/>
    <x:hyperlink ref="E25" r:id="rId4446" tooltip="Search Valley Road, Msida MSD 9022, Malta on Google Maps"/>
    <x:hyperlink ref="E26" r:id="rId4447" tooltip="Search Delta Projects&#10;Triq Santa Marija ,&#10;Tarxien, Malta on Google Maps"/>
    <x:hyperlink ref="E27" r:id="rId4448" tooltip="Search Triq Is-Sejba, L-Imqabba, Malta on Google Maps"/>
    <x:hyperlink ref="F2" r:id="rId4449" tooltip="Visit fourvcmalta.com/"/>
    <x:hyperlink ref="F3" r:id="rId4450" tooltip="Visit wsinstallationsmalta.com/"/>
    <x:hyperlink ref="F4" r:id="rId4451" tooltip="Visit norobinstallations.com/?utm_source=Yellow&amp;utm_medium=Yellow-Website&amp;utm_campaign=Landing-Page"/>
    <x:hyperlink ref="F5" r:id="rId4452" tooltip="Visit kitonkeith.wixsite.com/kitoncontractors"/>
    <x:hyperlink ref="F6" r:id="rId4453" tooltip="Visit casacompletamalta.com/"/>
    <x:hyperlink ref="F7" r:id="rId4454" tooltip="Visit axconstruction.com.mt/"/>
    <x:hyperlink ref="F8" r:id="rId4455" tooltip="Visit togetherturnkey.com/"/>
    <x:hyperlink ref="F9" r:id="rId4456" tooltip="Visit aaconstructionworks.com/"/>
    <x:hyperlink ref="F10" r:id="rId4457" tooltip="Visit xuerebinstall.com/"/>
    <x:hyperlink ref="F11" r:id="rId4458" tooltip="Visit yellow.com.mt/trust-projects/turnkey-contractors/"/>
    <x:hyperlink ref="F12" r:id="rId4459" tooltip="Visit auraprojects.eu/"/>
    <x:hyperlink ref="F13" r:id="rId4460" tooltip="Visit aagturnkey.com/"/>
    <x:hyperlink ref="F14" r:id="rId4461" tooltip="Visit ts-malta.com/"/>
    <x:hyperlink ref="F15" r:id="rId4462" tooltip="Visit maltabusinessbook.com/en/directory/listings/4409/concrete-repairs/mark-falzon-construction-malta.htm?utm_source=chatgpt.com"/>
    <x:hyperlink ref="F16" r:id="rId4463" tooltip="Visit itpmalta.com/"/>
    <x:hyperlink ref="F17" r:id="rId4464" tooltip="Visit jslholdingsltd.com/"/>
    <x:hyperlink ref="F18" r:id="rId4465" tooltip="Visit gypsumworksmalta.com/"/>
    <x:hyperlink ref="F19" r:id="rId4466" tooltip="Visit accontractors.eu/"/>
    <x:hyperlink ref="F20" r:id="rId4467" tooltip="Visit keycontractors.com.mt/"/>
    <x:hyperlink ref="F21" r:id="rId4468" tooltip="Visit csgrouplimited.com/"/>
    <x:hyperlink ref="F22" r:id="rId4469" tooltip="Visit kibitec.com/"/>
    <x:hyperlink ref="F23" r:id="rId4470" tooltip="Visit mbm.com.mt/turnkey-contractor-malta"/>
    <x:hyperlink ref="F24" r:id="rId4471" tooltip="Visit evolve.com.mt/"/>
    <x:hyperlink ref="F25" r:id="rId4472" tooltip="Visit gcturnkeyprojects.com/"/>
    <x:hyperlink ref="F26" r:id="rId4473" tooltip="Visit tanti-interiors.com/"/>
    <x:hyperlink ref="F27" r:id="rId4474" tooltip="Visit yellow.com.mt/delta-projects/turnkey-contractors/"/>
    <x:hyperlink ref="F28" r:id="rId4475" tooltip="Visit facebook.com/IMTurnkeyContractors/"/>
    <x:hyperlink ref="F29" r:id="rId4476" tooltip="Visit facebook.com/p/ARP-Properties-100030921566866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05"/>
  <x:sheetViews>
    <x:sheetView workbookViewId="0"/>
  </x:sheetViews>
  <x:sheetFormatPr defaultRowHeight="15"/>
  <x:cols>
    <x:col min="1" max="1" width="36.996339" style="0" customWidth="1"/>
    <x:col min="2" max="2" width="39.710625" style="0" customWidth="1"/>
    <x:col min="3" max="3" width="39.424911" style="0" customWidth="1"/>
    <x:col min="4" max="4" width="29.853482" style="0" customWidth="1"/>
    <x:col min="5" max="5" width="52.710625" style="0" customWidth="1"/>
    <x:col min="6" max="6" width="120.567768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List'!A71", "Back to Summary")</x:f>
      </x:c>
    </x:row>
    <x:row r="2" spans="1:7" s="3" customFormat="1">
      <x:c r="A2" s="3" t="s">
        <x:v>4027</x:v>
      </x:c>
      <x:c r="B2" s="3" t="s">
        <x:v>3807</x:v>
      </x:c>
      <x:c r="C2" s="6" t="s">
        <x:v>3842</x:v>
      </x:c>
      <x:c r="D2" s="7">
        <x:f>CONCATENATE(HYPERLINK("CALLTO:%2B356%202258%204900", "+356 2258 4900"))</x:f>
      </x:c>
      <x:c r="E2" s="6" t="s">
        <x:v>3874</x:v>
      </x:c>
      <x:c r="F2" s="6" t="s">
        <x:v>5392</x:v>
      </x:c>
    </x:row>
    <x:row r="3" spans="1:7" s="1" customFormat="1"/>
    <x:row r="4" spans="1:7" s="4" customFormat="1">
      <x:c r="A4" s="4" t="s">
        <x:v>4028</x:v>
      </x:c>
      <x:c r="B4" s="4" t="s">
        <x:v>3961</x:v>
      </x:c>
      <x:c r="C4" s="10" t="s">
        <x:v>793</x:v>
      </x:c>
      <x:c r="D4" s="11">
        <x:f>CONCATENATE(HYPERLINK("CALLTO:%2B356%207777%201522", "+356 7777 1522"))</x:f>
      </x:c>
      <x:c r="E4" s="10" t="s">
        <x:v>3160</x:v>
      </x:c>
      <x:c r="F4" s="10" t="s">
        <x:v>3162</x:v>
      </x:c>
    </x:row>
    <x:row r="5" spans="1:7" s="3" customFormat="1">
      <x:c r="A5" s="3" t="s">
        <x:v>4028</x:v>
      </x:c>
      <x:c r="B5" s="3" t="s">
        <x:v>4032</x:v>
      </x:c>
      <x:c r="C5" s="6" t="s">
        <x:v>4085</x:v>
      </x:c>
      <x:c r="D5" s="7">
        <x:f>CONCATENATE(HYPERLINK("CALLTO:%2B356%207930%208664", "+356 7930 8664"))</x:f>
      </x:c>
      <x:c r="E5" s="6" t="s">
        <x:v>4132</x:v>
      </x:c>
      <x:c r="F5" s="6" t="s">
        <x:v>3889</x:v>
      </x:c>
    </x:row>
    <x:row r="6" spans="1:7" s="1" customFormat="1">
      <x:c r="A6" s="1" t="s">
        <x:v>4028</x:v>
      </x:c>
      <x:c r="B6" s="1" t="s">
        <x:v>4033</x:v>
      </x:c>
      <x:c r="C6" s="8" t="s">
        <x:v>4086</x:v>
      </x:c>
      <x:c r="D6" s="9">
        <x:f>CONCATENATE(HYPERLINK("CALLTO:%2B356%202167%203070", "+356 2167 3070"))</x:f>
      </x:c>
      <x:c r="E6" s="8" t="s">
        <x:v>4133</x:v>
      </x:c>
      <x:c r="F6" s="8" t="s">
        <x:v>4157</x:v>
      </x:c>
    </x:row>
    <x:row r="7" spans="1:7" s="4" customFormat="1">
      <x:c r="A7" s="4" t="s">
        <x:v>4028</x:v>
      </x:c>
      <x:c r="B7" s="4" t="s">
        <x:v>4034</x:v>
      </x:c>
      <x:c r="C7" s="10" t="s">
        <x:v>4087</x:v>
      </x:c>
      <x:c r="D7" s="11">
        <x:f>CONCATENATE(HYPERLINK("CALLTO:%2B356%207775%200959", "+356 7775 0959"))</x:f>
      </x:c>
      <x:c r="E7" s="10" t="s">
        <x:v>4134</x:v>
      </x:c>
      <x:c r="F7" s="10" t="s">
        <x:v>4158</x:v>
      </x:c>
    </x:row>
    <x:row r="8" spans="1:7" s="3" customFormat="1">
      <x:c r="A8" s="3" t="s">
        <x:v>4028</x:v>
      </x:c>
      <x:c r="B8" s="3" t="s">
        <x:v>4035</x:v>
      </x:c>
      <x:c r="C8" s="6" t="s">
        <x:v>4088</x:v>
      </x:c>
      <x:c r="D8" s="7">
        <x:f>CONCATENATE(HYPERLINK("CALLTO:%2B356%202164%200957", "+356 2164 0957"))</x:f>
      </x:c>
      <x:c r="E8" s="6" t="s">
        <x:v>4135</x:v>
      </x:c>
      <x:c r="F8" s="6" t="s">
        <x:v>4159</x:v>
      </x:c>
    </x:row>
    <x:row r="9" spans="1:7" s="1" customFormat="1">
      <x:c r="A9" s="1" t="s">
        <x:v>4028</x:v>
      </x:c>
      <x:c r="B9" s="1" t="s">
        <x:v>4036</x:v>
      </x:c>
      <x:c r="C9" s="8" t="s">
        <x:v>4089</x:v>
      </x:c>
      <x:c r="D9" s="9">
        <x:f>CONCATENATE(HYPERLINK("CALLTO:%2B356%207903%203168", "+356 7903 3168"))</x:f>
      </x:c>
      <x:c r="E9" s="8" t="s">
        <x:v>4136</x:v>
      </x:c>
      <x:c r="F9" s="8" t="s">
        <x:v>4160</x:v>
      </x:c>
    </x:row>
    <x:row r="10" spans="1:7" s="4" customFormat="1">
      <x:c r="A10" s="4" t="s">
        <x:v>4028</x:v>
      </x:c>
      <x:c r="B10" s="4" t="s">
        <x:v>4037</x:v>
      </x:c>
      <x:c r="C10" s="10" t="s">
        <x:v>4090</x:v>
      </x:c>
      <x:c r="D10" s="11">
        <x:f>CONCATENATE(HYPERLINK("CALLTO:%2B356%207799%209491", "+356 7799 9491"))</x:f>
      </x:c>
      <x:c r="E10" s="10" t="s">
        <x:v>4137</x:v>
      </x:c>
      <x:c r="F10" s="10" t="s">
        <x:v>4161</x:v>
      </x:c>
    </x:row>
    <x:row r="11" spans="1:7" s="3" customFormat="1">
      <x:c r="A11" s="3" t="s">
        <x:v>4028</x:v>
      </x:c>
      <x:c r="B11" s="3" t="s">
        <x:v>4038</x:v>
      </x:c>
      <x:c r="C11" s="6" t="s">
        <x:v>4091</x:v>
      </x:c>
      <x:c r="D11" s="7">
        <x:f>CONCATENATE(HYPERLINK("CALLTO:%2B356%202141%205332", "+356 2141 5332"))</x:f>
      </x:c>
      <x:c r="E11" s="6" t="s">
        <x:v>4138</x:v>
      </x:c>
      <x:c r="F11" s="6" t="s">
        <x:v>4162</x:v>
      </x:c>
    </x:row>
    <x:row r="12" spans="1:7" s="1" customFormat="1">
      <x:c r="A12" s="1" t="s">
        <x:v>4028</x:v>
      </x:c>
      <x:c r="B12" s="1" t="s">
        <x:v>4039</x:v>
      </x:c>
      <x:c r="C12" s="8" t="s">
        <x:v>4092</x:v>
      </x:c>
      <x:c r="D12" s="9">
        <x:f>CONCATENATE(HYPERLINK("CALLTO:%2B356%202142%202041", "+356 2142 2041"), " / ", HYPERLINK("CALLTO:%2B356%202", "+356 2"))</x:f>
      </x:c>
      <x:c r="E12" s="8" t="s">
        <x:v>4139</x:v>
      </x:c>
      <x:c r="F12" s="8" t="s">
        <x:v>4163</x:v>
      </x:c>
    </x:row>
    <x:row r="13" spans="1:7" s="4" customFormat="1">
      <x:c r="A13" s="4" t="s">
        <x:v>4028</x:v>
      </x:c>
      <x:c r="B13" s="4" t="s">
        <x:v>4040</x:v>
      </x:c>
      <x:c r="C13" s="10" t="s">
        <x:v>4093</x:v>
      </x:c>
      <x:c r="D13" s="11">
        <x:f>CONCATENATE(HYPERLINK("CALLTO:%2B356%202143%202333", "+356 2143 2333"))</x:f>
      </x:c>
      <x:c r="E13" s="10" t="s">
        <x:v>4140</x:v>
      </x:c>
      <x:c r="F13" s="10" t="s">
        <x:v>4164</x:v>
      </x:c>
    </x:row>
    <x:row r="14" spans="1:7" s="3" customFormat="1">
      <x:c r="A14" s="3" t="s">
        <x:v>4028</x:v>
      </x:c>
      <x:c r="B14" s="3" t="s">
        <x:v>4041</x:v>
      </x:c>
      <x:c r="C14" s="6" t="s">
        <x:v>4094</x:v>
      </x:c>
      <x:c r="D14" s="7">
        <x:f>CONCATENATE(HYPERLINK("CALLTO:%2B356%202359%206000", "+356 2359 6000"))</x:f>
      </x:c>
      <x:c r="E14" s="6" t="s">
        <x:v>4141</x:v>
      </x:c>
      <x:c r="F14" s="6" t="s">
        <x:v>4164</x:v>
      </x:c>
    </x:row>
    <x:row r="15" spans="1:7" s="1" customFormat="1">
      <x:c r="A15" s="1" t="s">
        <x:v>4028</x:v>
      </x:c>
      <x:c r="B15" s="1" t="s">
        <x:v>4042</x:v>
      </x:c>
      <x:c r="C15" s="8" t="s">
        <x:v>4095</x:v>
      </x:c>
      <x:c r="D15" s="9">
        <x:f>CONCATENATE(HYPERLINK("CALLTO:%2B356%202298%201200", "+356 2298 1200"))</x:f>
      </x:c>
      <x:c r="E15" s="8" t="s">
        <x:v>4142</x:v>
      </x:c>
      <x:c r="F15" s="8" t="s">
        <x:v>4165</x:v>
      </x:c>
    </x:row>
    <x:row r="16" spans="1:7" s="4" customFormat="1">
      <x:c r="A16" s="4" t="s">
        <x:v>4028</x:v>
      </x:c>
      <x:c r="B16" s="4" t="s">
        <x:v>4043</x:v>
      </x:c>
      <x:c r="C16" s="10" t="s">
        <x:v>3836</x:v>
      </x:c>
      <x:c r="D16" s="11">
        <x:f>CONCATENATE(HYPERLINK("CALLTO:%2B356%202142%202003", "+356 2142 2003"), " / ", HYPERLINK("CALLTO:%2B356%209943%209191", "+356 9943 9191"))</x:f>
      </x:c>
      <x:c r="E16" s="10" t="s">
        <x:v>4143</x:v>
      </x:c>
      <x:c r="F16" s="10" t="s">
        <x:v>4166</x:v>
      </x:c>
    </x:row>
    <x:row r="17" spans="1:7" s="3" customFormat="1">
      <x:c r="A17" s="3" t="s">
        <x:v>4028</x:v>
      </x:c>
      <x:c r="B17" s="3" t="s">
        <x:v>4044</x:v>
      </x:c>
      <x:c r="C17" s="6" t="s">
        <x:v>4096</x:v>
      </x:c>
      <x:c r="D17" s="7">
        <x:f>CONCATENATE(HYPERLINK("CALLTO:%2B356%202124%204200", "+356 2124 4200"))</x:f>
      </x:c>
      <x:c r="E17" s="6" t="s">
        <x:v>3858</x:v>
      </x:c>
      <x:c r="F17" s="6" t="s">
        <x:v>4167</x:v>
      </x:c>
    </x:row>
    <x:row r="18" spans="1:7" s="1" customFormat="1">
      <x:c r="A18" s="1" t="s">
        <x:v>4028</x:v>
      </x:c>
      <x:c r="B18" s="1" t="s">
        <x:v>4045</x:v>
      </x:c>
      <x:c r="C18" s="8" t="s">
        <x:v>4097</x:v>
      </x:c>
      <x:c r="D18" s="9">
        <x:f>CONCATENATE(HYPERLINK("CALLTO:%2B356%207997%203852", "+356 7997 3852"), " / ", HYPERLINK("CALLTO:%2B356%209940%208339", "+356 9940 8339"))</x:f>
      </x:c>
      <x:c r="E18" s="8" t="s">
        <x:v>4144</x:v>
      </x:c>
      <x:c r="F18" s="8" t="s">
        <x:v>4168</x:v>
      </x:c>
    </x:row>
    <x:row r="19" spans="1:7" s="4" customFormat="1">
      <x:c r="A19" s="4" t="s">
        <x:v>4028</x:v>
      </x:c>
      <x:c r="B19" s="4" t="s">
        <x:v>4046</x:v>
      </x:c>
      <x:c r="C19" s="10" t="s">
        <x:v>4098</x:v>
      </x:c>
      <x:c r="D19" s="11">
        <x:f>CONCATENATE(HYPERLINK("CALLTO:%2B356%209945%200232", "+356 9945 0232"))</x:f>
      </x:c>
      <x:c r="E19" s="10" t="s">
        <x:v>4145</x:v>
      </x:c>
      <x:c r="F19" s="10" t="s">
        <x:v>4016</x:v>
      </x:c>
    </x:row>
    <x:row r="20" spans="1:7" s="3" customFormat="1">
      <x:c r="A20" s="3" t="s">
        <x:v>4028</x:v>
      </x:c>
      <x:c r="B20" s="3" t="s">
        <x:v>4047</x:v>
      </x:c>
      <x:c r="C20" s="6" t="s">
        <x:v>4099</x:v>
      </x:c>
      <x:c r="D20" s="7">
        <x:f>CONCATENATE(HYPERLINK("CALLTO:%2B356%207999%20825579468519", "+356 7999 825579468519"))</x:f>
      </x:c>
      <x:c r="E20" s="6" t="s">
        <x:v>4146</x:v>
      </x:c>
      <x:c r="F20" s="6" t="s">
        <x:v>4017</x:v>
      </x:c>
    </x:row>
    <x:row r="21" spans="1:7" s="1" customFormat="1">
      <x:c r="A21" s="1" t="s">
        <x:v>4028</x:v>
      </x:c>
      <x:c r="B21" s="1" t="s">
        <x:v>4048</x:v>
      </x:c>
      <x:c r="C21" s="8" t="s">
        <x:v>4100</x:v>
      </x:c>
      <x:c r="D21" s="9">
        <x:f>CONCATENATE(HYPERLINK("CALLTO:%2B356%209945%208658", "+356 9945 8658"))</x:f>
      </x:c>
      <x:c r="E21" s="8" t="s">
        <x:v>4147</x:v>
      </x:c>
      <x:c r="F21" s="8" t="s">
        <x:v>4169</x:v>
      </x:c>
    </x:row>
    <x:row r="22" spans="1:7" s="4" customFormat="1">
      <x:c r="A22" s="4" t="s">
        <x:v>4028</x:v>
      </x:c>
      <x:c r="B22" s="4" t="s">
        <x:v>4049</x:v>
      </x:c>
      <x:c r="C22" s="10" t="s">
        <x:v>4101</x:v>
      </x:c>
      <x:c r="D22" s="11">
        <x:f>CONCATENATE(HYPERLINK("CALLTO:%2B356%207926%209566", "+356 7926 9566"))</x:f>
      </x:c>
      <x:c r="E22" s="10" t="s">
        <x:v>4148</x:v>
      </x:c>
      <x:c r="F22" s="10" t="s">
        <x:v>4170</x:v>
      </x:c>
    </x:row>
    <x:row r="23" spans="1:7" s="3" customFormat="1">
      <x:c r="A23" s="3" t="s">
        <x:v>4028</x:v>
      </x:c>
      <x:c r="B23" s="3" t="s">
        <x:v>4050</x:v>
      </x:c>
      <x:c r="C23" s="6" t="s">
        <x:v>4102</x:v>
      </x:c>
      <x:c r="D23" s="7">
        <x:f>CONCATENATE(HYPERLINK("CALLTO:%2B356%207942%204201", "+356 7942 4201"))</x:f>
      </x:c>
      <x:c r="E23" s="6" t="s">
        <x:v>4150</x:v>
      </x:c>
      <x:c r="F23" s="6" t="s">
        <x:v>4171</x:v>
      </x:c>
    </x:row>
    <x:row r="24" spans="1:7" s="1" customFormat="1">
      <x:c r="A24" s="1" t="s">
        <x:v>4028</x:v>
      </x:c>
      <x:c r="B24" s="1" t="s">
        <x:v>4051</x:v>
      </x:c>
      <x:c r="C24" s="8" t="s">
        <x:v>4103</x:v>
      </x:c>
      <x:c r="D24" s="9">
        <x:f>CONCATENATE(HYPERLINK("CALLTO:%2B356%209989%206865", "+356 9989 6865"), " / ", HYPERLINK("CALLTO:%2B356%207970%207217", "+356 7970 7217"))</x:f>
      </x:c>
      <x:c r="E24" s="8" t="s">
        <x:v>4149</x:v>
      </x:c>
      <x:c r="F24" s="8" t="s">
        <x:v>4172</x:v>
      </x:c>
    </x:row>
    <x:row r="25" spans="1:7" s="4" customFormat="1">
      <x:c r="A25" s="4" t="s">
        <x:v>4028</x:v>
      </x:c>
      <x:c r="B25" s="4" t="s">
        <x:v>4053</x:v>
      </x:c>
      <x:c r="C25" s="10" t="s">
        <x:v>4104</x:v>
      </x:c>
      <x:c r="D25" s="11">
        <x:f>CONCATENATE(HYPERLINK("CALLTO:%2B356%209945%203176", "+356 9945 3176"))</x:f>
      </x:c>
      <x:c r="E25" s="10" t="s">
        <x:v>4151</x:v>
      </x:c>
      <x:c r="F25" s="10" t="s">
        <x:v>4173</x:v>
      </x:c>
    </x:row>
    <x:row r="26" spans="1:7" s="3" customFormat="1"/>
    <x:row r="27" spans="1:7" s="1" customFormat="1">
      <x:c r="A27" s="1" t="s">
        <x:v>4029</x:v>
      </x:c>
      <x:c r="B27" s="1" t="s">
        <x:v>4052</x:v>
      </x:c>
      <x:c r="C27" s="8" t="s">
        <x:v>707</x:v>
      </x:c>
      <x:c r="D27" s="9">
        <x:f>CONCATENATE(HYPERLINK("CALLTO:%2B356%209944%204009", "+356 9944 4009"))</x:f>
      </x:c>
      <x:c r="E27" s="8" t="s">
        <x:v>4152</x:v>
      </x:c>
      <x:c r="F27" s="8" t="s">
        <x:v>4174</x:v>
      </x:c>
    </x:row>
    <x:row r="28" spans="1:7" s="4" customFormat="1"/>
    <x:row r="29" spans="1:7" s="3" customFormat="1">
      <x:c r="A29" s="3" t="s">
        <x:v>4030</x:v>
      </x:c>
      <x:c r="B29" s="3" t="s">
        <x:v>4054</x:v>
      </x:c>
      <x:c r="C29" s="6" t="s">
        <x:v>4105</x:v>
      </x:c>
      <x:c r="D29" s="7">
        <x:f>CONCATENATE(HYPERLINK("CALLTO:%2B356%209926%208398", "+356 9926 8398"))</x:f>
      </x:c>
      <x:c r="E29" s="6" t="s">
        <x:v>4153</x:v>
      </x:c>
      <x:c r="F29" s="6" t="s">
        <x:v>4175</x:v>
      </x:c>
    </x:row>
    <x:row r="30" spans="1:7" s="1" customFormat="1">
      <x:c r="A30" s="1" t="s">
        <x:v>4030</x:v>
      </x:c>
      <x:c r="B30" s="1" t="s">
        <x:v>4055</x:v>
      </x:c>
      <x:c r="C30" s="8" t="s">
        <x:v>4106</x:v>
      </x:c>
      <x:c r="D30" s="9">
        <x:f>CONCATENATE(HYPERLINK("CALLTO:%2B356%202143%202610", "+356 2143 2610"), " / ", HYPERLINK("CALLTO:%2B356%209928%208922", "+356 9928 8922"))</x:f>
      </x:c>
      <x:c r="E30" s="8" t="s">
        <x:v>4154</x:v>
      </x:c>
      <x:c r="F30" s="8" t="s">
        <x:v>4176</x:v>
      </x:c>
    </x:row>
    <x:row r="31" spans="1:7" s="4" customFormat="1">
      <x:c r="A31" s="4" t="s">
        <x:v>4030</x:v>
      </x:c>
      <x:c r="B31" s="4" t="s">
        <x:v>4056</x:v>
      </x:c>
      <x:c r="C31" s="10" t="s">
        <x:v>4107</x:v>
      </x:c>
      <x:c r="D31" s="11">
        <x:f>CONCATENATE(HYPERLINK("CALLTO:%2B356%207920%203090", "+356 7920 3090"))</x:f>
      </x:c>
      <x:c r="E31" s="10" t="s">
        <x:v>4156</x:v>
      </x:c>
      <x:c r="F31" s="10" t="s">
        <x:v>4177</x:v>
      </x:c>
    </x:row>
    <x:row r="32" spans="1:7" s="3" customFormat="1">
      <x:c r="A32" s="3" t="s">
        <x:v>4030</x:v>
      </x:c>
      <x:c r="B32" s="3" t="s">
        <x:v>4057</x:v>
      </x:c>
      <x:c r="C32" s="6" t="s">
        <x:v>4108</x:v>
      </x:c>
      <x:c r="D32" s="7">
        <x:f>CONCATENATE(HYPERLINK("CALLTO:%2B356%209949%207034", "+356 9949 7034"))</x:f>
      </x:c>
      <x:c r="E32" s="6" t="s">
        <x:v>4155</x:v>
      </x:c>
      <x:c r="F32" s="6" t="s">
        <x:v>4178</x:v>
      </x:c>
    </x:row>
    <x:row r="33" spans="1:7" s="1" customFormat="1">
      <x:c r="A33" s="1" t="s">
        <x:v>4030</x:v>
      </x:c>
      <x:c r="B33" s="1" t="s">
        <x:v>4058</x:v>
      </x:c>
      <x:c r="C33" s="8" t="s">
        <x:v>4109</x:v>
      </x:c>
      <x:c r="D33" s="9">
        <x:f>CONCATENATE(HYPERLINK("CALLTO:%2B356%209961%209165", "+356 9961 9165"))</x:f>
      </x:c>
      <x:c r="F33" s="8" t="s">
        <x:v>4179</x:v>
      </x:c>
    </x:row>
    <x:row r="34" spans="1:7" s="4" customFormat="1">
      <x:c r="A34" s="4" t="s">
        <x:v>4030</x:v>
      </x:c>
      <x:c r="B34" s="4" t="s">
        <x:v>4059</x:v>
      </x:c>
      <x:c r="C34" s="10" t="s">
        <x:v>4110</x:v>
      </x:c>
      <x:c r="D34" s="11">
        <x:f>CONCATENATE(HYPERLINK("CALLTO:%2B356%209940%208339", "+356 9940 8339"), " / ", HYPERLINK("CALLTO:%2B356%207997%203852", "+356 7997 3852"))</x:f>
      </x:c>
      <x:c r="F34" s="10" t="s">
        <x:v>4180</x:v>
      </x:c>
    </x:row>
    <x:row r="35" spans="1:7" s="3" customFormat="1">
      <x:c r="A35" s="3" t="s">
        <x:v>4030</x:v>
      </x:c>
      <x:c r="B35" s="3" t="s">
        <x:v>4060</x:v>
      </x:c>
      <x:c r="C35" s="6" t="s">
        <x:v>4111</x:v>
      </x:c>
      <x:c r="D35" s="7">
        <x:f>CONCATENATE(HYPERLINK("CALLTO:%2B356%209902%203475", "+356 9902 3475"))</x:f>
      </x:c>
    </x:row>
    <x:row r="36" spans="1:7" s="1" customFormat="1">
      <x:c r="A36" s="1" t="s">
        <x:v>4030</x:v>
      </x:c>
      <x:c r="B36" s="1" t="s">
        <x:v>3026</x:v>
      </x:c>
      <x:c r="C36" s="8" t="s">
        <x:v>3974</x:v>
      </x:c>
    </x:row>
    <x:row r="37" spans="1:7" s="4" customFormat="1">
      <x:c r="A37" s="4" t="s">
        <x:v>4030</x:v>
      </x:c>
      <x:c r="B37" s="4" t="s">
        <x:v>4061</x:v>
      </x:c>
      <x:c r="C37" s="10" t="s">
        <x:v>3823</x:v>
      </x:c>
    </x:row>
    <x:row r="38" spans="1:7" s="3" customFormat="1">
      <x:c r="A38" s="3" t="s">
        <x:v>4030</x:v>
      </x:c>
      <x:c r="B38" s="3" t="s">
        <x:v>4062</x:v>
      </x:c>
      <x:c r="C38" s="6" t="s">
        <x:v>4112</x:v>
      </x:c>
    </x:row>
    <x:row r="39" spans="1:7" s="1" customFormat="1">
      <x:c r="A39" s="1" t="s">
        <x:v>4030</x:v>
      </x:c>
      <x:c r="B39" s="1" t="s">
        <x:v>4063</x:v>
      </x:c>
      <x:c r="C39" s="8" t="s">
        <x:v>3969</x:v>
      </x:c>
    </x:row>
    <x:row r="40" spans="1:7" s="4" customFormat="1">
      <x:c r="A40" s="4" t="s">
        <x:v>4030</x:v>
      </x:c>
      <x:c r="B40" s="4" t="s">
        <x:v>4064</x:v>
      </x:c>
      <x:c r="C40" s="10" t="s">
        <x:v>4103</x:v>
      </x:c>
    </x:row>
    <x:row r="41" spans="1:7" s="3" customFormat="1">
      <x:c r="A41" s="3" t="s">
        <x:v>4030</x:v>
      </x:c>
      <x:c r="B41" s="3" t="s">
        <x:v>4065</x:v>
      </x:c>
      <x:c r="C41" s="6" t="s">
        <x:v>4113</x:v>
      </x:c>
    </x:row>
    <x:row r="42" spans="1:7" s="1" customFormat="1">
      <x:c r="A42" s="1" t="s">
        <x:v>4030</x:v>
      </x:c>
      <x:c r="B42" s="1" t="s">
        <x:v>4066</x:v>
      </x:c>
      <x:c r="C42" s="8" t="s">
        <x:v>4114</x:v>
      </x:c>
    </x:row>
    <x:row r="43" spans="1:7" s="4" customFormat="1">
      <x:c r="A43" s="4" t="s">
        <x:v>4030</x:v>
      </x:c>
      <x:c r="B43" s="4" t="s">
        <x:v>4067</x:v>
      </x:c>
      <x:c r="C43" s="10" t="s">
        <x:v>4115</x:v>
      </x:c>
    </x:row>
    <x:row r="44" spans="1:7" s="3" customFormat="1">
      <x:c r="A44" s="3" t="s">
        <x:v>4030</x:v>
      </x:c>
      <x:c r="B44" s="3" t="s">
        <x:v>4068</x:v>
      </x:c>
      <x:c r="C44" s="6" t="s">
        <x:v>4116</x:v>
      </x:c>
    </x:row>
    <x:row r="45" spans="1:7" s="1" customFormat="1">
      <x:c r="A45" s="1" t="s">
        <x:v>4030</x:v>
      </x:c>
      <x:c r="B45" s="1" t="s">
        <x:v>4069</x:v>
      </x:c>
      <x:c r="C45" s="8" t="s">
        <x:v>4117</x:v>
      </x:c>
    </x:row>
    <x:row r="46" spans="1:7" s="4" customFormat="1">
      <x:c r="A46" s="4" t="s">
        <x:v>4030</x:v>
      </x:c>
      <x:c r="B46" s="4" t="s">
        <x:v>4070</x:v>
      </x:c>
      <x:c r="C46" s="10" t="s">
        <x:v>4118</x:v>
      </x:c>
    </x:row>
    <x:row r="47" spans="1:7" s="3" customFormat="1">
      <x:c r="A47" s="3" t="s">
        <x:v>4030</x:v>
      </x:c>
      <x:c r="B47" s="3" t="s">
        <x:v>4071</x:v>
      </x:c>
      <x:c r="C47" s="6" t="s">
        <x:v>4119</x:v>
      </x:c>
    </x:row>
    <x:row r="48" spans="1:7" s="1" customFormat="1">
      <x:c r="A48" s="1" t="s">
        <x:v>4030</x:v>
      </x:c>
      <x:c r="B48" s="1" t="s">
        <x:v>4072</x:v>
      </x:c>
      <x:c r="C48" s="8" t="s">
        <x:v>4120</x:v>
      </x:c>
    </x:row>
    <x:row r="49" spans="1:7" s="4" customFormat="1"/>
    <x:row r="50" spans="1:7" s="3" customFormat="1">
      <x:c r="A50" s="3" t="s">
        <x:v>4031</x:v>
      </x:c>
      <x:c r="B50" s="3" t="s">
        <x:v>4073</x:v>
      </x:c>
      <x:c r="C50" s="6" t="s">
        <x:v>4121</x:v>
      </x:c>
    </x:row>
    <x:row r="51" spans="1:7" s="1" customFormat="1"/>
    <x:row r="52" spans="1:7" s="4" customFormat="1">
      <x:c r="B52" s="4" t="s">
        <x:v>4074</x:v>
      </x:c>
      <x:c r="C52" s="10" t="s">
        <x:v>4122</x:v>
      </x:c>
    </x:row>
    <x:row r="53" spans="1:7" s="3" customFormat="1">
      <x:c r="B53" s="3" t="s">
        <x:v>4075</x:v>
      </x:c>
      <x:c r="C53" s="6" t="s">
        <x:v>4123</x:v>
      </x:c>
    </x:row>
    <x:row r="54" spans="1:7" s="1" customFormat="1">
      <x:c r="B54" s="1" t="s">
        <x:v>4076</x:v>
      </x:c>
      <x:c r="C54" s="8" t="s">
        <x:v>4124</x:v>
      </x:c>
    </x:row>
    <x:row r="55" spans="1:7" s="4" customFormat="1">
      <x:c r="B55" s="4" t="s">
        <x:v>4077</x:v>
      </x:c>
      <x:c r="C55" s="10" t="s">
        <x:v>4125</x:v>
      </x:c>
    </x:row>
    <x:row r="56" spans="1:7" s="3" customFormat="1">
      <x:c r="B56" s="3" t="s">
        <x:v>4078</x:v>
      </x:c>
      <x:c r="C56" s="6" t="s">
        <x:v>4126</x:v>
      </x:c>
    </x:row>
    <x:row r="57" spans="1:7" s="1" customFormat="1">
      <x:c r="B57" s="1" t="s">
        <x:v>4079</x:v>
      </x:c>
      <x:c r="C57" s="8" t="s">
        <x:v>4127</x:v>
      </x:c>
    </x:row>
    <x:row r="58" spans="1:7" s="4" customFormat="1">
      <x:c r="B58" s="4" t="s">
        <x:v>4080</x:v>
      </x:c>
      <x:c r="C58" s="10" t="s">
        <x:v>3989</x:v>
      </x:c>
    </x:row>
    <x:row r="59" spans="1:7" s="3" customFormat="1">
      <x:c r="B59" s="3" t="s">
        <x:v>4082</x:v>
      </x:c>
      <x:c r="C59" s="6" t="s">
        <x:v>3988</x:v>
      </x:c>
    </x:row>
    <x:row r="60" spans="1:7" s="1" customFormat="1">
      <x:c r="B60" s="1" t="s">
        <x:v>3636</x:v>
      </x:c>
      <x:c r="C60" s="8" t="s">
        <x:v>3644</x:v>
      </x:c>
    </x:row>
    <x:row r="61" spans="1:7" s="4" customFormat="1">
      <x:c r="B61" s="4" t="s">
        <x:v>4081</x:v>
      </x:c>
      <x:c r="C61" s="10" t="s">
        <x:v>4128</x:v>
      </x:c>
    </x:row>
    <x:row r="62" spans="1:7" s="3" customFormat="1">
      <x:c r="B62" s="3" t="s">
        <x:v>4083</x:v>
      </x:c>
      <x:c r="C62" s="6" t="s">
        <x:v>4129</x:v>
      </x:c>
    </x:row>
    <x:row r="63" spans="1:7" s="1" customFormat="1">
      <x:c r="B63" s="1" t="s">
        <x:v>4084</x:v>
      </x:c>
      <x:c r="C63" s="8" t="s">
        <x:v>4130</x:v>
      </x:c>
    </x:row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  <x:row r="231" spans="1:7" s="1" customFormat="1"/>
    <x:row r="232" spans="1:7" s="4" customFormat="1"/>
    <x:row r="233" spans="1:7" s="3" customFormat="1"/>
    <x:row r="234" spans="1:7" s="1" customFormat="1"/>
    <x:row r="235" spans="1:7" s="4" customFormat="1"/>
    <x:row r="236" spans="1:7" s="3" customFormat="1"/>
    <x:row r="237" spans="1:7" s="1" customFormat="1"/>
    <x:row r="238" spans="1:7" s="4" customFormat="1"/>
    <x:row r="239" spans="1:7" s="3" customFormat="1"/>
    <x:row r="240" spans="1:7" s="1" customFormat="1"/>
    <x:row r="241" spans="1:7" s="4" customFormat="1"/>
    <x:row r="242" spans="1:7" s="3" customFormat="1"/>
    <x:row r="243" spans="1:7" s="1" customFormat="1"/>
    <x:row r="244" spans="1:7" s="4" customFormat="1"/>
    <x:row r="245" spans="1:7" s="3" customFormat="1"/>
    <x:row r="246" spans="1:7" s="1" customFormat="1"/>
    <x:row r="247" spans="1:7" s="4" customFormat="1"/>
    <x:row r="248" spans="1:7" s="3" customFormat="1"/>
    <x:row r="249" spans="1:7" s="1" customFormat="1"/>
    <x:row r="250" spans="1:7" s="4" customFormat="1"/>
    <x:row r="251" spans="1:7" s="3" customFormat="1"/>
    <x:row r="252" spans="1:7" s="1" customFormat="1"/>
    <x:row r="253" spans="1:7" s="4" customFormat="1"/>
    <x:row r="254" spans="1:7" s="3" customFormat="1"/>
    <x:row r="255" spans="1:7" s="1" customFormat="1"/>
    <x:row r="256" spans="1:7" s="4" customFormat="1"/>
    <x:row r="257" spans="1:7" s="3" customFormat="1"/>
    <x:row r="258" spans="1:7" s="1" customFormat="1"/>
    <x:row r="259" spans="1:7" s="4" customFormat="1"/>
    <x:row r="260" spans="1:7" s="3" customFormat="1"/>
    <x:row r="261" spans="1:7" s="1" customFormat="1"/>
    <x:row r="262" spans="1:7" s="4" customFormat="1"/>
    <x:row r="263" spans="1:7" s="3" customFormat="1"/>
    <x:row r="264" spans="1:7" s="1" customFormat="1"/>
    <x:row r="265" spans="1:7" s="4" customFormat="1"/>
    <x:row r="266" spans="1:7" s="3" customFormat="1"/>
    <x:row r="267" spans="1:7" s="1" customFormat="1"/>
    <x:row r="268" spans="1:7" s="4" customFormat="1"/>
    <x:row r="269" spans="1:7" s="3" customFormat="1"/>
    <x:row r="270" spans="1:7" s="1" customFormat="1"/>
    <x:row r="271" spans="1:7" s="4" customFormat="1"/>
    <x:row r="272" spans="1:7" s="3" customFormat="1"/>
    <x:row r="273" spans="1:7" s="1" customFormat="1"/>
    <x:row r="274" spans="1:7" s="4" customFormat="1"/>
    <x:row r="275" spans="1:7" s="3" customFormat="1"/>
    <x:row r="276" spans="1:7" s="1" customFormat="1"/>
    <x:row r="277" spans="1:7" s="4" customFormat="1"/>
    <x:row r="278" spans="1:7" s="3" customFormat="1"/>
    <x:row r="279" spans="1:7" s="1" customFormat="1"/>
    <x:row r="280" spans="1:7" s="4" customFormat="1"/>
    <x:row r="281" spans="1:7" s="3" customFormat="1"/>
    <x:row r="282" spans="1:7" s="1" customFormat="1"/>
    <x:row r="283" spans="1:7" s="4" customFormat="1"/>
    <x:row r="284" spans="1:7" s="3" customFormat="1"/>
    <x:row r="285" spans="1:7" s="1" customFormat="1"/>
    <x:row r="286" spans="1:7" s="4" customFormat="1"/>
    <x:row r="287" spans="1:7" s="3" customFormat="1"/>
    <x:row r="288" spans="1:7" s="1" customFormat="1"/>
    <x:row r="289" spans="1:7" s="4" customFormat="1"/>
    <x:row r="290" spans="1:7" s="3" customFormat="1"/>
    <x:row r="291" spans="1:7" s="1" customFormat="1"/>
    <x:row r="292" spans="1:7" s="4" customFormat="1"/>
    <x:row r="293" spans="1:7" s="3" customFormat="1"/>
    <x:row r="294" spans="1:7" s="1" customFormat="1"/>
    <x:row r="295" spans="1:7" s="4" customFormat="1"/>
    <x:row r="296" spans="1:7" s="3" customFormat="1"/>
    <x:row r="297" spans="1:7" s="1" customFormat="1"/>
    <x:row r="298" spans="1:7" s="4" customFormat="1"/>
    <x:row r="299" spans="1:7" s="3" customFormat="1"/>
    <x:row r="300" spans="1:7" s="1" customFormat="1"/>
    <x:row r="301" spans="1:7" s="4" customFormat="1"/>
    <x:row r="302" spans="1:7" s="3" customFormat="1"/>
    <x:row r="303" spans="1:7" s="1" customFormat="1"/>
    <x:row r="304" spans="1:7" s="4" customFormat="1"/>
    <x:row r="305" spans="1:7" s="3" customFormat="1"/>
  </x:sheetData>
  <x:hyperlinks>
    <x:hyperlink ref="C2" r:id="rId4477" tooltip="Send a mail to info@axconstruction.mt"/>
    <x:hyperlink ref="C4" r:id="rId4478" tooltip="Send a mail to contact@kibitec.com"/>
    <x:hyperlink ref="C5" r:id="rId4479" tooltip="Send a mail to reu_sacco@hotmail.com"/>
    <x:hyperlink ref="C6" r:id="rId4480" tooltip="Send a mail to info@barbrosgroup.com"/>
    <x:hyperlink ref="C7" r:id="rId4481" tooltip="Send a mail to sadevelopmentsltd@gmail.com"/>
    <x:hyperlink ref="C8" r:id="rId4482" tooltip="Send a mail to joseph@zahraltd.com"/>
    <x:hyperlink ref="C9" r:id="rId4483" tooltip="Send a mail to info@optimaprojects.mt"/>
    <x:hyperlink ref="C10" r:id="rId4484" tooltip="Send a mail to info@brandprojectsltd.com"/>
    <x:hyperlink ref="C11" r:id="rId4485" tooltip="Send a mail to info@fsh.com.mt"/>
    <x:hyperlink ref="C12" r:id="rId4486" tooltip="Send a mail to info@bgs.com.mt"/>
    <x:hyperlink ref="C13" r:id="rId4487" tooltip="Send a mail to info@ajfattard.com"/>
    <x:hyperlink ref="C14" r:id="rId4488" tooltip="Send a mail to curmijonathan@gmail.com"/>
    <x:hyperlink ref="C15" r:id="rId4489" tooltip="Send a mail to executiveprojectsltd@gmail.com"/>
    <x:hyperlink ref="C16" r:id="rId4490" tooltip="Send a mail to info@farstoneconstruction.com"/>
    <x:hyperlink ref="C17" r:id="rId4491" tooltip="Send a mail to jmsconstructionlimited@gmail.com"/>
    <x:hyperlink ref="C18" r:id="rId4492" tooltip="Send a mail to info@jpisanioperationsltd.com"/>
    <x:hyperlink ref="C19" r:id="rId4493" tooltip="Send a mail to rubengrima@hotmail.com"/>
    <x:hyperlink ref="C20" r:id="rId4494" tooltip="Send a mail to ndbalzan@gmail.com"/>
    <x:hyperlink ref="C21" r:id="rId4495" tooltip="Send a mail to cvbrgroup@gmail.com"/>
    <x:hyperlink ref="C22" r:id="rId4496" tooltip="Send a mail to c.and.g.sant.cont@gmail.com"/>
    <x:hyperlink ref="C23" r:id="rId4497" tooltip="Send a mail to becky@colbex.my"/>
    <x:hyperlink ref="C24" r:id="rId4498" tooltip="Send a mail to info@talkarmnu.com.mt"/>
    <x:hyperlink ref="C25" r:id="rId4499" tooltip="Send a mail to properties@mna.com.mt"/>
    <x:hyperlink ref="C27" r:id="rId4500" tooltip="Send a mail to info@attardbros.com"/>
    <x:hyperlink ref="C29" r:id="rId4501" tooltip="Send a mail to info@bbconstruction.mt"/>
    <x:hyperlink ref="C30" r:id="rId4502" tooltip="Send a mail to info@vassallogroupmalta.com"/>
    <x:hyperlink ref="C31" r:id="rId4503" tooltip="Send a mail to info@bbg.com.mt"/>
    <x:hyperlink ref="C32" r:id="rId4504" tooltip="Send a mail to info@elbros.com.mt"/>
    <x:hyperlink ref="C33" r:id="rId4505" tooltip="Send a mail to info@tmc.com.mt"/>
    <x:hyperlink ref="C34" r:id="rId4506" tooltip="Send a mail to info@polidano-group.com"/>
    <x:hyperlink ref="C35" r:id="rId4507" tooltip="Send a mail to info@ogcw.mt"/>
    <x:hyperlink ref="C36" r:id="rId4508" tooltip="Send a mail to info@agfmalta.com"/>
    <x:hyperlink ref="C37" r:id="rId4509" tooltip="Send a mail to fourvcltd@gmail.com"/>
    <x:hyperlink ref="C38" r:id="rId4510" tooltip="Send a mail to mifsudbros@hotmail.com"/>
    <x:hyperlink ref="C39" r:id="rId4511" tooltip="Send a mail to admin@aaconstructionworks.com"/>
    <x:hyperlink ref="C40" r:id="rId4512" tooltip="Send a mail to info@talkarmnu.com.mt"/>
    <x:hyperlink ref="C41" r:id="rId4513" tooltip="Send a mail to Clintonspiteri94@gmail.com"/>
    <x:hyperlink ref="C42" r:id="rId4514" tooltip="Send a mail to bobli2@hotmail.com"/>
    <x:hyperlink ref="C43" r:id="rId4515" tooltip="Send a mail to noelmizzi1976@gmail.com"/>
    <x:hyperlink ref="C44" r:id="rId4516" tooltip="Send a mail to eman.ciantar98@gmail.com"/>
    <x:hyperlink ref="C45" r:id="rId4517" tooltip="Send a mail to thomasazzopardiconstruction@gmail.com"/>
    <x:hyperlink ref="C46" r:id="rId4518" tooltip="Send a mail to info@leacontractors.com"/>
    <x:hyperlink ref="C47" r:id="rId4519" tooltip="Send a mail to info@mtfbonannoltd.com"/>
    <x:hyperlink ref="C48" r:id="rId4520" tooltip="Send a mail to apicontractors@gmail.com"/>
    <x:hyperlink ref="C50" r:id="rId4521" tooltip="Send a mail to mariogalea@hotmail.co.uk"/>
    <x:hyperlink ref="C52" r:id="rId4522" tooltip="Send a mail to justconstructionworks@gmail.com"/>
    <x:hyperlink ref="C53" r:id="rId4523" tooltip="Send a mail to info@schranzltd.com"/>
    <x:hyperlink ref="C54" r:id="rId4524" tooltip="Send a mail to loganblakepace@yahoo.com"/>
    <x:hyperlink ref="C55" r:id="rId4525" tooltip="Send a mail to marozzmifsud12@gmail.com"/>
    <x:hyperlink ref="C56" r:id="rId4526" tooltip="Send a mail to mvxuereb@gmail.com"/>
    <x:hyperlink ref="C57" r:id="rId4527" tooltip="Send a mail to info@taboneconstructionworks.com"/>
    <x:hyperlink ref="C58" r:id="rId4528" tooltip="Send a mail to hamody.zedan00@gmail.com"/>
    <x:hyperlink ref="C59" r:id="rId4529" tooltip="Send a mail to kbgprojects@hotmail.com"/>
    <x:hyperlink ref="C60" r:id="rId4530" tooltip="Send a mail to amatohomeimprovements@gmail.com"/>
    <x:hyperlink ref="C61" r:id="rId4531" tooltip="Send a mail to camilleri.services@gmail.com"/>
    <x:hyperlink ref="C62" r:id="rId4532" tooltip="Send a mail to info@pisaniconstruction.com"/>
    <x:hyperlink ref="C63" r:id="rId4533" tooltip="Send a mail to Joshua@joshuaturnkey.com"/>
    <x:hyperlink ref="E2" r:id="rId4534" tooltip="Search Hardrocks Industrial Park,&#10;L/O Burmarrad, Malta on Google Maps"/>
    <x:hyperlink ref="E4" r:id="rId4535" tooltip="Search Triq Domenico Cachia 54&#10;Birkirkara, BKR1017, Malta on Google Maps"/>
    <x:hyperlink ref="E5" r:id="rId4536" tooltip="Search RS Construction&#10;Clover, Apt 4 Triq Dun Karm Psaila,&#10;Zebbug, Malta on Google Maps"/>
    <x:hyperlink ref="E6" r:id="rId4537" tooltip="Search Barbros Group, Tal-Barrani Road, Żejtun, ŻTN 9022, Malta on Google Maps"/>
    <x:hyperlink ref="E7" r:id="rId4538" tooltip="Search Zahra Group, Siggiewi Road MQB 1630 Ta' Kandja, Malta on Google Maps"/>
    <x:hyperlink ref="E8" r:id="rId4539" tooltip="Search Gzira, Malta on Google Maps"/>
    <x:hyperlink ref="E9" r:id="rId4540" tooltip="Search Attard Bros. Group, Industrial Zone,&#10;Ta’ Qali, ATD 4000, Malta on Google Maps"/>
    <x:hyperlink ref="E10" r:id="rId4541" tooltip="Search B&amp;B Construction Ltd.&#10;Triq il-Kappella ta’ Santa Marija, Magħtab L/O Naxxar,&#10;NXR6510, Malta on Google Maps"/>
    <x:hyperlink ref="E11" r:id="rId4542" tooltip="Search The Three Arches&#10;Valletta Road&#10;Mosta. MST 9016 on Google Maps"/>
    <x:hyperlink ref="E12" r:id="rId4543" tooltip="Search Bonnici House Sardine Street, Burmarrad SPB 6073 Malta on Google Maps"/>
    <x:hyperlink ref="E13" r:id="rId4544" tooltip="Search ELBROS GROUP&#10;ELBROS’, TRIQ L-INDUSTRIJA, KKP 9042 MALTA on Google Maps"/>
    <x:hyperlink ref="E14" r:id="rId4545" tooltip="Search Tal-Maghtab Construction Co. Ltd.,&#10;Ramla Road,&#10;Maghtab l/o Naxxar on Google Maps"/>
    <x:hyperlink ref="E15" r:id="rId4546" tooltip="Search Hal-Farrug Road, Luqa, LQA 3078 on Google Maps"/>
    <x:hyperlink ref="E16" r:id="rId4547" tooltip="Search AGF Turnkey Contractors,&#10;Galine’, Josmar Complex Triq id-Difiza Civili,&#10;Mosta, Malta,  MST 1743 on Google Maps"/>
    <x:hyperlink ref="E17" r:id="rId4548" tooltip="Search 8 Triq Salvu Cacciattolo , Zejtun on Google Maps"/>
    <x:hyperlink ref="E18" r:id="rId4549" tooltip="Search 81-83, Triq Baskal Buhagiar ,&#10;Mosta on Google Maps"/>
    <x:hyperlink ref="E19" r:id="rId4550" tooltip="Search AA Construction Works&#10;St. Helen, Triq Caravaggion, Ħal Għargħur on Google Maps"/>
    <x:hyperlink ref="E20" r:id="rId4551" tooltip="Search 578, The Four Seasons, Triq Il-Qaliet, Marsaskala on Google Maps"/>
    <x:hyperlink ref="E21" r:id="rId4552" tooltip="Search C &amp; S Services&#10;The Orchid Triq il-Faqqus ,&#10;Zejtun, Malta ZTN 4420 on Google Maps"/>
    <x:hyperlink ref="E22" r:id="rId4553" tooltip="Search Philip Bongailas&#10;Farmhouse Triq tal-Handaq Tal-Handaq ,&#10;Qormi, Malta QRM 4001 on Google Maps"/>
    <x:hyperlink ref="E23" r:id="rId4554" tooltip="Search Noel Mizzi&#10;Construction &amp; Development&#10;117, St Joseph Street,&#10;Paola on Google Maps"/>
    <x:hyperlink ref="E24" r:id="rId4555" tooltip="Search E.Ciantar Construction&#10;Triq Guzeppi Busuttil ,&#10;Siggiewi, Malta on Google Maps"/>
    <x:hyperlink ref="E25" r:id="rId4556" tooltip="Search Azzopardi Thomas Construction Ltd&#10;Ta’ Menz Cottage Triq il-Gnien ,&#10;Gharghur, Malta on Google Maps"/>
    <x:hyperlink ref="E27" r:id="rId4557" tooltip="Search St. Paul's Bay, Malta on Google Maps"/>
    <x:hyperlink ref="E29" r:id="rId4558" tooltip="Search Triq Mons. Mikielang Mifsud on Google Maps"/>
    <x:hyperlink ref="E30" r:id="rId4559" tooltip="Search API CONTRACTORS&#10;91 Triq Hal Qormi ,&#10;Hamrun HMR 2183 on Google Maps"/>
    <x:hyperlink ref="E31" r:id="rId4560" tooltip="Search Swietenia Triq il-Bdiewa Bidnija&#10;Mosta&#10;MST 5073 on Google Maps"/>
    <x:hyperlink ref="E32" r:id="rId4561" tooltip="Search Send for Isla on Google Maps"/>
    <x:hyperlink ref="F2" r:id="rId4562" tooltip="Visit axconstruction.com.mt/"/>
    <x:hyperlink ref="F4" r:id="rId4563" tooltip="Visit kibitec.com/"/>
    <x:hyperlink ref="F5" r:id="rId4564" tooltip="Visit yellow.com.mt/rs-construction/building-contractors/"/>
    <x:hyperlink ref="F6" r:id="rId4565" tooltip="Visit barbrosgroup.com/"/>
    <x:hyperlink ref="F7" r:id="rId4566" tooltip="Visit facebook.com/sadevelopments/"/>
    <x:hyperlink ref="F8" r:id="rId4567" tooltip="Visit zahragroup.com.mt/"/>
    <x:hyperlink ref="F9" r:id="rId4568" tooltip="Visit facebook.com/optimaprojectsmalta/"/>
    <x:hyperlink ref="F10" r:id="rId4569" tooltip="Visit facebook.com/profile.php?id=100083372109614"/>
    <x:hyperlink ref="F11" r:id="rId4570" tooltip="Visit attardbros.com/"/>
    <x:hyperlink ref="F12" r:id="rId4571" tooltip="Visit bbconstruction.mt/"/>
    <x:hyperlink ref="F13" r:id="rId4572" tooltip="Visit vassallogroupmalta.com/construction/"/>
    <x:hyperlink ref="F14" r:id="rId4573" tooltip="Visit vassallogroupmalta.com/construction/"/>
    <x:hyperlink ref="F15" r:id="rId4574" tooltip="Visit elbros.com.mt/"/>
    <x:hyperlink ref="F16" r:id="rId4575" tooltip="Visit tmc.com.mt/"/>
    <x:hyperlink ref="F17" r:id="rId4576" tooltip="Visit polidano-group.com/home.html"/>
    <x:hyperlink ref="F18" r:id="rId4577" tooltip="Visit ogcivilworks.com/"/>
    <x:hyperlink ref="F19" r:id="rId4578" tooltip="Visit jslholdingsltd.com/"/>
    <x:hyperlink ref="F20" r:id="rId4579" tooltip="Visit fourvcmalta.com/?utm_source=Yellow&amp;utm_medium=Yellow-Website&amp;utm_campaign=Landing-Page"/>
    <x:hyperlink ref="F21" r:id="rId4580" tooltip="Visit yellow.com.mt/mifsud-brothers/building-contractors/"/>
    <x:hyperlink ref="F22" r:id="rId4581" tooltip="Visit aaconstructionworks.com/?utm_source=Yellow&amp;utm_medium=Yellow-Website&amp;utm_campaign=Landing-Page"/>
    <x:hyperlink ref="F23" r:id="rId4582" tooltip="Visit talkarmnu.com.mt/"/>
    <x:hyperlink ref="F24" r:id="rId4583" tooltip="Visit yellow.com.mt/c-s-services/building-contractors/"/>
    <x:hyperlink ref="F25" r:id="rId4584" tooltip="Visit yellow.com.mt/philip-bongailas/building-contractors/"/>
    <x:hyperlink ref="F27" r:id="rId4585" tooltip="Visit noelmizzi.com/?utm_source=Yellow&amp;utm_medium=Yellow-Website&amp;utm_campaign=Landing-Page"/>
    <x:hyperlink ref="F29" r:id="rId4586" tooltip="Visit yellow.com.mt/e-ciantar-construction_building-contractors+siggiewi/"/>
    <x:hyperlink ref="F30" r:id="rId4587" tooltip="Visit taclimited.net/?utm_source=Yellow&amp;utm_medium=Yellow-Website&amp;utm_campaign=Landing-Page"/>
    <x:hyperlink ref="F31" r:id="rId4588" tooltip="Visit leacontractors.com/?utm_source=chatgpt.com"/>
    <x:hyperlink ref="F32" r:id="rId4589" tooltip="Visit mtfbonannoltd.com/"/>
    <x:hyperlink ref="F33" r:id="rId4590" tooltip="Visit facebook.com/profile.php?id=100064105449582&amp;utm_source=Yellow&amp;utm_medium=Yellow-Website&amp;utm_campaign=Landing-Page"/>
    <x:hyperlink ref="F34" r:id="rId4591" tooltip="Visit talbidnijademolitions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45"/>
  <x:sheetViews>
    <x:sheetView workbookViewId="0"/>
  </x:sheetViews>
  <x:sheetFormatPr defaultRowHeight="15"/>
  <x:cols>
    <x:col min="1" max="1" width="14.710625" style="0" customWidth="1"/>
    <x:col min="2" max="2" width="44.424911" style="0" customWidth="1"/>
    <x:col min="3" max="3" width="38.282054" style="0" customWidth="1"/>
    <x:col min="4" max="4" width="29.853482" style="0" customWidth="1"/>
    <x:col min="5" max="5" width="53.853482" style="0" customWidth="1"/>
    <x:col min="6" max="6" width="34.710625" style="0" customWidth="1"/>
    <x:col min="7" max="7" width="20.996339" style="0" customWidth="1"/>
  </x:cols>
  <x:sheetData>
    <x:row r="1" spans="1:7" s="2" customFormat="1">
      <x:c r="A1" s="2" t="s">
        <x:v>4182</x:v>
      </x:c>
      <x:c r="B1" s="2" t="s">
        <x:v>3004</x:v>
      </x:c>
      <x:c r="C1" s="2" t="s">
        <x:v>3032</x:v>
      </x:c>
      <x:c r="D1" s="2" t="s">
        <x:v>4326</x:v>
      </x:c>
      <x:c r="E1" s="2" t="s">
        <x:v>3062</x:v>
      </x:c>
      <x:c r="F1" s="2" t="s">
        <x:v>3087</x:v>
      </x:c>
      <x:c r="G1" s="5">
        <x:f>HYPERLINK("#'Summary List'!A72", "Back to Summary")</x:f>
      </x:c>
    </x:row>
    <x:row r="2" spans="1:7" s="3" customFormat="1">
      <x:c r="A2" s="3" t="s">
        <x:v>4183</x:v>
      </x:c>
      <x:c r="B2" s="3" t="s">
        <x:v>4191</x:v>
      </x:c>
      <x:c r="C2" s="6" t="s">
        <x:v>4261</x:v>
      </x:c>
      <x:c r="D2" s="7">
        <x:f>CONCATENATE(HYPERLINK("CALLTO:%2B356%209947%205511", "+356 9947 5511"))</x:f>
      </x:c>
      <x:c r="E2" s="6" t="s">
        <x:v>4327</x:v>
      </x:c>
      <x:c r="F2" s="3" t="s">
        <x:v>144</x:v>
      </x:c>
    </x:row>
    <x:row r="3" spans="1:7" s="1" customFormat="1">
      <x:c r="A3" s="1" t="s">
        <x:v>4183</x:v>
      </x:c>
      <x:c r="B3" s="1" t="s">
        <x:v>4192</x:v>
      </x:c>
      <x:c r="C3" s="8" t="s">
        <x:v>4262</x:v>
      </x:c>
      <x:c r="D3" s="9">
        <x:f>CONCATENATE(HYPERLINK("CALLTO:%2B356%209940%205224", "+356 9940 5224"))</x:f>
      </x:c>
      <x:c r="E3" s="8" t="s">
        <x:v>4328</x:v>
      </x:c>
      <x:c r="F3" s="1" t="s">
        <x:v>144</x:v>
      </x:c>
    </x:row>
    <x:row r="4" spans="1:7" s="4" customFormat="1">
      <x:c r="A4" s="4" t="s">
        <x:v>4183</x:v>
      </x:c>
      <x:c r="B4" s="4" t="s">
        <x:v>4193</x:v>
      </x:c>
      <x:c r="C4" s="10" t="s">
        <x:v>4263</x:v>
      </x:c>
      <x:c r="D4" s="11">
        <x:f>CONCATENATE(HYPERLINK("CALLTO:%2B356%209988%208326", "+356 9988 8326"))</x:f>
      </x:c>
      <x:c r="E4" s="10" t="s">
        <x:v>4329</x:v>
      </x:c>
      <x:c r="F4" s="4" t="s">
        <x:v>144</x:v>
      </x:c>
    </x:row>
    <x:row r="5" spans="1:7" s="3" customFormat="1">
      <x:c r="A5" s="3" t="s">
        <x:v>4183</x:v>
      </x:c>
      <x:c r="B5" s="3" t="s">
        <x:v>4194</x:v>
      </x:c>
      <x:c r="C5" s="6" t="s">
        <x:v>4264</x:v>
      </x:c>
      <x:c r="D5" s="7">
        <x:f>CONCATENATE(HYPERLINK("CALLTO:%2B356%207949%206415", "+356 7949 6415"))</x:f>
      </x:c>
      <x:c r="E5" s="6" t="s">
        <x:v>4330</x:v>
      </x:c>
      <x:c r="F5" s="6" t="s">
        <x:v>4344</x:v>
      </x:c>
    </x:row>
    <x:row r="6" spans="1:7" s="1" customFormat="1">
      <x:c r="A6" s="1" t="s">
        <x:v>4183</x:v>
      </x:c>
      <x:c r="B6" s="1" t="s">
        <x:v>4195</x:v>
      </x:c>
      <x:c r="C6" s="8" t="s">
        <x:v>4265</x:v>
      </x:c>
      <x:c r="D6" s="9">
        <x:f>CONCATENATE(HYPERLINK("CALLTO:%2B356%202149%200957", "+356 2149 0957"))</x:f>
      </x:c>
      <x:c r="E6" s="8" t="s">
        <x:v>4331</x:v>
      </x:c>
      <x:c r="F6" s="8" t="s">
        <x:v>4345</x:v>
      </x:c>
    </x:row>
    <x:row r="7" spans="1:7" s="4" customFormat="1">
      <x:c r="A7" s="4" t="s">
        <x:v>4183</x:v>
      </x:c>
      <x:c r="B7" s="4" t="s">
        <x:v>4197</x:v>
      </x:c>
      <x:c r="C7" s="10" t="s">
        <x:v>4266</x:v>
      </x:c>
      <x:c r="D7" s="11">
        <x:f>CONCATENATE(HYPERLINK("CALLTO:%2B356%202167%204351", "+356 2167 4351"))</x:f>
      </x:c>
      <x:c r="E7" s="10" t="s">
        <x:v>4332</x:v>
      </x:c>
      <x:c r="F7" s="4" t="s">
        <x:v>144</x:v>
      </x:c>
    </x:row>
    <x:row r="8" spans="1:7" s="3" customFormat="1">
      <x:c r="A8" s="3" t="s">
        <x:v>4183</x:v>
      </x:c>
      <x:c r="B8" s="3" t="s">
        <x:v>4198</x:v>
      </x:c>
      <x:c r="C8" s="6" t="s">
        <x:v>4267</x:v>
      </x:c>
      <x:c r="D8" s="7">
        <x:f>CONCATENATE(HYPERLINK("CALLTO:%2B356%209984%202178", "+356 9984 2178"))</x:f>
      </x:c>
      <x:c r="E8" s="6" t="s">
        <x:v>4333</x:v>
      </x:c>
      <x:c r="F8" s="3" t="s">
        <x:v>144</x:v>
      </x:c>
    </x:row>
    <x:row r="9" spans="1:7" s="1" customFormat="1">
      <x:c r="A9" s="1" t="s">
        <x:v>4183</x:v>
      </x:c>
      <x:c r="B9" s="1" t="s">
        <x:v>4199</x:v>
      </x:c>
      <x:c r="C9" s="8" t="s">
        <x:v>4268</x:v>
      </x:c>
      <x:c r="D9" s="9">
        <x:f>CONCATENATE(HYPERLINK("CALLTO:%2B356%202123%200171", "+356 2123 0171"))</x:f>
      </x:c>
      <x:c r="E9" s="8" t="s">
        <x:v>4334</x:v>
      </x:c>
      <x:c r="F9" s="1" t="s">
        <x:v>144</x:v>
      </x:c>
    </x:row>
    <x:row r="10" spans="1:7" s="4" customFormat="1">
      <x:c r="A10" s="4" t="s">
        <x:v>4183</x:v>
      </x:c>
      <x:c r="B10" s="4" t="s">
        <x:v>4200</x:v>
      </x:c>
      <x:c r="C10" s="10" t="s">
        <x:v>4269</x:v>
      </x:c>
      <x:c r="D10" s="11">
        <x:f>CONCATENATE(HYPERLINK("CALLTO:%2B356%207926%200592", "+356 7926 0592"))</x:f>
      </x:c>
      <x:c r="E10" s="10" t="s">
        <x:v>4335</x:v>
      </x:c>
      <x:c r="F10" s="4" t="s">
        <x:v>144</x:v>
      </x:c>
    </x:row>
    <x:row r="11" spans="1:7" s="3" customFormat="1">
      <x:c r="A11" s="3" t="s">
        <x:v>4183</x:v>
      </x:c>
      <x:c r="B11" s="3" t="s">
        <x:v>4201</x:v>
      </x:c>
      <x:c r="C11" s="6" t="s">
        <x:v>4270</x:v>
      </x:c>
      <x:c r="D11" s="7">
        <x:f>CONCATENATE(HYPERLINK("CALLTO:%2B356%209949%208033", "+356 9949 8033"))</x:f>
      </x:c>
      <x:c r="E11" s="6" t="s">
        <x:v>4336</x:v>
      </x:c>
      <x:c r="F11" s="3" t="s">
        <x:v>144</x:v>
      </x:c>
    </x:row>
    <x:row r="12" spans="1:7" s="1" customFormat="1">
      <x:c r="A12" s="1" t="s">
        <x:v>4183</x:v>
      </x:c>
      <x:c r="B12" s="1" t="s">
        <x:v>4202</x:v>
      </x:c>
      <x:c r="C12" s="8" t="s">
        <x:v>4271</x:v>
      </x:c>
      <x:c r="D12" s="9">
        <x:f>CONCATENATE(HYPERLINK("CALLTO:%2B356%202148%206213", "+356 2148 6213"))</x:f>
      </x:c>
      <x:c r="E12" s="8" t="s">
        <x:v>4337</x:v>
      </x:c>
      <x:c r="F12" s="1" t="s">
        <x:v>144</x:v>
      </x:c>
    </x:row>
    <x:row r="13" spans="1:7" s="4" customFormat="1">
      <x:c r="A13" s="4" t="s">
        <x:v>4183</x:v>
      </x:c>
      <x:c r="B13" s="4" t="s">
        <x:v>4196</x:v>
      </x:c>
      <x:c r="C13" s="10" t="s">
        <x:v>4272</x:v>
      </x:c>
      <x:c r="D13" s="11">
        <x:f>CONCATENATE(HYPERLINK("CALLTO:%2B356%207920%200196", "+356 7920 0196"))</x:f>
      </x:c>
      <x:c r="E13" s="10" t="s">
        <x:v>4338</x:v>
      </x:c>
      <x:c r="F13" s="4" t="s">
        <x:v>144</x:v>
      </x:c>
    </x:row>
    <x:row r="14" spans="1:7" s="3" customFormat="1"/>
    <x:row r="15" spans="1:7" s="1" customFormat="1">
      <x:c r="A15" s="1" t="s">
        <x:v>4184</x:v>
      </x:c>
      <x:c r="B15" s="1" t="s">
        <x:v>4203</x:v>
      </x:c>
      <x:c r="C15" s="8" t="s">
        <x:v>4273</x:v>
      </x:c>
      <x:c r="D15" s="9">
        <x:f>CONCATENATE(HYPERLINK("CALLTO:%2B356%209948%205960", "+356 9948 5960"))</x:f>
      </x:c>
      <x:c r="E15" s="8" t="s">
        <x:v>4339</x:v>
      </x:c>
      <x:c r="F15" s="1" t="s">
        <x:v>144</x:v>
      </x:c>
    </x:row>
    <x:row r="16" spans="1:7" s="4" customFormat="1">
      <x:c r="A16" s="4" t="s">
        <x:v>4184</x:v>
      </x:c>
      <x:c r="B16" s="4" t="s">
        <x:v>4204</x:v>
      </x:c>
      <x:c r="C16" s="10" t="s">
        <x:v>4274</x:v>
      </x:c>
      <x:c r="D16" s="11">
        <x:f>CONCATENATE(HYPERLINK("CALLTO:%2B356%207987%206320", "+356 7987 6320"))</x:f>
      </x:c>
      <x:c r="E16" s="10" t="s">
        <x:v>4340</x:v>
      </x:c>
      <x:c r="F16" s="10" t="s">
        <x:v>4341</x:v>
      </x:c>
    </x:row>
    <x:row r="17" spans="1:7" s="3" customFormat="1"/>
    <x:row r="18" spans="1:7" s="1" customFormat="1">
      <x:c r="A18" s="1" t="s">
        <x:v>4185</x:v>
      </x:c>
      <x:c r="B18" s="1" t="s">
        <x:v>4205</x:v>
      </x:c>
      <x:c r="C18" s="8" t="s">
        <x:v>4275</x:v>
      </x:c>
      <x:c r="D18" s="9">
        <x:f>CONCATENATE(HYPERLINK("CALLTO:%2B356%207725%205874", "+356 7725 5874"), " / ", HYPERLINK("CALLTO:%2B356%207965%200536", "+356 7965 0536"))</x:f>
      </x:c>
      <x:c r="E18" s="8" t="s">
        <x:v>4341</x:v>
      </x:c>
      <x:c r="F18" s="8" t="s">
        <x:v>913</x:v>
      </x:c>
    </x:row>
    <x:row r="19" spans="1:7" s="4" customFormat="1">
      <x:c r="A19" s="4" t="s">
        <x:v>4185</x:v>
      </x:c>
      <x:c r="B19" s="4" t="s">
        <x:v>4206</x:v>
      </x:c>
      <x:c r="C19" s="10" t="s">
        <x:v>4276</x:v>
      </x:c>
      <x:c r="D19" s="11">
        <x:f>CONCATENATE(HYPERLINK("CALLTO:%2B356%209947%202226", "+356 9947 2226"))</x:f>
      </x:c>
      <x:c r="E19" s="10" t="s">
        <x:v>4343</x:v>
      </x:c>
      <x:c r="F19" s="10" t="s">
        <x:v>1473</x:v>
      </x:c>
    </x:row>
    <x:row r="20" spans="1:7" s="3" customFormat="1">
      <x:c r="A20" s="3" t="s">
        <x:v>4185</x:v>
      </x:c>
      <x:c r="B20" s="3" t="s">
        <x:v>4207</x:v>
      </x:c>
      <x:c r="C20" s="6" t="s">
        <x:v>4277</x:v>
      </x:c>
      <x:c r="D20" s="7">
        <x:f>CONCATENATE(HYPERLINK("CALLTO:%2B356%202148%203216", "+356 2148 3216"), " / ", HYPERLINK("CALLTO:%2B356%202144%205947", "+356 2144 5947"))</x:f>
      </x:c>
      <x:c r="E20" s="6" t="s">
        <x:v>4342</x:v>
      </x:c>
      <x:c r="F20" s="6" t="s">
        <x:v>2860</x:v>
      </x:c>
    </x:row>
    <x:row r="21" spans="1:7" s="1" customFormat="1">
      <x:c r="A21" s="1" t="s">
        <x:v>4185</x:v>
      </x:c>
      <x:c r="B21" s="1" t="s">
        <x:v>4208</x:v>
      </x:c>
      <x:c r="C21" s="8" t="s">
        <x:v>4278</x:v>
      </x:c>
      <x:c r="D21" s="9">
        <x:f>CONCATENATE(HYPERLINK("CALLTO:%2B356%202167%206627", "+356 2167 6627"))</x:f>
      </x:c>
      <x:c r="E21" s="8" t="s">
        <x:v>2399</x:v>
      </x:c>
    </x:row>
    <x:row r="22" spans="1:7" s="4" customFormat="1">
      <x:c r="A22" s="4" t="s">
        <x:v>4185</x:v>
      </x:c>
      <x:c r="B22" s="4" t="s">
        <x:v>4209</x:v>
      </x:c>
      <x:c r="C22" s="10" t="s">
        <x:v>4279</x:v>
      </x:c>
    </x:row>
    <x:row r="23" spans="1:7" s="3" customFormat="1">
      <x:c r="A23" s="3" t="s">
        <x:v>4185</x:v>
      </x:c>
      <x:c r="B23" s="3" t="s">
        <x:v>4211</x:v>
      </x:c>
      <x:c r="C23" s="6" t="s">
        <x:v>128</x:v>
      </x:c>
    </x:row>
    <x:row r="24" spans="1:7" s="1" customFormat="1">
      <x:c r="A24" s="1" t="s">
        <x:v>4185</x:v>
      </x:c>
      <x:c r="B24" s="1" t="s">
        <x:v>4212</x:v>
      </x:c>
      <x:c r="C24" s="8" t="s">
        <x:v>4280</x:v>
      </x:c>
    </x:row>
    <x:row r="25" spans="1:7" s="4" customFormat="1">
      <x:c r="A25" s="4" t="s">
        <x:v>4185</x:v>
      </x:c>
      <x:c r="B25" s="4" t="s">
        <x:v>4213</x:v>
      </x:c>
      <x:c r="C25" s="10" t="s">
        <x:v>4281</x:v>
      </x:c>
    </x:row>
    <x:row r="26" spans="1:7" s="3" customFormat="1">
      <x:c r="A26" s="3" t="s">
        <x:v>4185</x:v>
      </x:c>
      <x:c r="B26" s="3" t="s">
        <x:v>4214</x:v>
      </x:c>
      <x:c r="C26" s="6" t="s">
        <x:v>4282</x:v>
      </x:c>
    </x:row>
    <x:row r="27" spans="1:7" s="1" customFormat="1">
      <x:c r="A27" s="1" t="s">
        <x:v>4185</x:v>
      </x:c>
      <x:c r="B27" s="1" t="s">
        <x:v>4210</x:v>
      </x:c>
      <x:c r="C27" s="8" t="s">
        <x:v>2684</x:v>
      </x:c>
    </x:row>
    <x:row r="28" spans="1:7" s="4" customFormat="1">
      <x:c r="A28" s="4" t="s">
        <x:v>4185</x:v>
      </x:c>
      <x:c r="B28" s="4" t="s">
        <x:v>4215</x:v>
      </x:c>
      <x:c r="C28" s="10" t="s">
        <x:v>4283</x:v>
      </x:c>
    </x:row>
    <x:row r="29" spans="1:7" s="3" customFormat="1">
      <x:c r="A29" s="3" t="s">
        <x:v>4185</x:v>
      </x:c>
      <x:c r="B29" s="3" t="s">
        <x:v>4216</x:v>
      </x:c>
      <x:c r="C29" s="6" t="s">
        <x:v>4284</x:v>
      </x:c>
    </x:row>
    <x:row r="30" spans="1:7" s="1" customFormat="1">
      <x:c r="A30" s="1" t="s">
        <x:v>4185</x:v>
      </x:c>
      <x:c r="B30" s="1" t="s">
        <x:v>4217</x:v>
      </x:c>
      <x:c r="C30" s="8" t="s">
        <x:v>4285</x:v>
      </x:c>
    </x:row>
    <x:row r="31" spans="1:7" s="4" customFormat="1">
      <x:c r="A31" s="4" t="s">
        <x:v>4185</x:v>
      </x:c>
      <x:c r="B31" s="4" t="s">
        <x:v>4218</x:v>
      </x:c>
      <x:c r="C31" s="10" t="s">
        <x:v>4286</x:v>
      </x:c>
    </x:row>
    <x:row r="32" spans="1:7" s="3" customFormat="1">
      <x:c r="A32" s="3" t="s">
        <x:v>4185</x:v>
      </x:c>
      <x:c r="B32" s="3" t="s">
        <x:v>4219</x:v>
      </x:c>
      <x:c r="C32" s="6" t="s">
        <x:v>4287</x:v>
      </x:c>
    </x:row>
    <x:row r="33" spans="1:7" s="1" customFormat="1">
      <x:c r="A33" s="1" t="s">
        <x:v>4185</x:v>
      </x:c>
      <x:c r="B33" s="1" t="s">
        <x:v>4220</x:v>
      </x:c>
      <x:c r="C33" s="8" t="s">
        <x:v>4288</x:v>
      </x:c>
    </x:row>
    <x:row r="34" spans="1:7" s="4" customFormat="1">
      <x:c r="A34" s="4" t="s">
        <x:v>4185</x:v>
      </x:c>
      <x:c r="B34" s="4" t="s">
        <x:v>4221</x:v>
      </x:c>
      <x:c r="C34" s="10" t="s">
        <x:v>4289</x:v>
      </x:c>
    </x:row>
    <x:row r="35" spans="1:7" s="3" customFormat="1">
      <x:c r="A35" s="3" t="s">
        <x:v>4185</x:v>
      </x:c>
      <x:c r="B35" s="3" t="s">
        <x:v>4222</x:v>
      </x:c>
      <x:c r="C35" s="6" t="s">
        <x:v>4290</x:v>
      </x:c>
    </x:row>
    <x:row r="36" spans="1:7" s="1" customFormat="1">
      <x:c r="A36" s="1" t="s">
        <x:v>4185</x:v>
      </x:c>
      <x:c r="B36" s="1" t="s">
        <x:v>4223</x:v>
      </x:c>
      <x:c r="C36" s="8" t="s">
        <x:v>4291</x:v>
      </x:c>
    </x:row>
    <x:row r="37" spans="1:7" s="4" customFormat="1">
      <x:c r="A37" s="4" t="s">
        <x:v>4185</x:v>
      </x:c>
      <x:c r="B37" s="4" t="s">
        <x:v>4224</x:v>
      </x:c>
      <x:c r="C37" s="10" t="s">
        <x:v>4292</x:v>
      </x:c>
    </x:row>
    <x:row r="38" spans="1:7" s="3" customFormat="1">
      <x:c r="A38" s="3" t="s">
        <x:v>4185</x:v>
      </x:c>
      <x:c r="B38" s="3" t="s">
        <x:v>4225</x:v>
      </x:c>
      <x:c r="C38" s="6" t="s">
        <x:v>4279</x:v>
      </x:c>
    </x:row>
    <x:row r="39" spans="1:7" s="1" customFormat="1">
      <x:c r="A39" s="1" t="s">
        <x:v>4185</x:v>
      </x:c>
      <x:c r="B39" s="1" t="s">
        <x:v>104</x:v>
      </x:c>
      <x:c r="C39" s="8" t="s">
        <x:v>4293</x:v>
      </x:c>
    </x:row>
    <x:row r="40" spans="1:7" s="4" customFormat="1">
      <x:c r="A40" s="4" t="s">
        <x:v>4185</x:v>
      </x:c>
      <x:c r="B40" s="4" t="s">
        <x:v>4226</x:v>
      </x:c>
      <x:c r="C40" s="10" t="s">
        <x:v>4280</x:v>
      </x:c>
    </x:row>
    <x:row r="41" spans="1:7" s="3" customFormat="1">
      <x:c r="A41" s="3" t="s">
        <x:v>4185</x:v>
      </x:c>
      <x:c r="B41" s="3" t="s">
        <x:v>4227</x:v>
      </x:c>
      <x:c r="C41" s="6" t="s">
        <x:v>4294</x:v>
      </x:c>
    </x:row>
    <x:row r="42" spans="1:7" s="1" customFormat="1">
      <x:c r="A42" s="1" t="s">
        <x:v>4185</x:v>
      </x:c>
      <x:c r="B42" s="1" t="s">
        <x:v>3026</x:v>
      </x:c>
      <x:c r="C42" s="8" t="s">
        <x:v>4295</x:v>
      </x:c>
    </x:row>
    <x:row r="43" spans="1:7" s="4" customFormat="1">
      <x:c r="A43" s="4" t="s">
        <x:v>4185</x:v>
      </x:c>
      <x:c r="B43" s="4" t="s">
        <x:v>4228</x:v>
      </x:c>
      <x:c r="C43" s="10" t="s">
        <x:v>4296</x:v>
      </x:c>
    </x:row>
    <x:row r="44" spans="1:7" s="3" customFormat="1">
      <x:c r="A44" s="3" t="s">
        <x:v>4185</x:v>
      </x:c>
      <x:c r="B44" s="3" t="s">
        <x:v>4229</x:v>
      </x:c>
      <x:c r="C44" s="6" t="s">
        <x:v>4297</x:v>
      </x:c>
    </x:row>
    <x:row r="45" spans="1:7" s="1" customFormat="1">
      <x:c r="A45" s="1" t="s">
        <x:v>4185</x:v>
      </x:c>
      <x:c r="B45" s="1" t="s">
        <x:v>4230</x:v>
      </x:c>
      <x:c r="C45" s="8" t="s">
        <x:v>4298</x:v>
      </x:c>
    </x:row>
    <x:row r="46" spans="1:7" s="4" customFormat="1">
      <x:c r="A46" s="4" t="s">
        <x:v>4185</x:v>
      </x:c>
      <x:c r="B46" s="4" t="s">
        <x:v>4231</x:v>
      </x:c>
      <x:c r="C46" s="10" t="s">
        <x:v>4299</x:v>
      </x:c>
    </x:row>
    <x:row r="47" spans="1:7" s="3" customFormat="1">
      <x:c r="A47" s="3" t="s">
        <x:v>4185</x:v>
      </x:c>
      <x:c r="B47" s="3" t="s">
        <x:v>116</x:v>
      </x:c>
      <x:c r="C47" s="6" t="s">
        <x:v>141</x:v>
      </x:c>
    </x:row>
    <x:row r="48" spans="1:7" s="1" customFormat="1">
      <x:c r="A48" s="1" t="s">
        <x:v>4185</x:v>
      </x:c>
      <x:c r="B48" s="1" t="s">
        <x:v>4232</x:v>
      </x:c>
      <x:c r="C48" s="8" t="s">
        <x:v>4300</x:v>
      </x:c>
    </x:row>
    <x:row r="49" spans="1:7" s="4" customFormat="1">
      <x:c r="A49" s="4" t="s">
        <x:v>4185</x:v>
      </x:c>
      <x:c r="B49" s="4" t="s">
        <x:v>4233</x:v>
      </x:c>
      <x:c r="C49" s="10" t="s">
        <x:v>4301</x:v>
      </x:c>
    </x:row>
    <x:row r="50" spans="1:7" s="3" customFormat="1">
      <x:c r="A50" s="3" t="s">
        <x:v>4185</x:v>
      </x:c>
      <x:c r="B50" s="3" t="s">
        <x:v>4234</x:v>
      </x:c>
      <x:c r="C50" s="6" t="s">
        <x:v>3946</x:v>
      </x:c>
    </x:row>
    <x:row r="51" spans="1:7" s="1" customFormat="1"/>
    <x:row r="52" spans="1:7" s="4" customFormat="1">
      <x:c r="A52" s="4" t="s">
        <x:v>4186</x:v>
      </x:c>
      <x:c r="B52" s="4" t="s">
        <x:v>4235</x:v>
      </x:c>
      <x:c r="C52" s="10" t="s">
        <x:v>4302</x:v>
      </x:c>
    </x:row>
    <x:row r="53" spans="1:7" s="3" customFormat="1">
      <x:c r="A53" s="3" t="s">
        <x:v>4186</x:v>
      </x:c>
      <x:c r="B53" s="3" t="s">
        <x:v>112</x:v>
      </x:c>
      <x:c r="C53" s="6" t="s">
        <x:v>4181</x:v>
      </x:c>
    </x:row>
    <x:row r="54" spans="1:7" s="1" customFormat="1">
      <x:c r="A54" s="1" t="s">
        <x:v>4186</x:v>
      </x:c>
      <x:c r="B54" s="1" t="s">
        <x:v>4227</x:v>
      </x:c>
      <x:c r="C54" s="8" t="s">
        <x:v>4294</x:v>
      </x:c>
    </x:row>
    <x:row r="55" spans="1:7" s="4" customFormat="1">
      <x:c r="A55" s="4" t="s">
        <x:v>4186</x:v>
      </x:c>
      <x:c r="B55" s="4" t="s">
        <x:v>4236</x:v>
      </x:c>
      <x:c r="C55" s="10" t="s">
        <x:v>4304</x:v>
      </x:c>
    </x:row>
    <x:row r="56" spans="1:7" s="3" customFormat="1">
      <x:c r="A56" s="3" t="s">
        <x:v>4186</x:v>
      </x:c>
      <x:c r="B56" s="3" t="s">
        <x:v>4237</x:v>
      </x:c>
      <x:c r="C56" s="6" t="s">
        <x:v>4305</x:v>
      </x:c>
    </x:row>
    <x:row r="57" spans="1:7" s="1" customFormat="1">
      <x:c r="A57" s="1" t="s">
        <x:v>4186</x:v>
      </x:c>
      <x:c r="B57" s="1" t="s">
        <x:v>4209</x:v>
      </x:c>
      <x:c r="C57" s="8" t="s">
        <x:v>4306</x:v>
      </x:c>
    </x:row>
    <x:row r="58" spans="1:7" s="4" customFormat="1">
      <x:c r="A58" s="4" t="s">
        <x:v>4186</x:v>
      </x:c>
      <x:c r="B58" s="4" t="s">
        <x:v>4226</x:v>
      </x:c>
      <x:c r="C58" s="10" t="s">
        <x:v>4303</x:v>
      </x:c>
    </x:row>
    <x:row r="59" spans="1:7" s="3" customFormat="1">
      <x:c r="A59" s="3" t="s">
        <x:v>4186</x:v>
      </x:c>
      <x:c r="B59" s="3" t="s">
        <x:v>4238</x:v>
      </x:c>
      <x:c r="C59" s="6" t="s">
        <x:v>4307</x:v>
      </x:c>
    </x:row>
    <x:row r="60" spans="1:7" s="1" customFormat="1">
      <x:c r="A60" s="1" t="s">
        <x:v>4186</x:v>
      </x:c>
      <x:c r="B60" s="1" t="s">
        <x:v>4239</x:v>
      </x:c>
      <x:c r="C60" s="8" t="s">
        <x:v>4308</x:v>
      </x:c>
    </x:row>
    <x:row r="61" spans="1:7" s="4" customFormat="1">
      <x:c r="A61" s="4" t="s">
        <x:v>4186</x:v>
      </x:c>
      <x:c r="B61" s="4" t="s">
        <x:v>4240</x:v>
      </x:c>
      <x:c r="C61" s="10" t="s">
        <x:v>2684</x:v>
      </x:c>
    </x:row>
    <x:row r="62" spans="1:7" s="3" customFormat="1">
      <x:c r="A62" s="3" t="s">
        <x:v>4186</x:v>
      </x:c>
      <x:c r="B62" s="3" t="s">
        <x:v>4241</x:v>
      </x:c>
      <x:c r="C62" s="6" t="s">
        <x:v>4309</x:v>
      </x:c>
    </x:row>
    <x:row r="63" spans="1:7" s="1" customFormat="1">
      <x:c r="A63" s="1" t="s">
        <x:v>4186</x:v>
      </x:c>
      <x:c r="B63" s="1" t="s">
        <x:v>4242</x:v>
      </x:c>
      <x:c r="C63" s="8" t="s">
        <x:v>4310</x:v>
      </x:c>
    </x:row>
    <x:row r="64" spans="1:7" s="4" customFormat="1">
      <x:c r="A64" s="4" t="s">
        <x:v>4186</x:v>
      </x:c>
      <x:c r="B64" s="4" t="s">
        <x:v>183</x:v>
      </x:c>
      <x:c r="C64" s="10" t="s">
        <x:v>195</x:v>
      </x:c>
    </x:row>
    <x:row r="65" spans="1:7" s="3" customFormat="1">
      <x:c r="A65" s="3" t="s">
        <x:v>4186</x:v>
      </x:c>
      <x:c r="B65" s="3" t="s">
        <x:v>4243</x:v>
      </x:c>
      <x:c r="C65" s="6" t="s">
        <x:v>4311</x:v>
      </x:c>
    </x:row>
    <x:row r="66" spans="1:7" s="1" customFormat="1">
      <x:c r="A66" s="1" t="s">
        <x:v>4186</x:v>
      </x:c>
      <x:c r="B66" s="1" t="s">
        <x:v>4244</x:v>
      </x:c>
      <x:c r="C66" s="8" t="s">
        <x:v>4312</x:v>
      </x:c>
    </x:row>
    <x:row r="67" spans="1:7" s="4" customFormat="1">
      <x:c r="A67" s="4" t="s">
        <x:v>4186</x:v>
      </x:c>
      <x:c r="B67" s="4" t="s">
        <x:v>995</x:v>
      </x:c>
      <x:c r="C67" s="10" t="s">
        <x:v>1016</x:v>
      </x:c>
    </x:row>
    <x:row r="68" spans="1:7" s="3" customFormat="1"/>
    <x:row r="69" spans="1:7" s="1" customFormat="1">
      <x:c r="A69" s="1" t="s">
        <x:v>4187</x:v>
      </x:c>
      <x:c r="B69" s="1" t="s">
        <x:v>4245</x:v>
      </x:c>
      <x:c r="C69" s="8" t="s">
        <x:v>4313</x:v>
      </x:c>
    </x:row>
    <x:row r="70" spans="1:7" s="4" customFormat="1">
      <x:c r="A70" s="4" t="s">
        <x:v>4187</x:v>
      </x:c>
      <x:c r="B70" s="4" t="s">
        <x:v>3806</x:v>
      </x:c>
      <x:c r="C70" s="10" t="s">
        <x:v>3841</x:v>
      </x:c>
    </x:row>
    <x:row r="71" spans="1:7" s="3" customFormat="1">
      <x:c r="A71" s="3" t="s">
        <x:v>4187</x:v>
      </x:c>
      <x:c r="B71" s="3" t="s">
        <x:v>4246</x:v>
      </x:c>
      <x:c r="C71" s="6" t="s">
        <x:v>4314</x:v>
      </x:c>
    </x:row>
    <x:row r="72" spans="1:7" s="1" customFormat="1">
      <x:c r="A72" s="1" t="s">
        <x:v>4187</x:v>
      </x:c>
      <x:c r="B72" s="1" t="s">
        <x:v>4247</x:v>
      </x:c>
      <x:c r="C72" s="8" t="s">
        <x:v>4315</x:v>
      </x:c>
    </x:row>
    <x:row r="73" spans="1:7" s="4" customFormat="1">
      <x:c r="A73" s="4" t="s">
        <x:v>4187</x:v>
      </x:c>
      <x:c r="B73" s="4" t="s">
        <x:v>4248</x:v>
      </x:c>
      <x:c r="C73" s="10" t="s">
        <x:v>4316</x:v>
      </x:c>
    </x:row>
    <x:row r="74" spans="1:7" s="3" customFormat="1">
      <x:c r="A74" s="3" t="s">
        <x:v>4187</x:v>
      </x:c>
      <x:c r="B74" s="3" t="s">
        <x:v>4249</x:v>
      </x:c>
      <x:c r="C74" s="6" t="s">
        <x:v>4317</x:v>
      </x:c>
    </x:row>
    <x:row r="75" spans="1:7" s="1" customFormat="1">
      <x:c r="A75" s="1" t="s">
        <x:v>4187</x:v>
      </x:c>
      <x:c r="B75" s="1" t="s">
        <x:v>4250</x:v>
      </x:c>
      <x:c r="C75" s="8" t="s">
        <x:v>4318</x:v>
      </x:c>
    </x:row>
    <x:row r="76" spans="1:7" s="4" customFormat="1"/>
    <x:row r="77" spans="1:7" s="3" customFormat="1">
      <x:c r="A77" s="3" t="s">
        <x:v>4188</x:v>
      </x:c>
      <x:c r="B77" s="3" t="s">
        <x:v>4252</x:v>
      </x:c>
      <x:c r="C77" s="6" t="s">
        <x:v>4319</x:v>
      </x:c>
    </x:row>
    <x:row r="78" spans="1:7" s="1" customFormat="1">
      <x:c r="A78" s="1" t="s">
        <x:v>4188</x:v>
      </x:c>
      <x:c r="B78" s="1" t="s">
        <x:v>4253</x:v>
      </x:c>
      <x:c r="C78" s="8" t="s">
        <x:v>125</x:v>
      </x:c>
    </x:row>
    <x:row r="79" spans="1:7" s="4" customFormat="1">
      <x:c r="A79" s="4" t="s">
        <x:v>4188</x:v>
      </x:c>
      <x:c r="B79" s="4" t="s">
        <x:v>4251</x:v>
      </x:c>
      <x:c r="C79" s="10" t="s">
        <x:v>122</x:v>
      </x:c>
    </x:row>
    <x:row r="80" spans="1:7" s="3" customFormat="1">
      <x:c r="A80" s="3" t="s">
        <x:v>4188</x:v>
      </x:c>
      <x:c r="B80" s="3" t="s">
        <x:v>183</x:v>
      </x:c>
      <x:c r="C80" s="6" t="s">
        <x:v>195</x:v>
      </x:c>
    </x:row>
    <x:row r="81" spans="1:7" s="1" customFormat="1">
      <x:c r="A81" s="1" t="s">
        <x:v>4188</x:v>
      </x:c>
      <x:c r="B81" s="1" t="s">
        <x:v>4255</x:v>
      </x:c>
      <x:c r="C81" s="8" t="s">
        <x:v>4320</x:v>
      </x:c>
    </x:row>
    <x:row r="82" spans="1:7" s="4" customFormat="1">
      <x:c r="A82" s="4" t="s">
        <x:v>4188</x:v>
      </x:c>
      <x:c r="B82" s="4" t="s">
        <x:v>4254</x:v>
      </x:c>
      <x:c r="C82" s="10" t="s">
        <x:v>4321</x:v>
      </x:c>
    </x:row>
    <x:row r="83" spans="1:7" s="3" customFormat="1">
      <x:c r="A83" s="3" t="s">
        <x:v>4188</x:v>
      </x:c>
      <x:c r="B83" s="3" t="s">
        <x:v>4257</x:v>
      </x:c>
      <x:c r="C83" s="6" t="s">
        <x:v>4322</x:v>
      </x:c>
    </x:row>
    <x:row r="84" spans="1:7" s="1" customFormat="1">
      <x:c r="A84" s="1" t="s">
        <x:v>4188</x:v>
      </x:c>
      <x:c r="B84" s="1" t="s">
        <x:v>4258</x:v>
      </x:c>
      <x:c r="C84" s="8" t="s">
        <x:v>4323</x:v>
      </x:c>
    </x:row>
    <x:row r="85" spans="1:7" s="4" customFormat="1">
      <x:c r="A85" s="4" t="s">
        <x:v>4188</x:v>
      </x:c>
      <x:c r="B85" s="4" t="s">
        <x:v>4259</x:v>
      </x:c>
      <x:c r="C85" s="10" t="s">
        <x:v>4324</x:v>
      </x:c>
    </x:row>
    <x:row r="86" spans="1:7" s="3" customFormat="1">
      <x:c r="A86" s="3" t="s">
        <x:v>4188</x:v>
      </x:c>
      <x:c r="B86" s="3" t="s">
        <x:v>4256</x:v>
      </x:c>
      <x:c r="C86" s="6" t="s">
        <x:v>4325</x:v>
      </x:c>
    </x:row>
    <x:row r="87" spans="1:7" s="1" customFormat="1"/>
    <x:row r="88" spans="1:7" s="4" customFormat="1">
      <x:c r="A88" s="4" t="s">
        <x:v>4189</x:v>
      </x:c>
      <x:c r="B88" s="4" t="s">
        <x:v>4260</x:v>
      </x:c>
      <x:c r="C88" s="10" t="s">
        <x:v>1326</x:v>
      </x:c>
    </x:row>
    <x:row r="89" spans="1:7" s="3" customFormat="1"/>
    <x:row r="90" spans="1:7" s="1" customFormat="1">
      <x:c r="A90" s="1" t="s">
        <x:v>4190</x:v>
      </x:c>
      <x:c r="B90" s="1" t="s">
        <x:v>1234</x:v>
      </x:c>
      <x:c r="C90" s="8" t="s">
        <x:v>1309</x:v>
      </x:c>
    </x:row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  <x:row r="231" spans="1:7" s="1" customFormat="1"/>
    <x:row r="232" spans="1:7" s="4" customFormat="1"/>
    <x:row r="233" spans="1:7" s="3" customFormat="1"/>
    <x:row r="234" spans="1:7" s="1" customFormat="1"/>
    <x:row r="235" spans="1:7" s="4" customFormat="1"/>
    <x:row r="236" spans="1:7" s="3" customFormat="1"/>
    <x:row r="237" spans="1:7" s="1" customFormat="1"/>
    <x:row r="238" spans="1:7" s="4" customFormat="1"/>
    <x:row r="239" spans="1:7" s="3" customFormat="1"/>
    <x:row r="240" spans="1:7" s="1" customFormat="1"/>
    <x:row r="241" spans="1:7" s="4" customFormat="1"/>
    <x:row r="242" spans="1:7" s="3" customFormat="1"/>
    <x:row r="243" spans="1:7" s="1" customFormat="1"/>
    <x:row r="244" spans="1:7" s="4" customFormat="1"/>
    <x:row r="245" spans="1:7" s="3" customFormat="1"/>
    <x:row r="246" spans="1:7" s="1" customFormat="1"/>
    <x:row r="247" spans="1:7" s="4" customFormat="1"/>
    <x:row r="248" spans="1:7" s="3" customFormat="1"/>
    <x:row r="249" spans="1:7" s="1" customFormat="1"/>
    <x:row r="250" spans="1:7" s="4" customFormat="1"/>
    <x:row r="251" spans="1:7" s="3" customFormat="1"/>
    <x:row r="252" spans="1:7" s="1" customFormat="1"/>
    <x:row r="253" spans="1:7" s="4" customFormat="1"/>
    <x:row r="254" spans="1:7" s="3" customFormat="1"/>
    <x:row r="255" spans="1:7" s="1" customFormat="1"/>
    <x:row r="256" spans="1:7" s="4" customFormat="1"/>
    <x:row r="257" spans="1:7" s="3" customFormat="1"/>
    <x:row r="258" spans="1:7" s="1" customFormat="1"/>
    <x:row r="259" spans="1:7" s="4" customFormat="1"/>
    <x:row r="260" spans="1:7" s="3" customFormat="1"/>
    <x:row r="261" spans="1:7" s="1" customFormat="1"/>
    <x:row r="262" spans="1:7" s="4" customFormat="1"/>
    <x:row r="263" spans="1:7" s="3" customFormat="1"/>
    <x:row r="264" spans="1:7" s="1" customFormat="1"/>
    <x:row r="265" spans="1:7" s="4" customFormat="1"/>
    <x:row r="266" spans="1:7" s="3" customFormat="1"/>
    <x:row r="267" spans="1:7" s="1" customFormat="1"/>
    <x:row r="268" spans="1:7" s="4" customFormat="1"/>
    <x:row r="269" spans="1:7" s="3" customFormat="1"/>
    <x:row r="270" spans="1:7" s="1" customFormat="1"/>
    <x:row r="271" spans="1:7" s="4" customFormat="1"/>
    <x:row r="272" spans="1:7" s="3" customFormat="1"/>
    <x:row r="273" spans="1:7" s="1" customFormat="1"/>
    <x:row r="274" spans="1:7" s="4" customFormat="1"/>
    <x:row r="275" spans="1:7" s="3" customFormat="1"/>
    <x:row r="276" spans="1:7" s="1" customFormat="1"/>
    <x:row r="277" spans="1:7" s="4" customFormat="1"/>
    <x:row r="278" spans="1:7" s="3" customFormat="1"/>
    <x:row r="279" spans="1:7" s="1" customFormat="1"/>
    <x:row r="280" spans="1:7" s="4" customFormat="1"/>
    <x:row r="281" spans="1:7" s="3" customFormat="1"/>
    <x:row r="282" spans="1:7" s="1" customFormat="1"/>
    <x:row r="283" spans="1:7" s="4" customFormat="1"/>
    <x:row r="284" spans="1:7" s="3" customFormat="1"/>
    <x:row r="285" spans="1:7" s="1" customFormat="1"/>
    <x:row r="286" spans="1:7" s="4" customFormat="1"/>
    <x:row r="287" spans="1:7" s="3" customFormat="1"/>
    <x:row r="288" spans="1:7" s="1" customFormat="1"/>
    <x:row r="289" spans="1:7" s="4" customFormat="1"/>
    <x:row r="290" spans="1:7" s="3" customFormat="1"/>
    <x:row r="291" spans="1:7" s="1" customFormat="1"/>
    <x:row r="292" spans="1:7" s="4" customFormat="1"/>
    <x:row r="293" spans="1:7" s="3" customFormat="1"/>
    <x:row r="294" spans="1:7" s="1" customFormat="1"/>
    <x:row r="295" spans="1:7" s="4" customFormat="1"/>
    <x:row r="296" spans="1:7" s="3" customFormat="1"/>
    <x:row r="297" spans="1:7" s="1" customFormat="1"/>
    <x:row r="298" spans="1:7" s="4" customFormat="1"/>
    <x:row r="299" spans="1:7" s="3" customFormat="1"/>
    <x:row r="300" spans="1:7" s="1" customFormat="1"/>
    <x:row r="301" spans="1:7" s="4" customFormat="1"/>
    <x:row r="302" spans="1:7" s="3" customFormat="1"/>
    <x:row r="303" spans="1:7" s="1" customFormat="1"/>
    <x:row r="304" spans="1:7" s="4" customFormat="1"/>
    <x:row r="305" spans="1:7" s="3" customFormat="1"/>
    <x:row r="306" spans="1:7" s="1" customFormat="1"/>
    <x:row r="307" spans="1:7" s="4" customFormat="1"/>
    <x:row r="308" spans="1:7" s="3" customFormat="1"/>
    <x:row r="309" spans="1:7" s="1" customFormat="1"/>
    <x:row r="310" spans="1:7" s="4" customFormat="1"/>
    <x:row r="311" spans="1:7" s="3" customFormat="1"/>
    <x:row r="312" spans="1:7" s="1" customFormat="1"/>
    <x:row r="313" spans="1:7" s="4" customFormat="1"/>
    <x:row r="314" spans="1:7" s="3" customFormat="1"/>
    <x:row r="315" spans="1:7" s="1" customFormat="1"/>
    <x:row r="316" spans="1:7" s="4" customFormat="1"/>
    <x:row r="317" spans="1:7" s="3" customFormat="1"/>
    <x:row r="318" spans="1:7" s="1" customFormat="1"/>
    <x:row r="319" spans="1:7" s="4" customFormat="1"/>
    <x:row r="320" spans="1:7" s="3" customFormat="1"/>
    <x:row r="321" spans="1:7" s="1" customFormat="1"/>
    <x:row r="322" spans="1:7" s="4" customFormat="1"/>
    <x:row r="323" spans="1:7" s="3" customFormat="1"/>
    <x:row r="324" spans="1:7" s="1" customFormat="1"/>
    <x:row r="325" spans="1:7" s="4" customFormat="1"/>
    <x:row r="326" spans="1:7" s="3" customFormat="1"/>
    <x:row r="327" spans="1:7" s="1" customFormat="1"/>
    <x:row r="328" spans="1:7" s="4" customFormat="1"/>
    <x:row r="329" spans="1:7" s="3" customFormat="1"/>
    <x:row r="330" spans="1:7" s="1" customFormat="1"/>
    <x:row r="331" spans="1:7" s="4" customFormat="1"/>
    <x:row r="332" spans="1:7" s="3" customFormat="1"/>
    <x:row r="333" spans="1:7" s="1" customFormat="1"/>
    <x:row r="334" spans="1:7" s="4" customFormat="1"/>
    <x:row r="335" spans="1:7" s="3" customFormat="1"/>
    <x:row r="336" spans="1:7" s="1" customFormat="1"/>
    <x:row r="337" spans="1:7" s="4" customFormat="1"/>
    <x:row r="338" spans="1:7" s="3" customFormat="1"/>
    <x:row r="339" spans="1:7" s="1" customFormat="1"/>
    <x:row r="340" spans="1:7" s="4" customFormat="1"/>
    <x:row r="341" spans="1:7" s="3" customFormat="1"/>
    <x:row r="342" spans="1:7" s="1" customFormat="1"/>
    <x:row r="343" spans="1:7" s="4" customFormat="1"/>
    <x:row r="344" spans="1:7" s="3" customFormat="1"/>
    <x:row r="345" spans="1:7" s="1" customFormat="1"/>
  </x:sheetData>
  <x:hyperlinks>
    <x:hyperlink ref="C2" r:id="rId4592" tooltip="Send a mail to info@aggroup.com.mt"/>
    <x:hyperlink ref="C3" r:id="rId4593" tooltip="Send a mail to caruanareuben@hotmail.co.uk"/>
    <x:hyperlink ref="C4" r:id="rId4594" tooltip="Send a mail to Info@PrimeSolutionsMalta.com"/>
    <x:hyperlink ref="C5" r:id="rId4595" tooltip="Send a mail to jpc590@hotmail.com"/>
    <x:hyperlink ref="C6" r:id="rId4596" tooltip="Send a mail to info@smeagroup.com"/>
    <x:hyperlink ref="C7" r:id="rId4597" tooltip="Send a mail to simonelectrodes@yahoo.com"/>
    <x:hyperlink ref="C8" r:id="rId4598" tooltip="Send a mail to acelectric79@gmail.com"/>
    <x:hyperlink ref="C9" r:id="rId4599" tooltip="Send a mail to db.installationsltd@outlook.com"/>
    <x:hyperlink ref="C10" r:id="rId4600" tooltip="Send a mail to noel.psaila@gmail.com"/>
    <x:hyperlink ref="C11" r:id="rId4601" tooltip="Send a mail to mkmicallef@gmail.com"/>
    <x:hyperlink ref="C12" r:id="rId4602" tooltip="Send a mail to syphase@gmail.com"/>
    <x:hyperlink ref="C13" r:id="rId4603" tooltip="Send a mail to deguarajonathan@gmail.com"/>
    <x:hyperlink ref="C15" r:id="rId4604" tooltip="Send a mail to info@centralpower.com.mt"/>
    <x:hyperlink ref="C16" r:id="rId4605" tooltip="Send a mail to info@emprojectsmalta.com"/>
    <x:hyperlink ref="C18" r:id="rId4606" tooltip="Send a mail to bdi@contractor.net"/>
    <x:hyperlink ref="C19" r:id="rId4607" tooltip="Send a mail to sayca.malta@gmail.com"/>
    <x:hyperlink ref="C20" r:id="rId4608" tooltip="Send a mail to mltproworks@gmail.com"/>
    <x:hyperlink ref="C21" r:id="rId4609" tooltip="Send a mail to massimo.aquilina28@gmail.com"/>
    <x:hyperlink ref="C22" r:id="rId4610" tooltip="Send a mail to taddeobonnici@gmail.com"/>
    <x:hyperlink ref="C23" r:id="rId4611" tooltip="Send a mail to abinstallationsbyformosa@gmail.com"/>
    <x:hyperlink ref="C24" r:id="rId4612" tooltip="Send a mail to jasontabone@hotmail.com"/>
    <x:hyperlink ref="C25" r:id="rId4613" tooltip="Send a mail to falzon9903@gmail.com"/>
    <x:hyperlink ref="C26" r:id="rId4614" tooltip="Send a mail to massimo_oliverio@hotmail.co.uk"/>
    <x:hyperlink ref="C27" r:id="rId4615" tooltip="Send a mail to kevin@cobrainstallations.com"/>
    <x:hyperlink ref="C28" r:id="rId4616" tooltip="Send a mail to felixservices@gmail.com"/>
    <x:hyperlink ref="C29" r:id="rId4617" tooltip="Send a mail to yellowphase@gmail.com"/>
    <x:hyperlink ref="C30" r:id="rId4618" tooltip="Send a mail to kevinzammit1@hotmail.com"/>
    <x:hyperlink ref="C31" r:id="rId4619" tooltip="Send a mail to azzopaaron@gmail.com"/>
    <x:hyperlink ref="C32" r:id="rId4620" tooltip="Send a mail to micor.installations@gmail.com"/>
    <x:hyperlink ref="C33" r:id="rId4621" tooltip="Send a mail to jamesmanicolo87@gmail.com"/>
    <x:hyperlink ref="C34" r:id="rId4622" tooltip="Send a mail to plum.eng.pz@gmail.com"/>
    <x:hyperlink ref="C35" r:id="rId4623" tooltip="Send a mail to lexlexinstallation@gmail.com"/>
    <x:hyperlink ref="C36" r:id="rId4624" tooltip="Send a mail to clifford.callus@gmail.com"/>
    <x:hyperlink ref="C37" r:id="rId4625" tooltip="Send a mail to neiltaboneinstallations@gmail.com"/>
    <x:hyperlink ref="C38" r:id="rId4626" tooltip="Send a mail to taddeobonnici@gmail.com"/>
    <x:hyperlink ref="C39" r:id="rId4627" tooltip="Send a mail to marco@marcovella.com"/>
    <x:hyperlink ref="C40" r:id="rId4628" tooltip="Send a mail to jasontabone@hotmail.com"/>
    <x:hyperlink ref="C41" r:id="rId4629" tooltip="Send a mail to info@mcimalta.com"/>
    <x:hyperlink ref="C42" r:id="rId4630" tooltip="Send a mail to jevgatt@gmail.com"/>
    <x:hyperlink ref="C43" r:id="rId4631" tooltip="Send a mail to keithvella90@gmail.com"/>
    <x:hyperlink ref="C44" r:id="rId4632" tooltip="Send a mail to matthewfarrugiainstallations@gmail.com"/>
    <x:hyperlink ref="C45" r:id="rId4633" tooltip="Send a mail to kurtbservices@gmail.com"/>
    <x:hyperlink ref="C46" r:id="rId4634" tooltip="Send a mail to ea.solutions@hotmail.com"/>
    <x:hyperlink ref="C47" r:id="rId4635" tooltip="Send a mail to info@emiliohandyman.com"/>
    <x:hyperlink ref="C48" r:id="rId4636" tooltip="Send a mail to gleinstallations@gmail.com"/>
    <x:hyperlink ref="C49" r:id="rId4637" tooltip="Send a mail to kspiteri197@gmail.com"/>
    <x:hyperlink ref="C50" r:id="rId4638" tooltip="Send a mail to harryc1@go.net.mt"/>
    <x:hyperlink ref="C52" r:id="rId4639" tooltip="Send a mail to louvassallo@onvol.net"/>
    <x:hyperlink ref="C53" r:id="rId4640" tooltip="Send a mail to gfaenza@gmail.com/Facebook"/>
    <x:hyperlink ref="C54" r:id="rId4641" tooltip="Send a mail to info@mcimalta.com"/>
    <x:hyperlink ref="C55" r:id="rId4642" tooltip="Send a mail to info@melcromalta.com"/>
    <x:hyperlink ref="C56" r:id="rId4643" tooltip="Send a mail to info@engenuity.com.mt"/>
    <x:hyperlink ref="C57" r:id="rId4644" tooltip="Send a mail to info@bonicci.com"/>
    <x:hyperlink ref="C58" r:id="rId4645" tooltip="Send a mail to jasontabone@hotmail.com/Facebook"/>
    <x:hyperlink ref="C59" r:id="rId4646" tooltip="Send a mail to info@rvcltd.com.mt/"/>
    <x:hyperlink ref="C60" r:id="rId4647" tooltip="Send a mail to colinfarrugia.eps@gmail.com"/>
    <x:hyperlink ref="C61" r:id="rId4648" tooltip="Send a mail to kevin@cobrainstallations.com"/>
    <x:hyperlink ref="C62" r:id="rId4649" tooltip="Send a mail to info@mcemalta.com"/>
    <x:hyperlink ref="C63" r:id="rId4650" tooltip="Send a mail to aaron.sil.zammit@gmail.com"/>
    <x:hyperlink ref="C64" r:id="rId4651" tooltip="Send a mail to danastasi.rt@outlook.com"/>
    <x:hyperlink ref="C65" r:id="rId4652" tooltip="Send a mail to falzonjonathan17@gmail.com"/>
    <x:hyperlink ref="C66" r:id="rId4653" tooltip="Send a mail to clint22@live.com"/>
    <x:hyperlink ref="C67" r:id="rId4654" tooltip="Send a mail to alex@gad.com.mt"/>
    <x:hyperlink ref="C69" r:id="rId4655" tooltip="Send a mail to jtabone@jti.com.mt"/>
    <x:hyperlink ref="C70" r:id="rId4656" tooltip="Send a mail to kitonkeith@gmail.com"/>
    <x:hyperlink ref="C71" r:id="rId4657" tooltip="Send a mail to stefan@a1holdings.eu"/>
    <x:hyperlink ref="C72" r:id="rId4658" tooltip="Send a mail to info@aask.com.mt"/>
    <x:hyperlink ref="C73" r:id="rId4659" tooltip="Send a mail to info@abs.mt"/>
    <x:hyperlink ref="C74" r:id="rId4660" tooltip="Send a mail to frankamore.plumber@gmail.com"/>
    <x:hyperlink ref="C75" r:id="rId4661" tooltip="Send a mail to toolboxsolutionss@gmail.com"/>
    <x:hyperlink ref="C77" r:id="rId4662" tooltip="Send a mail to info@chi.com.mt"/>
    <x:hyperlink ref="C78" r:id="rId4663" tooltip="Send a mail to demicolijo@gmail.com"/>
    <x:hyperlink ref="C79" r:id="rId4664" tooltip="Send a mail to ilenia@actsmart.com.mt"/>
    <x:hyperlink ref="C80" r:id="rId4665" tooltip="Send a mail to danastasi.rt@outlook.com"/>
    <x:hyperlink ref="C81" r:id="rId4666" tooltip="Send a mail to ropeaccess77@gmail.com"/>
    <x:hyperlink ref="C82" r:id="rId4667" tooltip="Send a mail to api101069@gmail.com"/>
    <x:hyperlink ref="C83" r:id="rId4668" tooltip="Send a mail to anda@maltanet.net"/>
    <x:hyperlink ref="C84" r:id="rId4669" tooltip="Send a mail to aboutpipes@hotmail.com"/>
    <x:hyperlink ref="C85" r:id="rId4670" tooltip="Send a mail to plumber.malta@gmail.com"/>
    <x:hyperlink ref="C86" r:id="rId4671" tooltip="Send a mail to claudioventa27@gmail.com"/>
    <x:hyperlink ref="C88" r:id="rId4672" tooltip="Send a mail to cristalbath@onvol.net"/>
    <x:hyperlink ref="C90" r:id="rId4673" tooltip="Send a mail to info@fbpmalta.com"/>
    <x:hyperlink ref="E2" r:id="rId4674" tooltip="Search 45, Mirage HSE, Triq Santu Rokku, Il-Mosta on Google Maps"/>
    <x:hyperlink ref="E3" r:id="rId4675" tooltip="Search 64, Triq Is-Sajjied, Qawra on Google Maps"/>
    <x:hyperlink ref="E4" r:id="rId4676" tooltip="Search 41, Triq Anglu Mallia, Birkirkara on Google Maps"/>
    <x:hyperlink ref="E5" r:id="rId4677" tooltip="Search Moonshadow, Triq Santa Margerita, Is-Siggiewi on Google Maps"/>
    <x:hyperlink ref="E6" r:id="rId4678" tooltip="Search Triq Tal-Hlas, Hal Qormi on Google Maps"/>
    <x:hyperlink ref="E7" r:id="rId4679" tooltip="Search Creta', Dawret Hal Ghaxaq, Hal Ghaxaq on Google Maps"/>
    <x:hyperlink ref="E8" r:id="rId4680" tooltip="Search 118, Crystal Heart, Triq Ignazio Saverio Mifsud, Birkirkara on Google Maps"/>
    <x:hyperlink ref="E9" r:id="rId4681" tooltip="Search 65, Villa Vellas, Triq Dun Gorg Preca, Il-Hamrun on Google Maps"/>
    <x:hyperlink ref="E10" r:id="rId4682" tooltip="Search Pergola, Triq Salvu Buhagiar, Bella Vista, Marsaskala, Malta on Google Maps"/>
    <x:hyperlink ref="E11" r:id="rId4683" tooltip="Search 13, St Helen House, Triq Il-Kapuccini, San Gwann, Malta on Google Maps"/>
    <x:hyperlink ref="E12" r:id="rId4684" tooltip="Search MCE House, Triq L-Industrija, Qormi, Malta on Google Maps"/>
    <x:hyperlink ref="E13" r:id="rId4685" tooltip="Search Cawsli Court, Flt 4, Triq L-Imdina, Hal Qormi, Malta on Google Maps"/>
    <x:hyperlink ref="E15" r:id="rId4686" tooltip="Search 32, Triq il-Battaljun, Mosta, Malta MST 2721 on Google Maps"/>
    <x:hyperlink ref="E16" r:id="rId4687" tooltip="Search Triq Tommaso Dingli ,&#10;B’Kara, Malta on Google Maps"/>
    <x:hyperlink ref="E18" r:id="rId4688" tooltip="Search / on Google Maps"/>
    <x:hyperlink ref="E19" r:id="rId4689" tooltip="Search GAD Finishings&#10;21, Triq Gellewza Sewda,&#10;Midland Park, D7&#10;Burmarrad Road, Burmarrad LO Naxxar&#10;Malta on Google Maps"/>
    <x:hyperlink ref="E20" r:id="rId4690" tooltip="Search E. Grech Cristal Bath Ltd.&#10;Psaila Street,&#10;Birkirkara, BKR9076 Malta on Google Maps"/>
    <x:hyperlink ref="E21" r:id="rId4691" tooltip="Search 139, Bajada Street, Zabbar, Malta on Google Maps"/>
    <x:hyperlink ref="F5" r:id="rId4692" tooltip="Visit melcromalta.com"/>
    <x:hyperlink ref="F6" location="'Electrical &amp; Plumbing'!https:/// engenuity.com.mt" tooltip="Visit / engenuity.com.mt" display="/ engenuity.com.mt"/>
    <x:hyperlink ref="F16" location="'Electrical &amp; Plumbing'!https:///" tooltip="Visit /" display="/"/>
    <x:hyperlink ref="F18" r:id="rId4693" tooltip="Visit gad.com.mt/"/>
    <x:hyperlink ref="F19" r:id="rId4694" tooltip="Visit egrechcristalbath.com/en/home.htm"/>
    <x:hyperlink ref="F20" r:id="rId4695" tooltip="Visit fbpmalta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94"/>
  <x:sheetViews>
    <x:sheetView workbookViewId="0"/>
  </x:sheetViews>
  <x:sheetFormatPr defaultRowHeight="15"/>
  <x:cols>
    <x:col min="1" max="1" width="6.282054" style="0" customWidth="1"/>
    <x:col min="2" max="2" width="25.853482" style="0" customWidth="1"/>
    <x:col min="3" max="3" width="33.996339" style="0" customWidth="1"/>
    <x:col min="4" max="4" width="20.424911" style="0" customWidth="1"/>
    <x:col min="5" max="5" width="64.710625" style="0" customWidth="1"/>
    <x:col min="6" max="6" width="103.996339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2072</x:v>
      </x:c>
      <x:c r="E1" s="2" t="s">
        <x:v>914</x:v>
      </x:c>
      <x:c r="F1" s="2" t="s">
        <x:v>529</x:v>
      </x:c>
      <x:c r="G1" s="5">
        <x:f>HYPERLINK("#'Summary List'!A73", "Back to Summary")</x:f>
      </x:c>
    </x:row>
    <x:row r="2" spans="1:7" s="3" customFormat="1">
      <x:c r="A2" s="3" t="s">
        <x:v>4346</x:v>
      </x:c>
      <x:c r="B2" s="3" t="s">
        <x:v>2124</x:v>
      </x:c>
      <x:c r="C2" s="6" t="s">
        <x:v>1487</x:v>
      </x:c>
      <x:c r="D2" s="3" t="s">
        <x:v>2136</x:v>
      </x:c>
      <x:c r="E2" s="6" t="s">
        <x:v>2140</x:v>
      </x:c>
      <x:c r="F2" s="6" t="s">
        <x:v>1148</x:v>
      </x:c>
    </x:row>
    <x:row r="3" spans="1:7" s="1" customFormat="1">
      <x:c r="A3" s="1" t="s">
        <x:v>4346</x:v>
      </x:c>
      <x:c r="B3" s="1" t="s">
        <x:v>1065</x:v>
      </x:c>
      <x:c r="C3" s="8" t="s">
        <x:v>1072</x:v>
      </x:c>
      <x:c r="D3" s="1" t="s">
        <x:v>1952</x:v>
      </x:c>
      <x:c r="E3" s="8" t="s">
        <x:v>2020</x:v>
      </x:c>
      <x:c r="F3" s="8" t="s">
        <x:v>2039</x:v>
      </x:c>
    </x:row>
    <x:row r="4" spans="1:7" s="4" customFormat="1">
      <x:c r="A4" s="4" t="s">
        <x:v>4346</x:v>
      </x:c>
      <x:c r="B4" s="4" t="s">
        <x:v>2446</x:v>
      </x:c>
      <x:c r="C4" s="10" t="s">
        <x:v>2448</x:v>
      </x:c>
      <x:c r="D4" s="4" t="s">
        <x:v>2450</x:v>
      </x:c>
      <x:c r="E4" s="10" t="s">
        <x:v>2452</x:v>
      </x:c>
      <x:c r="F4" s="10" t="s">
        <x:v>2437</x:v>
      </x:c>
    </x:row>
    <x:row r="5" spans="1:7" s="3" customFormat="1">
      <x:c r="A5" s="3" t="s">
        <x:v>4346</x:v>
      </x:c>
      <x:c r="B5" s="3" t="s">
        <x:v>4347</x:v>
      </x:c>
      <x:c r="C5" s="6" t="s">
        <x:v>4366</x:v>
      </x:c>
      <x:c r="D5" s="3" t="s">
        <x:v>4384</x:v>
      </x:c>
      <x:c r="E5" s="6" t="s">
        <x:v>4403</x:v>
      </x:c>
      <x:c r="F5" s="6" t="s">
        <x:v>2454</x:v>
      </x:c>
    </x:row>
    <x:row r="6" spans="1:7" s="1" customFormat="1">
      <x:c r="A6" s="1" t="s">
        <x:v>4346</x:v>
      </x:c>
      <x:c r="B6" s="1" t="s">
        <x:v>4348</x:v>
      </x:c>
      <x:c r="C6" s="8" t="s">
        <x:v>4367</x:v>
      </x:c>
      <x:c r="D6" s="1" t="s">
        <x:v>4385</x:v>
      </x:c>
      <x:c r="E6" s="8" t="s">
        <x:v>1737</x:v>
      </x:c>
      <x:c r="F6" s="8" t="s">
        <x:v>4410</x:v>
      </x:c>
    </x:row>
    <x:row r="7" spans="1:7" s="4" customFormat="1">
      <x:c r="A7" s="4" t="s">
        <x:v>4346</x:v>
      </x:c>
      <x:c r="B7" s="4" t="s">
        <x:v>1560</x:v>
      </x:c>
      <x:c r="C7" s="10" t="s">
        <x:v>1644</x:v>
      </x:c>
      <x:c r="D7" s="4" t="s">
        <x:v>2220</x:v>
      </x:c>
      <x:c r="E7" s="10" t="s">
        <x:v>2246</x:v>
      </x:c>
      <x:c r="F7" s="10" t="s">
        <x:v>1773</x:v>
      </x:c>
    </x:row>
    <x:row r="8" spans="1:7" s="3" customFormat="1">
      <x:c r="A8" s="3" t="s">
        <x:v>4346</x:v>
      </x:c>
      <x:c r="B8" s="3" t="s">
        <x:v>2209</x:v>
      </x:c>
      <x:c r="C8" s="6" t="s">
        <x:v>2218</x:v>
      </x:c>
      <x:c r="D8" s="3" t="s">
        <x:v>2221</x:v>
      </x:c>
      <x:c r="E8" s="6" t="s">
        <x:v>4404</x:v>
      </x:c>
      <x:c r="F8" s="6" t="s">
        <x:v>2271</x:v>
      </x:c>
    </x:row>
    <x:row r="9" spans="1:7" s="1" customFormat="1">
      <x:c r="A9" s="1" t="s">
        <x:v>4346</x:v>
      </x:c>
      <x:c r="B9" s="1" t="s">
        <x:v>4349</x:v>
      </x:c>
      <x:c r="C9" s="8" t="s">
        <x:v>4368</x:v>
      </x:c>
      <x:c r="D9" s="1" t="s">
        <x:v>4386</x:v>
      </x:c>
      <x:c r="E9" s="8" t="s">
        <x:v>4405</x:v>
      </x:c>
      <x:c r="F9" s="8" t="s">
        <x:v>2272</x:v>
      </x:c>
    </x:row>
    <x:row r="10" spans="1:7" s="4" customFormat="1">
      <x:c r="A10" s="4" t="s">
        <x:v>4346</x:v>
      </x:c>
      <x:c r="B10" s="4" t="s">
        <x:v>4350</x:v>
      </x:c>
      <x:c r="C10" s="10" t="s">
        <x:v>4369</x:v>
      </x:c>
      <x:c r="D10" s="4" t="s">
        <x:v>4387</x:v>
      </x:c>
      <x:c r="E10" s="10" t="s">
        <x:v>4406</x:v>
      </x:c>
      <x:c r="F10" s="10" t="s">
        <x:v>4413</x:v>
      </x:c>
    </x:row>
    <x:row r="11" spans="1:7" s="3" customFormat="1">
      <x:c r="A11" s="3" t="s">
        <x:v>4346</x:v>
      </x:c>
      <x:c r="B11" s="3" t="s">
        <x:v>4351</x:v>
      </x:c>
      <x:c r="C11" s="6" t="s">
        <x:v>4370</x:v>
      </x:c>
      <x:c r="D11" s="3" t="s">
        <x:v>4388</x:v>
      </x:c>
      <x:c r="E11" s="6" t="s">
        <x:v>4407</x:v>
      </x:c>
      <x:c r="F11" s="6" t="s">
        <x:v>4414</x:v>
      </x:c>
    </x:row>
    <x:row r="12" spans="1:7" s="1" customFormat="1">
      <x:c r="A12" s="1" t="s">
        <x:v>4346</x:v>
      </x:c>
      <x:c r="B12" s="1" t="s">
        <x:v>4352</x:v>
      </x:c>
      <x:c r="C12" s="8" t="s">
        <x:v>4371</x:v>
      </x:c>
      <x:c r="D12" s="1" t="s">
        <x:v>4389</x:v>
      </x:c>
      <x:c r="E12" s="8" t="s">
        <x:v>4408</x:v>
      </x:c>
      <x:c r="F12" s="8" t="s">
        <x:v>4415</x:v>
      </x:c>
    </x:row>
    <x:row r="13" spans="1:7" s="4" customFormat="1">
      <x:c r="A13" s="4" t="s">
        <x:v>4346</x:v>
      </x:c>
      <x:c r="B13" s="4" t="s">
        <x:v>4353</x:v>
      </x:c>
      <x:c r="C13" s="10" t="s">
        <x:v>4372</x:v>
      </x:c>
      <x:c r="D13" s="4" t="s">
        <x:v>4390</x:v>
      </x:c>
      <x:c r="E13" s="10" t="s">
        <x:v>4409</x:v>
      </x:c>
      <x:c r="F13" s="10" t="s">
        <x:v>4416</x:v>
      </x:c>
    </x:row>
    <x:row r="14" spans="1:7" s="3" customFormat="1">
      <x:c r="A14" s="3" t="s">
        <x:v>4346</x:v>
      </x:c>
      <x:c r="B14" s="3" t="s">
        <x:v>4354</x:v>
      </x:c>
      <x:c r="C14" s="6" t="s">
        <x:v>4373</x:v>
      </x:c>
      <x:c r="D14" s="3" t="s">
        <x:v>4391</x:v>
      </x:c>
      <x:c r="E14" s="6" t="s">
        <x:v>4411</x:v>
      </x:c>
      <x:c r="F14" s="6" t="s">
        <x:v>4417</x:v>
      </x:c>
    </x:row>
    <x:row r="15" spans="1:7" s="1" customFormat="1">
      <x:c r="A15" s="1" t="s">
        <x:v>4346</x:v>
      </x:c>
      <x:c r="B15" s="1" t="s">
        <x:v>4355</x:v>
      </x:c>
      <x:c r="C15" s="8" t="s">
        <x:v>4374</x:v>
      </x:c>
      <x:c r="D15" s="1" t="s">
        <x:v>4392</x:v>
      </x:c>
      <x:c r="E15" s="8" t="s">
        <x:v>4412</x:v>
      </x:c>
      <x:c r="F15" s="8" t="s">
        <x:v>4418</x:v>
      </x:c>
    </x:row>
    <x:row r="16" spans="1:7" s="4" customFormat="1">
      <x:c r="A16" s="4" t="s">
        <x:v>4346</x:v>
      </x:c>
      <x:c r="B16" s="4" t="s">
        <x:v>4356</x:v>
      </x:c>
      <x:c r="C16" s="10" t="s">
        <x:v>4375</x:v>
      </x:c>
      <x:c r="D16" s="4" t="s">
        <x:v>4393</x:v>
      </x:c>
      <x:c r="F16" s="10" t="s">
        <x:v>5241</x:v>
      </x:c>
    </x:row>
    <x:row r="17" spans="1:7" s="3" customFormat="1">
      <x:c r="A17" s="3" t="s">
        <x:v>4346</x:v>
      </x:c>
      <x:c r="B17" s="3" t="s">
        <x:v>4357</x:v>
      </x:c>
      <x:c r="C17" s="6" t="s">
        <x:v>66</x:v>
      </x:c>
      <x:c r="D17" s="3" t="s">
        <x:v>4394</x:v>
      </x:c>
      <x:c r="F17" s="6" t="s">
        <x:v>90</x:v>
      </x:c>
    </x:row>
    <x:row r="18" spans="1:7" s="1" customFormat="1">
      <x:c r="A18" s="1" t="s">
        <x:v>4346</x:v>
      </x:c>
      <x:c r="B18" s="1" t="s">
        <x:v>4358</x:v>
      </x:c>
      <x:c r="C18" s="8" t="s">
        <x:v>4376</x:v>
      </x:c>
      <x:c r="D18" s="1" t="s">
        <x:v>4395</x:v>
      </x:c>
      <x:c r="F18" s="8" t="s">
        <x:v>4419</x:v>
      </x:c>
    </x:row>
    <x:row r="19" spans="1:7" s="4" customFormat="1">
      <x:c r="A19" s="4" t="s">
        <x:v>4346</x:v>
      </x:c>
      <x:c r="B19" s="4" t="s">
        <x:v>4359</x:v>
      </x:c>
      <x:c r="C19" s="10" t="s">
        <x:v>4377</x:v>
      </x:c>
      <x:c r="D19" s="4" t="s">
        <x:v>4396</x:v>
      </x:c>
      <x:c r="F19" s="10" t="s">
        <x:v>4420</x:v>
      </x:c>
    </x:row>
    <x:row r="20" spans="1:7" s="3" customFormat="1">
      <x:c r="A20" s="3" t="s">
        <x:v>4346</x:v>
      </x:c>
      <x:c r="B20" s="3" t="s">
        <x:v>4360</x:v>
      </x:c>
      <x:c r="C20" s="6" t="s">
        <x:v>4378</x:v>
      </x:c>
      <x:c r="D20" s="3" t="s">
        <x:v>4397</x:v>
      </x:c>
      <x:c r="F20" s="6" t="s">
        <x:v>4421</x:v>
      </x:c>
    </x:row>
    <x:row r="21" spans="1:7" s="1" customFormat="1">
      <x:c r="A21" s="1" t="s">
        <x:v>4346</x:v>
      </x:c>
      <x:c r="B21" s="1" t="s">
        <x:v>4361</x:v>
      </x:c>
      <x:c r="C21" s="8" t="s">
        <x:v>4379</x:v>
      </x:c>
      <x:c r="D21" s="1" t="s">
        <x:v>4398</x:v>
      </x:c>
      <x:c r="F21" s="8" t="s">
        <x:v>4422</x:v>
      </x:c>
    </x:row>
    <x:row r="22" spans="1:7" s="4" customFormat="1">
      <x:c r="A22" s="4" t="s">
        <x:v>4346</x:v>
      </x:c>
      <x:c r="B22" s="4" t="s">
        <x:v>4362</x:v>
      </x:c>
      <x:c r="C22" s="10" t="s">
        <x:v>4380</x:v>
      </x:c>
      <x:c r="D22" s="4" t="s">
        <x:v>4399</x:v>
      </x:c>
      <x:c r="F22" s="10" t="s">
        <x:v>4423</x:v>
      </x:c>
    </x:row>
    <x:row r="23" spans="1:7" s="3" customFormat="1">
      <x:c r="A23" s="3" t="s">
        <x:v>4346</x:v>
      </x:c>
      <x:c r="B23" s="3" t="s">
        <x:v>4363</x:v>
      </x:c>
      <x:c r="C23" s="6" t="s">
        <x:v>4381</x:v>
      </x:c>
      <x:c r="D23" s="3" t="s">
        <x:v>4400</x:v>
      </x:c>
      <x:c r="F23" s="6" t="s">
        <x:v>4424</x:v>
      </x:c>
    </x:row>
    <x:row r="24" spans="1:7" s="1" customFormat="1">
      <x:c r="A24" s="1" t="s">
        <x:v>4346</x:v>
      </x:c>
      <x:c r="B24" s="1" t="s">
        <x:v>4364</x:v>
      </x:c>
      <x:c r="C24" s="8" t="s">
        <x:v>4382</x:v>
      </x:c>
      <x:c r="D24" s="1" t="s">
        <x:v>4401</x:v>
      </x:c>
      <x:c r="F24" s="8" t="s">
        <x:v>4425</x:v>
      </x:c>
    </x:row>
    <x:row r="25" spans="1:7" s="4" customFormat="1">
      <x:c r="A25" s="4" t="s">
        <x:v>4346</x:v>
      </x:c>
      <x:c r="B25" s="4" t="s">
        <x:v>3302</x:v>
      </x:c>
      <x:c r="C25" s="10" t="s">
        <x:v>3313</x:v>
      </x:c>
      <x:c r="D25" s="4" t="s">
        <x:v>4402</x:v>
      </x:c>
      <x:c r="F25" s="10" t="s">
        <x:v>4426</x:v>
      </x:c>
    </x:row>
    <x:row r="26" spans="1:7" s="3" customFormat="1">
      <x:c r="A26" s="3" t="s">
        <x:v>4346</x:v>
      </x:c>
      <x:c r="B26" s="3" t="s">
        <x:v>4365</x:v>
      </x:c>
      <x:c r="C26" s="6" t="s">
        <x:v>4383</x:v>
      </x:c>
    </x:row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</x:sheetData>
  <x:hyperlinks>
    <x:hyperlink ref="C2" r:id="rId4696" tooltip="Send a mail to sales@maltadiy.com"/>
    <x:hyperlink ref="C3" r:id="rId4697" tooltip="Send a mail to sales@shaker.com.mt"/>
    <x:hyperlink ref="C4" r:id="rId4698" tooltip="Send a mail to info@spotonmalta.com"/>
    <x:hyperlink ref="C5" r:id="rId4699" tooltip="Send a mail to info@solealighting.com"/>
    <x:hyperlink ref="C6" r:id="rId4700" tooltip="Send a mail to sales@lightshopmalta.com"/>
    <x:hyperlink ref="C7" r:id="rId4701" tooltip="Send a mail to info@luxonas.com"/>
    <x:hyperlink ref="C8" r:id="rId4702" tooltip="Send a mail to sales@lingonberries.eu"/>
    <x:hyperlink ref="C9" r:id="rId4703" tooltip="Send a mail to info@ajelectric.com.mt"/>
    <x:hyperlink ref="C10" r:id="rId4704" tooltip="Send a mail to info@vct.com.mt"/>
    <x:hyperlink ref="C11" r:id="rId4705" tooltip="Send a mail to info@lds.com.mt"/>
    <x:hyperlink ref="C12" r:id="rId4706" tooltip="Send a mail to pjelectricalandhardware@gmail.com"/>
    <x:hyperlink ref="C13" r:id="rId4707" tooltip="Send a mail to info@glsmalta.com"/>
    <x:hyperlink ref="C14" r:id="rId4708" tooltip="Send a mail to projects@glow.com.mt"/>
    <x:hyperlink ref="C15" r:id="rId4709" tooltip="Send a mail to info@transientmalta.com"/>
    <x:hyperlink ref="C16" r:id="rId4710" tooltip="Send a mail to info@rgalternatives.com"/>
    <x:hyperlink ref="C17" r:id="rId4711" tooltip="Send a mail to webshop@calleja.com.mt"/>
    <x:hyperlink ref="C18" r:id="rId4712" tooltip="Send a mail to contactus@ess.com.mt"/>
    <x:hyperlink ref="C19" r:id="rId4713" tooltip="Send a mail to orders@ledlightsmalta.com"/>
    <x:hyperlink ref="C20" r:id="rId4714" tooltip="Send a mail to info@brightersolutions.com.mt"/>
    <x:hyperlink ref="C21" r:id="rId4715" tooltip="Send a mail to info@illumitechmalta.com"/>
    <x:hyperlink ref="C22" r:id="rId4716" tooltip="Send a mail to info@elektra.com.mt"/>
    <x:hyperlink ref="C23" r:id="rId4717" tooltip="Send a mail to info@farrugia.com.mt"/>
    <x:hyperlink ref="C24" r:id="rId4718" tooltip="Send a mail to info@hydrolectric.com.mt"/>
    <x:hyperlink ref="C25" r:id="rId4719" tooltip="Send a mail to chrisbltd1@gmail.com"/>
    <x:hyperlink ref="C26" r:id="rId4720" tooltip="Send a mail to sales@imlelectric.com"/>
    <x:hyperlink ref="E2" r:id="rId4721" tooltip="Search Baldacchino Building B, Triq Il-Belt Valletta, Zurrieq on Google Maps"/>
    <x:hyperlink ref="E3" r:id="rId4722" tooltip="Search 3, Triq il Gibjun, San Gwann, SGN 052, Malta on Google Maps"/>
    <x:hyperlink ref="E4" r:id="rId4723" tooltip="Search 102 Palm Street,&#10;PLA1414 Paola MALTA. on Google Maps"/>
    <x:hyperlink ref="E5" r:id="rId4724" tooltip="Search The Lightshop,&#10;68, Naxxar Road, Birkirkara,&#10;BKR 9048, Malta on Google Maps"/>
    <x:hyperlink ref="E6" r:id="rId4725" tooltip="Search Triq L-Mdina, Haz-Zebbug, ZBG09018 on Google Maps"/>
    <x:hyperlink ref="E7" r:id="rId4726" tooltip="Search 27 Triq Wignacourt, Birkirkara on Google Maps"/>
    <x:hyperlink ref="E8" r:id="rId4727" tooltip="Search Salvu Psaila Street, Birkirkara on Google Maps"/>
    <x:hyperlink ref="E9" r:id="rId4728" tooltip="Search Triq Dun Gorg Fiteni&#10;Naxxar, NXR 1122, Malta on Google Maps"/>
    <x:hyperlink ref="E10" r:id="rId4729" tooltip="Search 235, Burmarrad Rd, Burmarrad, SPB 9062-Malta on Google Maps"/>
    <x:hyperlink ref="E11" r:id="rId4730" tooltip="Search 179, Marina Street, Pietà, Malta on Google Maps"/>
    <x:hyperlink ref="E12" r:id="rId4731" tooltip="Search LTC LED Lighting &#10;St Paul Street,&#10;Naxxar, NXR 4016&#10;Malta on Google Maps"/>
    <x:hyperlink ref="E13" r:id="rId4732" tooltip="Search 31, Bishop Labini Street, B'Kara BKR 1270 Malta on Google Maps"/>
    <x:hyperlink ref="E14" r:id="rId4733" tooltip="Search Zone 4, Central Business District, Triq San Gwakkin, Birkirkara CBD 4030 on Google Maps"/>
    <x:hyperlink ref="E15" r:id="rId4734" tooltip="Search Escoupe Court,&#10;Basement Garage No. 8,&#10;Triq Anton Inglott,&#10;Msida&#10;MSD1180 on Google Maps"/>
    <x:hyperlink ref="F2" r:id="rId4735" tooltip="Visit maltadiy.com/product-category/lights-and-tech/lights/"/>
    <x:hyperlink ref="F3" r:id="rId4736" tooltip="Visit shaker.com.mt/"/>
    <x:hyperlink ref="F4" r:id="rId4737" tooltip="Visit spotonmalta.com/"/>
    <x:hyperlink ref="F5" r:id="rId4738" tooltip="Visit facebook.com/solealighting"/>
    <x:hyperlink ref="F6" r:id="rId4739" tooltip="Visit lightshopmalta.com/en/shop/webshop/bycategory/937/name/asc/9/1/lighting.htm"/>
    <x:hyperlink ref="F7" r:id="rId4740" tooltip="Visit luxonas.com/"/>
    <x:hyperlink ref="F8" r:id="rId4741" tooltip="Visit lingonberries.mt/"/>
    <x:hyperlink ref="F9" r:id="rId4742" tooltip="Visit vct.com.mt/"/>
    <x:hyperlink ref="F10" r:id="rId4743" tooltip="Visit lds.com.mt/#services"/>
    <x:hyperlink ref="F11" r:id="rId4744" tooltip="Visit pjelectricmalta.com/"/>
    <x:hyperlink ref="F12" r:id="rId4745" tooltip="Visit glsmalta.com/?page_id=78"/>
    <x:hyperlink ref="F13" r:id="rId4746" tooltip="Visit glow.com.mt/"/>
    <x:hyperlink ref="F14" r:id="rId4747" tooltip="Visit transientmalta.com/contact-us/"/>
    <x:hyperlink ref="F15" r:id="rId4748" tooltip="Visit rgalternatives.com/en/contact/index.html"/>
    <x:hyperlink ref="F16" r:id="rId4749" tooltip="Visit calleja.com.mt/contact/"/>
    <x:hyperlink ref="F17" r:id="rId4750" tooltip="Visit ess.com.mt/home/contact"/>
    <x:hyperlink ref="F18" r:id="rId4751" tooltip="Visit ledlightsmalta.com/index.php?route=information/contact"/>
    <x:hyperlink ref="F19" r:id="rId4752" tooltip="Visit brightersolutions.com.mt/contact/"/>
    <x:hyperlink ref="F20" r:id="rId4753" tooltip="Visit illumitechmalta.com/pages/contact"/>
    <x:hyperlink ref="F21" r:id="rId4754" tooltip="Visit elektra.com.mt/contact-us/"/>
    <x:hyperlink ref="F22" r:id="rId4755" tooltip="Visit findit.com.mt/en/directory/listings/8817/farrugia-lighting-andamp-interiors-malta.htm?utm_source=chatgpt.com"/>
    <x:hyperlink ref="F23" r:id="rId4756" tooltip="Visit hydrolectric.com.mt/contact/"/>
    <x:hyperlink ref="F24" r:id="rId4757" tooltip="Visit yellow.com.mt/sbl-lighting-solutions/light-shops/"/>
    <x:hyperlink ref="F25" r:id="rId4758" tooltip="Visit yellow.com.mt/i-m-l-electrical-supplies-ltd/light-shops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59"/>
  <x:sheetViews>
    <x:sheetView workbookViewId="0"/>
  </x:sheetViews>
  <x:sheetFormatPr defaultRowHeight="15"/>
  <x:cols>
    <x:col min="1" max="1" width="10.424911" style="0" customWidth="1"/>
    <x:col min="2" max="2" width="39.710625" style="0" customWidth="1"/>
    <x:col min="3" max="3" width="28.996339" style="0" customWidth="1"/>
    <x:col min="4" max="4" width="20.424911" style="0" customWidth="1"/>
    <x:col min="5" max="5" width="66.282054" style="0" customWidth="1"/>
    <x:col min="6" max="6" width="53.996339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2072</x:v>
      </x:c>
      <x:c r="E1" s="2" t="s">
        <x:v>914</x:v>
      </x:c>
      <x:c r="F1" s="2" t="s">
        <x:v>529</x:v>
      </x:c>
      <x:c r="G1" s="5">
        <x:f>HYPERLINK("#'Summary List'!A74", "Back to Summary")</x:f>
      </x:c>
    </x:row>
    <x:row r="2" spans="1:7" s="3" customFormat="1">
      <x:c r="A2" s="3" t="s">
        <x:v>4429</x:v>
      </x:c>
      <x:c r="B2" s="3" t="s">
        <x:v>4428</x:v>
      </x:c>
      <x:c r="C2" s="6" t="s">
        <x:v>4441</x:v>
      </x:c>
      <x:c r="D2" s="3" t="s">
        <x:v>4460</x:v>
      </x:c>
      <x:c r="E2" s="6" t="s">
        <x:v>4476</x:v>
      </x:c>
      <x:c r="F2" s="6" t="s">
        <x:v>4492</x:v>
      </x:c>
    </x:row>
    <x:row r="3" spans="1:7" s="1" customFormat="1">
      <x:c r="A3" s="1" t="s">
        <x:v>4429</x:v>
      </x:c>
      <x:c r="B3" s="1" t="s">
        <x:v>4430</x:v>
      </x:c>
      <x:c r="C3" s="8" t="s">
        <x:v>4447</x:v>
      </x:c>
      <x:c r="D3" s="1" t="s">
        <x:v>4462</x:v>
      </x:c>
      <x:c r="E3" s="8" t="s">
        <x:v>4477</x:v>
      </x:c>
      <x:c r="F3" s="8" t="s">
        <x:v>4493</x:v>
      </x:c>
    </x:row>
    <x:row r="4" spans="1:7" s="4" customFormat="1">
      <x:c r="A4" s="4" t="s">
        <x:v>4429</x:v>
      </x:c>
      <x:c r="B4" s="4" t="s">
        <x:v>4431</x:v>
      </x:c>
      <x:c r="C4" s="10" t="s">
        <x:v>4448</x:v>
      </x:c>
      <x:c r="D4" s="4" t="s">
        <x:v>4463</x:v>
      </x:c>
      <x:c r="E4" s="10" t="s">
        <x:v>4478</x:v>
      </x:c>
      <x:c r="F4" s="10" t="s">
        <x:v>4494</x:v>
      </x:c>
    </x:row>
    <x:row r="5" spans="1:7" s="3" customFormat="1">
      <x:c r="A5" s="3" t="s">
        <x:v>4429</x:v>
      </x:c>
      <x:c r="B5" s="3" t="s">
        <x:v>4432</x:v>
      </x:c>
      <x:c r="C5" s="6" t="s">
        <x:v>4106</x:v>
      </x:c>
      <x:c r="D5" s="3" t="s">
        <x:v>4131</x:v>
      </x:c>
      <x:c r="E5" s="6" t="s">
        <x:v>2469</x:v>
      </x:c>
      <x:c r="F5" s="6" t="s">
        <x:v>4495</x:v>
      </x:c>
    </x:row>
    <x:row r="6" spans="1:7" s="1" customFormat="1">
      <x:c r="A6" s="1" t="s">
        <x:v>4429</x:v>
      </x:c>
      <x:c r="B6" s="1" t="s">
        <x:v>4433</x:v>
      </x:c>
      <x:c r="C6" s="8" t="s">
        <x:v>1012</x:v>
      </x:c>
      <x:c r="D6" s="1" t="s">
        <x:v>1020</x:v>
      </x:c>
      <x:c r="E6" s="8" t="s">
        <x:v>4480</x:v>
      </x:c>
      <x:c r="F6" s="8" t="s">
        <x:v>4496</x:v>
      </x:c>
    </x:row>
    <x:row r="7" spans="1:7" s="4" customFormat="1">
      <x:c r="A7" s="4" t="s">
        <x:v>4429</x:v>
      </x:c>
      <x:c r="B7" s="4" t="s">
        <x:v>4434</x:v>
      </x:c>
      <x:c r="C7" s="10" t="s">
        <x:v>4449</x:v>
      </x:c>
      <x:c r="D7" s="4" t="s">
        <x:v>4464</x:v>
      </x:c>
      <x:c r="E7" s="10" t="s">
        <x:v>4479</x:v>
      </x:c>
      <x:c r="F7" s="10" t="s">
        <x:v>4497</x:v>
      </x:c>
    </x:row>
    <x:row r="8" spans="1:7" s="3" customFormat="1">
      <x:c r="A8" s="3" t="s">
        <x:v>4429</x:v>
      </x:c>
      <x:c r="B8" s="3" t="s">
        <x:v>4435</x:v>
      </x:c>
      <x:c r="C8" s="6" t="s">
        <x:v>4450</x:v>
      </x:c>
      <x:c r="D8" s="3" t="s">
        <x:v>4465</x:v>
      </x:c>
      <x:c r="E8" s="6" t="s">
        <x:v>4481</x:v>
      </x:c>
      <x:c r="F8" s="6" t="s">
        <x:v>4498</x:v>
      </x:c>
    </x:row>
    <x:row r="9" spans="1:7" s="1" customFormat="1">
      <x:c r="A9" s="1" t="s">
        <x:v>4429</x:v>
      </x:c>
      <x:c r="B9" s="1" t="s">
        <x:v>4436</x:v>
      </x:c>
      <x:c r="C9" s="8" t="s">
        <x:v>4451</x:v>
      </x:c>
      <x:c r="D9" s="1" t="s">
        <x:v>4466</x:v>
      </x:c>
      <x:c r="E9" s="8" t="s">
        <x:v>4482</x:v>
      </x:c>
      <x:c r="F9" s="8" t="s">
        <x:v>4499</x:v>
      </x:c>
    </x:row>
    <x:row r="10" spans="1:7" s="4" customFormat="1">
      <x:c r="A10" s="4" t="s">
        <x:v>4429</x:v>
      </x:c>
      <x:c r="B10" s="4" t="s">
        <x:v>4437</x:v>
      </x:c>
      <x:c r="C10" s="10" t="s">
        <x:v>4452</x:v>
      </x:c>
      <x:c r="D10" s="4" t="s">
        <x:v>4467</x:v>
      </x:c>
      <x:c r="E10" s="10" t="s">
        <x:v>4483</x:v>
      </x:c>
      <x:c r="F10" s="10" t="s">
        <x:v>4500</x:v>
      </x:c>
    </x:row>
    <x:row r="11" spans="1:7" s="3" customFormat="1">
      <x:c r="A11" s="3" t="s">
        <x:v>4429</x:v>
      </x:c>
      <x:c r="B11" s="3" t="s">
        <x:v>1568</x:v>
      </x:c>
      <x:c r="C11" s="6" t="s">
        <x:v>1652</x:v>
      </x:c>
      <x:c r="D11" s="3" t="s">
        <x:v>4468</x:v>
      </x:c>
      <x:c r="E11" s="6" t="s">
        <x:v>4484</x:v>
      </x:c>
      <x:c r="F11" s="6" t="s">
        <x:v>4501</x:v>
      </x:c>
    </x:row>
    <x:row r="12" spans="1:7" s="1" customFormat="1">
      <x:c r="A12" s="1" t="s">
        <x:v>4429</x:v>
      </x:c>
      <x:c r="B12" s="1" t="s">
        <x:v>4438</x:v>
      </x:c>
      <x:c r="C12" s="8" t="s">
        <x:v>4453</x:v>
      </x:c>
      <x:c r="D12" s="1" t="s">
        <x:v>4469</x:v>
      </x:c>
      <x:c r="E12" s="8" t="s">
        <x:v>4485</x:v>
      </x:c>
      <x:c r="F12" s="8" t="s">
        <x:v>4438</x:v>
      </x:c>
    </x:row>
    <x:row r="13" spans="1:7" s="4" customFormat="1">
      <x:c r="A13" s="4" t="s">
        <x:v>4429</x:v>
      </x:c>
      <x:c r="B13" s="4" t="s">
        <x:v>4439</x:v>
      </x:c>
      <x:c r="C13" s="10" t="s">
        <x:v>4454</x:v>
      </x:c>
      <x:c r="D13" s="4" t="s">
        <x:v>4470</x:v>
      </x:c>
      <x:c r="E13" s="10" t="s">
        <x:v>4486</x:v>
      </x:c>
      <x:c r="F13" s="10" t="s">
        <x:v>4427</x:v>
      </x:c>
    </x:row>
    <x:row r="14" spans="1:7" s="3" customFormat="1">
      <x:c r="A14" s="3" t="s">
        <x:v>4429</x:v>
      </x:c>
      <x:c r="B14" s="3" t="s">
        <x:v>4440</x:v>
      </x:c>
      <x:c r="C14" s="6" t="s">
        <x:v>4455</x:v>
      </x:c>
      <x:c r="D14" s="3" t="s">
        <x:v>4471</x:v>
      </x:c>
      <x:c r="E14" s="6" t="s">
        <x:v>4487</x:v>
      </x:c>
      <x:c r="F14" s="6" t="s">
        <x:v>4502</x:v>
      </x:c>
    </x:row>
    <x:row r="15" spans="1:7" s="1" customFormat="1">
      <x:c r="A15" s="1" t="s">
        <x:v>4429</x:v>
      </x:c>
      <x:c r="B15" s="1" t="s">
        <x:v>4442</x:v>
      </x:c>
      <x:c r="C15" s="8" t="s">
        <x:v>4456</x:v>
      </x:c>
      <x:c r="D15" s="1" t="s">
        <x:v>4472</x:v>
      </x:c>
      <x:c r="E15" s="8" t="s">
        <x:v>4488</x:v>
      </x:c>
      <x:c r="F15" s="8" t="s">
        <x:v>4503</x:v>
      </x:c>
    </x:row>
    <x:row r="16" spans="1:7" s="4" customFormat="1">
      <x:c r="A16" s="4" t="s">
        <x:v>4429</x:v>
      </x:c>
      <x:c r="B16" s="4" t="s">
        <x:v>4443</x:v>
      </x:c>
      <x:c r="C16" s="10" t="s">
        <x:v>4457</x:v>
      </x:c>
      <x:c r="D16" s="4" t="s">
        <x:v>4473</x:v>
      </x:c>
      <x:c r="E16" s="10" t="s">
        <x:v>4489</x:v>
      </x:c>
    </x:row>
    <x:row r="17" spans="1:7" s="3" customFormat="1">
      <x:c r="A17" s="3" t="s">
        <x:v>4429</x:v>
      </x:c>
      <x:c r="B17" s="3" t="s">
        <x:v>4444</x:v>
      </x:c>
      <x:c r="C17" s="6" t="s">
        <x:v>4458</x:v>
      </x:c>
      <x:c r="D17" s="3" t="s">
        <x:v>4474</x:v>
      </x:c>
      <x:c r="E17" s="6" t="s">
        <x:v>4490</x:v>
      </x:c>
    </x:row>
    <x:row r="18" spans="1:7" s="1" customFormat="1">
      <x:c r="A18" s="1" t="s">
        <x:v>4429</x:v>
      </x:c>
      <x:c r="B18" s="1" t="s">
        <x:v>4445</x:v>
      </x:c>
      <x:c r="C18" s="8" t="s">
        <x:v>4459</x:v>
      </x:c>
      <x:c r="D18" s="1" t="s">
        <x:v>4475</x:v>
      </x:c>
      <x:c r="E18" s="8" t="s">
        <x:v>4491</x:v>
      </x:c>
    </x:row>
    <x:row r="19" spans="1:7" s="4" customFormat="1">
      <x:c r="A19" s="4" t="s">
        <x:v>4429</x:v>
      </x:c>
      <x:c r="B19" s="4" t="s">
        <x:v>4446</x:v>
      </x:c>
      <x:c r="C19" s="10" t="s">
        <x:v>4461</x:v>
      </x:c>
    </x:row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</x:sheetData>
  <x:hyperlinks>
    <x:hyperlink ref="C2" r:id="rId4759" tooltip="Send a mail to info@matrixscaffolding.com"/>
    <x:hyperlink ref="C3" r:id="rId4760" tooltip="Send a mail to info@makaw.com.mt"/>
    <x:hyperlink ref="C4" r:id="rId4761" tooltip="Send a mail to reucal01@gmail.com"/>
    <x:hyperlink ref="C5" r:id="rId4762" tooltip="Send a mail to info@vassallogroupmalta.com"/>
    <x:hyperlink ref="C6" r:id="rId4763" tooltip="Send a mail to info@mbfmalta.com"/>
    <x:hyperlink ref="C7" r:id="rId4764" tooltip="Send a mail to sslscaffolding@gmail.com"/>
    <x:hyperlink ref="C8" r:id="rId4765" tooltip="Send a mail to info@ptrmachinery.com"/>
    <x:hyperlink ref="C9" r:id="rId4766" tooltip="Send a mail to info@multitrademalta.com"/>
    <x:hyperlink ref="C10" r:id="rId4767" tooltip="Send a mail to sales@rigscaffolding.com.mt"/>
    <x:hyperlink ref="C11" r:id="rId4768" tooltip="Send a mail to info@farrugiagroup.com"/>
    <x:hyperlink ref="C12" r:id="rId4769" tooltip="Send a mail to superior.malta@gmail.com"/>
    <x:hyperlink ref="C13" r:id="rId4770" tooltip="Send a mail to josephcutajar8@gmail.com"/>
    <x:hyperlink ref="C14" r:id="rId4771" tooltip="Send a mail to maescaffolding@gmail.com"/>
    <x:hyperlink ref="C15" r:id="rId4772" tooltip="Send a mail to gbt@onvol.net"/>
    <x:hyperlink ref="C16" r:id="rId4773" tooltip="Send a mail to bty@go.net.mt"/>
    <x:hyperlink ref="C17" r:id="rId4774" tooltip="Send a mail to arawconstructions@gmail.com"/>
    <x:hyperlink ref="C18" r:id="rId4775" tooltip="Send a mail to nfo@access.com.mt"/>
    <x:hyperlink ref="C19" r:id="rId4776" tooltip="Send a mail to info@agius.com.mt"/>
    <x:hyperlink ref="E2" r:id="rId4777" tooltip="Search Young Vella Estates, Plot 4-5, Triq Tal-Handaq, Handaq, Qormi, QRM4000 on Google Maps"/>
    <x:hyperlink ref="E3" r:id="rId4778" tooltip="Search : The Warehouse, Triq Hal-Gharghur, Birkirkara, BKR 2903 on Google Maps"/>
    <x:hyperlink ref="E4" r:id="rId4779" tooltip="Search Zone 1, Central Business District, Triq l-Imdina, Birkirkara, CBD 1010 on Google Maps"/>
    <x:hyperlink ref="E5" r:id="rId4780" tooltip="Search Mosta, Malta on Google Maps"/>
    <x:hyperlink ref="E6" r:id="rId4781" tooltip="Search 70, Riviera Court/2, Triq Forrest, San Ġiljan, STJ 2032 on Google Maps"/>
    <x:hyperlink ref="E7" r:id="rId4782" tooltip="Search 159, Triq Annibale Preca, Ħal Lija on Google Maps"/>
    <x:hyperlink ref="E8" r:id="rId4783" tooltip="Search riq il-Gargir, Rabat, RBT 4638 on Google Maps"/>
    <x:hyperlink ref="E9" r:id="rId4784" tooltip="Search Siggiewi Road, Żebbuġ, ZBG 2301 on Google Maps"/>
    <x:hyperlink ref="E10" r:id="rId4785" tooltip="Search Malta on Google Maps"/>
    <x:hyperlink ref="E11" r:id="rId4786" tooltip="Search 61, Triq Santa Liberata, Il-Kalkara, Malta on Google Maps"/>
    <x:hyperlink ref="E12" r:id="rId4787" tooltip="Search Merhba Triq I-Istefanotis,Sta Lucija,Malta SLC 1810 on Google Maps"/>
    <x:hyperlink ref="E13" r:id="rId4788" tooltip="Search Triq tal-Gallu ,Fgura,Malta FGR 1114 on Google Maps"/>
    <x:hyperlink ref="E14" r:id="rId4789" tooltip="Search Our Dream Triq in-Nutar Zarb ,&#10;Attard, Malta ATD 9041 on Google Maps"/>
    <x:hyperlink ref="E15" r:id="rId4790" tooltip="Search c/o M Space Triq Oscar Zammit ,&#10;Msida, Malta MSD 1280 on Google Maps"/>
    <x:hyperlink ref="E16" r:id="rId4791" tooltip="Search 15a Triq Tonin Mallia Vernon ,&#10;Xewkija-Gozo, Gozo XWK 2502 on Google Maps"/>
    <x:hyperlink ref="E17" r:id="rId4792" tooltip="Search M4 Shopping Complex Triq il-Linja ,&#10;Attard, Malta ATD 1234 on Google Maps"/>
    <x:hyperlink ref="E18" r:id="rId4793" tooltip="Search Triq il-Belt Valletta ,&#10;Mqabba, Malta MQB 9019 on Google Maps"/>
    <x:hyperlink ref="F2" r:id="rId4794" tooltip="Visit matrixscaffolding.com"/>
    <x:hyperlink ref="F3" r:id="rId4795" tooltip="Visit makawscaffolding.com"/>
    <x:hyperlink ref="F4" location="Scaffolding!https://: gscmalta.com" tooltip="Visit : gscmalta.com" display=": gscmalta.com"/>
    <x:hyperlink ref="F5" r:id="rId4796" tooltip="Visit vassallogroupmalta.com"/>
    <x:hyperlink ref="F6" r:id="rId4797" tooltip="Visit mbfmalta.com"/>
    <x:hyperlink ref="F7" r:id="rId4798" tooltip="Visit scaffoldingsystemltd.com"/>
    <x:hyperlink ref="F8" r:id="rId4799" tooltip="Visit ptrmachinery.com"/>
    <x:hyperlink ref="F9" r:id="rId4800" tooltip="Visit multitrademalta.com"/>
    <x:hyperlink ref="F10" location="Scaffolding!https://Rig Scaffolding Ltd - Malta" tooltip="Visit Rig Scaffolding Ltd - Malta" display="Rig Scaffolding Ltd - Malta"/>
    <x:hyperlink ref="F11" r:id="rId4801" tooltip="Visit farrugiagroup.com"/>
    <x:hyperlink ref="F12" location="Scaffolding!https://Superior Construction Malta" tooltip="Visit Superior Construction Malta" display="Superior Construction Malta"/>
    <x:hyperlink ref="F13" r:id="rId4802" tooltip="Visit facebook.com/people/MAE-scaffolding/100054415933841/&#10;Suggest update"/>
    <x:hyperlink ref="F14" r:id="rId4803" tooltip="Visit facebook.com/GBTMalta/&#10;Suggest update"/>
    <x:hyperlink ref="F15" r:id="rId4804" tooltip="Visit btytrading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7"/>
  <x:sheetViews>
    <x:sheetView workbookViewId="0"/>
  </x:sheetViews>
  <x:sheetFormatPr defaultRowHeight="15"/>
  <x:cols>
    <x:col min="1" max="1" width="7.710625" style="0" customWidth="1"/>
    <x:col min="2" max="2" width="18.282054" style="0" customWidth="1"/>
    <x:col min="3" max="3" width="24.567768" style="0" customWidth="1"/>
    <x:col min="4" max="4" width="18.139196" style="0" customWidth="1"/>
    <x:col min="5" max="5" width="79.424911" style="0" customWidth="1"/>
    <x:col min="6" max="6" width="34.710625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839</x:v>
      </x:c>
      <x:c r="E1" s="2" t="s">
        <x:v>522</x:v>
      </x:c>
      <x:c r="F1" s="2" t="s">
        <x:v>23</x:v>
      </x:c>
      <x:c r="G1" s="5">
        <x:f>HYPERLINK("#'Summary List'!A75", "Back to Summary")</x:f>
      </x:c>
    </x:row>
    <x:row r="2" spans="1:7" s="3" customFormat="1">
      <x:c r="A2" s="3" t="s">
        <x:v>4504</x:v>
      </x:c>
      <x:c r="B2" s="3" t="s">
        <x:v>1103</x:v>
      </x:c>
      <x:c r="C2" s="6" t="s">
        <x:v>788</x:v>
      </x:c>
      <x:c r="D2" s="7">
        <x:f>CONCATENATE(HYPERLINK("CALLTO:%2B356%202149%201111", "+356 2149 1111"))</x:f>
      </x:c>
      <x:c r="E2" s="6" t="s">
        <x:v>1132</x:v>
      </x:c>
      <x:c r="F2" s="6" t="s">
        <x:v>5256</x:v>
      </x:c>
    </x:row>
    <x:row r="3" spans="1:7" s="1" customFormat="1"/>
    <x:row r="4" spans="1:7" s="4" customFormat="1">
      <x:c r="A4" s="4" t="s">
        <x:v>4505</x:v>
      </x:c>
      <x:c r="B4" s="4" t="s">
        <x:v>1103</x:v>
      </x:c>
      <x:c r="C4" s="10" t="s">
        <x:v>788</x:v>
      </x:c>
      <x:c r="D4" s="11">
        <x:f>CONCATENATE(HYPERLINK("CALLTO:%2B356%202149%201111", "+356 2149 1111"))</x:f>
      </x:c>
      <x:c r="E4" s="10" t="s">
        <x:v>1132</x:v>
      </x:c>
      <x:c r="F4" s="10" t="s">
        <x:v>5256</x:v>
      </x:c>
    </x:row>
    <x:row r="5" spans="1:7" s="3" customFormat="1">
      <x:c r="A5" s="3" t="s">
        <x:v>4505</x:v>
      </x:c>
      <x:c r="B5" s="3" t="s">
        <x:v>1529</x:v>
      </x:c>
      <x:c r="C5" s="6" t="s">
        <x:v>1614</x:v>
      </x:c>
      <x:c r="D5" s="7">
        <x:f>CONCATENATE(HYPERLINK("CALLTO:%2B356%207710%205385", "+356 7710 5385"))</x:f>
      </x:c>
      <x:c r="E5" s="6" t="s">
        <x:v>1709</x:v>
      </x:c>
      <x:c r="F5" s="6" t="s">
        <x:v>1146</x:v>
      </x:c>
    </x:row>
    <x:row r="6" spans="1:7" s="1" customFormat="1">
      <x:c r="A6" s="1" t="s">
        <x:v>4505</x:v>
      </x:c>
      <x:c r="B6" s="1" t="s">
        <x:v>2127</x:v>
      </x:c>
      <x:c r="C6" s="8" t="s">
        <x:v>2133</x:v>
      </x:c>
      <x:c r="D6" s="9">
        <x:f>CONCATENATE(HYPERLINK("CALLTO:%2B356%202133%204145", "+356 2133 4145"))</x:f>
      </x:c>
      <x:c r="E6" s="8" t="s">
        <x:v>2142</x:v>
      </x:c>
      <x:c r="F6" s="8" t="s">
        <x:v>2147</x:v>
      </x:c>
    </x:row>
    <x:row r="7" spans="1:7" s="4" customFormat="1">
      <x:c r="A7" s="4" t="s">
        <x:v>4505</x:v>
      </x:c>
      <x:c r="B7" s="4" t="s">
        <x:v>1063</x:v>
      </x:c>
      <x:c r="C7" s="10" t="s">
        <x:v>1073</x:v>
      </x:c>
      <x:c r="D7" s="11">
        <x:f>CONCATENATE(HYPERLINK("CALLTO:%2B356%202132%200433", "+356 2132 0433"))</x:f>
      </x:c>
      <x:c r="E7" s="10" t="s">
        <x:v>4506</x:v>
      </x:c>
      <x:c r="F7" s="10" t="s">
        <x:v>1081</x:v>
      </x:c>
    </x:row>
    <x:row r="8" spans="1:7" s="3" customFormat="1">
      <x:c r="E8" s="3" t="s">
        <x:v>144</x:v>
      </x:c>
    </x:row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</x:sheetData>
  <x:hyperlinks>
    <x:hyperlink ref="C2" r:id="rId4805" tooltip="Send a mail to info@devalier.com.mt"/>
    <x:hyperlink ref="C4" r:id="rId4806" tooltip="Send a mail to info@devalier.com.mt"/>
    <x:hyperlink ref="C5" r:id="rId4807" tooltip="Send a mail to sales@malta-design.com"/>
    <x:hyperlink ref="C6" r:id="rId4808" tooltip="Send a mail to info@linkprojects.com.mt"/>
    <x:hyperlink ref="C7" r:id="rId4809" tooltip="Send a mail to sales@dimech-ent.com"/>
    <x:hyperlink ref="E2" r:id="rId4810" tooltip="Search The Old Factory, San Gwakkin str, Mriehel,Central Business District Birkirkara CBD, 3030 on Google Maps"/>
    <x:hyperlink ref="E4" r:id="rId4811" tooltip="Search The Old Factory, San Gwakkin str, Mriehel,Central Business District Birkirkara CBD, 3030 on Google Maps"/>
    <x:hyperlink ref="E5" r:id="rId4812" tooltip="Search Malta Design&#10;33 Triq l-Oleandru ,&#10;San Giljan, Malta on Google Maps"/>
    <x:hyperlink ref="E6" r:id="rId4813" tooltip="Search 70, Ta' Xbiex Seafront , Msida, Malta on Google Maps"/>
    <x:hyperlink ref="E7" r:id="rId4814" tooltip="Search Triq Valletta, Luqa, Malta on Google Maps"/>
    <x:hyperlink ref="F2" r:id="rId4815" tooltip="Visit dv.mt/"/>
    <x:hyperlink ref="F4" r:id="rId4816" tooltip="Visit dv.mt/"/>
    <x:hyperlink ref="F5" r:id="rId4817" tooltip="Visit malta-design.com/en/57007-pergolas"/>
    <x:hyperlink ref="F6" r:id="rId4818" tooltip="Visit linkprojects.com.mt/"/>
    <x:hyperlink ref="F7" r:id="rId4819" tooltip="Visit dimech-ent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22"/>
  <x:sheetViews>
    <x:sheetView workbookViewId="0"/>
  </x:sheetViews>
  <x:sheetFormatPr defaultRowHeight="15"/>
  <x:cols>
    <x:col min="1" max="1" width="13.567768" style="0" customWidth="1"/>
    <x:col min="2" max="2" width="46.424911" style="0" customWidth="1"/>
    <x:col min="3" max="3" width="50.853482" style="0" customWidth="1"/>
    <x:col min="4" max="4" width="45.282054" style="0" customWidth="1"/>
    <x:col min="5" max="5" width="71.710625" style="0" customWidth="1"/>
    <x:col min="6" max="6" width="145.996339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482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5">
        <x:f>HYPERLINK("#'Summary List'!A76", "Back to Summary")</x:f>
      </x:c>
    </x:row>
    <x:row r="2" spans="1:7" s="3" customFormat="1">
      <x:c r="A2" s="3" t="s">
        <x:v>3341</x:v>
      </x:c>
      <x:c r="B2" s="3" t="s">
        <x:v>3342</x:v>
      </x:c>
      <x:c r="C2" s="3" t="s">
        <x:v>3433</x:v>
      </x:c>
      <x:c r="D2" s="7">
        <x:f>CONCATENATE(HYPERLINK("CALLTO:%2B356%202137%204563", "+356 2137 4563"))</x:f>
      </x:c>
      <x:c r="E2" s="6" t="s">
        <x:v>3523</x:v>
      </x:c>
      <x:c r="F2" s="6" t="s">
        <x:v>740</x:v>
      </x:c>
    </x:row>
    <x:row r="3" spans="1:7" s="1" customFormat="1">
      <x:c r="A3" s="1" t="s">
        <x:v>3341</x:v>
      </x:c>
      <x:c r="B3" s="1" t="s">
        <x:v>3343</x:v>
      </x:c>
      <x:c r="C3" s="8" t="s">
        <x:v>3434</x:v>
      </x:c>
      <x:c r="D3" s="9">
        <x:f>CONCATENATE(HYPERLINK("CALLTO:%2B356%209989%209781", "+356 9989 9781"), " / ", HYPERLINK("CALLTO:%2B356%209942%204136", "+356 9942 4136"))</x:f>
      </x:c>
      <x:c r="E3" s="8" t="s">
        <x:v>3524</x:v>
      </x:c>
      <x:c r="F3" s="8" t="s">
        <x:v>5323</x:v>
      </x:c>
    </x:row>
    <x:row r="4" spans="1:7" s="4" customFormat="1">
      <x:c r="A4" s="4" t="s">
        <x:v>3341</x:v>
      </x:c>
      <x:c r="B4" s="4" t="s">
        <x:v>3344</x:v>
      </x:c>
      <x:c r="C4" s="10" t="s">
        <x:v>3435</x:v>
      </x:c>
      <x:c r="D4" s="11">
        <x:f>CONCATENATE(HYPERLINK("CALLTO:%2B356%202141%203044", "+356 2141 3044"))</x:f>
      </x:c>
      <x:c r="E4" s="10" t="s">
        <x:v>3525</x:v>
      </x:c>
      <x:c r="F4" s="10" t="s">
        <x:v>5324</x:v>
      </x:c>
    </x:row>
    <x:row r="5" spans="1:7" s="3" customFormat="1">
      <x:c r="A5" s="3" t="s">
        <x:v>3341</x:v>
      </x:c>
      <x:c r="B5" s="3" t="s">
        <x:v>3345</x:v>
      </x:c>
      <x:c r="C5" s="6" t="s">
        <x:v>3436</x:v>
      </x:c>
      <x:c r="D5" s="7">
        <x:f>CONCATENATE(HYPERLINK("CALLTO:%2B356%202141%209787", "+356 2141 9787"))</x:f>
      </x:c>
      <x:c r="E5" s="6" t="s">
        <x:v>3526</x:v>
      </x:c>
      <x:c r="F5" s="6" t="s">
        <x:v>4600</x:v>
      </x:c>
    </x:row>
    <x:row r="6" spans="1:7" s="1" customFormat="1">
      <x:c r="A6" s="1" t="s">
        <x:v>3341</x:v>
      </x:c>
      <x:c r="B6" s="1" t="s">
        <x:v>3346</x:v>
      </x:c>
      <x:c r="C6" s="8" t="s">
        <x:v>3437</x:v>
      </x:c>
      <x:c r="D6" s="9">
        <x:f>CONCATENATE(HYPERLINK("CALLTO:%2B356%202134%204620", "+356 2134 4620"))</x:f>
      </x:c>
      <x:c r="E6" s="8" t="s">
        <x:v>3527</x:v>
      </x:c>
      <x:c r="F6" s="8" t="s">
        <x:v>5325</x:v>
      </x:c>
    </x:row>
    <x:row r="7" spans="1:7" s="4" customFormat="1">
      <x:c r="A7" s="4" t="s">
        <x:v>3341</x:v>
      </x:c>
      <x:c r="B7" s="4" t="s">
        <x:v>3351</x:v>
      </x:c>
      <x:c r="C7" s="10" t="s">
        <x:v>3442</x:v>
      </x:c>
      <x:c r="D7" s="11">
        <x:f>CONCATENATE(HYPERLINK("CALLTO:%2B356%207996%200410", "+356 7996 0410"))</x:f>
      </x:c>
      <x:c r="E7" s="10" t="s">
        <x:v>3532</x:v>
      </x:c>
      <x:c r="F7" s="4" t="s">
        <x:v>144</x:v>
      </x:c>
    </x:row>
    <x:row r="8" spans="1:7" s="3" customFormat="1">
      <x:c r="A8" s="3" t="s">
        <x:v>3341</x:v>
      </x:c>
      <x:c r="B8" s="3" t="s">
        <x:v>3347</x:v>
      </x:c>
      <x:c r="C8" s="6" t="s">
        <x:v>3438</x:v>
      </x:c>
      <x:c r="D8" s="7">
        <x:f>CONCATENATE(HYPERLINK("CALLTO:%2B356%202125%207400", "+356 2125 7400"))</x:f>
      </x:c>
      <x:c r="E8" s="6" t="s">
        <x:v>3528</x:v>
      </x:c>
      <x:c r="F8" s="6" t="s">
        <x:v>5326</x:v>
      </x:c>
    </x:row>
    <x:row r="9" spans="1:7" s="1" customFormat="1">
      <x:c r="A9" s="1" t="s">
        <x:v>3341</x:v>
      </x:c>
      <x:c r="B9" s="1" t="s">
        <x:v>3348</x:v>
      </x:c>
      <x:c r="C9" s="8" t="s">
        <x:v>3439</x:v>
      </x:c>
      <x:c r="D9" s="9">
        <x:f>CONCATENATE(HYPERLINK("CALLTO:%2B356%209947%205183", "+356 9947 5183"))</x:f>
      </x:c>
      <x:c r="E9" s="8" t="s">
        <x:v>3529</x:v>
      </x:c>
      <x:c r="F9" s="8" t="s">
        <x:v>5327</x:v>
      </x:c>
    </x:row>
    <x:row r="10" spans="1:7" s="4" customFormat="1">
      <x:c r="A10" s="4" t="s">
        <x:v>3341</x:v>
      </x:c>
      <x:c r="B10" s="4" t="s">
        <x:v>3349</x:v>
      </x:c>
      <x:c r="C10" s="10" t="s">
        <x:v>3440</x:v>
      </x:c>
      <x:c r="D10" s="11">
        <x:f>CONCATENATE(HYPERLINK("CALLTO:%2B356%202182%204287", "+356 2182 4287"))</x:f>
      </x:c>
      <x:c r="E10" s="10" t="s">
        <x:v>3530</x:v>
      </x:c>
      <x:c r="F10" s="10" t="s">
        <x:v>5328</x:v>
      </x:c>
    </x:row>
    <x:row r="11" spans="1:7" s="3" customFormat="1">
      <x:c r="A11" s="3" t="s">
        <x:v>3341</x:v>
      </x:c>
      <x:c r="B11" s="3" t="s">
        <x:v>3350</x:v>
      </x:c>
      <x:c r="C11" s="6" t="s">
        <x:v>3441</x:v>
      </x:c>
      <x:c r="D11" s="7">
        <x:f>CONCATENATE(HYPERLINK("CALLTO:%2B356%202155%201166", "+356 2155 1166"))</x:f>
      </x:c>
      <x:c r="E11" s="6" t="s">
        <x:v>3531</x:v>
      </x:c>
      <x:c r="F11" s="6" t="s">
        <x:v>5329</x:v>
      </x:c>
    </x:row>
    <x:row r="12" spans="1:7" s="1" customFormat="1">
      <x:c r="A12" s="1" t="s">
        <x:v>3341</x:v>
      </x:c>
      <x:c r="B12" s="1" t="s">
        <x:v>3356</x:v>
      </x:c>
      <x:c r="C12" s="8" t="s">
        <x:v>3447</x:v>
      </x:c>
      <x:c r="D12" s="9">
        <x:f>CONCATENATE(HYPERLINK("CALLTO:%2B356%209946%209316", "+356 9946 9316"))</x:f>
      </x:c>
      <x:c r="E12" s="8" t="s">
        <x:v>3537</x:v>
      </x:c>
      <x:c r="F12" s="8" t="s">
        <x:v>5333</x:v>
      </x:c>
    </x:row>
    <x:row r="13" spans="1:7" s="4" customFormat="1">
      <x:c r="A13" s="4" t="s">
        <x:v>3341</x:v>
      </x:c>
      <x:c r="B13" s="4" t="s">
        <x:v>3426</x:v>
      </x:c>
      <x:c r="C13" s="10" t="s">
        <x:v>3511</x:v>
      </x:c>
      <x:c r="D13" s="11">
        <x:f>CONCATENATE(HYPERLINK("CALLTO:%2B356%209982%202867", "+356 9982 2867"))</x:f>
      </x:c>
      <x:c r="E13" s="10" t="s">
        <x:v>3607</x:v>
      </x:c>
      <x:c r="F13" s="10" t="s">
        <x:v>3616</x:v>
      </x:c>
    </x:row>
    <x:row r="14" spans="1:7" s="3" customFormat="1">
      <x:c r="A14" s="3" t="s">
        <x:v>3341</x:v>
      </x:c>
      <x:c r="B14" s="3" t="s">
        <x:v>3352</x:v>
      </x:c>
      <x:c r="C14" s="6" t="s">
        <x:v>3443</x:v>
      </x:c>
      <x:c r="D14" s="7">
        <x:f>CONCATENATE(HYPERLINK("CALLTO:%2B356%209947%206549", "+356 9947 6549"))</x:f>
      </x:c>
      <x:c r="E14" s="6" t="s">
        <x:v>3533</x:v>
      </x:c>
      <x:c r="F14" s="3" t="s">
        <x:v>144</x:v>
      </x:c>
    </x:row>
    <x:row r="15" spans="1:7" s="1" customFormat="1">
      <x:c r="A15" s="1" t="s">
        <x:v>3341</x:v>
      </x:c>
      <x:c r="B15" s="1" t="s">
        <x:v>3353</x:v>
      </x:c>
      <x:c r="C15" s="8" t="s">
        <x:v>3444</x:v>
      </x:c>
      <x:c r="D15" s="9">
        <x:f>CONCATENATE(HYPERLINK("CALLTO:%2B356%202148%203389", "+356 2148 3389"), " / ", HYPERLINK("CALLTO:%2B356%209945%204376", "+356 9945 4376"), " / ", HYPERLINK("CALLTO:%2B356%209988%205657", "+356 9988 5657"))</x:f>
      </x:c>
      <x:c r="E15" s="8" t="s">
        <x:v>3534</x:v>
      </x:c>
      <x:c r="F15" s="8" t="s">
        <x:v>5330</x:v>
      </x:c>
    </x:row>
    <x:row r="16" spans="1:7" s="4" customFormat="1">
      <x:c r="A16" s="4" t="s">
        <x:v>3341</x:v>
      </x:c>
      <x:c r="B16" s="4" t="s">
        <x:v>3354</x:v>
      </x:c>
      <x:c r="C16" s="10" t="s">
        <x:v>3445</x:v>
      </x:c>
      <x:c r="D16" s="11">
        <x:f>CONCATENATE(HYPERLINK("CALLTO:%2B356%209942%202429", "+356 9942 2429"))</x:f>
      </x:c>
      <x:c r="E16" s="10" t="s">
        <x:v>3535</x:v>
      </x:c>
      <x:c r="F16" s="10" t="s">
        <x:v>5331</x:v>
      </x:c>
    </x:row>
    <x:row r="17" spans="1:7" s="3" customFormat="1">
      <x:c r="A17" s="3" t="s">
        <x:v>3341</x:v>
      </x:c>
      <x:c r="B17" s="3" t="s">
        <x:v>3355</x:v>
      </x:c>
      <x:c r="C17" s="6" t="s">
        <x:v>4539</x:v>
      </x:c>
      <x:c r="D17" s="7">
        <x:f>CONCATENATE(HYPERLINK("CALLTO:%2B356%209947%203598", "+356 9947 3598"))</x:f>
      </x:c>
      <x:c r="E17" s="6" t="s">
        <x:v>3536</x:v>
      </x:c>
      <x:c r="F17" s="6" t="s">
        <x:v>5332</x:v>
      </x:c>
    </x:row>
    <x:row r="18" spans="1:7" s="1" customFormat="1">
      <x:c r="A18" s="1" t="s">
        <x:v>3341</x:v>
      </x:c>
      <x:c r="B18" s="1" t="s">
        <x:v>4510</x:v>
      </x:c>
      <x:c r="C18" s="8" t="s">
        <x:v>4540</x:v>
      </x:c>
      <x:c r="D18" s="9">
        <x:f>CONCATENATE(HYPERLINK("CALLTO:%2B356%209947%204358", "+356 9947 4358"))</x:f>
      </x:c>
      <x:c r="E18" s="8" t="s">
        <x:v>4564</x:v>
      </x:c>
      <x:c r="F18" s="8" t="s">
        <x:v>3615</x:v>
      </x:c>
    </x:row>
    <x:row r="19" spans="1:7" s="4" customFormat="1">
      <x:c r="A19" s="4" t="s">
        <x:v>3341</x:v>
      </x:c>
      <x:c r="B19" s="4" t="s">
        <x:v>3358</x:v>
      </x:c>
      <x:c r="C19" s="10" t="s">
        <x:v>703</x:v>
      </x:c>
      <x:c r="D19" s="11">
        <x:f>CONCATENATE(HYPERLINK("CALLTO:%2B356%202146%204761", "+356 2146 4761"))</x:f>
      </x:c>
      <x:c r="E19" s="10" t="s">
        <x:v>3539</x:v>
      </x:c>
      <x:c r="F19" s="10" t="s">
        <x:v>747</x:v>
      </x:c>
    </x:row>
    <x:row r="20" spans="1:7" s="3" customFormat="1">
      <x:c r="A20" s="3" t="s">
        <x:v>3341</x:v>
      </x:c>
      <x:c r="B20" s="3" t="s">
        <x:v>3357</x:v>
      </x:c>
      <x:c r="C20" s="6" t="s">
        <x:v>3448</x:v>
      </x:c>
      <x:c r="D20" s="7">
        <x:f>CONCATENATE(HYPERLINK("CALLTO:%2B356%209909%200706", "+356 9909 0706"))</x:f>
      </x:c>
      <x:c r="E20" s="6" t="s">
        <x:v>3538</x:v>
      </x:c>
      <x:c r="F20" s="6" t="s">
        <x:v>5334</x:v>
      </x:c>
    </x:row>
    <x:row r="21" spans="1:7" s="1" customFormat="1">
      <x:c r="A21" s="1" t="s">
        <x:v>3341</x:v>
      </x:c>
      <x:c r="B21" s="1" t="s">
        <x:v>3361</x:v>
      </x:c>
      <x:c r="C21" s="8" t="s">
        <x:v>3451</x:v>
      </x:c>
      <x:c r="D21" s="9">
        <x:f>CONCATENATE(HYPERLINK("CALLTO:%2B356%209947%201116", "+356 9947 1116"))</x:f>
      </x:c>
      <x:c r="E21" s="8" t="s">
        <x:v>3542</x:v>
      </x:c>
      <x:c r="F21" s="8" t="s">
        <x:v>3617</x:v>
      </x:c>
    </x:row>
    <x:row r="22" spans="1:7" s="4" customFormat="1">
      <x:c r="A22" s="4" t="s">
        <x:v>3341</x:v>
      </x:c>
      <x:c r="B22" s="4" t="s">
        <x:v>3359</x:v>
      </x:c>
      <x:c r="C22" s="10" t="s">
        <x:v>3449</x:v>
      </x:c>
      <x:c r="D22" s="11">
        <x:f>CONCATENATE(HYPERLINK("CALLTO:%2B356%209944%203727", "+356 9944 3727"), " / ", HYPERLINK("CALLTO:%2B356%209944%203727", "+356 9944 3727"))</x:f>
      </x:c>
      <x:c r="E22" s="10" t="s">
        <x:v>3540</x:v>
      </x:c>
      <x:c r="F22" s="10" t="s">
        <x:v>5335</x:v>
      </x:c>
    </x:row>
    <x:row r="23" spans="1:7" s="3" customFormat="1">
      <x:c r="A23" s="3" t="s">
        <x:v>3341</x:v>
      </x:c>
      <x:c r="B23" s="3" t="s">
        <x:v>3360</x:v>
      </x:c>
      <x:c r="C23" s="6" t="s">
        <x:v>3450</x:v>
      </x:c>
      <x:c r="D23" s="7">
        <x:f>CONCATENATE(HYPERLINK("CALLTO:%2B356%209949%208678", "+356 9949 8678"))</x:f>
      </x:c>
      <x:c r="E23" s="6" t="s">
        <x:v>3541</x:v>
      </x:c>
      <x:c r="F23" s="6" t="s">
        <x:v>5336</x:v>
      </x:c>
    </x:row>
    <x:row r="24" spans="1:7" s="1" customFormat="1">
      <x:c r="A24" s="1" t="s">
        <x:v>3341</x:v>
      </x:c>
      <x:c r="B24" s="1" t="s">
        <x:v>3362</x:v>
      </x:c>
      <x:c r="C24" s="8" t="s">
        <x:v>3452</x:v>
      </x:c>
      <x:c r="D24" s="9">
        <x:f>CONCATENATE(HYPERLINK("CALLTO:%2B356%209940%203980", "+356 9940 3980"))</x:f>
      </x:c>
      <x:c r="E24" s="8" t="s">
        <x:v>3543</x:v>
      </x:c>
      <x:c r="F24" s="8" t="s">
        <x:v>3618</x:v>
      </x:c>
    </x:row>
    <x:row r="25" spans="1:7" s="4" customFormat="1">
      <x:c r="A25" s="4" t="s">
        <x:v>3341</x:v>
      </x:c>
      <x:c r="B25" s="4" t="s">
        <x:v>3363</x:v>
      </x:c>
      <x:c r="C25" s="10" t="s">
        <x:v>3453</x:v>
      </x:c>
      <x:c r="D25" s="11">
        <x:f>CONCATENATE(HYPERLINK("CALLTO:%2B356%207922%207976", "+356 7922 7976"))</x:f>
      </x:c>
      <x:c r="E25" s="10" t="s">
        <x:v>3544</x:v>
      </x:c>
      <x:c r="F25" s="10" t="s">
        <x:v>5338</x:v>
      </x:c>
    </x:row>
    <x:row r="26" spans="1:7" s="3" customFormat="1">
      <x:c r="A26" s="3" t="s">
        <x:v>3341</x:v>
      </x:c>
      <x:c r="B26" s="3" t="s">
        <x:v>3364</x:v>
      </x:c>
      <x:c r="C26" s="6" t="s">
        <x:v>3454</x:v>
      </x:c>
      <x:c r="D26" s="7">
        <x:f>CONCATENATE(HYPERLINK("CALLTO:%2B356%209942%205030", "+356 9942 5030"))</x:f>
      </x:c>
      <x:c r="E26" s="6" t="s">
        <x:v>3545</x:v>
      </x:c>
      <x:c r="F26" s="3" t="s">
        <x:v>144</x:v>
      </x:c>
    </x:row>
    <x:row r="27" spans="1:7" s="1" customFormat="1">
      <x:c r="A27" s="1" t="s">
        <x:v>3341</x:v>
      </x:c>
      <x:c r="B27" s="1" t="s">
        <x:v>3365</x:v>
      </x:c>
      <x:c r="C27" s="8" t="s">
        <x:v>3455</x:v>
      </x:c>
      <x:c r="D27" s="9">
        <x:f>CONCATENATE(HYPERLINK("CALLTO:%2B356%207944%209303", "+356 7944 9303"))</x:f>
      </x:c>
      <x:c r="E27" s="8" t="s">
        <x:v>3546</x:v>
      </x:c>
      <x:c r="F27" s="8" t="s">
        <x:v>5339</x:v>
      </x:c>
    </x:row>
    <x:row r="28" spans="1:7" s="4" customFormat="1">
      <x:c r="A28" s="4" t="s">
        <x:v>3341</x:v>
      </x:c>
      <x:c r="B28" s="4" t="s">
        <x:v>4511</x:v>
      </x:c>
      <x:c r="C28" s="10" t="s">
        <x:v>4541</x:v>
      </x:c>
      <x:c r="D28" s="11">
        <x:f>CONCATENATE(HYPERLINK("CALLTO:%2B356%202147%202304", "+356 2147 2304"))</x:f>
      </x:c>
      <x:c r="E28" s="10" t="s">
        <x:v>4565</x:v>
      </x:c>
      <x:c r="F28" s="10" t="s">
        <x:v>3619</x:v>
      </x:c>
    </x:row>
    <x:row r="29" spans="1:7" s="3" customFormat="1">
      <x:c r="A29" s="3" t="s">
        <x:v>3341</x:v>
      </x:c>
      <x:c r="B29" s="3" t="s">
        <x:v>3427</x:v>
      </x:c>
      <x:c r="C29" s="6" t="s">
        <x:v>3512</x:v>
      </x:c>
      <x:c r="D29" s="7">
        <x:f>CONCATENATE(HYPERLINK("CALLTO:%2B356%202713%203292", "+356 2713 3292"))</x:f>
      </x:c>
      <x:c r="E29" s="6" t="s">
        <x:v>3608</x:v>
      </x:c>
      <x:c r="F29" s="6" t="s">
        <x:v>3627</x:v>
      </x:c>
    </x:row>
    <x:row r="30" spans="1:7" s="1" customFormat="1">
      <x:c r="A30" s="1" t="s">
        <x:v>3341</x:v>
      </x:c>
      <x:c r="B30" s="1" t="s">
        <x:v>3366</x:v>
      </x:c>
      <x:c r="C30" s="8" t="s">
        <x:v>3456</x:v>
      </x:c>
      <x:c r="D30" s="9">
        <x:f>CONCATENATE(HYPERLINK("CALLTO:%2B356%207996%202212", "+356 7996 2212"))</x:f>
      </x:c>
      <x:c r="E30" s="8" t="s">
        <x:v>3547</x:v>
      </x:c>
      <x:c r="F30" s="1" t="s">
        <x:v>144</x:v>
      </x:c>
    </x:row>
    <x:row r="31" spans="1:7" s="4" customFormat="1">
      <x:c r="A31" s="4" t="s">
        <x:v>3341</x:v>
      </x:c>
      <x:c r="B31" s="4" t="s">
        <x:v>3367</x:v>
      </x:c>
      <x:c r="C31" s="10" t="s">
        <x:v>3457</x:v>
      </x:c>
      <x:c r="D31" s="11">
        <x:f>CONCATENATE(HYPERLINK("CALLTO:%2B356%209949%201398", "+356 9949 1398"))</x:f>
      </x:c>
      <x:c r="E31" s="10" t="s">
        <x:v>3548</x:v>
      </x:c>
      <x:c r="F31" s="4" t="s">
        <x:v>144</x:v>
      </x:c>
    </x:row>
    <x:row r="32" spans="1:7" s="3" customFormat="1">
      <x:c r="A32" s="3" t="s">
        <x:v>3341</x:v>
      </x:c>
      <x:c r="B32" s="3" t="s">
        <x:v>3368</x:v>
      </x:c>
      <x:c r="C32" s="6" t="s">
        <x:v>3458</x:v>
      </x:c>
      <x:c r="D32" s="7">
        <x:f>CONCATENATE(HYPERLINK("CALLTO:%2B356%207923%206634", "+356 7923 6634"))</x:f>
      </x:c>
      <x:c r="E32" s="6" t="s">
        <x:v>3549</x:v>
      </x:c>
      <x:c r="F32" s="3" t="s">
        <x:v>144</x:v>
      </x:c>
    </x:row>
    <x:row r="33" spans="1:7" s="1" customFormat="1">
      <x:c r="A33" s="1" t="s">
        <x:v>3341</x:v>
      </x:c>
      <x:c r="B33" s="1" t="s">
        <x:v>3369</x:v>
      </x:c>
      <x:c r="C33" s="8" t="s">
        <x:v>3459</x:v>
      </x:c>
      <x:c r="D33" s="9">
        <x:f>CONCATENATE(HYPERLINK("CALLTO:%2B356%202145%206570", "+356 2145 6570"))</x:f>
      </x:c>
      <x:c r="E33" s="8" t="s">
        <x:v>3550</x:v>
      </x:c>
      <x:c r="F33" s="8" t="s">
        <x:v>5340</x:v>
      </x:c>
    </x:row>
    <x:row r="34" spans="1:7" s="4" customFormat="1">
      <x:c r="A34" s="4" t="s">
        <x:v>3341</x:v>
      </x:c>
      <x:c r="B34" s="4" t="s">
        <x:v>3428</x:v>
      </x:c>
      <x:c r="C34" s="10" t="s">
        <x:v>3513</x:v>
      </x:c>
      <x:c r="D34" s="11">
        <x:f>CONCATENATE(HYPERLINK("CALLTO:%2B356%209942%202382", "+356 9942 2382"))</x:f>
      </x:c>
      <x:c r="E34" s="10" t="s">
        <x:v>3609</x:v>
      </x:c>
      <x:c r="F34" s="10" t="s">
        <x:v>5381</x:v>
      </x:c>
    </x:row>
    <x:row r="35" spans="1:7" s="3" customFormat="1">
      <x:c r="A35" s="3" t="s">
        <x:v>3341</x:v>
      </x:c>
      <x:c r="B35" s="3" t="s">
        <x:v>3370</x:v>
      </x:c>
      <x:c r="C35" s="6" t="s">
        <x:v>3460</x:v>
      </x:c>
      <x:c r="D35" s="7">
        <x:f>CONCATENATE(HYPERLINK("CALLTO:%2B356%209982%208812", "+356 9982 8812"))</x:f>
      </x:c>
      <x:c r="E35" s="6" t="s">
        <x:v>3551</x:v>
      </x:c>
      <x:c r="F35" s="3" t="s">
        <x:v>144</x:v>
      </x:c>
    </x:row>
    <x:row r="36" spans="1:7" s="1" customFormat="1">
      <x:c r="A36" s="1" t="s">
        <x:v>3341</x:v>
      </x:c>
      <x:c r="B36" s="1" t="s">
        <x:v>3371</x:v>
      </x:c>
      <x:c r="C36" s="8" t="s">
        <x:v>3461</x:v>
      </x:c>
      <x:c r="D36" s="9">
        <x:f>CONCATENATE(HYPERLINK("CALLTO:%2B356%207967%205584", "+356 7967 5584"))</x:f>
      </x:c>
      <x:c r="E36" s="8" t="s">
        <x:v>3552</x:v>
      </x:c>
      <x:c r="F36" s="1" t="s">
        <x:v>144</x:v>
      </x:c>
    </x:row>
    <x:row r="37" spans="1:7" s="4" customFormat="1">
      <x:c r="A37" s="4" t="s">
        <x:v>3341</x:v>
      </x:c>
      <x:c r="B37" s="4" t="s">
        <x:v>3372</x:v>
      </x:c>
      <x:c r="C37" s="10" t="s">
        <x:v>3462</x:v>
      </x:c>
      <x:c r="D37" s="11">
        <x:f>CONCATENATE(HYPERLINK("CALLTO:%2B356%207925%206551", "+356 7925 6551"))</x:f>
      </x:c>
      <x:c r="E37" s="10" t="s">
        <x:v>3553</x:v>
      </x:c>
      <x:c r="F37" s="10" t="s">
        <x:v>5341</x:v>
      </x:c>
    </x:row>
    <x:row r="38" spans="1:7" s="3" customFormat="1">
      <x:c r="A38" s="3" t="s">
        <x:v>3341</x:v>
      </x:c>
      <x:c r="B38" s="3" t="s">
        <x:v>3373</x:v>
      </x:c>
      <x:c r="C38" s="6" t="s">
        <x:v>4542</x:v>
      </x:c>
      <x:c r="D38" s="7">
        <x:f>CONCATENATE(HYPERLINK("CALLTO:%2B356%202124%201922", "+356 2124 1922"))</x:f>
      </x:c>
      <x:c r="E38" s="6" t="s">
        <x:v>3554</x:v>
      </x:c>
      <x:c r="F38" s="6" t="s">
        <x:v>5342</x:v>
      </x:c>
    </x:row>
    <x:row r="39" spans="1:7" s="1" customFormat="1">
      <x:c r="A39" s="1" t="s">
        <x:v>3341</x:v>
      </x:c>
      <x:c r="B39" s="1" t="s">
        <x:v>3374</x:v>
      </x:c>
      <x:c r="C39" s="8" t="s">
        <x:v>3464</x:v>
      </x:c>
      <x:c r="D39" s="9">
        <x:f>CONCATENATE(HYPERLINK("CALLTO:%2B356%202149%201643", "+356 2149 1643"))</x:f>
      </x:c>
      <x:c r="E39" s="8" t="s">
        <x:v>3555</x:v>
      </x:c>
      <x:c r="F39" s="8" t="s">
        <x:v>5343</x:v>
      </x:c>
    </x:row>
    <x:row r="40" spans="1:7" s="4" customFormat="1">
      <x:c r="A40" s="4" t="s">
        <x:v>3341</x:v>
      </x:c>
      <x:c r="B40" s="4" t="s">
        <x:v>3375</x:v>
      </x:c>
      <x:c r="C40" s="10" t="s">
        <x:v>3465</x:v>
      </x:c>
      <x:c r="D40" s="11">
        <x:f>CONCATENATE(HYPERLINK("CALLTO:%2B356%209986%202647", "+356 9986 2647"))</x:f>
      </x:c>
      <x:c r="E40" s="10" t="s">
        <x:v>3556</x:v>
      </x:c>
      <x:c r="F40" s="10" t="s">
        <x:v>5344</x:v>
      </x:c>
    </x:row>
    <x:row r="41" spans="1:7" s="3" customFormat="1">
      <x:c r="A41" s="3" t="s">
        <x:v>3341</x:v>
      </x:c>
      <x:c r="B41" s="3" t="s">
        <x:v>3376</x:v>
      </x:c>
      <x:c r="C41" s="6" t="s">
        <x:v>3466</x:v>
      </x:c>
      <x:c r="D41" s="7">
        <x:f>CONCATENATE(HYPERLINK("CALLTO:%2B356%209927%207571", "+356 9927 7571"))</x:f>
      </x:c>
      <x:c r="E41" s="6" t="s">
        <x:v>3557</x:v>
      </x:c>
      <x:c r="F41" s="6" t="s">
        <x:v>5345</x:v>
      </x:c>
    </x:row>
    <x:row r="42" spans="1:7" s="1" customFormat="1">
      <x:c r="A42" s="1" t="s">
        <x:v>3341</x:v>
      </x:c>
      <x:c r="B42" s="1" t="s">
        <x:v>3377</x:v>
      </x:c>
      <x:c r="C42" s="8" t="s">
        <x:v>3467</x:v>
      </x:c>
      <x:c r="D42" s="9">
        <x:f>CONCATENATE(HYPERLINK("CALLTO:%2B356%202149%202432", "+356 2149 2432"))</x:f>
      </x:c>
      <x:c r="E42" s="8" t="s">
        <x:v>3558</x:v>
      </x:c>
      <x:c r="F42" s="8" t="s">
        <x:v>5346</x:v>
      </x:c>
    </x:row>
    <x:row r="43" spans="1:7" s="4" customFormat="1">
      <x:c r="A43" s="4" t="s">
        <x:v>3341</x:v>
      </x:c>
      <x:c r="B43" s="4" t="s">
        <x:v>3378</x:v>
      </x:c>
      <x:c r="C43" s="10" t="s">
        <x:v>3468</x:v>
      </x:c>
      <x:c r="D43" s="11">
        <x:f>CONCATENATE(HYPERLINK("CALLTO:%2B356%207905%208588", "+356 7905 8588"))</x:f>
      </x:c>
      <x:c r="E43" s="10" t="s">
        <x:v>3559</x:v>
      </x:c>
      <x:c r="F43" s="10" t="s">
        <x:v>5347</x:v>
      </x:c>
    </x:row>
    <x:row r="44" spans="1:7" s="3" customFormat="1">
      <x:c r="A44" s="3" t="s">
        <x:v>3341</x:v>
      </x:c>
      <x:c r="B44" s="3" t="s">
        <x:v>3379</x:v>
      </x:c>
      <x:c r="C44" s="6" t="s">
        <x:v>3470</x:v>
      </x:c>
      <x:c r="D44" s="7">
        <x:f>CONCATENATE(HYPERLINK("CALLTO:%2B356%209920%207248", "+356 9920 7248"))</x:f>
      </x:c>
      <x:c r="E44" s="6" t="s">
        <x:v>1762</x:v>
      </x:c>
      <x:c r="F44" s="6" t="s">
        <x:v>5348</x:v>
      </x:c>
    </x:row>
    <x:row r="45" spans="1:7" s="1" customFormat="1">
      <x:c r="A45" s="1" t="s">
        <x:v>3341</x:v>
      </x:c>
      <x:c r="B45" s="1" t="s">
        <x:v>3380</x:v>
      </x:c>
      <x:c r="C45" s="8" t="s">
        <x:v>3469</x:v>
      </x:c>
      <x:c r="D45" s="9">
        <x:f>CONCATENATE(HYPERLINK("CALLTO:%2B356%209949%204304", "+356 9949 4304"))</x:f>
      </x:c>
      <x:c r="E45" s="8" t="s">
        <x:v>3560</x:v>
      </x:c>
      <x:c r="F45" s="8" t="s">
        <x:v>5349</x:v>
      </x:c>
    </x:row>
    <x:row r="46" spans="1:7" s="4" customFormat="1">
      <x:c r="A46" s="4" t="s">
        <x:v>3341</x:v>
      </x:c>
      <x:c r="B46" s="4" t="s">
        <x:v>3381</x:v>
      </x:c>
      <x:c r="C46" s="10" t="s">
        <x:v>3471</x:v>
      </x:c>
      <x:c r="D46" s="11">
        <x:f>CONCATENATE(HYPERLINK("CALLTO:%2B356%207732%200648", "+356 7732 0648"))</x:f>
      </x:c>
      <x:c r="E46" s="10" t="s">
        <x:v>3561</x:v>
      </x:c>
      <x:c r="F46" s="10" t="s">
        <x:v>5350</x:v>
      </x:c>
    </x:row>
    <x:row r="47" spans="1:7" s="3" customFormat="1">
      <x:c r="A47" s="3" t="s">
        <x:v>3341</x:v>
      </x:c>
      <x:c r="B47" s="3" t="s">
        <x:v>4512</x:v>
      </x:c>
      <x:c r="C47" s="6" t="s">
        <x:v>4543</x:v>
      </x:c>
      <x:c r="D47" s="7">
        <x:f>CONCATENATE(HYPERLINK("CALLTO:%2B356%207906%203704", "+356 7906 3704"))</x:f>
      </x:c>
      <x:c r="E47" s="6" t="s">
        <x:v>4566</x:v>
      </x:c>
      <x:c r="F47" s="3" t="s">
        <x:v>144</x:v>
      </x:c>
    </x:row>
    <x:row r="48" spans="1:7" s="1" customFormat="1">
      <x:c r="A48" s="1" t="s">
        <x:v>3341</x:v>
      </x:c>
      <x:c r="B48" s="1" t="s">
        <x:v>3429</x:v>
      </x:c>
      <x:c r="C48" s="8" t="s">
        <x:v>4544</x:v>
      </x:c>
      <x:c r="D48" s="9">
        <x:f>CONCATENATE(HYPERLINK("CALLTO:%2B356%209986%207777", "+356 9986 7777"))</x:f>
      </x:c>
      <x:c r="E48" s="8" t="s">
        <x:v>3610</x:v>
      </x:c>
      <x:c r="F48" s="8" t="s">
        <x:v>5382</x:v>
      </x:c>
    </x:row>
    <x:row r="49" spans="1:7" s="4" customFormat="1">
      <x:c r="A49" s="4" t="s">
        <x:v>3341</x:v>
      </x:c>
      <x:c r="B49" s="4" t="s">
        <x:v>3382</x:v>
      </x:c>
      <x:c r="C49" s="10" t="s">
        <x:v>3472</x:v>
      </x:c>
      <x:c r="D49" s="11">
        <x:f>CONCATENATE(HYPERLINK("CALLTO:%2B356%209942%204050", "+356 9942 4050"))</x:f>
      </x:c>
      <x:c r="E49" s="10" t="s">
        <x:v>3562</x:v>
      </x:c>
      <x:c r="F49" s="10" t="s">
        <x:v>5351</x:v>
      </x:c>
    </x:row>
    <x:row r="50" spans="1:7" s="3" customFormat="1">
      <x:c r="A50" s="3" t="s">
        <x:v>3341</x:v>
      </x:c>
      <x:c r="B50" s="3" t="s">
        <x:v>3383</x:v>
      </x:c>
      <x:c r="C50" s="6" t="s">
        <x:v>3473</x:v>
      </x:c>
      <x:c r="D50" s="7">
        <x:f>CONCATENATE(HYPERLINK("CALLTO:%2B356%207926%202163", "+356 7926 2163"))</x:f>
      </x:c>
      <x:c r="E50" s="6" t="s">
        <x:v>3563</x:v>
      </x:c>
      <x:c r="F50" s="6" t="s">
        <x:v>5352</x:v>
      </x:c>
    </x:row>
    <x:row r="51" spans="1:7" s="1" customFormat="1">
      <x:c r="A51" s="1" t="s">
        <x:v>3341</x:v>
      </x:c>
      <x:c r="B51" s="1" t="s">
        <x:v>3384</x:v>
      </x:c>
      <x:c r="C51" s="8" t="s">
        <x:v>3474</x:v>
      </x:c>
      <x:c r="D51" s="9">
        <x:f>CONCATENATE(HYPERLINK("CALLTO:%2B356%207798%200389", "+356 7798 0389"))</x:f>
      </x:c>
      <x:c r="E51" s="8" t="s">
        <x:v>3564</x:v>
      </x:c>
      <x:c r="F51" s="8" t="s">
        <x:v>5353</x:v>
      </x:c>
    </x:row>
    <x:row r="52" spans="1:7" s="4" customFormat="1">
      <x:c r="A52" s="4" t="s">
        <x:v>3341</x:v>
      </x:c>
      <x:c r="B52" s="4" t="s">
        <x:v>3385</x:v>
      </x:c>
      <x:c r="C52" s="10" t="s">
        <x:v>4545</x:v>
      </x:c>
      <x:c r="D52" s="11">
        <x:f>CONCATENATE(HYPERLINK("CALLTO:%2B356%202149%200588", "+356 2149 0588"))</x:f>
      </x:c>
      <x:c r="E52" s="10" t="s">
        <x:v>3565</x:v>
      </x:c>
      <x:c r="F52" s="10" t="s">
        <x:v>5354</x:v>
      </x:c>
    </x:row>
    <x:row r="53" spans="1:7" s="3" customFormat="1">
      <x:c r="A53" s="3" t="s">
        <x:v>3341</x:v>
      </x:c>
      <x:c r="B53" s="3" t="s">
        <x:v>3386</x:v>
      </x:c>
      <x:c r="C53" s="6" t="s">
        <x:v>3476</x:v>
      </x:c>
      <x:c r="D53" s="7">
        <x:f>CONCATENATE(HYPERLINK("CALLTO:%2B356%209982%205244", "+356 9982 5244"))</x:f>
      </x:c>
      <x:c r="E53" s="6" t="s">
        <x:v>3566</x:v>
      </x:c>
      <x:c r="F53" s="3" t="s">
        <x:v>144</x:v>
      </x:c>
    </x:row>
    <x:row r="54" spans="1:7" s="1" customFormat="1">
      <x:c r="A54" s="1" t="s">
        <x:v>3341</x:v>
      </x:c>
      <x:c r="B54" s="1" t="s">
        <x:v>3430</x:v>
      </x:c>
      <x:c r="C54" s="8" t="s">
        <x:v>3516</x:v>
      </x:c>
      <x:c r="D54" s="9">
        <x:f>CONCATENATE(HYPERLINK("CALLTO:%2B356%202762%206262", "+356 2762 6262"))</x:f>
      </x:c>
      <x:c r="E54" s="8" t="s">
        <x:v>3611</x:v>
      </x:c>
      <x:c r="F54" s="8" t="s">
        <x:v>3620</x:v>
      </x:c>
    </x:row>
    <x:row r="55" spans="1:7" s="4" customFormat="1">
      <x:c r="A55" s="4" t="s">
        <x:v>3341</x:v>
      </x:c>
      <x:c r="B55" s="4" t="s">
        <x:v>3387</x:v>
      </x:c>
      <x:c r="C55" s="10" t="s">
        <x:v>3477</x:v>
      </x:c>
      <x:c r="D55" s="11">
        <x:f>CONCATENATE(HYPERLINK("CALLTO:%2B356%209924%202312", "+356 9924 2312"))</x:f>
      </x:c>
      <x:c r="E55" s="10" t="s">
        <x:v>3567</x:v>
      </x:c>
      <x:c r="F55" s="10" t="s">
        <x:v>5355</x:v>
      </x:c>
    </x:row>
    <x:row r="56" spans="1:7" s="3" customFormat="1">
      <x:c r="A56" s="3" t="s">
        <x:v>3341</x:v>
      </x:c>
      <x:c r="B56" s="3" t="s">
        <x:v>677</x:v>
      </x:c>
      <x:c r="C56" s="6" t="s">
        <x:v>705</x:v>
      </x:c>
      <x:c r="D56" s="7">
        <x:f>CONCATENATE(HYPERLINK("CALLTO:%2B356%202145%202831", "+356 2145 2831"))</x:f>
      </x:c>
      <x:c r="E56" s="6" t="s">
        <x:v>3568</x:v>
      </x:c>
      <x:c r="F56" s="6" t="s">
        <x:v>4603</x:v>
      </x:c>
    </x:row>
    <x:row r="57" spans="1:7" s="1" customFormat="1">
      <x:c r="A57" s="1" t="s">
        <x:v>3341</x:v>
      </x:c>
      <x:c r="B57" s="1" t="s">
        <x:v>3388</x:v>
      </x:c>
      <x:c r="C57" s="8" t="s">
        <x:v>2554</x:v>
      </x:c>
      <x:c r="D57" s="9">
        <x:f>CONCATENATE(HYPERLINK("CALLTO:%2B356%202138%202595", "+356 2138 2595"))</x:f>
      </x:c>
      <x:c r="E57" s="8" t="s">
        <x:v>3569</x:v>
      </x:c>
      <x:c r="F57" s="8" t="s">
        <x:v>2559</x:v>
      </x:c>
    </x:row>
    <x:row r="58" spans="1:7" s="4" customFormat="1">
      <x:c r="A58" s="4" t="s">
        <x:v>3341</x:v>
      </x:c>
      <x:c r="B58" s="4" t="s">
        <x:v>3389</x:v>
      </x:c>
      <x:c r="C58" s="10" t="s">
        <x:v>3478</x:v>
      </x:c>
      <x:c r="D58" s="11">
        <x:f>CONCATENATE(HYPERLINK("CALLTO:%2B356%207909%201797", "+356 7909 1797"))</x:f>
      </x:c>
      <x:c r="E58" s="10" t="s">
        <x:v>3570</x:v>
      </x:c>
      <x:c r="F58" s="10" t="s">
        <x:v>5356</x:v>
      </x:c>
    </x:row>
    <x:row r="59" spans="1:7" s="3" customFormat="1">
      <x:c r="A59" s="3" t="s">
        <x:v>3341</x:v>
      </x:c>
      <x:c r="B59" s="3" t="s">
        <x:v>3390</x:v>
      </x:c>
      <x:c r="C59" s="6" t="s">
        <x:v>3479</x:v>
      </x:c>
      <x:c r="D59" s="7">
        <x:f>CONCATENATE(HYPERLINK("CALLTO:%2B356%202146%201078", "+356 2146 1078"))</x:f>
      </x:c>
      <x:c r="E59" s="6" t="s">
        <x:v>3571</x:v>
      </x:c>
      <x:c r="F59" s="6" t="s">
        <x:v>5357</x:v>
      </x:c>
    </x:row>
    <x:row r="60" spans="1:7" s="1" customFormat="1">
      <x:c r="A60" s="1" t="s">
        <x:v>3341</x:v>
      </x:c>
      <x:c r="B60" s="1" t="s">
        <x:v>3391</x:v>
      </x:c>
      <x:c r="C60" s="8" t="s">
        <x:v>3480</x:v>
      </x:c>
      <x:c r="D60" s="9">
        <x:f>CONCATENATE(HYPERLINK("CALLTO:%2B356%209947%202592", "+356 9947 2592"))</x:f>
      </x:c>
      <x:c r="E60" s="8" t="s">
        <x:v>3572</x:v>
      </x:c>
      <x:c r="F60" s="1" t="s">
        <x:v>144</x:v>
      </x:c>
    </x:row>
    <x:row r="61" spans="1:7" s="4" customFormat="1">
      <x:c r="A61" s="4" t="s">
        <x:v>3341</x:v>
      </x:c>
      <x:c r="B61" s="4" t="s">
        <x:v>3392</x:v>
      </x:c>
      <x:c r="C61" s="10" t="s">
        <x:v>3481</x:v>
      </x:c>
      <x:c r="D61" s="11">
        <x:f>CONCATENATE(HYPERLINK("CALLTO:%2B356%202146%203522", "+356 2146 3522"))</x:f>
      </x:c>
      <x:c r="E61" s="10" t="s">
        <x:v>3573</x:v>
      </x:c>
      <x:c r="F61" s="10" t="s">
        <x:v>741</x:v>
      </x:c>
    </x:row>
    <x:row r="62" spans="1:7" s="3" customFormat="1">
      <x:c r="A62" s="3" t="s">
        <x:v>3341</x:v>
      </x:c>
      <x:c r="B62" s="3" t="s">
        <x:v>3393</x:v>
      </x:c>
      <x:c r="C62" s="6" t="s">
        <x:v>3482</x:v>
      </x:c>
      <x:c r="D62" s="7">
        <x:f>CONCATENATE(HYPERLINK("CALLTO:%2B356%207005%20238925", "+356 7005 238925"))</x:f>
      </x:c>
      <x:c r="E62" s="6" t="s">
        <x:v>3574</x:v>
      </x:c>
      <x:c r="F62" s="6" t="s">
        <x:v>5358</x:v>
      </x:c>
    </x:row>
    <x:row r="63" spans="1:7" s="1" customFormat="1">
      <x:c r="A63" s="1" t="s">
        <x:v>3341</x:v>
      </x:c>
      <x:c r="B63" s="1" t="s">
        <x:v>3394</x:v>
      </x:c>
      <x:c r="C63" s="8" t="s">
        <x:v>3483</x:v>
      </x:c>
      <x:c r="D63" s="9">
        <x:f>CONCATENATE(HYPERLINK("CALLTO:%2B356%209947%203343", "+356 9947 3343"))</x:f>
      </x:c>
      <x:c r="E63" s="8" t="s">
        <x:v>3575</x:v>
      </x:c>
      <x:c r="F63" s="1" t="s">
        <x:v>144</x:v>
      </x:c>
    </x:row>
    <x:row r="64" spans="1:7" s="4" customFormat="1">
      <x:c r="A64" s="4" t="s">
        <x:v>3341</x:v>
      </x:c>
      <x:c r="B64" s="4" t="s">
        <x:v>3395</x:v>
      </x:c>
      <x:c r="C64" s="10" t="s">
        <x:v>3484</x:v>
      </x:c>
      <x:c r="D64" s="11">
        <x:f>CONCATENATE(HYPERLINK("CALLTO:%2B356%209993%208509", "+356 9993 8509"))</x:f>
      </x:c>
      <x:c r="E64" s="10" t="s">
        <x:v>3576</x:v>
      </x:c>
      <x:c r="F64" s="10" t="s">
        <x:v>5359</x:v>
      </x:c>
    </x:row>
    <x:row r="65" spans="1:7" s="3" customFormat="1">
      <x:c r="A65" s="3" t="s">
        <x:v>3341</x:v>
      </x:c>
      <x:c r="B65" s="3" t="s">
        <x:v>4513</x:v>
      </x:c>
      <x:c r="C65" s="6" t="s">
        <x:v>3689</x:v>
      </x:c>
      <x:c r="D65" s="7">
        <x:f>CONCATENATE(HYPERLINK("CALLTO:%2B356%202143%200936", "+356 2143 0936"))</x:f>
      </x:c>
      <x:c r="E65" s="6" t="s">
        <x:v>4567</x:v>
      </x:c>
      <x:c r="F65" s="6" t="s">
        <x:v>3621</x:v>
      </x:c>
    </x:row>
    <x:row r="66" spans="1:7" s="1" customFormat="1">
      <x:c r="A66" s="1" t="s">
        <x:v>3341</x:v>
      </x:c>
      <x:c r="B66" s="1" t="s">
        <x:v>672</x:v>
      </x:c>
      <x:c r="C66" s="8" t="s">
        <x:v>700</x:v>
      </x:c>
      <x:c r="D66" s="9">
        <x:f>CONCATENATE(HYPERLINK("CALLTO:%2B356%202149%202908", "+356 2149 2908"))</x:f>
      </x:c>
      <x:c r="E66" s="8" t="s">
        <x:v>3577</x:v>
      </x:c>
      <x:c r="F66" s="8" t="s">
        <x:v>744</x:v>
      </x:c>
    </x:row>
    <x:row r="67" spans="1:7" s="4" customFormat="1">
      <x:c r="A67" s="4" t="s">
        <x:v>3341</x:v>
      </x:c>
      <x:c r="B67" s="4" t="s">
        <x:v>3396</x:v>
      </x:c>
      <x:c r="C67" s="10" t="s">
        <x:v>3485</x:v>
      </x:c>
      <x:c r="D67" s="11">
        <x:f>CONCATENATE(HYPERLINK("CALLTO:%2B356%207965%207308", "+356 7965 7308"))</x:f>
      </x:c>
      <x:c r="E67" s="10" t="s">
        <x:v>3578</x:v>
      </x:c>
      <x:c r="F67" s="10" t="s">
        <x:v>5360</x:v>
      </x:c>
    </x:row>
    <x:row r="68" spans="1:7" s="3" customFormat="1">
      <x:c r="A68" s="3" t="s">
        <x:v>3341</x:v>
      </x:c>
      <x:c r="B68" s="3" t="s">
        <x:v>3397</x:v>
      </x:c>
      <x:c r="C68" s="6" t="s">
        <x:v>3486</x:v>
      </x:c>
      <x:c r="D68" s="7">
        <x:f>CONCATENATE(HYPERLINK("CALLTO:%2B356%202122%206320", "+356 2122 6320"))</x:f>
      </x:c>
      <x:c r="E68" s="6" t="s">
        <x:v>3579</x:v>
      </x:c>
      <x:c r="F68" s="6" t="s">
        <x:v>5361</x:v>
      </x:c>
    </x:row>
    <x:row r="69" spans="1:7" s="1" customFormat="1">
      <x:c r="A69" s="1" t="s">
        <x:v>3341</x:v>
      </x:c>
      <x:c r="B69" s="1" t="s">
        <x:v>3398</x:v>
      </x:c>
      <x:c r="C69" s="1" t="s">
        <x:v>3487</x:v>
      </x:c>
      <x:c r="D69" s="9">
        <x:f>CONCATENATE(HYPERLINK("CALLTO:%2B356%207972%207953", "+356 7972 7953"))</x:f>
      </x:c>
      <x:c r="E69" s="8" t="s">
        <x:v>3580</x:v>
      </x:c>
      <x:c r="F69" s="8" t="s">
        <x:v>5362</x:v>
      </x:c>
    </x:row>
    <x:row r="70" spans="1:7" s="4" customFormat="1">
      <x:c r="A70" s="4" t="s">
        <x:v>3341</x:v>
      </x:c>
      <x:c r="B70" s="4" t="s">
        <x:v>3399</x:v>
      </x:c>
      <x:c r="C70" s="10" t="s">
        <x:v>3488</x:v>
      </x:c>
      <x:c r="D70" s="11">
        <x:f>CONCATENATE(HYPERLINK("CALLTO:%2B356%209944%200946", "+356 9944 0946"))</x:f>
      </x:c>
      <x:c r="E70" s="10" t="s">
        <x:v>3581</x:v>
      </x:c>
      <x:c r="F70" s="4" t="s">
        <x:v>144</x:v>
      </x:c>
    </x:row>
    <x:row r="71" spans="1:7" s="3" customFormat="1">
      <x:c r="A71" s="3" t="s">
        <x:v>3341</x:v>
      </x:c>
      <x:c r="B71" s="3" t="s">
        <x:v>3400</x:v>
      </x:c>
      <x:c r="C71" s="6" t="s">
        <x:v>3489</x:v>
      </x:c>
      <x:c r="D71" s="7">
        <x:f>CONCATENATE(HYPERLINK("CALLTO:%2B356%202748%205677", "+356 2748 5677"))</x:f>
      </x:c>
      <x:c r="E71" s="6" t="s">
        <x:v>3582</x:v>
      </x:c>
      <x:c r="F71" s="6" t="s">
        <x:v>5363</x:v>
      </x:c>
    </x:row>
    <x:row r="72" spans="1:7" s="1" customFormat="1">
      <x:c r="A72" s="1" t="s">
        <x:v>3341</x:v>
      </x:c>
      <x:c r="B72" s="1" t="s">
        <x:v>3401</x:v>
      </x:c>
      <x:c r="C72" s="8" t="s">
        <x:v>3490</x:v>
      </x:c>
      <x:c r="D72" s="9">
        <x:f>CONCATENATE(HYPERLINK("CALLTO:%2B356%207905%205395", "+356 7905 5395"))</x:f>
      </x:c>
      <x:c r="E72" s="8" t="s">
        <x:v>3583</x:v>
      </x:c>
      <x:c r="F72" s="8" t="s">
        <x:v>5364</x:v>
      </x:c>
    </x:row>
    <x:row r="73" spans="1:7" s="4" customFormat="1">
      <x:c r="A73" s="4" t="s">
        <x:v>3341</x:v>
      </x:c>
      <x:c r="B73" s="4" t="s">
        <x:v>4514</x:v>
      </x:c>
      <x:c r="C73" s="10" t="s">
        <x:v>4546</x:v>
      </x:c>
      <x:c r="D73" s="11">
        <x:f>CONCATENATE(HYPERLINK("CALLTO:%2B356%209984%200970", "+356 9984 0970"))</x:f>
      </x:c>
      <x:c r="E73" s="10" t="s">
        <x:v>4568</x:v>
      </x:c>
      <x:c r="F73" s="4" t="s">
        <x:v>144</x:v>
      </x:c>
    </x:row>
    <x:row r="74" spans="1:7" s="3" customFormat="1">
      <x:c r="A74" s="3" t="s">
        <x:v>3341</x:v>
      </x:c>
      <x:c r="B74" s="3" t="s">
        <x:v>3402</x:v>
      </x:c>
      <x:c r="C74" s="6" t="s">
        <x:v>3491</x:v>
      </x:c>
      <x:c r="D74" s="7">
        <x:f>CONCATENATE(HYPERLINK("CALLTO:%2B356%209949%200300", "+356 9949 0300"))</x:f>
      </x:c>
      <x:c r="E74" s="6" t="s">
        <x:v>3584</x:v>
      </x:c>
      <x:c r="F74" s="6" t="s">
        <x:v>5365</x:v>
      </x:c>
    </x:row>
    <x:row r="75" spans="1:7" s="1" customFormat="1">
      <x:c r="A75" s="1" t="s">
        <x:v>3341</x:v>
      </x:c>
      <x:c r="B75" s="1" t="s">
        <x:v>3403</x:v>
      </x:c>
      <x:c r="C75" s="8" t="s">
        <x:v>3492</x:v>
      </x:c>
      <x:c r="D75" s="9">
        <x:f>CONCATENATE(HYPERLINK("CALLTO:%2B356%202180%204756", "+356 2180 4756"))</x:f>
      </x:c>
      <x:c r="E75" s="8" t="s">
        <x:v>3585</x:v>
      </x:c>
      <x:c r="F75" s="8" t="s">
        <x:v>5366</x:v>
      </x:c>
    </x:row>
    <x:row r="76" spans="1:7" s="4" customFormat="1">
      <x:c r="A76" s="4" t="s">
        <x:v>3341</x:v>
      </x:c>
      <x:c r="B76" s="4" t="s">
        <x:v>3404</x:v>
      </x:c>
      <x:c r="C76" s="10" t="s">
        <x:v>3493</x:v>
      </x:c>
      <x:c r="D76" s="11">
        <x:f>CONCATENATE(HYPERLINK("CALLTO:%2B356%202166%200170", "+356 2166 0170"))</x:f>
      </x:c>
      <x:c r="E76" s="10" t="s">
        <x:v>3586</x:v>
      </x:c>
      <x:c r="F76" s="10" t="s">
        <x:v>5367</x:v>
      </x:c>
    </x:row>
    <x:row r="77" spans="1:7" s="3" customFormat="1">
      <x:c r="A77" s="3" t="s">
        <x:v>3341</x:v>
      </x:c>
      <x:c r="B77" s="3" t="s">
        <x:v>3405</x:v>
      </x:c>
      <x:c r="C77" s="6" t="s">
        <x:v>3494</x:v>
      </x:c>
      <x:c r="D77" s="7">
        <x:f>CONCATENATE(HYPERLINK("CALLTO:%2B356%209913%201020", "+356 9913 1020"))</x:f>
      </x:c>
      <x:c r="E77" s="6" t="s">
        <x:v>3587</x:v>
      </x:c>
      <x:c r="F77" s="6" t="s">
        <x:v>5368</x:v>
      </x:c>
    </x:row>
    <x:row r="78" spans="1:7" s="1" customFormat="1">
      <x:c r="A78" s="1" t="s">
        <x:v>3341</x:v>
      </x:c>
      <x:c r="B78" s="1" t="s">
        <x:v>3406</x:v>
      </x:c>
      <x:c r="C78" s="8" t="s">
        <x:v>3495</x:v>
      </x:c>
      <x:c r="D78" s="9">
        <x:f>CONCATENATE(HYPERLINK("CALLTO:%2B356%209983%205642", "+356 9983 5642"))</x:f>
      </x:c>
      <x:c r="E78" s="8" t="s">
        <x:v>3588</x:v>
      </x:c>
      <x:c r="F78" s="1" t="s">
        <x:v>144</x:v>
      </x:c>
    </x:row>
    <x:row r="79" spans="1:7" s="4" customFormat="1">
      <x:c r="A79" s="4" t="s">
        <x:v>3341</x:v>
      </x:c>
      <x:c r="B79" s="4" t="s">
        <x:v>3407</x:v>
      </x:c>
      <x:c r="C79" s="10" t="s">
        <x:v>3496</x:v>
      </x:c>
      <x:c r="D79" s="11">
        <x:f>CONCATENATE(HYPERLINK("CALLTO:%2B356%202169%205051", "+356 2169 5051"))</x:f>
      </x:c>
      <x:c r="E79" s="10" t="s">
        <x:v>3589</x:v>
      </x:c>
      <x:c r="F79" s="4" t="s">
        <x:v>144</x:v>
      </x:c>
    </x:row>
    <x:row r="80" spans="1:7" s="3" customFormat="1">
      <x:c r="A80" s="3" t="s">
        <x:v>3341</x:v>
      </x:c>
      <x:c r="B80" s="3" t="s">
        <x:v>2524</x:v>
      </x:c>
      <x:c r="C80" s="6" t="s">
        <x:v>2543</x:v>
      </x:c>
      <x:c r="D80" s="7">
        <x:f>CONCATENATE(HYPERLINK("CALLTO:%2B356%207943%204443", "+356 7943 4443"), " / ", HYPERLINK("CALLTO:%2B356%202143%204443", "+356 2143 4443"))</x:f>
      </x:c>
      <x:c r="E80" s="6" t="s">
        <x:v>2563</x:v>
      </x:c>
      <x:c r="F80" s="6" t="s">
        <x:v>2580</x:v>
      </x:c>
    </x:row>
    <x:row r="81" spans="1:7" s="1" customFormat="1">
      <x:c r="A81" s="1" t="s">
        <x:v>3341</x:v>
      </x:c>
      <x:c r="B81" s="1" t="s">
        <x:v>3409</x:v>
      </x:c>
      <x:c r="C81" s="8" t="s">
        <x:v>3497</x:v>
      </x:c>
      <x:c r="D81" s="9">
        <x:f>CONCATENATE(HYPERLINK("CALLTO:%2B356%209984%200315", "+356 9984 0315"))</x:f>
      </x:c>
      <x:c r="E81" s="8" t="s">
        <x:v>3591</x:v>
      </x:c>
      <x:c r="F81" s="1" t="s">
        <x:v>144</x:v>
      </x:c>
    </x:row>
    <x:row r="82" spans="1:7" s="4" customFormat="1">
      <x:c r="A82" s="4" t="s">
        <x:v>3341</x:v>
      </x:c>
      <x:c r="B82" s="4" t="s">
        <x:v>3410</x:v>
      </x:c>
      <x:c r="C82" s="10" t="s">
        <x:v>3518</x:v>
      </x:c>
      <x:c r="D82" s="11">
        <x:f>CONCATENATE(HYPERLINK("CALLTO:%2B356%202148%206022", "+356 2148 6022"))</x:f>
      </x:c>
      <x:c r="E82" s="10" t="s">
        <x:v>3592</x:v>
      </x:c>
      <x:c r="F82" s="10" t="s">
        <x:v>5369</x:v>
      </x:c>
    </x:row>
    <x:row r="83" spans="1:7" s="3" customFormat="1">
      <x:c r="A83" s="3" t="s">
        <x:v>3341</x:v>
      </x:c>
      <x:c r="B83" s="3" t="s">
        <x:v>4515</x:v>
      </x:c>
      <x:c r="C83" s="6" t="s">
        <x:v>4547</x:v>
      </x:c>
      <x:c r="D83" s="7">
        <x:f>CONCATENATE(HYPERLINK("CALLTO:%2B356%209949%209054", "+356 9949 9054"))</x:f>
      </x:c>
      <x:c r="E83" s="6" t="s">
        <x:v>4569</x:v>
      </x:c>
      <x:c r="F83" s="3" t="s">
        <x:v>144</x:v>
      </x:c>
    </x:row>
    <x:row r="84" spans="1:7" s="1" customFormat="1">
      <x:c r="A84" s="1" t="s">
        <x:v>3341</x:v>
      </x:c>
      <x:c r="B84" s="1" t="s">
        <x:v>3411</x:v>
      </x:c>
      <x:c r="C84" s="8" t="s">
        <x:v>3499</x:v>
      </x:c>
      <x:c r="D84" s="9">
        <x:f>CONCATENATE(HYPERLINK("CALLTO:%2B356%209947%203849", "+356 9947 3849"))</x:f>
      </x:c>
      <x:c r="E84" s="8" t="s">
        <x:v>3593</x:v>
      </x:c>
      <x:c r="F84" s="1" t="s">
        <x:v>144</x:v>
      </x:c>
    </x:row>
    <x:row r="85" spans="1:7" s="4" customFormat="1">
      <x:c r="A85" s="4" t="s">
        <x:v>3341</x:v>
      </x:c>
      <x:c r="B85" s="4" t="s">
        <x:v>3412</x:v>
      </x:c>
      <x:c r="C85" s="10" t="s">
        <x:v>3500</x:v>
      </x:c>
      <x:c r="D85" s="11">
        <x:f>CONCATENATE(HYPERLINK("CALLTO:%2B356%202155%204149", "+356 2155 4149"))</x:f>
      </x:c>
      <x:c r="E85" s="10" t="s">
        <x:v>3594</x:v>
      </x:c>
      <x:c r="F85" s="10" t="s">
        <x:v>5370</x:v>
      </x:c>
    </x:row>
    <x:row r="86" spans="1:7" s="3" customFormat="1">
      <x:c r="A86" s="3" t="s">
        <x:v>3341</x:v>
      </x:c>
      <x:c r="B86" s="3" t="s">
        <x:v>3413</x:v>
      </x:c>
      <x:c r="C86" s="6" t="s">
        <x:v>3501</x:v>
      </x:c>
      <x:c r="D86" s="7">
        <x:f>CONCATENATE(HYPERLINK("CALLTO:%2B356%209940%202482", "+356 9940 2482"))</x:f>
      </x:c>
      <x:c r="E86" s="6" t="s">
        <x:v>3595</x:v>
      </x:c>
      <x:c r="F86" s="6" t="s">
        <x:v>5371</x:v>
      </x:c>
    </x:row>
    <x:row r="87" spans="1:7" s="1" customFormat="1">
      <x:c r="A87" s="1" t="s">
        <x:v>3341</x:v>
      </x:c>
      <x:c r="B87" s="1" t="s">
        <x:v>3414</x:v>
      </x:c>
      <x:c r="C87" s="8" t="s">
        <x:v>3502</x:v>
      </x:c>
      <x:c r="D87" s="9">
        <x:f>CONCATENATE(HYPERLINK("CALLTO:%2B356%209949%207740", "+356 9949 7740"))</x:f>
      </x:c>
      <x:c r="E87" s="8" t="s">
        <x:v>3581</x:v>
      </x:c>
      <x:c r="F87" s="8" t="s">
        <x:v>5372</x:v>
      </x:c>
    </x:row>
    <x:row r="88" spans="1:7" s="4" customFormat="1">
      <x:c r="A88" s="4" t="s">
        <x:v>3341</x:v>
      </x:c>
      <x:c r="B88" s="4" t="s">
        <x:v>3415</x:v>
      </x:c>
      <x:c r="C88" s="10" t="s">
        <x:v>3503</x:v>
      </x:c>
      <x:c r="D88" s="11">
        <x:f>CONCATENATE(HYPERLINK("CALLTO:%2B356%202144%209878", "+356 2144 9878"))</x:f>
      </x:c>
      <x:c r="E88" s="10" t="s">
        <x:v>3596</x:v>
      </x:c>
      <x:c r="F88" s="10" t="s">
        <x:v>5373</x:v>
      </x:c>
    </x:row>
    <x:row r="89" spans="1:7" s="3" customFormat="1">
      <x:c r="A89" s="3" t="s">
        <x:v>3341</x:v>
      </x:c>
      <x:c r="B89" s="3" t="s">
        <x:v>3416</x:v>
      </x:c>
      <x:c r="C89" s="3" t="s">
        <x:v>144</x:v>
      </x:c>
      <x:c r="D89" s="7">
        <x:f>CONCATENATE(HYPERLINK("CALLTO:%2B356%209942%202717", "+356 9942 2717"))</x:f>
      </x:c>
      <x:c r="E89" s="6" t="s">
        <x:v>3597</x:v>
      </x:c>
      <x:c r="F89" s="3" t="s">
        <x:v>144</x:v>
      </x:c>
    </x:row>
    <x:row r="90" spans="1:7" s="1" customFormat="1">
      <x:c r="A90" s="1" t="s">
        <x:v>3341</x:v>
      </x:c>
      <x:c r="B90" s="1" t="s">
        <x:v>3417</x:v>
      </x:c>
      <x:c r="C90" s="8" t="s">
        <x:v>3504</x:v>
      </x:c>
      <x:c r="D90" s="9">
        <x:f>CONCATENATE(HYPERLINK("CALLTO:%2B356%209932%200809", "+356 9932 0809"))</x:f>
      </x:c>
      <x:c r="E90" s="8" t="s">
        <x:v>3598</x:v>
      </x:c>
      <x:c r="F90" s="8" t="s">
        <x:v>5374</x:v>
      </x:c>
    </x:row>
    <x:row r="91" spans="1:7" s="4" customFormat="1">
      <x:c r="A91" s="4" t="s">
        <x:v>3341</x:v>
      </x:c>
      <x:c r="B91" s="4" t="s">
        <x:v>3418</x:v>
      </x:c>
      <x:c r="C91" s="10" t="s">
        <x:v>3505</x:v>
      </x:c>
      <x:c r="D91" s="11">
        <x:f>CONCATENATE(HYPERLINK("CALLTO:%2B356%209946%200052", "+356 9946 0052"))</x:f>
      </x:c>
      <x:c r="E91" s="10" t="s">
        <x:v>3599</x:v>
      </x:c>
      <x:c r="F91" s="4" t="s">
        <x:v>144</x:v>
      </x:c>
    </x:row>
    <x:row r="92" spans="1:7" s="3" customFormat="1">
      <x:c r="A92" s="3" t="s">
        <x:v>3341</x:v>
      </x:c>
      <x:c r="B92" s="3" t="s">
        <x:v>3419</x:v>
      </x:c>
      <x:c r="C92" s="6" t="s">
        <x:v>3506</x:v>
      </x:c>
      <x:c r="D92" s="7">
        <x:f>CONCATENATE(HYPERLINK("CALLTO:%2B356%209939%205416", "+356 9939 5416"))</x:f>
      </x:c>
      <x:c r="E92" s="6" t="s">
        <x:v>3600</x:v>
      </x:c>
      <x:c r="F92" s="6" t="s">
        <x:v>5375</x:v>
      </x:c>
    </x:row>
    <x:row r="93" spans="1:7" s="1" customFormat="1">
      <x:c r="A93" s="1" t="s">
        <x:v>3341</x:v>
      </x:c>
      <x:c r="B93" s="1" t="s">
        <x:v>3431</x:v>
      </x:c>
      <x:c r="C93" s="8" t="s">
        <x:v>4548</x:v>
      </x:c>
      <x:c r="D93" s="9">
        <x:f>CONCATENATE(HYPERLINK("CALLTO:%2B356%209944%204220", "+356 9944 4220"))</x:f>
      </x:c>
      <x:c r="E93" s="8" t="s">
        <x:v>3612</x:v>
      </x:c>
      <x:c r="F93" s="1" t="s">
        <x:v>144</x:v>
      </x:c>
    </x:row>
    <x:row r="94" spans="1:7" s="4" customFormat="1">
      <x:c r="A94" s="4" t="s">
        <x:v>3341</x:v>
      </x:c>
      <x:c r="B94" s="4" t="s">
        <x:v>3420</x:v>
      </x:c>
      <x:c r="C94" s="10" t="s">
        <x:v>3507</x:v>
      </x:c>
      <x:c r="D94" s="11">
        <x:f>CONCATENATE(HYPERLINK("CALLTO:%2B356%202146%205156", "+356 2146 5156"))</x:f>
      </x:c>
      <x:c r="E94" s="10" t="s">
        <x:v>3601</x:v>
      </x:c>
      <x:c r="F94" s="10" t="s">
        <x:v>5376</x:v>
      </x:c>
    </x:row>
    <x:row r="95" spans="1:7" s="3" customFormat="1">
      <x:c r="A95" s="3" t="s">
        <x:v>3341</x:v>
      </x:c>
      <x:c r="B95" s="3" t="s">
        <x:v>3421</x:v>
      </x:c>
      <x:c r="C95" s="6" t="s">
        <x:v>1071</x:v>
      </x:c>
      <x:c r="D95" s="7">
        <x:f>CONCATENATE(HYPERLINK("CALLTO:%2B356%202180%208802", "+356 2180 8802"))</x:f>
      </x:c>
      <x:c r="E95" s="6" t="s">
        <x:v>3602</x:v>
      </x:c>
      <x:c r="F95" s="6" t="s">
        <x:v>4828</x:v>
      </x:c>
    </x:row>
    <x:row r="96" spans="1:7" s="1" customFormat="1">
      <x:c r="A96" s="1" t="s">
        <x:v>3341</x:v>
      </x:c>
      <x:c r="B96" s="1" t="s">
        <x:v>3432</x:v>
      </x:c>
      <x:c r="C96" s="8" t="s">
        <x:v>3520</x:v>
      </x:c>
      <x:c r="D96" s="9">
        <x:f>CONCATENATE(HYPERLINK("CALLTO:%2B356%209959%204709", "+356 9959 4709"))</x:f>
      </x:c>
      <x:c r="E96" s="8" t="s">
        <x:v>3613</x:v>
      </x:c>
      <x:c r="F96" s="8" t="s">
        <x:v>3628</x:v>
      </x:c>
    </x:row>
    <x:row r="97" spans="1:7" s="4" customFormat="1">
      <x:c r="A97" s="4" t="s">
        <x:v>3341</x:v>
      </x:c>
      <x:c r="B97" s="4" t="s">
        <x:v>3422</x:v>
      </x:c>
      <x:c r="C97" s="10" t="s">
        <x:v>3508</x:v>
      </x:c>
      <x:c r="D97" s="11">
        <x:f>CONCATENATE(HYPERLINK("CALLTO:%2B356%202182%202143", "+356 2182 2143"))</x:f>
      </x:c>
      <x:c r="E97" s="10" t="s">
        <x:v>3603</x:v>
      </x:c>
      <x:c r="F97" s="10" t="s">
        <x:v>5377</x:v>
      </x:c>
    </x:row>
    <x:row r="98" spans="1:7" s="3" customFormat="1">
      <x:c r="A98" s="3" t="s">
        <x:v>3341</x:v>
      </x:c>
      <x:c r="B98" s="3" t="s">
        <x:v>3423</x:v>
      </x:c>
      <x:c r="C98" s="3" t="s">
        <x:v>144</x:v>
      </x:c>
      <x:c r="D98" s="7">
        <x:f>CONCATENATE(HYPERLINK("CALLTO:%2B356%209984%207115", "+356 9984 7115"))</x:f>
      </x:c>
      <x:c r="E98" s="6" t="s">
        <x:v>3604</x:v>
      </x:c>
      <x:c r="F98" s="3" t="s">
        <x:v>144</x:v>
      </x:c>
    </x:row>
    <x:row r="99" spans="1:7" s="1" customFormat="1">
      <x:c r="A99" s="1" t="s">
        <x:v>3341</x:v>
      </x:c>
      <x:c r="B99" s="1" t="s">
        <x:v>3424</x:v>
      </x:c>
      <x:c r="C99" s="8" t="s">
        <x:v>3521</x:v>
      </x:c>
      <x:c r="D99" s="9">
        <x:f>CONCATENATE(HYPERLINK("CALLTO:%2B356%209945%200440", "+356 9945 0440"))</x:f>
      </x:c>
      <x:c r="E99" s="8" t="s">
        <x:v>3605</x:v>
      </x:c>
      <x:c r="F99" s="8" t="s">
        <x:v>5378</x:v>
      </x:c>
    </x:row>
    <x:row r="100" spans="1:7" s="4" customFormat="1">
      <x:c r="A100" s="4" t="s">
        <x:v>3341</x:v>
      </x:c>
      <x:c r="B100" s="4" t="s">
        <x:v>3425</x:v>
      </x:c>
      <x:c r="C100" s="10" t="s">
        <x:v>3510</x:v>
      </x:c>
      <x:c r="D100" s="11">
        <x:f>CONCATENATE(HYPERLINK("CALLTO:%2B356%202155%204058", "+356 2155 4058"))</x:f>
      </x:c>
      <x:c r="E100" s="10" t="s">
        <x:v>3606</x:v>
      </x:c>
      <x:c r="F100" s="10" t="s">
        <x:v>5379</x:v>
      </x:c>
    </x:row>
    <x:row r="101" spans="1:7" s="3" customFormat="1">
      <x:c r="A101" s="3" t="s">
        <x:v>3341</x:v>
      </x:c>
      <x:c r="B101" s="3" t="s">
        <x:v>3031</x:v>
      </x:c>
      <x:c r="C101" s="6" t="s">
        <x:v>3058</x:v>
      </x:c>
      <x:c r="D101" s="7">
        <x:f>CONCATENATE(HYPERLINK("CALLTO:%2B356%207709%202277", "+356 7709 2277"))</x:f>
      </x:c>
      <x:c r="E101" s="6" t="s">
        <x:v>4571</x:v>
      </x:c>
      <x:c r="F101" s="6" t="s">
        <x:v>2058</x:v>
      </x:c>
    </x:row>
    <x:row r="102" spans="1:7" s="1" customFormat="1"/>
    <x:row r="103" spans="1:7" s="4" customFormat="1">
      <x:c r="A103" s="4" t="s">
        <x:v>4508</x:v>
      </x:c>
      <x:c r="B103" s="4" t="s">
        <x:v>4517</x:v>
      </x:c>
      <x:c r="C103" s="10" t="s">
        <x:v>3690</x:v>
      </x:c>
      <x:c r="D103" s="11">
        <x:f>CONCATENATE(HYPERLINK("CALLTO:%2B356%207979%204242", "+356 7979 4242"))</x:f>
      </x:c>
      <x:c r="E103" s="10" t="s">
        <x:v>4570</x:v>
      </x:c>
      <x:c r="F103" s="10" t="s">
        <x:v>4595</x:v>
      </x:c>
    </x:row>
    <x:row r="104" spans="1:7" s="3" customFormat="1">
      <x:c r="A104" s="3" t="s">
        <x:v>4508</x:v>
      </x:c>
      <x:c r="B104" s="3" t="s">
        <x:v>4518</x:v>
      </x:c>
      <x:c r="C104" s="6" t="s">
        <x:v>1073</x:v>
      </x:c>
      <x:c r="D104" s="7">
        <x:f>CONCATENATE(HYPERLINK("CALLTO:%2B356%202132%200433", "+356 2132 0433"))</x:f>
      </x:c>
      <x:c r="E104" s="6" t="s">
        <x:v>4573</x:v>
      </x:c>
      <x:c r="F104" s="6" t="s">
        <x:v>4596</x:v>
      </x:c>
    </x:row>
    <x:row r="105" spans="1:7" s="1" customFormat="1">
      <x:c r="A105" s="1" t="s">
        <x:v>4508</x:v>
      </x:c>
      <x:c r="B105" s="1" t="s">
        <x:v>4519</x:v>
      </x:c>
      <x:c r="C105" s="8" t="s">
        <x:v>3758</x:v>
      </x:c>
      <x:c r="D105" s="9">
        <x:f>CONCATENATE(HYPERLINK("CALLTO:%2B356%202144%205656", "+356 2144 5656"))</x:f>
      </x:c>
      <x:c r="E105" s="8" t="s">
        <x:v>4572</x:v>
      </x:c>
      <x:c r="F105" s="8" t="s">
        <x:v>4597</x:v>
      </x:c>
    </x:row>
    <x:row r="106" spans="1:7" s="4" customFormat="1">
      <x:c r="A106" s="4" t="s">
        <x:v>4508</x:v>
      </x:c>
      <x:c r="B106" s="4" t="s">
        <x:v>4520</x:v>
      </x:c>
      <x:c r="C106" s="10" t="s">
        <x:v>3511</x:v>
      </x:c>
      <x:c r="D106" s="11">
        <x:f>CONCATENATE(HYPERLINK("CALLTO:%2B356%209982%202867", "+356 9982 2867"))</x:f>
      </x:c>
      <x:c r="E106" s="10" t="s">
        <x:v>4574</x:v>
      </x:c>
      <x:c r="F106" s="10" t="s">
        <x:v>4594</x:v>
      </x:c>
    </x:row>
    <x:row r="107" spans="1:7" s="3" customFormat="1">
      <x:c r="A107" s="3" t="s">
        <x:v>4508</x:v>
      </x:c>
      <x:c r="B107" s="3" t="s">
        <x:v>214</x:v>
      </x:c>
      <x:c r="C107" s="6" t="s">
        <x:v>224</x:v>
      </x:c>
      <x:c r="D107" s="7">
        <x:f>CONCATENATE(HYPERLINK("CALLTO:%2B356%207744%207610", "+356 7744 7610"))</x:f>
      </x:c>
      <x:c r="E107" s="6" t="s">
        <x:v>3706</x:v>
      </x:c>
      <x:c r="F107" s="6" t="s">
        <x:v>4598</x:v>
      </x:c>
    </x:row>
    <x:row r="108" spans="1:7" s="1" customFormat="1">
      <x:c r="A108" s="1" t="s">
        <x:v>4508</x:v>
      </x:c>
      <x:c r="B108" s="1" t="s">
        <x:v>4521</x:v>
      </x:c>
      <x:c r="C108" s="8" t="s">
        <x:v>697</x:v>
      </x:c>
      <x:c r="D108" s="9">
        <x:f>CONCATENATE(HYPERLINK("CALLTO:%2B356%202141%201111", "+356 2141 1111"))</x:f>
      </x:c>
      <x:c r="E108" s="8" t="s">
        <x:v>4575</x:v>
      </x:c>
      <x:c r="F108" s="8" t="s">
        <x:v>740</x:v>
      </x:c>
    </x:row>
    <x:row r="109" spans="1:7" s="4" customFormat="1">
      <x:c r="A109" s="4" t="s">
        <x:v>4508</x:v>
      </x:c>
      <x:c r="B109" s="4" t="s">
        <x:v>4522</x:v>
      </x:c>
      <x:c r="C109" s="10" t="s">
        <x:v>4550</x:v>
      </x:c>
      <x:c r="D109" s="11">
        <x:f>CONCATENATE(HYPERLINK("CALLTO:%2B356%202142%202040", "+356 2142 2040"))</x:f>
      </x:c>
      <x:c r="E109" s="10" t="s">
        <x:v>4576</x:v>
      </x:c>
      <x:c r="F109" s="10" t="s">
        <x:v>4599</x:v>
      </x:c>
    </x:row>
    <x:row r="110" spans="1:7" s="3" customFormat="1">
      <x:c r="A110" s="3" t="s">
        <x:v>4508</x:v>
      </x:c>
      <x:c r="B110" s="3" t="s">
        <x:v>4523</x:v>
      </x:c>
      <x:c r="C110" s="6" t="s">
        <x:v>4549</x:v>
      </x:c>
      <x:c r="D110" s="7">
        <x:f>CONCATENATE(HYPERLINK("CALLTO:%2B356%209948%207412", "+356 9948 7412"))</x:f>
      </x:c>
      <x:c r="E110" s="6" t="s">
        <x:v>4578</x:v>
      </x:c>
      <x:c r="F110" s="6" t="s">
        <x:v>4601</x:v>
      </x:c>
    </x:row>
    <x:row r="111" spans="1:7" s="1" customFormat="1">
      <x:c r="A111" s="1" t="s">
        <x:v>4508</x:v>
      </x:c>
      <x:c r="B111" s="1" t="s">
        <x:v>4524</x:v>
      </x:c>
      <x:c r="C111" s="8" t="s">
        <x:v>4552</x:v>
      </x:c>
      <x:c r="D111" s="9">
        <x:f>CONCATENATE(HYPERLINK("CALLTO:%2B356%202742%204632", "+356 2742 4632"))</x:f>
      </x:c>
      <x:c r="E111" s="8" t="s">
        <x:v>4579</x:v>
      </x:c>
      <x:c r="F111" s="8" t="s">
        <x:v>4602</x:v>
      </x:c>
    </x:row>
    <x:row r="112" spans="1:7" s="4" customFormat="1">
      <x:c r="A112" s="4" t="s">
        <x:v>4508</x:v>
      </x:c>
      <x:c r="B112" s="4" t="s">
        <x:v>4525</x:v>
      </x:c>
      <x:c r="C112" s="10" t="s">
        <x:v>2554</x:v>
      </x:c>
      <x:c r="D112" s="11">
        <x:f>CONCATENATE(HYPERLINK("CALLTO:%2B356%209944%206043", "+356 9944 6043"))</x:f>
      </x:c>
      <x:c r="E112" s="10" t="s">
        <x:v>2842</x:v>
      </x:c>
      <x:c r="F112" s="10" t="s">
        <x:v>4603</x:v>
      </x:c>
    </x:row>
    <x:row r="113" spans="1:7" s="3" customFormat="1">
      <x:c r="A113" s="3" t="s">
        <x:v>4508</x:v>
      </x:c>
      <x:c r="B113" s="3" t="s">
        <x:v>4526</x:v>
      </x:c>
      <x:c r="C113" s="6" t="s">
        <x:v>4551</x:v>
      </x:c>
      <x:c r="D113" s="7">
        <x:f>CONCATENATE(HYPERLINK("CALLTO:%2B356%202141%209787", "+356 2141 9787"))</x:f>
      </x:c>
      <x:c r="E113" s="6" t="s">
        <x:v>4580</x:v>
      </x:c>
      <x:c r="F113" s="6" t="s">
        <x:v>4600</x:v>
      </x:c>
    </x:row>
    <x:row r="114" spans="1:7" s="1" customFormat="1">
      <x:c r="A114" s="1" t="s">
        <x:v>4508</x:v>
      </x:c>
      <x:c r="B114" s="1" t="s">
        <x:v>217</x:v>
      </x:c>
      <x:c r="C114" s="8" t="s">
        <x:v>4554</x:v>
      </x:c>
      <x:c r="D114" s="9">
        <x:f>CONCATENATE(HYPERLINK("CALLTO:%2B356%202141%200441", "+356 2141 0441"))</x:f>
      </x:c>
      <x:c r="E114" s="8" t="s">
        <x:v>4577</x:v>
      </x:c>
      <x:c r="F114" s="8" t="s">
        <x:v>4604</x:v>
      </x:c>
    </x:row>
    <x:row r="115" spans="1:7" s="4" customFormat="1">
      <x:c r="A115" s="4" t="s">
        <x:v>4508</x:v>
      </x:c>
      <x:c r="B115" s="4" t="s">
        <x:v>4527</x:v>
      </x:c>
      <x:c r="C115" s="4" t="s">
        <x:v>4553</x:v>
      </x:c>
      <x:c r="D115" s="11">
        <x:f>CONCATENATE(HYPERLINK("CALLTO:%2B356%202145%206028", "+356 2145 6028"))</x:f>
      </x:c>
      <x:c r="E115" s="10" t="s">
        <x:v>4581</x:v>
      </x:c>
      <x:c r="F115" s="4" t="s">
        <x:v>144</x:v>
      </x:c>
    </x:row>
    <x:row r="116" spans="1:7" s="3" customFormat="1">
      <x:c r="A116" s="3" t="s">
        <x:v>4508</x:v>
      </x:c>
      <x:c r="B116" s="3" t="s">
        <x:v>4528</x:v>
      </x:c>
      <x:c r="C116" s="6" t="s">
        <x:v>4555</x:v>
      </x:c>
      <x:c r="D116" s="7">
        <x:f>CONCATENATE(HYPERLINK("CALLTO:%2B356%202122%206396", "+356 2122 6396"))</x:f>
      </x:c>
      <x:c r="E116" s="6" t="s">
        <x:v>4582</x:v>
      </x:c>
      <x:c r="F116" s="3" t="s">
        <x:v>144</x:v>
      </x:c>
    </x:row>
    <x:row r="117" spans="1:7" s="1" customFormat="1">
      <x:c r="A117" s="1" t="s">
        <x:v>4508</x:v>
      </x:c>
      <x:c r="B117" s="1" t="s">
        <x:v>4529</x:v>
      </x:c>
      <x:c r="C117" s="8" t="s">
        <x:v>4557</x:v>
      </x:c>
      <x:c r="D117" s="9">
        <x:f>CONCATENATE(HYPERLINK("CALLTO:%2B356%202182%207421", "+356 2182 7421"))</x:f>
      </x:c>
      <x:c r="E117" s="8" t="s">
        <x:v>4583</x:v>
      </x:c>
      <x:c r="F117" s="8" t="s">
        <x:v>4606</x:v>
      </x:c>
    </x:row>
    <x:row r="118" spans="1:7" s="4" customFormat="1">
      <x:c r="A118" s="4" t="s">
        <x:v>4508</x:v>
      </x:c>
      <x:c r="B118" s="4" t="s">
        <x:v>4530</x:v>
      </x:c>
      <x:c r="C118" s="10" t="s">
        <x:v>4556</x:v>
      </x:c>
      <x:c r="D118" s="11">
        <x:f>CONCATENATE(HYPERLINK("CALLTO:%2B356%207940%202368", "+356 7940 2368"))</x:f>
      </x:c>
      <x:c r="E118" s="10" t="s">
        <x:v>4584</x:v>
      </x:c>
      <x:c r="F118" s="10" t="s">
        <x:v>4605</x:v>
      </x:c>
    </x:row>
    <x:row r="119" spans="1:7" s="3" customFormat="1">
      <x:c r="A119" s="3" t="s">
        <x:v>4508</x:v>
      </x:c>
      <x:c r="B119" s="3" t="s">
        <x:v>4531</x:v>
      </x:c>
      <x:c r="C119" s="6" t="s">
        <x:v>4558</x:v>
      </x:c>
      <x:c r="D119" s="7">
        <x:f>CONCATENATE(HYPERLINK("CALLTO:%2B356%202123%202190", "+356 2123 2190"))</x:f>
      </x:c>
      <x:c r="E119" s="6" t="s">
        <x:v>1035</x:v>
      </x:c>
      <x:c r="F119" s="6" t="s">
        <x:v>4607</x:v>
      </x:c>
    </x:row>
    <x:row r="120" spans="1:7" s="1" customFormat="1">
      <x:c r="A120" s="1" t="s">
        <x:v>4508</x:v>
      </x:c>
      <x:c r="B120" s="1" t="s">
        <x:v>992</x:v>
      </x:c>
      <x:c r="C120" s="8" t="s">
        <x:v>1013</x:v>
      </x:c>
      <x:c r="D120" s="9">
        <x:f>CONCATENATE(HYPERLINK("CALLTO:%2B356%202137%207378", "+356 2137 7378"))</x:f>
      </x:c>
      <x:c r="E120" s="8" t="s">
        <x:v>3760</x:v>
      </x:c>
      <x:c r="F120" s="8" t="s">
        <x:v>1051</x:v>
      </x:c>
    </x:row>
    <x:row r="121" spans="1:7" s="4" customFormat="1">
      <x:c r="A121" s="4" t="s">
        <x:v>4508</x:v>
      </x:c>
      <x:c r="B121" s="4" t="s">
        <x:v>3747</x:v>
      </x:c>
      <x:c r="C121" s="10" t="s">
        <x:v>3755</x:v>
      </x:c>
      <x:c r="D121" s="11">
        <x:f>CONCATENATE(HYPERLINK("CALLTO:%2B356%202755%205525", "+356 2755 5525"))</x:f>
      </x:c>
      <x:c r="E121" s="10" t="s">
        <x:v>1710</x:v>
      </x:c>
      <x:c r="F121" s="10" t="s">
        <x:v>722</x:v>
      </x:c>
    </x:row>
    <x:row r="122" spans="1:7" s="3" customFormat="1">
      <x:c r="A122" s="3" t="s">
        <x:v>4508</x:v>
      </x:c>
      <x:c r="B122" s="3" t="s">
        <x:v>4516</x:v>
      </x:c>
      <x:c r="C122" s="6" t="s">
        <x:v>1615</x:v>
      </x:c>
      <x:c r="D122" s="7">
        <x:f>CONCATENATE(HYPERLINK("CALLTO:%2B356%202131%200334", "+356 2131 0334"))</x:f>
      </x:c>
      <x:c r="E122" s="6" t="s">
        <x:v>2140</x:v>
      </x:c>
      <x:c r="F122" s="6" t="s">
        <x:v>1785</x:v>
      </x:c>
    </x:row>
    <x:row r="123" spans="1:7" s="1" customFormat="1"/>
    <x:row r="124" spans="1:7" s="4" customFormat="1">
      <x:c r="A124" s="4" t="s">
        <x:v>4507</x:v>
      </x:c>
      <x:c r="B124" s="4" t="s">
        <x:v>2124</x:v>
      </x:c>
      <x:c r="C124" s="10" t="s">
        <x:v>1487</x:v>
      </x:c>
      <x:c r="D124" s="11">
        <x:f>CONCATENATE(HYPERLINK("CALLTO:%2B356%202034%201569", "+356 2034 1569"))</x:f>
      </x:c>
      <x:c r="E124" s="10" t="s">
        <x:v>4585</x:v>
      </x:c>
      <x:c r="F124" s="10" t="s">
        <x:v>3092</x:v>
      </x:c>
    </x:row>
    <x:row r="125" spans="1:7" s="3" customFormat="1">
      <x:c r="A125" s="3" t="s">
        <x:v>4507</x:v>
      </x:c>
      <x:c r="B125" s="3" t="s">
        <x:v>3665</x:v>
      </x:c>
      <x:c r="C125" s="6" t="s">
        <x:v>4559</x:v>
      </x:c>
      <x:c r="D125" s="7">
        <x:f>CONCATENATE(HYPERLINK("CALLTO:%2B356%202143%200936", "+356 2143 0936"), " / ", HYPERLINK("CALLTO:%2B356%209943%200936", "+356 9943 0936"))</x:f>
      </x:c>
      <x:c r="E125" s="6" t="s">
        <x:v>3703</x:v>
      </x:c>
      <x:c r="F125" s="6" t="s">
        <x:v>3623</x:v>
      </x:c>
    </x:row>
    <x:row r="126" spans="1:7" s="1" customFormat="1">
      <x:c r="A126" s="1" t="s">
        <x:v>4507</x:v>
      </x:c>
      <x:c r="B126" s="1" t="s">
        <x:v>3666</x:v>
      </x:c>
      <x:c r="C126" s="8" t="s">
        <x:v>3690</x:v>
      </x:c>
      <x:c r="D126" s="9">
        <x:f>CONCATENATE(HYPERLINK("CALLTO:%2B356%207979%204242", "+356 7979 4242"), " / ", HYPERLINK("CALLTO:%2B356%207770%207433", "+356 7770 7433"))</x:f>
      </x:c>
      <x:c r="E126" s="8" t="s">
        <x:v>2567</x:v>
      </x:c>
      <x:c r="F126" s="8" t="s">
        <x:v>3726</x:v>
      </x:c>
    </x:row>
    <x:row r="127" spans="1:7" s="4" customFormat="1">
      <x:c r="A127" s="4" t="s">
        <x:v>4507</x:v>
      </x:c>
      <x:c r="B127" s="4" t="s">
        <x:v>2130</x:v>
      </x:c>
      <x:c r="C127" s="10" t="s">
        <x:v>2549</x:v>
      </x:c>
      <x:c r="D127" s="11">
        <x:f>CONCATENATE(HYPERLINK("CALLTO:%2B356%202141%206753", "+356 2141 6753"))</x:f>
      </x:c>
      <x:c r="E127" s="10" t="s">
        <x:v>4586</x:v>
      </x:c>
      <x:c r="F127" s="10" t="s">
        <x:v>2255</x:v>
      </x:c>
    </x:row>
    <x:row r="128" spans="1:7" s="3" customFormat="1">
      <x:c r="A128" s="3" t="s">
        <x:v>4507</x:v>
      </x:c>
      <x:c r="B128" s="3" t="s">
        <x:v>3240</x:v>
      </x:c>
      <x:c r="C128" s="6" t="s">
        <x:v>3256</x:v>
      </x:c>
      <x:c r="D128" s="7">
        <x:f>CONCATENATE(HYPERLINK("CALLTO:%2B356%202141%208411", "+356 2141 8411"), " / ", HYPERLINK("CALLTO:%2B356%202", "+356 2"))</x:f>
      </x:c>
      <x:c r="E128" s="6" t="s">
        <x:v>4587</x:v>
      </x:c>
      <x:c r="F128" s="6" t="s">
        <x:v>1050</x:v>
      </x:c>
    </x:row>
    <x:row r="129" spans="1:7" s="1" customFormat="1">
      <x:c r="A129" s="1" t="s">
        <x:v>4507</x:v>
      </x:c>
      <x:c r="B129" s="1" t="s">
        <x:v>4532</x:v>
      </x:c>
      <x:c r="C129" s="8" t="s">
        <x:v>1914</x:v>
      </x:c>
      <x:c r="D129" s="9">
        <x:f>CONCATENATE(HYPERLINK("CALLTO:%2B356%202033%204532", "+356 2033 4532"))</x:f>
      </x:c>
      <x:c r="E129" s="8" t="s">
        <x:v>4588</x:v>
      </x:c>
      <x:c r="F129" s="8" t="s">
        <x:v>2267</x:v>
      </x:c>
    </x:row>
    <x:row r="130" spans="1:7" s="4" customFormat="1">
      <x:c r="A130" s="4" t="s">
        <x:v>4507</x:v>
      </x:c>
      <x:c r="B130" s="4" t="s">
        <x:v>4534</x:v>
      </x:c>
      <x:c r="C130" s="10" t="s">
        <x:v>3281</x:v>
      </x:c>
      <x:c r="D130" s="11">
        <x:f>CONCATENATE(HYPERLINK("CALLTO:%2B356%209942%202429", "+356 9942 2429"))</x:f>
      </x:c>
      <x:c r="E130" s="10" t="s">
        <x:v>4589</x:v>
      </x:c>
      <x:c r="F130" s="10" t="s">
        <x:v>5331</x:v>
      </x:c>
    </x:row>
    <x:row r="131" spans="1:7" s="3" customFormat="1"/>
    <x:row r="132" spans="1:7" s="1" customFormat="1">
      <x:c r="A132" s="1" t="s">
        <x:v>4509</x:v>
      </x:c>
      <x:c r="B132" s="1" t="s">
        <x:v>4535</x:v>
      </x:c>
      <x:c r="C132" s="8" t="s">
        <x:v>3438</x:v>
      </x:c>
      <x:c r="D132" s="9">
        <x:f>CONCATENATE(HYPERLINK("CALLTO:%2B356%202125%207400", "+356 2125 7400"))</x:f>
      </x:c>
      <x:c r="E132" s="8" t="s">
        <x:v>4590</x:v>
      </x:c>
      <x:c r="F132" s="8" t="s">
        <x:v>5326</x:v>
      </x:c>
    </x:row>
    <x:row r="133" spans="1:7" s="4" customFormat="1">
      <x:c r="A133" s="4" t="s">
        <x:v>4509</x:v>
      </x:c>
      <x:c r="B133" s="4" t="s">
        <x:v>4533</x:v>
      </x:c>
      <x:c r="C133" s="10" t="s">
        <x:v>4560</x:v>
      </x:c>
      <x:c r="D133" s="11">
        <x:f>CONCATENATE(HYPERLINK("CALLTO:%2B356%202733%203713", "+356 2733 3713"))</x:f>
      </x:c>
      <x:c r="E133" s="10" t="s">
        <x:v>4592</x:v>
      </x:c>
      <x:c r="F133" s="10" t="s">
        <x:v>3614</x:v>
      </x:c>
    </x:row>
    <x:row r="134" spans="1:7" s="3" customFormat="1">
      <x:c r="A134" s="3" t="s">
        <x:v>4509</x:v>
      </x:c>
      <x:c r="B134" s="3" t="s">
        <x:v>4536</x:v>
      </x:c>
      <x:c r="C134" s="6" t="s">
        <x:v>1073</x:v>
      </x:c>
      <x:c r="D134" s="7">
        <x:f>CONCATENATE(HYPERLINK("CALLTO:%2B356%202132%200433", "+356 2132 0433"))</x:f>
      </x:c>
      <x:c r="E134" s="6" t="s">
        <x:v>4591</x:v>
      </x:c>
      <x:c r="F134" s="6" t="s">
        <x:v>4596</x:v>
      </x:c>
    </x:row>
    <x:row r="135" spans="1:7" s="1" customFormat="1">
      <x:c r="A135" s="1" t="s">
        <x:v>4509</x:v>
      </x:c>
      <x:c r="B135" s="1" t="s">
        <x:v>4537</x:v>
      </x:c>
      <x:c r="C135" s="8" t="s">
        <x:v>4561</x:v>
      </x:c>
      <x:c r="D135" s="9">
        <x:f>CONCATENATE(HYPERLINK("CALLTO:%2B356%202166%205212", "+356 2166 5212"))</x:f>
      </x:c>
      <x:c r="E135" s="8" t="s">
        <x:v>4593</x:v>
      </x:c>
      <x:c r="F135" s="8" t="s">
        <x:v>4609</x:v>
      </x:c>
    </x:row>
    <x:row r="136" spans="1:7" s="4" customFormat="1">
      <x:c r="A136" s="4" t="s">
        <x:v>4509</x:v>
      </x:c>
      <x:c r="B136" s="4" t="s">
        <x:v>4538</x:v>
      </x:c>
      <x:c r="C136" s="10" t="s">
        <x:v>4562</x:v>
      </x:c>
      <x:c r="D136" s="11">
        <x:f>CONCATENATE(HYPERLINK("CALLTO:%2B356%207706%208066", "+356 7706 8066"))</x:f>
      </x:c>
      <x:c r="F136" s="10" t="s">
        <x:v>4608</x:v>
      </x:c>
    </x:row>
    <x:row r="137" spans="1:7" s="3" customFormat="1">
      <x:c r="A137" s="3" t="s">
        <x:v>4509</x:v>
      </x:c>
    </x:row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  <x:row r="231" spans="1:7" s="1" customFormat="1"/>
    <x:row r="232" spans="1:7" s="4" customFormat="1"/>
    <x:row r="233" spans="1:7" s="3" customFormat="1"/>
    <x:row r="234" spans="1:7" s="1" customFormat="1"/>
    <x:row r="235" spans="1:7" s="4" customFormat="1"/>
    <x:row r="236" spans="1:7" s="3" customFormat="1"/>
    <x:row r="237" spans="1:7" s="1" customFormat="1"/>
    <x:row r="238" spans="1:7" s="4" customFormat="1"/>
    <x:row r="239" spans="1:7" s="3" customFormat="1"/>
    <x:row r="240" spans="1:7" s="1" customFormat="1"/>
    <x:row r="241" spans="1:7" s="4" customFormat="1"/>
    <x:row r="242" spans="1:7" s="3" customFormat="1"/>
    <x:row r="243" spans="1:7" s="1" customFormat="1"/>
    <x:row r="244" spans="1:7" s="4" customFormat="1"/>
    <x:row r="245" spans="1:7" s="3" customFormat="1"/>
    <x:row r="246" spans="1:7" s="1" customFormat="1"/>
    <x:row r="247" spans="1:7" s="4" customFormat="1"/>
    <x:row r="248" spans="1:7" s="3" customFormat="1"/>
    <x:row r="249" spans="1:7" s="1" customFormat="1"/>
    <x:row r="250" spans="1:7" s="4" customFormat="1"/>
    <x:row r="251" spans="1:7" s="3" customFormat="1"/>
    <x:row r="252" spans="1:7" s="1" customFormat="1"/>
    <x:row r="253" spans="1:7" s="4" customFormat="1"/>
    <x:row r="254" spans="1:7" s="3" customFormat="1"/>
    <x:row r="255" spans="1:7" s="1" customFormat="1"/>
    <x:row r="256" spans="1:7" s="4" customFormat="1"/>
    <x:row r="257" spans="1:7" s="3" customFormat="1"/>
    <x:row r="258" spans="1:7" s="1" customFormat="1"/>
    <x:row r="259" spans="1:7" s="4" customFormat="1"/>
    <x:row r="260" spans="1:7" s="3" customFormat="1"/>
    <x:row r="261" spans="1:7" s="1" customFormat="1"/>
    <x:row r="262" spans="1:7" s="4" customFormat="1"/>
    <x:row r="263" spans="1:7" s="3" customFormat="1"/>
    <x:row r="264" spans="1:7" s="1" customFormat="1"/>
    <x:row r="265" spans="1:7" s="4" customFormat="1"/>
    <x:row r="266" spans="1:7" s="3" customFormat="1"/>
    <x:row r="267" spans="1:7" s="1" customFormat="1"/>
    <x:row r="268" spans="1:7" s="4" customFormat="1"/>
    <x:row r="269" spans="1:7" s="3" customFormat="1"/>
    <x:row r="270" spans="1:7" s="1" customFormat="1"/>
    <x:row r="271" spans="1:7" s="4" customFormat="1"/>
    <x:row r="272" spans="1:7" s="3" customFormat="1"/>
    <x:row r="273" spans="1:7" s="1" customFormat="1"/>
    <x:row r="274" spans="1:7" s="4" customFormat="1"/>
    <x:row r="275" spans="1:7" s="3" customFormat="1"/>
    <x:row r="276" spans="1:7" s="1" customFormat="1"/>
    <x:row r="277" spans="1:7" s="4" customFormat="1"/>
    <x:row r="278" spans="1:7" s="3" customFormat="1"/>
    <x:row r="279" spans="1:7" s="1" customFormat="1"/>
    <x:row r="280" spans="1:7" s="4" customFormat="1"/>
    <x:row r="281" spans="1:7" s="3" customFormat="1"/>
    <x:row r="282" spans="1:7" s="1" customFormat="1"/>
    <x:row r="283" spans="1:7" s="4" customFormat="1"/>
    <x:row r="284" spans="1:7" s="3" customFormat="1"/>
    <x:row r="285" spans="1:7" s="1" customFormat="1"/>
    <x:row r="286" spans="1:7" s="4" customFormat="1"/>
    <x:row r="287" spans="1:7" s="3" customFormat="1"/>
    <x:row r="288" spans="1:7" s="1" customFormat="1"/>
    <x:row r="289" spans="1:7" s="4" customFormat="1"/>
    <x:row r="290" spans="1:7" s="3" customFormat="1"/>
    <x:row r="291" spans="1:7" s="1" customFormat="1"/>
    <x:row r="292" spans="1:7" s="4" customFormat="1"/>
    <x:row r="293" spans="1:7" s="3" customFormat="1"/>
    <x:row r="294" spans="1:7" s="1" customFormat="1"/>
    <x:row r="295" spans="1:7" s="4" customFormat="1"/>
    <x:row r="296" spans="1:7" s="3" customFormat="1"/>
    <x:row r="297" spans="1:7" s="1" customFormat="1"/>
    <x:row r="298" spans="1:7" s="4" customFormat="1"/>
    <x:row r="299" spans="1:7" s="3" customFormat="1"/>
    <x:row r="300" spans="1:7" s="1" customFormat="1"/>
    <x:row r="301" spans="1:7" s="4" customFormat="1"/>
    <x:row r="302" spans="1:7" s="3" customFormat="1"/>
    <x:row r="303" spans="1:7" s="1" customFormat="1"/>
    <x:row r="304" spans="1:7" s="4" customFormat="1"/>
    <x:row r="305" spans="1:7" s="3" customFormat="1"/>
    <x:row r="306" spans="1:7" s="1" customFormat="1"/>
    <x:row r="307" spans="1:7" s="4" customFormat="1"/>
    <x:row r="308" spans="1:7" s="3" customFormat="1"/>
    <x:row r="309" spans="1:7" s="1" customFormat="1"/>
    <x:row r="310" spans="1:7" s="4" customFormat="1"/>
    <x:row r="311" spans="1:7" s="3" customFormat="1"/>
    <x:row r="312" spans="1:7" s="1" customFormat="1"/>
    <x:row r="313" spans="1:7" s="4" customFormat="1"/>
    <x:row r="314" spans="1:7" s="3" customFormat="1"/>
    <x:row r="315" spans="1:7" s="1" customFormat="1"/>
    <x:row r="316" spans="1:7" s="4" customFormat="1"/>
    <x:row r="317" spans="1:7" s="3" customFormat="1"/>
    <x:row r="318" spans="1:7" s="1" customFormat="1"/>
    <x:row r="319" spans="1:7" s="4" customFormat="1"/>
    <x:row r="320" spans="1:7" s="3" customFormat="1"/>
    <x:row r="321" spans="1:7" s="1" customFormat="1"/>
    <x:row r="322" spans="1:7" s="4" customFormat="1"/>
    <x:row r="323" spans="1:7" s="3" customFormat="1"/>
    <x:row r="324" spans="1:7" s="1" customFormat="1"/>
    <x:row r="325" spans="1:7" s="4" customFormat="1"/>
    <x:row r="326" spans="1:7" s="3" customFormat="1"/>
    <x:row r="327" spans="1:7" s="1" customFormat="1"/>
    <x:row r="328" spans="1:7" s="4" customFormat="1"/>
    <x:row r="329" spans="1:7" s="3" customFormat="1"/>
    <x:row r="330" spans="1:7" s="1" customFormat="1"/>
    <x:row r="331" spans="1:7" s="4" customFormat="1"/>
    <x:row r="332" spans="1:7" s="3" customFormat="1"/>
    <x:row r="333" spans="1:7" s="1" customFormat="1"/>
    <x:row r="334" spans="1:7" s="4" customFormat="1"/>
    <x:row r="335" spans="1:7" s="3" customFormat="1"/>
    <x:row r="336" spans="1:7" s="1" customFormat="1"/>
    <x:row r="337" spans="1:7" s="4" customFormat="1"/>
    <x:row r="338" spans="1:7" s="3" customFormat="1"/>
    <x:row r="339" spans="1:7" s="1" customFormat="1"/>
    <x:row r="340" spans="1:7" s="4" customFormat="1"/>
    <x:row r="341" spans="1:7" s="3" customFormat="1"/>
    <x:row r="342" spans="1:7" s="1" customFormat="1"/>
    <x:row r="343" spans="1:7" s="4" customFormat="1"/>
    <x:row r="344" spans="1:7" s="3" customFormat="1"/>
    <x:row r="345" spans="1:7" s="1" customFormat="1"/>
    <x:row r="346" spans="1:7" s="4" customFormat="1"/>
    <x:row r="347" spans="1:7" s="3" customFormat="1"/>
    <x:row r="348" spans="1:7" s="1" customFormat="1"/>
    <x:row r="349" spans="1:7" s="4" customFormat="1"/>
    <x:row r="350" spans="1:7" s="3" customFormat="1"/>
    <x:row r="351" spans="1:7" s="1" customFormat="1"/>
    <x:row r="352" spans="1:7" s="4" customFormat="1"/>
    <x:row r="353" spans="1:7" s="3" customFormat="1"/>
    <x:row r="354" spans="1:7" s="1" customFormat="1"/>
    <x:row r="355" spans="1:7" s="4" customFormat="1"/>
    <x:row r="356" spans="1:7" s="3" customFormat="1"/>
    <x:row r="357" spans="1:7" s="1" customFormat="1"/>
    <x:row r="358" spans="1:7" s="4" customFormat="1"/>
    <x:row r="359" spans="1:7" s="3" customFormat="1"/>
    <x:row r="360" spans="1:7" s="1" customFormat="1"/>
    <x:row r="361" spans="1:7" s="4" customFormat="1"/>
    <x:row r="362" spans="1:7" s="3" customFormat="1"/>
    <x:row r="363" spans="1:7" s="1" customFormat="1"/>
    <x:row r="364" spans="1:7" s="4" customFormat="1"/>
    <x:row r="365" spans="1:7" s="3" customFormat="1"/>
    <x:row r="366" spans="1:7" s="1" customFormat="1"/>
    <x:row r="367" spans="1:7" s="4" customFormat="1"/>
    <x:row r="368" spans="1:7" s="3" customFormat="1"/>
    <x:row r="369" spans="1:7" s="1" customFormat="1"/>
    <x:row r="370" spans="1:7" s="4" customFormat="1"/>
    <x:row r="371" spans="1:7" s="3" customFormat="1"/>
    <x:row r="372" spans="1:7" s="1" customFormat="1"/>
    <x:row r="373" spans="1:7" s="4" customFormat="1"/>
    <x:row r="374" spans="1:7" s="3" customFormat="1"/>
    <x:row r="375" spans="1:7" s="1" customFormat="1"/>
    <x:row r="376" spans="1:7" s="4" customFormat="1"/>
    <x:row r="377" spans="1:7" s="3" customFormat="1"/>
    <x:row r="378" spans="1:7" s="1" customFormat="1"/>
    <x:row r="379" spans="1:7" s="4" customFormat="1"/>
    <x:row r="380" spans="1:7" s="3" customFormat="1"/>
    <x:row r="381" spans="1:7" s="1" customFormat="1"/>
    <x:row r="382" spans="1:7" s="4" customFormat="1"/>
    <x:row r="383" spans="1:7" s="3" customFormat="1"/>
    <x:row r="384" spans="1:7" s="1" customFormat="1"/>
    <x:row r="385" spans="1:7" s="4" customFormat="1"/>
    <x:row r="386" spans="1:7" s="3" customFormat="1"/>
    <x:row r="387" spans="1:7" s="1" customFormat="1"/>
    <x:row r="388" spans="1:7" s="4" customFormat="1"/>
    <x:row r="389" spans="1:7" s="3" customFormat="1"/>
    <x:row r="390" spans="1:7" s="1" customFormat="1"/>
    <x:row r="391" spans="1:7" s="4" customFormat="1"/>
    <x:row r="392" spans="1:7" s="3" customFormat="1"/>
    <x:row r="393" spans="1:7" s="1" customFormat="1"/>
    <x:row r="394" spans="1:7" s="4" customFormat="1"/>
    <x:row r="395" spans="1:7" s="3" customFormat="1"/>
    <x:row r="396" spans="1:7" s="1" customFormat="1"/>
    <x:row r="397" spans="1:7" s="4" customFormat="1"/>
    <x:row r="398" spans="1:7" s="3" customFormat="1"/>
    <x:row r="399" spans="1:7" s="1" customFormat="1"/>
    <x:row r="400" spans="1:7" s="4" customFormat="1"/>
    <x:row r="401" spans="1:7" s="3" customFormat="1"/>
    <x:row r="402" spans="1:7" s="1" customFormat="1"/>
    <x:row r="403" spans="1:7" s="4" customFormat="1"/>
    <x:row r="404" spans="1:7" s="3" customFormat="1"/>
    <x:row r="405" spans="1:7" s="1" customFormat="1"/>
    <x:row r="406" spans="1:7" s="4" customFormat="1"/>
    <x:row r="407" spans="1:7" s="3" customFormat="1"/>
    <x:row r="408" spans="1:7" s="1" customFormat="1"/>
    <x:row r="409" spans="1:7" s="4" customFormat="1"/>
    <x:row r="410" spans="1:7" s="3" customFormat="1"/>
    <x:row r="411" spans="1:7" s="1" customFormat="1"/>
    <x:row r="412" spans="1:7" s="4" customFormat="1"/>
    <x:row r="413" spans="1:7" s="3" customFormat="1"/>
    <x:row r="414" spans="1:7" s="1" customFormat="1"/>
    <x:row r="415" spans="1:7" s="4" customFormat="1"/>
    <x:row r="416" spans="1:7" s="3" customFormat="1"/>
    <x:row r="417" spans="1:7" s="1" customFormat="1"/>
    <x:row r="418" spans="1:7" s="4" customFormat="1"/>
    <x:row r="419" spans="1:7" s="3" customFormat="1"/>
    <x:row r="420" spans="1:7" s="1" customFormat="1"/>
    <x:row r="421" spans="1:7" s="4" customFormat="1"/>
    <x:row r="422" spans="1:7" s="3" customFormat="1"/>
    <x:row r="423" spans="1:7" s="1" customFormat="1"/>
    <x:row r="424" spans="1:7" s="4" customFormat="1"/>
    <x:row r="425" spans="1:7" s="3" customFormat="1"/>
    <x:row r="426" spans="1:7" s="1" customFormat="1"/>
    <x:row r="427" spans="1:7" s="4" customFormat="1"/>
    <x:row r="428" spans="1:7" s="3" customFormat="1"/>
    <x:row r="429" spans="1:7" s="1" customFormat="1"/>
    <x:row r="430" spans="1:7" s="4" customFormat="1"/>
    <x:row r="431" spans="1:7" s="3" customFormat="1"/>
    <x:row r="432" spans="1:7" s="1" customFormat="1"/>
    <x:row r="433" spans="1:7" s="4" customFormat="1"/>
    <x:row r="434" spans="1:7" s="3" customFormat="1"/>
    <x:row r="435" spans="1:7" s="1" customFormat="1"/>
    <x:row r="436" spans="1:7" s="4" customFormat="1"/>
    <x:row r="437" spans="1:7" s="3" customFormat="1"/>
    <x:row r="438" spans="1:7" s="1" customFormat="1"/>
    <x:row r="439" spans="1:7" s="4" customFormat="1"/>
    <x:row r="440" spans="1:7" s="3" customFormat="1"/>
    <x:row r="441" spans="1:7" s="1" customFormat="1"/>
    <x:row r="442" spans="1:7" s="4" customFormat="1"/>
    <x:row r="443" spans="1:7" s="3" customFormat="1"/>
    <x:row r="444" spans="1:7" s="1" customFormat="1"/>
    <x:row r="445" spans="1:7" s="4" customFormat="1"/>
    <x:row r="446" spans="1:7" s="3" customFormat="1"/>
    <x:row r="447" spans="1:7" s="1" customFormat="1"/>
    <x:row r="448" spans="1:7" s="4" customFormat="1"/>
    <x:row r="449" spans="1:7" s="3" customFormat="1"/>
    <x:row r="450" spans="1:7" s="1" customFormat="1"/>
    <x:row r="451" spans="1:7" s="4" customFormat="1"/>
    <x:row r="452" spans="1:7" s="3" customFormat="1"/>
    <x:row r="453" spans="1:7" s="1" customFormat="1"/>
    <x:row r="454" spans="1:7" s="4" customFormat="1"/>
    <x:row r="455" spans="1:7" s="3" customFormat="1"/>
    <x:row r="456" spans="1:7" s="1" customFormat="1"/>
    <x:row r="457" spans="1:7" s="4" customFormat="1"/>
    <x:row r="458" spans="1:7" s="3" customFormat="1"/>
    <x:row r="459" spans="1:7" s="1" customFormat="1"/>
    <x:row r="460" spans="1:7" s="4" customFormat="1"/>
    <x:row r="461" spans="1:7" s="3" customFormat="1"/>
    <x:row r="462" spans="1:7" s="1" customFormat="1"/>
    <x:row r="463" spans="1:7" s="4" customFormat="1"/>
    <x:row r="464" spans="1:7" s="3" customFormat="1"/>
    <x:row r="465" spans="1:7" s="1" customFormat="1"/>
    <x:row r="466" spans="1:7" s="4" customFormat="1"/>
    <x:row r="467" spans="1:7" s="3" customFormat="1"/>
    <x:row r="468" spans="1:7" s="1" customFormat="1"/>
    <x:row r="469" spans="1:7" s="4" customFormat="1"/>
    <x:row r="470" spans="1:7" s="3" customFormat="1"/>
    <x:row r="471" spans="1:7" s="1" customFormat="1"/>
    <x:row r="472" spans="1:7" s="4" customFormat="1"/>
    <x:row r="473" spans="1:7" s="3" customFormat="1"/>
    <x:row r="474" spans="1:7" s="1" customFormat="1"/>
    <x:row r="475" spans="1:7" s="4" customFormat="1"/>
    <x:row r="476" spans="1:7" s="3" customFormat="1"/>
    <x:row r="477" spans="1:7" s="1" customFormat="1"/>
    <x:row r="478" spans="1:7" s="4" customFormat="1"/>
    <x:row r="479" spans="1:7" s="3" customFormat="1"/>
    <x:row r="480" spans="1:7" s="1" customFormat="1"/>
    <x:row r="481" spans="1:7" s="4" customFormat="1"/>
    <x:row r="482" spans="1:7" s="3" customFormat="1"/>
    <x:row r="483" spans="1:7" s="1" customFormat="1"/>
    <x:row r="484" spans="1:7" s="4" customFormat="1"/>
    <x:row r="485" spans="1:7" s="3" customFormat="1"/>
    <x:row r="486" spans="1:7" s="1" customFormat="1"/>
    <x:row r="487" spans="1:7" s="4" customFormat="1"/>
    <x:row r="488" spans="1:7" s="3" customFormat="1"/>
    <x:row r="489" spans="1:7" s="1" customFormat="1"/>
    <x:row r="490" spans="1:7" s="4" customFormat="1"/>
    <x:row r="491" spans="1:7" s="3" customFormat="1"/>
    <x:row r="492" spans="1:7" s="1" customFormat="1"/>
    <x:row r="493" spans="1:7" s="4" customFormat="1"/>
    <x:row r="494" spans="1:7" s="3" customFormat="1"/>
    <x:row r="495" spans="1:7" s="1" customFormat="1"/>
    <x:row r="496" spans="1:7" s="4" customFormat="1"/>
    <x:row r="497" spans="1:7" s="3" customFormat="1"/>
    <x:row r="498" spans="1:7" s="1" customFormat="1"/>
    <x:row r="499" spans="1:7" s="4" customFormat="1"/>
    <x:row r="500" spans="1:7" s="3" customFormat="1"/>
    <x:row r="501" spans="1:7" s="1" customFormat="1"/>
    <x:row r="502" spans="1:7" s="4" customFormat="1"/>
    <x:row r="503" spans="1:7" s="3" customFormat="1"/>
    <x:row r="504" spans="1:7" s="1" customFormat="1"/>
    <x:row r="505" spans="1:7" s="4" customFormat="1"/>
    <x:row r="506" spans="1:7" s="3" customFormat="1"/>
    <x:row r="507" spans="1:7" s="1" customFormat="1"/>
    <x:row r="508" spans="1:7" s="4" customFormat="1"/>
    <x:row r="509" spans="1:7" s="3" customFormat="1"/>
    <x:row r="510" spans="1:7" s="1" customFormat="1"/>
    <x:row r="511" spans="1:7" s="4" customFormat="1"/>
    <x:row r="512" spans="1:7" s="3" customFormat="1"/>
    <x:row r="513" spans="1:7" s="1" customFormat="1"/>
    <x:row r="514" spans="1:7" s="4" customFormat="1"/>
    <x:row r="515" spans="1:7" s="3" customFormat="1"/>
    <x:row r="516" spans="1:7" s="1" customFormat="1"/>
    <x:row r="517" spans="1:7" s="4" customFormat="1"/>
    <x:row r="518" spans="1:7" s="3" customFormat="1"/>
    <x:row r="519" spans="1:7" s="1" customFormat="1"/>
    <x:row r="520" spans="1:7" s="4" customFormat="1"/>
    <x:row r="521" spans="1:7" s="3" customFormat="1"/>
    <x:row r="522" spans="1:7" s="1" customFormat="1"/>
    <x:row r="523" spans="1:7" s="4" customFormat="1"/>
    <x:row r="524" spans="1:7" s="3" customFormat="1"/>
    <x:row r="525" spans="1:7" s="1" customFormat="1"/>
    <x:row r="526" spans="1:7" s="4" customFormat="1"/>
    <x:row r="527" spans="1:7" s="3" customFormat="1"/>
    <x:row r="528" spans="1:7" s="1" customFormat="1"/>
    <x:row r="529" spans="1:7" s="4" customFormat="1"/>
    <x:row r="530" spans="1:7" s="3" customFormat="1"/>
    <x:row r="531" spans="1:7" s="1" customFormat="1"/>
    <x:row r="532" spans="1:7" s="4" customFormat="1"/>
    <x:row r="533" spans="1:7" s="3" customFormat="1"/>
    <x:row r="534" spans="1:7" s="1" customFormat="1"/>
    <x:row r="535" spans="1:7" s="4" customFormat="1"/>
    <x:row r="536" spans="1:7" s="3" customFormat="1"/>
    <x:row r="537" spans="1:7" s="1" customFormat="1"/>
    <x:row r="538" spans="1:7" s="4" customFormat="1"/>
    <x:row r="539" spans="1:7" s="3" customFormat="1"/>
    <x:row r="540" spans="1:7" s="1" customFormat="1"/>
    <x:row r="541" spans="1:7" s="4" customFormat="1"/>
    <x:row r="542" spans="1:7" s="3" customFormat="1"/>
    <x:row r="543" spans="1:7" s="1" customFormat="1"/>
    <x:row r="544" spans="1:7" s="4" customFormat="1"/>
    <x:row r="545" spans="1:7" s="3" customFormat="1"/>
    <x:row r="546" spans="1:7" s="1" customFormat="1"/>
    <x:row r="547" spans="1:7" s="4" customFormat="1"/>
    <x:row r="548" spans="1:7" s="3" customFormat="1"/>
    <x:row r="549" spans="1:7" s="1" customFormat="1"/>
    <x:row r="550" spans="1:7" s="4" customFormat="1"/>
    <x:row r="551" spans="1:7" s="3" customFormat="1"/>
    <x:row r="552" spans="1:7" s="1" customFormat="1"/>
    <x:row r="553" spans="1:7" s="4" customFormat="1"/>
    <x:row r="554" spans="1:7" s="3" customFormat="1"/>
    <x:row r="555" spans="1:7" s="1" customFormat="1"/>
    <x:row r="556" spans="1:7" s="4" customFormat="1"/>
    <x:row r="557" spans="1:7" s="3" customFormat="1"/>
    <x:row r="558" spans="1:7" s="1" customFormat="1"/>
    <x:row r="559" spans="1:7" s="4" customFormat="1"/>
    <x:row r="560" spans="1:7" s="3" customFormat="1"/>
    <x:row r="561" spans="1:7" s="1" customFormat="1"/>
    <x:row r="562" spans="1:7" s="4" customFormat="1"/>
    <x:row r="563" spans="1:7" s="3" customFormat="1"/>
    <x:row r="564" spans="1:7" s="1" customFormat="1"/>
    <x:row r="565" spans="1:7" s="4" customFormat="1"/>
    <x:row r="566" spans="1:7" s="3" customFormat="1"/>
    <x:row r="567" spans="1:7" s="1" customFormat="1"/>
    <x:row r="568" spans="1:7" s="4" customFormat="1"/>
    <x:row r="569" spans="1:7" s="3" customFormat="1"/>
    <x:row r="570" spans="1:7" s="1" customFormat="1"/>
    <x:row r="571" spans="1:7" s="4" customFormat="1"/>
    <x:row r="572" spans="1:7" s="3" customFormat="1"/>
    <x:row r="573" spans="1:7" s="1" customFormat="1"/>
    <x:row r="574" spans="1:7" s="4" customFormat="1"/>
    <x:row r="575" spans="1:7" s="3" customFormat="1"/>
    <x:row r="576" spans="1:7" s="1" customFormat="1"/>
    <x:row r="577" spans="1:7" s="4" customFormat="1"/>
    <x:row r="578" spans="1:7" s="3" customFormat="1"/>
    <x:row r="579" spans="1:7" s="1" customFormat="1"/>
    <x:row r="580" spans="1:7" s="4" customFormat="1"/>
    <x:row r="581" spans="1:7" s="3" customFormat="1"/>
    <x:row r="582" spans="1:7" s="1" customFormat="1"/>
    <x:row r="583" spans="1:7" s="4" customFormat="1"/>
    <x:row r="584" spans="1:7" s="3" customFormat="1"/>
    <x:row r="585" spans="1:7" s="1" customFormat="1"/>
    <x:row r="586" spans="1:7" s="4" customFormat="1"/>
    <x:row r="587" spans="1:7" s="3" customFormat="1"/>
    <x:row r="588" spans="1:7" s="1" customFormat="1"/>
    <x:row r="589" spans="1:7" s="4" customFormat="1"/>
    <x:row r="590" spans="1:7" s="3" customFormat="1"/>
    <x:row r="591" spans="1:7" s="1" customFormat="1"/>
    <x:row r="592" spans="1:7" s="4" customFormat="1"/>
    <x:row r="593" spans="1:7" s="3" customFormat="1"/>
    <x:row r="594" spans="1:7" s="1" customFormat="1"/>
    <x:row r="595" spans="1:7" s="4" customFormat="1"/>
    <x:row r="596" spans="1:7" s="3" customFormat="1"/>
    <x:row r="597" spans="1:7" s="1" customFormat="1"/>
    <x:row r="598" spans="1:7" s="4" customFormat="1"/>
    <x:row r="599" spans="1:7" s="3" customFormat="1"/>
    <x:row r="600" spans="1:7" s="1" customFormat="1"/>
    <x:row r="601" spans="1:7" s="4" customFormat="1"/>
    <x:row r="602" spans="1:7" s="3" customFormat="1"/>
    <x:row r="603" spans="1:7" s="1" customFormat="1"/>
    <x:row r="604" spans="1:7" s="4" customFormat="1"/>
    <x:row r="605" spans="1:7" s="3" customFormat="1"/>
    <x:row r="606" spans="1:7" s="1" customFormat="1"/>
    <x:row r="607" spans="1:7" s="4" customFormat="1"/>
    <x:row r="608" spans="1:7" s="3" customFormat="1"/>
    <x:row r="609" spans="1:7" s="1" customFormat="1"/>
    <x:row r="610" spans="1:7" s="4" customFormat="1"/>
    <x:row r="611" spans="1:7" s="3" customFormat="1"/>
    <x:row r="612" spans="1:7" s="1" customFormat="1"/>
    <x:row r="613" spans="1:7" s="4" customFormat="1"/>
    <x:row r="614" spans="1:7" s="3" customFormat="1"/>
    <x:row r="615" spans="1:7" s="1" customFormat="1"/>
    <x:row r="616" spans="1:7" s="4" customFormat="1"/>
    <x:row r="617" spans="1:7" s="3" customFormat="1"/>
    <x:row r="618" spans="1:7" s="1" customFormat="1"/>
    <x:row r="619" spans="1:7" s="4" customFormat="1"/>
    <x:row r="620" spans="1:7" s="3" customFormat="1"/>
    <x:row r="621" spans="1:7" s="1" customFormat="1"/>
    <x:row r="622" spans="1:7" s="4" customFormat="1"/>
    <x:row r="623" spans="1:7" s="3" customFormat="1"/>
    <x:row r="624" spans="1:7" s="1" customFormat="1"/>
    <x:row r="625" spans="1:7" s="4" customFormat="1"/>
    <x:row r="626" spans="1:7" s="3" customFormat="1"/>
    <x:row r="627" spans="1:7" s="1" customFormat="1"/>
    <x:row r="628" spans="1:7" s="4" customFormat="1"/>
    <x:row r="629" spans="1:7" s="3" customFormat="1"/>
    <x:row r="630" spans="1:7" s="1" customFormat="1"/>
    <x:row r="631" spans="1:7" s="4" customFormat="1"/>
    <x:row r="632" spans="1:7" s="3" customFormat="1"/>
    <x:row r="633" spans="1:7" s="1" customFormat="1"/>
    <x:row r="634" spans="1:7" s="4" customFormat="1"/>
    <x:row r="635" spans="1:7" s="3" customFormat="1"/>
    <x:row r="636" spans="1:7" s="1" customFormat="1"/>
    <x:row r="637" spans="1:7" s="4" customFormat="1"/>
    <x:row r="638" spans="1:7" s="3" customFormat="1"/>
    <x:row r="639" spans="1:7" s="1" customFormat="1"/>
    <x:row r="640" spans="1:7" s="4" customFormat="1"/>
    <x:row r="641" spans="1:7" s="3" customFormat="1"/>
    <x:row r="642" spans="1:7" s="1" customFormat="1"/>
    <x:row r="643" spans="1:7" s="4" customFormat="1"/>
    <x:row r="644" spans="1:7" s="3" customFormat="1"/>
    <x:row r="645" spans="1:7" s="1" customFormat="1"/>
    <x:row r="646" spans="1:7" s="4" customFormat="1"/>
    <x:row r="647" spans="1:7" s="3" customFormat="1"/>
    <x:row r="648" spans="1:7" s="1" customFormat="1"/>
    <x:row r="649" spans="1:7" s="4" customFormat="1"/>
    <x:row r="650" spans="1:7" s="3" customFormat="1"/>
    <x:row r="651" spans="1:7" s="1" customFormat="1"/>
    <x:row r="652" spans="1:7" s="4" customFormat="1"/>
    <x:row r="653" spans="1:7" s="3" customFormat="1"/>
    <x:row r="654" spans="1:7" s="1" customFormat="1"/>
    <x:row r="655" spans="1:7" s="4" customFormat="1"/>
    <x:row r="656" spans="1:7" s="3" customFormat="1"/>
    <x:row r="657" spans="1:7" s="1" customFormat="1"/>
    <x:row r="658" spans="1:7" s="4" customFormat="1"/>
    <x:row r="659" spans="1:7" s="3" customFormat="1"/>
    <x:row r="660" spans="1:7" s="1" customFormat="1"/>
    <x:row r="661" spans="1:7" s="4" customFormat="1"/>
    <x:row r="662" spans="1:7" s="3" customFormat="1"/>
    <x:row r="663" spans="1:7" s="1" customFormat="1"/>
    <x:row r="664" spans="1:7" s="4" customFormat="1"/>
    <x:row r="665" spans="1:7" s="3" customFormat="1"/>
    <x:row r="666" spans="1:7" s="1" customFormat="1"/>
    <x:row r="667" spans="1:7" s="4" customFormat="1"/>
    <x:row r="668" spans="1:7" s="3" customFormat="1"/>
    <x:row r="669" spans="1:7" s="1" customFormat="1"/>
    <x:row r="670" spans="1:7" s="4" customFormat="1"/>
    <x:row r="671" spans="1:7" s="3" customFormat="1"/>
    <x:row r="672" spans="1:7" s="1" customFormat="1"/>
    <x:row r="673" spans="1:7" s="4" customFormat="1"/>
    <x:row r="674" spans="1:7" s="3" customFormat="1"/>
    <x:row r="675" spans="1:7" s="1" customFormat="1"/>
    <x:row r="676" spans="1:7" s="4" customFormat="1"/>
    <x:row r="677" spans="1:7" s="3" customFormat="1"/>
    <x:row r="678" spans="1:7" s="1" customFormat="1"/>
    <x:row r="679" spans="1:7" s="4" customFormat="1"/>
    <x:row r="680" spans="1:7" s="3" customFormat="1"/>
    <x:row r="681" spans="1:7" s="1" customFormat="1"/>
    <x:row r="682" spans="1:7" s="4" customFormat="1"/>
    <x:row r="683" spans="1:7" s="3" customFormat="1"/>
    <x:row r="684" spans="1:7" s="1" customFormat="1"/>
    <x:row r="685" spans="1:7" s="4" customFormat="1"/>
    <x:row r="686" spans="1:7" s="3" customFormat="1"/>
    <x:row r="687" spans="1:7" s="1" customFormat="1"/>
    <x:row r="688" spans="1:7" s="4" customFormat="1"/>
    <x:row r="689" spans="1:7" s="3" customFormat="1"/>
    <x:row r="690" spans="1:7" s="1" customFormat="1"/>
    <x:row r="691" spans="1:7" s="4" customFormat="1"/>
    <x:row r="692" spans="1:7" s="3" customFormat="1"/>
    <x:row r="693" spans="1:7" s="1" customFormat="1"/>
    <x:row r="694" spans="1:7" s="4" customFormat="1"/>
    <x:row r="695" spans="1:7" s="3" customFormat="1"/>
    <x:row r="696" spans="1:7" s="1" customFormat="1"/>
    <x:row r="697" spans="1:7" s="4" customFormat="1"/>
    <x:row r="698" spans="1:7" s="3" customFormat="1"/>
    <x:row r="699" spans="1:7" s="1" customFormat="1"/>
    <x:row r="700" spans="1:7" s="4" customFormat="1"/>
    <x:row r="701" spans="1:7" s="3" customFormat="1"/>
    <x:row r="702" spans="1:7" s="1" customFormat="1"/>
    <x:row r="703" spans="1:7" s="4" customFormat="1"/>
    <x:row r="704" spans="1:7" s="3" customFormat="1"/>
    <x:row r="705" spans="1:7" s="1" customFormat="1"/>
    <x:row r="706" spans="1:7" s="4" customFormat="1"/>
    <x:row r="707" spans="1:7" s="3" customFormat="1"/>
    <x:row r="708" spans="1:7" s="1" customFormat="1"/>
    <x:row r="709" spans="1:7" s="4" customFormat="1"/>
    <x:row r="710" spans="1:7" s="3" customFormat="1"/>
    <x:row r="711" spans="1:7" s="1" customFormat="1"/>
    <x:row r="712" spans="1:7" s="4" customFormat="1"/>
    <x:row r="713" spans="1:7" s="3" customFormat="1"/>
    <x:row r="714" spans="1:7" s="1" customFormat="1"/>
    <x:row r="715" spans="1:7" s="4" customFormat="1"/>
    <x:row r="716" spans="1:7" s="3" customFormat="1"/>
    <x:row r="717" spans="1:7" s="1" customFormat="1"/>
    <x:row r="718" spans="1:7" s="4" customFormat="1"/>
    <x:row r="719" spans="1:7" s="3" customFormat="1"/>
    <x:row r="720" spans="1:7" s="1" customFormat="1"/>
    <x:row r="721" spans="1:7" s="4" customFormat="1"/>
    <x:row r="722" spans="1:7" s="3" customFormat="1"/>
    <x:row r="723" spans="1:7" s="1" customFormat="1"/>
    <x:row r="724" spans="1:7" s="4" customFormat="1"/>
    <x:row r="725" spans="1:7" s="3" customFormat="1"/>
    <x:row r="726" spans="1:7" s="1" customFormat="1"/>
    <x:row r="727" spans="1:7" s="4" customFormat="1"/>
    <x:row r="728" spans="1:7" s="3" customFormat="1"/>
    <x:row r="729" spans="1:7" s="1" customFormat="1"/>
    <x:row r="730" spans="1:7" s="4" customFormat="1"/>
    <x:row r="731" spans="1:7" s="3" customFormat="1"/>
    <x:row r="732" spans="1:7" s="1" customFormat="1"/>
    <x:row r="733" spans="1:7" s="4" customFormat="1"/>
    <x:row r="734" spans="1:7" s="3" customFormat="1"/>
    <x:row r="735" spans="1:7" s="1" customFormat="1"/>
    <x:row r="736" spans="1:7" s="4" customFormat="1"/>
    <x:row r="737" spans="1:7" s="3" customFormat="1"/>
    <x:row r="738" spans="1:7" s="1" customFormat="1"/>
    <x:row r="739" spans="1:7" s="4" customFormat="1"/>
    <x:row r="740" spans="1:7" s="3" customFormat="1"/>
    <x:row r="741" spans="1:7" s="1" customFormat="1"/>
    <x:row r="742" spans="1:7" s="4" customFormat="1"/>
    <x:row r="743" spans="1:7" s="3" customFormat="1"/>
    <x:row r="744" spans="1:7" s="1" customFormat="1"/>
    <x:row r="745" spans="1:7" s="4" customFormat="1"/>
    <x:row r="746" spans="1:7" s="3" customFormat="1"/>
    <x:row r="747" spans="1:7" s="1" customFormat="1"/>
    <x:row r="748" spans="1:7" s="4" customFormat="1"/>
    <x:row r="749" spans="1:7" s="3" customFormat="1"/>
    <x:row r="750" spans="1:7" s="1" customFormat="1"/>
    <x:row r="751" spans="1:7" s="4" customFormat="1"/>
    <x:row r="752" spans="1:7" s="3" customFormat="1"/>
    <x:row r="753" spans="1:7" s="1" customFormat="1"/>
    <x:row r="754" spans="1:7" s="4" customFormat="1"/>
    <x:row r="755" spans="1:7" s="3" customFormat="1"/>
    <x:row r="756" spans="1:7" s="1" customFormat="1"/>
    <x:row r="757" spans="1:7" s="4" customFormat="1"/>
    <x:row r="758" spans="1:7" s="3" customFormat="1"/>
    <x:row r="759" spans="1:7" s="1" customFormat="1"/>
    <x:row r="760" spans="1:7" s="4" customFormat="1"/>
    <x:row r="761" spans="1:7" s="3" customFormat="1"/>
    <x:row r="762" spans="1:7" s="1" customFormat="1"/>
    <x:row r="763" spans="1:7" s="4" customFormat="1"/>
    <x:row r="764" spans="1:7" s="3" customFormat="1"/>
    <x:row r="765" spans="1:7" s="1" customFormat="1"/>
    <x:row r="766" spans="1:7" s="4" customFormat="1"/>
    <x:row r="767" spans="1:7" s="3" customFormat="1"/>
    <x:row r="768" spans="1:7" s="1" customFormat="1"/>
    <x:row r="769" spans="1:7" s="4" customFormat="1"/>
    <x:row r="770" spans="1:7" s="3" customFormat="1"/>
    <x:row r="771" spans="1:7" s="1" customFormat="1"/>
    <x:row r="772" spans="1:7" s="4" customFormat="1"/>
    <x:row r="773" spans="1:7" s="3" customFormat="1"/>
    <x:row r="774" spans="1:7" s="1" customFormat="1"/>
    <x:row r="775" spans="1:7" s="4" customFormat="1"/>
    <x:row r="776" spans="1:7" s="3" customFormat="1"/>
    <x:row r="777" spans="1:7" s="1" customFormat="1"/>
    <x:row r="778" spans="1:7" s="4" customFormat="1"/>
    <x:row r="779" spans="1:7" s="3" customFormat="1"/>
    <x:row r="780" spans="1:7" s="1" customFormat="1"/>
    <x:row r="781" spans="1:7" s="4" customFormat="1"/>
    <x:row r="782" spans="1:7" s="3" customFormat="1"/>
    <x:row r="783" spans="1:7" s="1" customFormat="1"/>
    <x:row r="784" spans="1:7" s="4" customFormat="1"/>
    <x:row r="785" spans="1:7" s="3" customFormat="1"/>
    <x:row r="786" spans="1:7" s="1" customFormat="1"/>
    <x:row r="787" spans="1:7" s="4" customFormat="1"/>
    <x:row r="788" spans="1:7" s="3" customFormat="1"/>
    <x:row r="789" spans="1:7" s="1" customFormat="1"/>
    <x:row r="790" spans="1:7" s="4" customFormat="1"/>
    <x:row r="791" spans="1:7" s="3" customFormat="1"/>
    <x:row r="792" spans="1:7" s="1" customFormat="1"/>
    <x:row r="793" spans="1:7" s="4" customFormat="1"/>
    <x:row r="794" spans="1:7" s="3" customFormat="1"/>
    <x:row r="795" spans="1:7" s="1" customFormat="1"/>
    <x:row r="796" spans="1:7" s="4" customFormat="1"/>
    <x:row r="797" spans="1:7" s="3" customFormat="1"/>
    <x:row r="798" spans="1:7" s="1" customFormat="1"/>
    <x:row r="799" spans="1:7" s="4" customFormat="1"/>
    <x:row r="800" spans="1:7" s="3" customFormat="1"/>
    <x:row r="801" spans="1:7" s="1" customFormat="1"/>
    <x:row r="802" spans="1:7" s="4" customFormat="1"/>
    <x:row r="803" spans="1:7" s="3" customFormat="1"/>
    <x:row r="804" spans="1:7" s="1" customFormat="1"/>
    <x:row r="805" spans="1:7" s="4" customFormat="1"/>
    <x:row r="806" spans="1:7" s="3" customFormat="1"/>
    <x:row r="807" spans="1:7" s="1" customFormat="1"/>
    <x:row r="808" spans="1:7" s="4" customFormat="1"/>
    <x:row r="809" spans="1:7" s="3" customFormat="1"/>
    <x:row r="810" spans="1:7" s="1" customFormat="1"/>
    <x:row r="811" spans="1:7" s="4" customFormat="1"/>
    <x:row r="812" spans="1:7" s="3" customFormat="1"/>
    <x:row r="813" spans="1:7" s="1" customFormat="1"/>
    <x:row r="814" spans="1:7" s="4" customFormat="1"/>
    <x:row r="815" spans="1:7" s="3" customFormat="1"/>
    <x:row r="816" spans="1:7" s="1" customFormat="1"/>
    <x:row r="817" spans="1:7" s="4" customFormat="1"/>
    <x:row r="818" spans="1:7" s="3" customFormat="1"/>
    <x:row r="819" spans="1:7" s="1" customFormat="1"/>
    <x:row r="820" spans="1:7" s="4" customFormat="1"/>
    <x:row r="821" spans="1:7" s="3" customFormat="1"/>
    <x:row r="822" spans="1:7" s="1" customFormat="1"/>
  </x:sheetData>
  <x:hyperlinks>
    <x:hyperlink ref="C3" r:id="rId4820" tooltip="Send a mail to stakterinacons@outlook.com"/>
    <x:hyperlink ref="C4" r:id="rId4821" tooltip="Send a mail to info@stanthonyww.com"/>
    <x:hyperlink ref="C5" r:id="rId4822" tooltip="Send a mail to info@framegrip.com"/>
    <x:hyperlink ref="C6" r:id="rId4823" tooltip="Send a mail to sales@jlautier.com"/>
    <x:hyperlink ref="C7" r:id="rId4824" tooltip="Send a mail to info@a1finishesltd.com"/>
    <x:hyperlink ref="C8" r:id="rId4825" tooltip="Send a mail to sales@newstylesmalta.com"/>
    <x:hyperlink ref="C9" r:id="rId4826" tooltip="Send a mail to info@grimafurniture.com"/>
    <x:hyperlink ref="C10" r:id="rId4827" tooltip="Send a mail to info@amabilegalea.com"/>
    <x:hyperlink ref="C11" r:id="rId4828" tooltip="Send a mail to info@gozoaluminium.com"/>
    <x:hyperlink ref="C12" r:id="rId4829" tooltip="Send a mail to nu-aluminium@outlook.com"/>
    <x:hyperlink ref="C13" r:id="rId4830" tooltip="Send a mail to info@sfdoorstyles.com.mt"/>
    <x:hyperlink ref="C14" r:id="rId4831" tooltip="Send a mail to parus984@gmail.com"/>
    <x:hyperlink ref="C15" r:id="rId4832" tooltip="Send a mail to info@afdaaluminium.com"/>
    <x:hyperlink ref="C16" r:id="rId4833" tooltip="Send a mail to info@brandimports.com.mt"/>
    <x:hyperlink ref="C17" r:id="rId4834" tooltip="Send a mail to j3alumiunium@gmail.com"/>
    <x:hyperlink ref="C18" r:id="rId4835" tooltip="Send a mail to sgt1183@gmail.com"/>
    <x:hyperlink ref="C19" r:id="rId4836" tooltip="Send a mail to info@nicholas.mt"/>
    <x:hyperlink ref="C20" r:id="rId4837" tooltip="Send a mail to info@ihomes.com.mt"/>
    <x:hyperlink ref="C21" r:id="rId4838" tooltip="Send a mail to abelawoodworks@gmail.com"/>
    <x:hyperlink ref="C22" r:id="rId4839" tooltip="Send a mail to chayron186@gmail.com"/>
    <x:hyperlink ref="C23" r:id="rId4840" tooltip="Send a mail to josefvella72@gmail.com"/>
    <x:hyperlink ref="C24" r:id="rId4841" tooltip="Send a mail to northalu@gmail.com"/>
    <x:hyperlink ref="C25" r:id="rId4842" tooltip="Send a mail to agood.installations@yahoo.com"/>
    <x:hyperlink ref="C26" r:id="rId4843" tooltip="Send a mail to gsf-1200@hotmail.com"/>
    <x:hyperlink ref="C27" r:id="rId4844" tooltip="Send a mail to jsbaluminiumworks@gmail.com"/>
    <x:hyperlink ref="C28" r:id="rId4845" tooltip="Send a mail to classicdesignwoodworks@gmail.com"/>
    <x:hyperlink ref="C29" r:id="rId4846" tooltip="Send a mail to sales@doorsandmore.in"/>
    <x:hyperlink ref="C30" r:id="rId4847" tooltip="Send a mail to mario.camilleri9@gmail.com"/>
    <x:hyperlink ref="C31" r:id="rId4848" tooltip="Send a mail to info@acaluminium.com"/>
    <x:hyperlink ref="C32" r:id="rId4849" tooltip="Send a mail to lexport@go.com.mt"/>
    <x:hyperlink ref="C33" r:id="rId4850" tooltip="Send a mail to sales@adoremore.eu"/>
    <x:hyperlink ref="C34" r:id="rId4851" tooltip="Send a mail to info@acmamalta.com"/>
    <x:hyperlink ref="C35" r:id="rId4852" tooltip="Send a mail to alfalu@melita.com"/>
    <x:hyperlink ref="C36" r:id="rId4853" tooltip="Send a mail to xandrumallia@gmail.com"/>
    <x:hyperlink ref="C37" r:id="rId4854" tooltip="Send a mail to info@alukey.com.mt"/>
    <x:hyperlink ref="C38" r:id="rId4855" tooltip="Send a mail to alultd@go.net.mt"/>
    <x:hyperlink ref="C39" r:id="rId4856" tooltip="Send a mail to info@aluwoodmalta.com"/>
    <x:hyperlink ref="C40" r:id="rId4857" tooltip="Send a mail to andrewvella66@gmail.com"/>
    <x:hyperlink ref="C41" r:id="rId4858" tooltip="Send a mail to azzopardialuminiumworks@gmail.com"/>
    <x:hyperlink ref="C42" r:id="rId4859" tooltip="Send a mail to info@basonaluminium.com"/>
    <x:hyperlink ref="C43" r:id="rId4860" tooltip="Send a mail to borgaluminiummalta@gmail.com"/>
    <x:hyperlink ref="C44" r:id="rId4861" tooltip="Send a mail to henry@bpapertures.com"/>
    <x:hyperlink ref="C45" r:id="rId4862" tooltip="Send a mail to cdsaluminium@gmail.com"/>
    <x:hyperlink ref="C46" r:id="rId4863" tooltip="Send a mail to info@cagroup.com.mt"/>
    <x:hyperlink ref="C47" r:id="rId4864" tooltip="Send a mail to cachiapatrick68@gmail.com"/>
    <x:hyperlink ref="C48" r:id="rId4865" tooltip="Send a mail to sales@tcalu.com"/>
    <x:hyperlink ref="C49" r:id="rId4866" tooltip="Send a mail to mrgmv@onvol.net"/>
    <x:hyperlink ref="C50" r:id="rId4867" tooltip="Send a mail to chocoaluminium@gmail.com"/>
    <x:hyperlink ref="C51" r:id="rId4868" tooltip="Send a mail to info@comforabita.com"/>
    <x:hyperlink ref="C52" r:id="rId4869" tooltip="Send a mail to info@cda.com.mt"/>
    <x:hyperlink ref="C53" r:id="rId4870" tooltip="Send a mail to daniobarbara1977@gmail.com"/>
    <x:hyperlink ref="C54" r:id="rId4871" tooltip="Send a mail to info@deckor.com.mt"/>
    <x:hyperlink ref="C55" r:id="rId4872" tooltip="Send a mail to savdim65@gmail.com"/>
    <x:hyperlink ref="C56" r:id="rId4873" tooltip="Send a mail to info@dinglialuminium.com"/>
    <x:hyperlink ref="C57" r:id="rId4874" tooltip="Send a mail to sales@pvcmalta.com"/>
    <x:hyperlink ref="C58" r:id="rId4875" tooltip="Send a mail to dxaluworks@gmail.com"/>
    <x:hyperlink ref="C59" r:id="rId4876" tooltip="Send a mail to info@expressaluminium.com"/>
    <x:hyperlink ref="C60" r:id="rId4877" tooltip="Send a mail to simdebwebb@hotmail.com"/>
    <x:hyperlink ref="C61" r:id="rId4878" tooltip="Send a mail to sales@finestralmalta.com"/>
    <x:hyperlink ref="C62" r:id="rId4879" tooltip="Send a mail to faworks123@gmail.com"/>
    <x:hyperlink ref="C63" r:id="rId4880" tooltip="Send a mail to azzopardimark8@gmail.com"/>
    <x:hyperlink ref="C64" r:id="rId4881" tooltip="Send a mail to info@alugiorgio.com"/>
    <x:hyperlink ref="C65" r:id="rId4882" tooltip="Send a mail to info@cassarwoodworks.com"/>
    <x:hyperlink ref="C66" r:id="rId4883" tooltip="Send a mail to info@grahamaluminium.com"/>
    <x:hyperlink ref="C67" r:id="rId4884" tooltip="Send a mail to guysmalta@gmail.com"/>
    <x:hyperlink ref="C68" r:id="rId4885" tooltip="Send a mail to horvinltd@gmail.com"/>
    <x:hyperlink ref="C70" r:id="rId4886" tooltip="Send a mail to johnjandb@gmail.com"/>
    <x:hyperlink ref="C71" r:id="rId4887" tooltip="Send a mail to info@jcdaluminium.com"/>
    <x:hyperlink ref="C72" r:id="rId4888" tooltip="Send a mail to jk.aluminium@yahoo.com"/>
    <x:hyperlink ref="C73" r:id="rId4889" tooltip="Send a mail to jborg0408@gmail.com"/>
    <x:hyperlink ref="C74" r:id="rId4890" tooltip="Send a mail to admin@jamarmalta.com"/>
    <x:hyperlink ref="C75" r:id="rId4891" tooltip="Send a mail to info@jasonaluminium.com"/>
    <x:hyperlink ref="C76" r:id="rId4892" tooltip="Send a mail to kkalworks@gmail.com"/>
    <x:hyperlink ref="C77" r:id="rId4893" tooltip="Send a mail to bjorn.vassallo@gmail.com"/>
    <x:hyperlink ref="C78" r:id="rId4894" tooltip="Send a mail to gmuscat@live.com"/>
    <x:hyperlink ref="C79" r:id="rId4895" tooltip="Send a mail to nicdimech@gmail.com"/>
    <x:hyperlink ref="C80" r:id="rId4896" tooltip="Send a mail to info@nigeldimech.com"/>
    <x:hyperlink ref="C81" r:id="rId4897" tooltip="Send a mail to matteo.pisani40@gmail.com"/>
    <x:hyperlink ref="C82" r:id="rId4898" tooltip="Send a mail to gormialum@gmail.com"/>
    <x:hyperlink ref="C83" r:id="rId4899" tooltip="Send a mail to raluminiumworks@hotmail.com"/>
    <x:hyperlink ref="C84" r:id="rId4900" tooltip="Send a mail to rcalworks@gmail.com"/>
    <x:hyperlink ref="C85" r:id="rId4901" tooltip="Send a mail to rapa.aluminium@gmail.com"/>
    <x:hyperlink ref="C86" r:id="rId4902" tooltip="Send a mail to raymondfarrugia74@gmail.com"/>
    <x:hyperlink ref="C87" r:id="rId4903" tooltip="Send a mail to refinedaluworks@gmail.com"/>
    <x:hyperlink ref="C88" r:id="rId4904" tooltip="Send a mail to info@servgroupmalta.com"/>
    <x:hyperlink ref="C90" r:id="rId4905" tooltip="Send a mail to info@sptechniques.com"/>
    <x:hyperlink ref="C91" r:id="rId4906" tooltip="Send a mail to sunaluminium@hotmail.com"/>
    <x:hyperlink ref="C92" r:id="rId4907" tooltip="Send a mail to t.camillerialuminium@hotmail.com"/>
    <x:hyperlink ref="C93" r:id="rId4908" tooltip="Send a mail to tonnaalum@yahoo.com"/>
    <x:hyperlink ref="C94" r:id="rId4909" tooltip="Send a mail to info@towergroupmalta.com"/>
    <x:hyperlink ref="C95" r:id="rId4910" tooltip="Send a mail to info@trendsltdmalta.com"/>
    <x:hyperlink ref="C96" r:id="rId4911" tooltip="Send a mail to valormalta@gmail.com"/>
    <x:hyperlink ref="C97" r:id="rId4912" tooltip="Send a mail to mario@windmillmalta.com"/>
    <x:hyperlink ref="C99" r:id="rId4913" tooltip="Send a mail to luke@woodware.mt"/>
    <x:hyperlink ref="C100" r:id="rId4914" tooltip="Send a mail to zammitalu@gmail.com"/>
    <x:hyperlink ref="C101" r:id="rId4915" tooltip="Send a mail to info@rgroupmt.com"/>
    <x:hyperlink ref="C103" r:id="rId4916" tooltip="Send a mail to info@ddoorcompany.com"/>
    <x:hyperlink ref="C104" r:id="rId4917" tooltip="Send a mail to sales@dimech-ent.com"/>
    <x:hyperlink ref="C105" r:id="rId4918" tooltip="Send a mail to info@fourwalls.com.mt"/>
    <x:hyperlink ref="C106" r:id="rId4919" tooltip="Send a mail to info@sfdoorstyles.com.mt"/>
    <x:hyperlink ref="C107" r:id="rId4920" tooltip="Send a mail to info@domestica.com.mt"/>
    <x:hyperlink ref="C108" r:id="rId4921" tooltip="Send a mail to info@pvc.com.mt"/>
    <x:hyperlink ref="C109" r:id="rId4922" tooltip="Send a mail to info@italtrade.com.mt"/>
    <x:hyperlink ref="C110" r:id="rId4923" tooltip="Send a mail to hello@starfurniture.com.mt"/>
    <x:hyperlink ref="C111" r:id="rId4924" tooltip="Send a mail to sales@powerhousemalta.com.eu"/>
    <x:hyperlink ref="C112" r:id="rId4925" tooltip="Send a mail to sales@pvcmalta.com"/>
    <x:hyperlink ref="C113" r:id="rId4926" tooltip="Send a mail to clients@framegrip.com"/>
    <x:hyperlink ref="C114" r:id="rId4927" tooltip="Send a mail to pdgl@go.net.mt"/>
    <x:hyperlink ref="C116" r:id="rId4928" tooltip="Send a mail to clydeaquil@gmail.com"/>
    <x:hyperlink ref="C117" r:id="rId4929" tooltip="Send a mail to info@alfredbaldacchinoltd.net"/>
    <x:hyperlink ref="C118" r:id="rId4930" tooltip="Send a mail to info@nkwoodworks.com"/>
    <x:hyperlink ref="C119" r:id="rId4931" tooltip="Send a mail to occas2@gmail.com"/>
    <x:hyperlink ref="C120" r:id="rId4932" tooltip="Send a mail to info@grfmalta.com"/>
    <x:hyperlink ref="C121" r:id="rId4933" tooltip="Send a mail to info@casconeporteefinestre.it"/>
    <x:hyperlink ref="C122" r:id="rId4934" tooltip="Send a mail to info@promaninteriors.com"/>
    <x:hyperlink ref="C124" r:id="rId4935" tooltip="Send a mail to sales@maltadiy.com"/>
    <x:hyperlink ref="C125" r:id="rId4936" tooltip="Send a mail to info@cassarwordworks.com"/>
    <x:hyperlink ref="C126" r:id="rId4937" tooltip="Send a mail to info@ddoorcompany.com"/>
    <x:hyperlink ref="C127" r:id="rId4938" tooltip="Send a mail to shop@megastore.com.mt"/>
    <x:hyperlink ref="C128" r:id="rId4939" tooltip="Send a mail to sales@bitmac.mt"/>
    <x:hyperlink ref="C129" r:id="rId4940" tooltip="Send a mail to sales@maltashopper.com"/>
    <x:hyperlink ref="C130" r:id="rId4941" tooltip="Send a mail to sales@brandimports.com.mt"/>
    <x:hyperlink ref="C132" r:id="rId4942" tooltip="Send a mail to sales@newstylesmalta.com"/>
    <x:hyperlink ref="C133" r:id="rId4943" tooltip="Send a mail to info@aluscreens.com"/>
    <x:hyperlink ref="C134" r:id="rId4944" tooltip="Send a mail to sales@dimech-ent.com"/>
    <x:hyperlink ref="C135" r:id="rId4945" tooltip="Send a mail to info@aluagemalta.com"/>
    <x:hyperlink ref="C136" r:id="rId4946" tooltip="Send a mail to info@hirisegroup.com.mt"/>
    <x:hyperlink ref="E2" r:id="rId4947" tooltip="Search 8 Triq il-Garra Victoria Gardens L-Ibrag, Swieqi on Google Maps"/>
    <x:hyperlink ref="E3" r:id="rId4948" tooltip="Search Triq il-Kappella ta' Santa Marija, Naxxar on Google Maps"/>
    <x:hyperlink ref="E4" r:id="rId4949" tooltip="Search Triq il-Fortizza, Mosta on Google Maps"/>
    <x:hyperlink ref="E5" r:id="rId4950" tooltip="Search Triq il-Mosta, Lija on Google Maps"/>
    <x:hyperlink ref="E6" r:id="rId4951" tooltip="Search Triq it-Torri, Msida on Google Maps"/>
    <x:hyperlink ref="E7" r:id="rId4952" tooltip="Search 2 Triq Lorenzo Gafa, Zebbug on Google Maps"/>
    <x:hyperlink ref="E8" r:id="rId4953" tooltip="Search SUB 030A Qasam Industrijali, San Gwann on Google Maps"/>
    <x:hyperlink ref="E9" r:id="rId4954" tooltip="Search Zone 2 Triq L-Ghadam Central Business District, B'Kara on Google Maps"/>
    <x:hyperlink ref="E10" r:id="rId4955" tooltip="Search 34 Triq it-Torri San Gwann, Birgu on Google Maps"/>
    <x:hyperlink ref="E11" r:id="rId4956" tooltip="Search Factory GZB 2 Qasam Industrijali, Xewkija-Gozo on Google Maps"/>
    <x:hyperlink ref="E12" r:id="rId4957" tooltip="Search GGX 0021 Qasam Industrijali, Xewkija-Gozo on Google Maps"/>
    <x:hyperlink ref="E13" r:id="rId4958" tooltip="Search Unit 1 &amp; 2 Qasam Industrijali, Luqa on Google Maps"/>
    <x:hyperlink ref="E14" r:id="rId4959" tooltip="Search 31 Triq il-Furnar, Qormi on Google Maps"/>
    <x:hyperlink ref="E15" r:id="rId4960" tooltip="Search Garage 10, Level -2 Sqaq il-Mithna Triq I-Imqabba, Qrendi on Google Maps"/>
    <x:hyperlink ref="E16" r:id="rId4961" tooltip="Search 26 Triq Haz-Zabbar, Paola on Google Maps"/>
    <x:hyperlink ref="E17" r:id="rId4962" tooltip="Search Triq Mro Giorgio Zarb Tal-Handaq, Qormi on Google Maps"/>
    <x:hyperlink ref="E18" r:id="rId4963" tooltip="Search Triq il-Parsott, Mosta on Google Maps"/>
    <x:hyperlink ref="E19" r:id="rId4964" tooltip="Search 33 Triq Angelo Melilli, Zebbug on Google Maps"/>
    <x:hyperlink ref="E20" r:id="rId4965" tooltip="Search No5 Triq Mons Alfred Mifsud, B'Kara on Google Maps"/>
    <x:hyperlink ref="E21" r:id="rId4966" tooltip="Search 34 Triq Indri Psaila, Qormi on Google Maps"/>
    <x:hyperlink ref="E22" r:id="rId4967" tooltip="Search Emmarie Triq id-Dahla Ta' San Tumas, M'Skala on Google Maps"/>
    <x:hyperlink ref="E23" r:id="rId4968" tooltip="Search Garage 25 Tal-Barrani Industrial Estate Triq il-Belt Valletta, Ghaxaq on Google Maps"/>
    <x:hyperlink ref="E24" r:id="rId4969" tooltip="Search Scorpio Triq Garcia De Toledo Qawra, San Pawl ll-Bahar on Google Maps"/>
    <x:hyperlink ref="E25" r:id="rId4970" tooltip="Search Triq San Pawl ll-Bahar on Google Maps"/>
    <x:hyperlink ref="E26" r:id="rId4971" tooltip="Search 197 Telgha tal-Gizwiti, Marsa on Google Maps"/>
    <x:hyperlink ref="E27" r:id="rId4972" tooltip="Search Triq Pawlu Mifsud, Zebbug on Google Maps"/>
    <x:hyperlink ref="E28" r:id="rId4973" tooltip="Search Entrance 4, Showroom No 6 Triq Valletta, Marsa on Google Maps"/>
    <x:hyperlink ref="E29" r:id="rId4974" tooltip="Search 217 Triq Salvu Psaila, B'Kara on Google Maps"/>
    <x:hyperlink ref="E30" r:id="rId4975" tooltip="Search 10 Triq Bingemma, Nadur-Gozo on Google Maps"/>
    <x:hyperlink ref="E31" r:id="rId4976" tooltip="Search 18 Triq Salvinu Spiteri, Sta Venera on Google Maps"/>
    <x:hyperlink ref="E32" r:id="rId4977" tooltip="Search 124 Triq San Gejtanu, Hamrun on Google Maps"/>
    <x:hyperlink ref="E33" r:id="rId4978" tooltip="Search Triq id-Difiza Civili, Mosta on Google Maps"/>
    <x:hyperlink ref="E34" r:id="rId4979" tooltip="Search BLB 010C Qasam Industrijali, Bulebel, Zejtun on Google Maps"/>
    <x:hyperlink ref="E35" r:id="rId4980" tooltip="Search 45 Stella Maris Triq James Smith Qawra, San Pawl ll-Bahar on Google Maps"/>
    <x:hyperlink ref="E36" r:id="rId4981" tooltip="Search 4 Triq il-Lvant, Zejtun on Google Maps"/>
    <x:hyperlink ref="E37" r:id="rId4982" tooltip="Search 57 Triq il-Qasam Sperimentali Hal Farrug, Luqa on Google Maps"/>
    <x:hyperlink ref="E38" r:id="rId4983" tooltip="Search 4, 11 Triq Valletta Qasam Industrijali, Marsa on Google Maps"/>
    <x:hyperlink ref="E39" r:id="rId4984" tooltip="Search Plot 121, Aluwood Bldg Triq Ha; Qormi Qasam Industrijali, Luqa on Google Maps"/>
    <x:hyperlink ref="E40" r:id="rId4985" tooltip="Search Triq in-Naggar, Mosta on Google Maps"/>
    <x:hyperlink ref="E41" r:id="rId4986" tooltip="Search Garage 7, Drive In Triq Lydda, Qormi on Google Maps"/>
    <x:hyperlink ref="E42" r:id="rId4987" tooltip="Search Zone 3 Triq San Gwakkin Central Business District, B'Kara on Google Maps"/>
    <x:hyperlink ref="E43" r:id="rId4988" tooltip="Search 13, Triq Luretu Cutajar, Zebbug, Haz-Zebbug on Google Maps"/>
    <x:hyperlink ref="E44" r:id="rId4989" tooltip="Search Mdina Road, Zebbug on Google Maps"/>
    <x:hyperlink ref="E45" r:id="rId4990" tooltip="Search Garage No 2 Triq tas-Sejba, Mqabba on Google Maps"/>
    <x:hyperlink ref="E46" r:id="rId4991" tooltip="Search 52, Triq Pinto, Qormi on Google Maps"/>
    <x:hyperlink ref="E47" r:id="rId4992" tooltip="Search Garage No 1 Triq Anthony John Coleiro Tal-Handaq, Qormi on Google Maps"/>
    <x:hyperlink ref="E48" r:id="rId4993" tooltip="Search 3 Triq Manwel Borg Gauci, Qormi on Google Maps"/>
    <x:hyperlink ref="E49" r:id="rId4994" tooltip="Search 16-17 Waterside Place, Flt 9 Ix-Xatt ta' Qui Si-Sana, Sliema on Google Maps"/>
    <x:hyperlink ref="E50" r:id="rId4995" tooltip="Search 10c Midland Park Triq Burmarrad, Naxxar on Google Maps"/>
    <x:hyperlink ref="E51" r:id="rId4996" tooltip="Search Triq it-Territorji, B'Kara on Google Maps"/>
    <x:hyperlink ref="E52" r:id="rId4997" tooltip="Search Sub 029A Qasam Industrijali, San Gwann on Google Maps"/>
    <x:hyperlink ref="E53" r:id="rId4998" tooltip="Search Landscape Triq Gnien Fieres, Rabat on Google Maps"/>
    <x:hyperlink ref="E54" r:id="rId4999" tooltip="Search 114 Triq il-Wied, B'Kara on Google Maps"/>
    <x:hyperlink ref="E55" r:id="rId5000" tooltip="Search 3 Triq iz-Znuber, Mosta on Google Maps"/>
    <x:hyperlink ref="E56" r:id="rId5001" tooltip="Search Qasam Industrijali, Tal-Handaq, Qormi on Google Maps"/>
    <x:hyperlink ref="E57" r:id="rId5002" tooltip="Search 52 Triq il-Muzika, Iklin on Google Maps"/>
    <x:hyperlink ref="E58" r:id="rId5003" tooltip="Search Five Star Business Park Triq il-Belt Valetta, Ghaxaq on Google Maps"/>
    <x:hyperlink ref="E59" r:id="rId5004" tooltip="Search Express Bldg Triq Gharram, Zebbug on Google Maps"/>
    <x:hyperlink ref="E60" r:id="rId5005" tooltip="Search Oliand Triq Anthony John Coleiro Tal-Handaq, Qormi on Google Maps"/>
    <x:hyperlink ref="E61" r:id="rId5006" tooltip="Search SUB 029B Qasam Industrijali, San Gwann on Google Maps"/>
    <x:hyperlink ref="E62" r:id="rId5007" tooltip="Search Garage 144 Triq San Xmun, Fgura on Google Maps"/>
    <x:hyperlink ref="E63" r:id="rId5008" tooltip="Search 263 Triq il-Merhba, Fgura on Google Maps"/>
    <x:hyperlink ref="E64" r:id="rId5009" tooltip="Search Triq Mro Giuseppe Camilleri Tal-Hanhaq, Qormi on Google Maps"/>
    <x:hyperlink ref="E65" r:id="rId5010" tooltip="Search TQL 027 Crafts Village Ta' Qali, Attard on Google Maps"/>
    <x:hyperlink ref="E66" r:id="rId5011" tooltip="Search 23 Graham Aluminium Triq John Michael Testa Tal-Handaq, Qormi on Google Maps"/>
    <x:hyperlink ref="E67" r:id="rId5012" tooltip="Search Drive in fi triq il-Belt Valletta, Qormi on Google Maps"/>
    <x:hyperlink ref="E68" r:id="rId5013" tooltip="Search A 42 Qasam Industrijali, Marsa on Google Maps"/>
    <x:hyperlink ref="E69" r:id="rId5014" tooltip="Search Qart D'Orange Garage Trejqet il-Wied, Qormi on Google Maps"/>
    <x:hyperlink ref="E70" r:id="rId5015" tooltip="Search Triq I-Imdina, Zebbug on Google Maps"/>
    <x:hyperlink ref="E71" r:id="rId5016" tooltip="Search 13 Triq Mro Giorgio Zarb Tal-Handaq, Qormi on Google Maps"/>
    <x:hyperlink ref="E72" r:id="rId5017" tooltip="Search John Garage Triq Haz-Zebbug, Attard on Google Maps"/>
    <x:hyperlink ref="E73" r:id="rId5018" tooltip="Search Sqaq 11, Nru 2 Triq Santa Lucija, Naxxar on Google Maps"/>
    <x:hyperlink ref="E74" r:id="rId5019" tooltip="Search 110, Triq Dun Bartilmew Attard, Zebbug on Google Maps"/>
    <x:hyperlink ref="E75" r:id="rId5020" tooltip="Search KW 19J Qasam Industrijali, Kordin, Paola on Google Maps"/>
    <x:hyperlink ref="E76" r:id="rId5021" tooltip="Search Oceanis Triq tas-Sliema, Gzira on Google Maps"/>
    <x:hyperlink ref="E77" r:id="rId5022" tooltip="Search 82 Triq il-Hareb, Ghaxaq on Google Maps"/>
    <x:hyperlink ref="E78" r:id="rId5023" tooltip="Search 12 Triq Wenzu Despott, Tarxien on Google Maps"/>
    <x:hyperlink ref="E79" r:id="rId5024" tooltip="Search Garage 23 Triq il-Bizzilla, Ghaxaq on Google Maps"/>
    <x:hyperlink ref="E80" r:id="rId5025" tooltip="Search KKW 721, Corradino &#10;Industrial Estate&#10;Paola, PLA 3000, Malta on Google Maps"/>
    <x:hyperlink ref="E81" r:id="rId5026" tooltip="Search Casa Pisani Triq Pisoniano, Sannat-Gozo on Google Maps"/>
    <x:hyperlink ref="E82" r:id="rId5027" tooltip="Search Triq il-Palazz L-Ahmar, Sta Venera on Google Maps"/>
    <x:hyperlink ref="E83" r:id="rId5028" tooltip="Search 12 Triq il-Parsott, Mosta on Google Maps"/>
    <x:hyperlink ref="E84" r:id="rId5029" tooltip="Search 43 Triq Dun Bartilmew Attard, Zebbug on Google Maps"/>
    <x:hyperlink ref="E85" r:id="rId5030" tooltip="Search New Building Triq id-Dawwara, Victoria-Gozo on Google Maps"/>
    <x:hyperlink ref="E86" r:id="rId5031" tooltip="Search Triq Pietru D' Armenia, Pembroke on Google Maps"/>
    <x:hyperlink ref="E87" r:id="rId5032" tooltip="Search Triq I-Imdina, Zebbug on Google Maps"/>
    <x:hyperlink ref="E88" r:id="rId5033" tooltip="Search KW36 Qasam Indrustrijali Kordin Paola on Google Maps"/>
    <x:hyperlink ref="E89" r:id="rId5034" tooltip="Search Zone 2 Triq ll-Ghain Central Business District, B'Kara on Google Maps"/>
    <x:hyperlink ref="E90" r:id="rId5035" tooltip="Search F18, Lower Level Midland Industrial Oark Triq Burmarrad, Naxxar on Google Maps"/>
    <x:hyperlink ref="E91" r:id="rId5036" tooltip="Search 23 Triq Angelo Melilli, Zebbug on Google Maps"/>
    <x:hyperlink ref="E92" r:id="rId5037" tooltip="Search 8 Triq ll-Madonna Ta' Pompej, B'Kara on Google Maps"/>
    <x:hyperlink ref="E93" r:id="rId5038" tooltip="Search 29 Triq E Attard Bezzina, Zejtun on Google Maps"/>
    <x:hyperlink ref="E94" r:id="rId5039" tooltip="Search Towe Buildings Triq Graham, Zebbug on Google Maps"/>
    <x:hyperlink ref="E95" r:id="rId5040" tooltip="Search KK 011 Qasam Industrijali, Kordin, Paola on Google Maps"/>
    <x:hyperlink ref="E96" r:id="rId5041" tooltip="Search Triq l-isturnell Roza, Hal Luqa, Malta on Google Maps"/>
    <x:hyperlink ref="E97" r:id="rId5042" tooltip="Search MRA 053 Qasam Industrijali, Marsa on Google Maps"/>
    <x:hyperlink ref="E98" r:id="rId5043" tooltip="Search 77 Triq il-Ballut Qasam Industrijali, Mosta on Google Maps"/>
    <x:hyperlink ref="E99" r:id="rId5044" tooltip="Search A8 Qasam Industrijali, Marsa on Google Maps"/>
    <x:hyperlink ref="E100" r:id="rId5045" tooltip="Search Sqaq Privat Triq tal-Ghajn, Fontana-Gozo on Google Maps"/>
    <x:hyperlink ref="E101" r:id="rId5046" tooltip="Search 128 old Railway Track , Santa venera , Malta on Google Maps"/>
    <x:hyperlink ref="E103" r:id="rId5047" tooltip="Search Centre point , Triq Valleta , Luqa  LQA 1762 , Malta on Google Maps"/>
    <x:hyperlink ref="E104" r:id="rId5048" tooltip="Search Triq il-Kappillan Mifsud , Santa venera , Malta on Google Maps"/>
    <x:hyperlink ref="E105" r:id="rId5049" tooltip="Search Unit 1&amp;2, Industrial Estate Luqa MT LQA 3000, Ħal Luqa on Google Maps"/>
    <x:hyperlink ref="E106" r:id="rId5050" tooltip="Search Domestica Complex, Level 1 ,Valley road , Msida  MSD 9091 ,Malta on Google Maps"/>
    <x:hyperlink ref="E107" r:id="rId5051" tooltip="Search 8 Garra, Is-Swieqi on Google Maps"/>
    <x:hyperlink ref="E108" r:id="rId5052" tooltip="Search WC4R+335, Triq il-mosta, Lija LJA 9010 on Google Maps"/>
    <x:hyperlink ref="E109" r:id="rId5053" tooltip="Search 73 Sir Arthur Burton Street, Mosta MST 1883, Malta on Google Maps"/>
    <x:hyperlink ref="E110" r:id="rId5054" tooltip="Search 13 Censu Bugeja Street , Birkirkara , Malta on Google Maps"/>
    <x:hyperlink ref="E111" r:id="rId5055" tooltip="Search 52,Triq ll-Muzika , L-Lkin , Malta IKL 1091 on Google Maps"/>
    <x:hyperlink ref="E112" r:id="rId5056" tooltip="Search Triq Il-Mosta, Hal Lija, Malta LJA 9010 on Google Maps"/>
    <x:hyperlink ref="E113" r:id="rId5057" tooltip="Search triq -il kappar , ll-Mosta , Malta MST 03 on Google Maps"/>
    <x:hyperlink ref="E114" r:id="rId5058" tooltip="Search Triq Mastru Gorg Cachia, Tal-Ħandaq, Ħal Qormi, Malta QRM 4000 on Google Maps"/>
    <x:hyperlink ref="E115" r:id="rId5059" tooltip="Search 166-167, Qasam Industrijali Ta' Hal Luqa, Hal Luqa, Malta on Google Maps"/>
    <x:hyperlink ref="E116" r:id="rId5060" tooltip="Search Triq Valletta Triq Gdida Fi, Hal Luqa, Malta on Google Maps"/>
    <x:hyperlink ref="E117" r:id="rId5061" tooltip="Search No 7, Triq Il-Ballut, Il-Mosta, Malta on Google Maps"/>
    <x:hyperlink ref="E118" r:id="rId5062" tooltip="Search 106, Qasam Industrijali Ta' Hal-Farrug, Hal Luqa, Hal Farrug, Malta on Google Maps"/>
    <x:hyperlink ref="E119" r:id="rId5063" tooltip="Search 117 Triq L-Assemblea Nazzjonali,&#10;San Gwann SGN 3034, Malta on Google Maps"/>
    <x:hyperlink ref="E120" r:id="rId5064" tooltip="Search Msida Valley Road, BKR9022 Birkirkara - Malta on Google Maps"/>
    <x:hyperlink ref="E121" r:id="rId5065" tooltip="Search Proman Interiors,&#10;115, Valley Road,&#10;B'Kara. BKR 9022.&#10;Malta. on Google Maps"/>
    <x:hyperlink ref="E122" r:id="rId5066" tooltip="Search Baldacchino Building B, Triq Il-Belt Valletta, Zurrieq on Google Maps"/>
    <x:hyperlink ref="E124" r:id="rId5067" tooltip="Search Plot TQL027, Crafts Village, Ta'Qali, ATD 4000, Malta on Google Maps"/>
    <x:hyperlink ref="E125" r:id="rId5068" tooltip="Search 128 Old Railway Track, Santa Venera on Google Maps"/>
    <x:hyperlink ref="E126" r:id="rId5069" tooltip="Search Warehouse No. 25, Hard Rocks Industrial Park, Burmarrad Road, Naxxar, Malta on Google Maps"/>
    <x:hyperlink ref="E127" r:id="rId5070" tooltip="Search Bitmac Ltd.&#10;Tal-Balal Road,&#10;Iklin, IKL 9013&#10;Malta on Google Maps"/>
    <x:hyperlink ref="E128" r:id="rId5071" tooltip="Search 162 Cannon Road, Santa Venera, Malta on Google Maps"/>
    <x:hyperlink ref="E129" r:id="rId5072" tooltip="Search Showroom 26, Triq Haz-Zabbar, Paola, Malta on Google Maps"/>
    <x:hyperlink ref="E130" r:id="rId5073" tooltip="Search SUB 030A, Qasam Industrijali, San Ġwann, SGN 3000, Malta on Google Maps"/>
    <x:hyperlink ref="E132" r:id="rId5074" tooltip="Search Mdina Road, Żebbuġ, ZBG 01, Malta on Google Maps"/>
    <x:hyperlink ref="E133" r:id="rId5075" tooltip="Search Centre Point, Triq Valletta, Ħal Luqa, LQA 1762, Malta on Google Maps"/>
    <x:hyperlink ref="E134" r:id="rId5076" tooltip="Search : Triq id-Dejma, Tarxien, Malta on Google Maps"/>
    <x:hyperlink ref="E135" r:id="rId5077" tooltip="Search Handaq, Malta on Google Maps"/>
    <x:hyperlink ref="F2" r:id="rId5078" tooltip="Visit pvc.com.mt"/>
    <x:hyperlink ref="F3" r:id="rId5079" tooltip="Visit kbstructuresltd.com"/>
    <x:hyperlink ref="F4" r:id="rId5080" tooltip="Visit stanthonyww.com"/>
    <x:hyperlink ref="F5" r:id="rId5081" tooltip="Visit framegrip.com"/>
    <x:hyperlink ref="F6" r:id="rId5082" tooltip="Visit jlautier.com"/>
    <x:hyperlink ref="F8" r:id="rId5083" tooltip="Visit newstylesmalta.com"/>
    <x:hyperlink ref="F9" r:id="rId5084" tooltip="Visit grimafurniture.com"/>
    <x:hyperlink ref="F10" r:id="rId5085" tooltip="Visit amabilegalea.com"/>
    <x:hyperlink ref="F11" r:id="rId5086" tooltip="Visit facebook.com/GozoAluminium/"/>
    <x:hyperlink ref="F12" r:id="rId5087" tooltip="Visit facebook.com/p/Nu-Aluminium-100064044373074/"/>
    <x:hyperlink ref="F13" r:id="rId5088" tooltip="Visit sfdoorstyle.com.mt"/>
    <x:hyperlink ref="F15" r:id="rId5089" tooltip="Visit afdaaluminium.com"/>
    <x:hyperlink ref="F16" r:id="rId5090" tooltip="Visit brandimports.com.mt"/>
    <x:hyperlink ref="F17" r:id="rId5091" tooltip="Visit j3alumiuniumworks.com"/>
    <x:hyperlink ref="F18" r:id="rId5092" tooltip="Visit sgt1183woodworks.com"/>
    <x:hyperlink ref="F19" r:id="rId5093" tooltip="Visit nicholas.mt"/>
    <x:hyperlink ref="F20" r:id="rId5094" tooltip="Visit facebook.com/ihomes"/>
    <x:hyperlink ref="F21" r:id="rId5095" tooltip="Visit abelawoodworks.wixsite.com/abelawoodworks?utm_source=Yellow&amp;utm_medium=Yellow-Website&amp;utm_campaign=Landing-Page"/>
    <x:hyperlink ref="F22" r:id="rId5096" tooltip="Visit facebook.com/p/Melvin-Aluminium-works-100057483907699/"/>
    <x:hyperlink ref="F23" r:id="rId5097" tooltip="Visit facebook.com/p/Josef-Aluminium-Metal-Works-100054319188613/"/>
    <x:hyperlink ref="F24" r:id="rId5098" tooltip="Visit facebook.com/people/Northalu/100055070154471/?utm_source=Yellow&amp;utm_medium=Yellow-Website&amp;utm_campaign=Landing-Page#"/>
    <x:hyperlink ref="F25" r:id="rId5099" tooltip="Visit agoodchildinstallations.com"/>
    <x:hyperlink ref="F27" r:id="rId5100" tooltip="Visit facebook.com/jsbaluminium.works"/>
    <x:hyperlink ref="F28" r:id="rId5101" tooltip="Visit classicdesignwoodworksmalta.com"/>
    <x:hyperlink ref="F29" r:id="rId5102" tooltip="Visit facebook.com/doorsand.more.3"/>
    <x:hyperlink ref="F33" r:id="rId5103" tooltip="Visit adoremore.com.mt"/>
    <x:hyperlink ref="F34" r:id="rId5104" tooltip="Visit acmamalta.com"/>
    <x:hyperlink ref="F37" r:id="rId5105" tooltip="Visit facebook.com/alukeyaluminium"/>
    <x:hyperlink ref="F38" r:id="rId5106" tooltip="Visit aluminium-ltd.business.site"/>
    <x:hyperlink ref="F39" r:id="rId5107" tooltip="Visit facebook.com/AluwoodCoLtd"/>
    <x:hyperlink ref="F40" r:id="rId5108" tooltip="Visit facebook.com/people/Andrew-vella-aluminium/100064883072627/"/>
    <x:hyperlink ref="F41" r:id="rId5109" tooltip="Visit facebook.com/azzopardialum"/>
    <x:hyperlink ref="F42" r:id="rId5110" tooltip="Visit basonaluminium.com"/>
    <x:hyperlink ref="F43" r:id="rId5111" tooltip="Visit facebook.com/borgalum/"/>
    <x:hyperlink ref="F44" r:id="rId5112" tooltip="Visit bpapertures.com/"/>
    <x:hyperlink ref="F45" r:id="rId5113" tooltip="Visit facebook.com/people/CDS-Aluminium-work/100064086582054/"/>
    <x:hyperlink ref="F46" r:id="rId5114" tooltip="Visit cagroup.com.mt"/>
    <x:hyperlink ref="F48" r:id="rId5115" tooltip="Visit facebook.com/p/TC-Aluminium-Works-100064147390058/"/>
    <x:hyperlink ref="F49" r:id="rId5116" tooltip="Visit salamander-windows.com/?utm_source=Yellow&amp;utm_medium=Yellow-Website&amp;utm_campaign=Landing-Page"/>
    <x:hyperlink ref="F50" r:id="rId5117" tooltip="Visit facebook.com/p/Choco-aluminium-works-100064574387617/"/>
    <x:hyperlink ref="F51" r:id="rId5118" tooltip="Visit comfortabita.com"/>
    <x:hyperlink ref="F52" r:id="rId5119" tooltip="Visit cuschierigroup.com"/>
    <x:hyperlink ref="F54" r:id="rId5120" tooltip="Visit facebook.com/deckor.mt/"/>
    <x:hyperlink ref="F55" r:id="rId5121" tooltip="Visit dimechapertures.com/"/>
    <x:hyperlink ref="F56" r:id="rId5122" tooltip="Visit pvcmalta.com"/>
    <x:hyperlink ref="F57" location="Doors!https://2138 2595" tooltip="Visit 2138 2595" display="2138 2595"/>
    <x:hyperlink ref="F58" r:id="rId5123" tooltip="Visit facebook.com/p/DX-Aluminium-Works-100064182690832/"/>
    <x:hyperlink ref="F59" r:id="rId5124" tooltip="Visit expressaluminium.com"/>
    <x:hyperlink ref="F61" r:id="rId5125" tooltip="Visit finestralmalta.com"/>
    <x:hyperlink ref="F62" r:id="rId5126" tooltip="Visit aluminiumworks.in"/>
    <x:hyperlink ref="F64" r:id="rId5127" tooltip="Visit facebook.com/p/Giorgio-Aluminium-Co-Ltd-100065044507710/"/>
    <x:hyperlink ref="F65" r:id="rId5128" tooltip="Visit cassarwoodworks.com"/>
    <x:hyperlink ref="F66" r:id="rId5129" tooltip="Visit grahamaluminium.com"/>
    <x:hyperlink ref="F67" r:id="rId5130" tooltip="Visit facebook.com/Guys21485785/"/>
    <x:hyperlink ref="F68" r:id="rId5131" tooltip="Visit horvinltd.com"/>
    <x:hyperlink ref="F69" r:id="rId5132" tooltip="Visit icsaluminium.yolasite.com"/>
    <x:hyperlink ref="F71" r:id="rId5133" tooltip="Visit jcdaluminium.com"/>
    <x:hyperlink ref="F72" r:id="rId5134" tooltip="Visit jk-aluminium.com"/>
    <x:hyperlink ref="F74" r:id="rId5135" tooltip="Visit jamarmalta.com"/>
    <x:hyperlink ref="F75" r:id="rId5136" tooltip="Visit jasonaluminium.com"/>
    <x:hyperlink ref="F76" r:id="rId5137" tooltip="Visit facebook.com/KKAluWorks/"/>
    <x:hyperlink ref="F77" r:id="rId5138" tooltip="Visit facebook.com/p/Munita-Aluminium-100063476861515/"/>
    <x:hyperlink ref="F80" r:id="rId5139" tooltip="Visit nigeldimech.com/"/>
    <x:hyperlink ref="F82" r:id="rId5140" tooltip="Visit facebook.com/QormiAluminium"/>
    <x:hyperlink ref="F85" r:id="rId5141" tooltip="Visit facebook.com/people/Rapa-Aluminium-Victoria-Gozo/100063473081953/?utm_source=Yellow&amp;utm_medium=Yellow-Website&amp;utm_campaign=Landing-Page#"/>
    <x:hyperlink ref="F86" r:id="rId5142" tooltip="Visit facebook.com/RayAluWorks/"/>
    <x:hyperlink ref="F87" r:id="rId5143" tooltip="Visit facebook.com/people/Refined-Aluminium-Metal-Works/100063567219937/?utm_source=Yellow&amp;utm_medium=Yellow-Website&amp;utm_campaign=Landing-Page#"/>
    <x:hyperlink ref="F88" r:id="rId5144" tooltip="Visit servgroupmalta.com"/>
    <x:hyperlink ref="F90" r:id="rId5145" tooltip="Visit sptechniques.com"/>
    <x:hyperlink ref="F92" r:id="rId5146" tooltip="Visit aluminium.mt/"/>
    <x:hyperlink ref="F94" r:id="rId5147" tooltip="Visit towergroupmalta.com"/>
    <x:hyperlink ref="F95" r:id="rId5148" tooltip="Visit trendsltdmalta.com"/>
    <x:hyperlink ref="F96" r:id="rId5149" tooltip="Visit valormalta.wixsite.com/valor"/>
    <x:hyperlink ref="F97" r:id="rId5150" tooltip="Visit facebook.com/windmillltd/"/>
    <x:hyperlink ref="F99" r:id="rId5151" tooltip="Visit facebook.com/bespokelocalfurniture"/>
    <x:hyperlink ref="F100" r:id="rId5152" tooltip="Visit facebook.com/zammitaluminum/"/>
    <x:hyperlink ref="F101" r:id="rId5153" tooltip="Visit facebook.com/RGroupMalta"/>
    <x:hyperlink ref="F103" r:id="rId5154" tooltip="Visit ddoorcompany.com"/>
    <x:hyperlink ref="F104" r:id="rId5155" tooltip="Visit dimech-ent.com"/>
    <x:hyperlink ref="F105" r:id="rId5156" tooltip="Visit fourwalls.com.mt"/>
    <x:hyperlink ref="F106" r:id="rId5157" tooltip="Visit sfdoorstyles.com.mt"/>
    <x:hyperlink ref="F107" r:id="rId5158" tooltip="Visit domestica.com.mt"/>
    <x:hyperlink ref="F108" r:id="rId5159" tooltip="Visit pvc.com.mt"/>
    <x:hyperlink ref="F109" r:id="rId5160" tooltip="Visit italtrade.com.mt"/>
    <x:hyperlink ref="F110" r:id="rId5161" tooltip="Visit starfurniture.com.mt"/>
    <x:hyperlink ref="F111" r:id="rId5162" tooltip="Visit powerhousemalta.eu.com.mt"/>
    <x:hyperlink ref="F112" r:id="rId5163" tooltip="Visit pvcmalta.com"/>
    <x:hyperlink ref="F113" r:id="rId5164" tooltip="Visit framegrip.com"/>
    <x:hyperlink ref="F114" r:id="rId5165" tooltip="Visit gauciwoodsmalta.com"/>
    <x:hyperlink ref="F117" r:id="rId5166" tooltip="Visit alfredbaldacchinoltd.net"/>
    <x:hyperlink ref="F118" r:id="rId5167" tooltip="Visit nkwoodworks.com"/>
    <x:hyperlink ref="F119" r:id="rId5168" tooltip="Visit masterwoodmalta.net"/>
    <x:hyperlink ref="F120" r:id="rId5169" tooltip="Visit grfmalta.com/"/>
    <x:hyperlink ref="F121" r:id="rId5170" tooltip="Visit casconehome.com/en/index.php"/>
    <x:hyperlink ref="F122" r:id="rId5171" tooltip="Visit promaninteriors.com/"/>
    <x:hyperlink ref="F124" r:id="rId5172" tooltip="Visit maltadiy.com/product-category/doors-windows/internal-door/pocket-doors/"/>
    <x:hyperlink ref="F125" r:id="rId5173" tooltip="Visit cassarwoodworks.com/opening-solutions-by-george-cassar-woodworks/"/>
    <x:hyperlink ref="F126" r:id="rId5174" tooltip="Visit ddoorcompany.com/"/>
    <x:hyperlink ref="F127" r:id="rId5175" tooltip="Visit megastore.com.mt/"/>
    <x:hyperlink ref="F128" r:id="rId5176" tooltip="Visit bitmacltd.com/"/>
    <x:hyperlink ref="F129" r:id="rId5177" tooltip="Visit maltashopper.com/"/>
    <x:hyperlink ref="F130" r:id="rId5178" tooltip="Visit brandimports.com.mt"/>
    <x:hyperlink ref="F132" r:id="rId5179" tooltip="Visit newstylesmalta.com"/>
    <x:hyperlink ref="F133" r:id="rId5180" tooltip="Visit aluscreens.com"/>
    <x:hyperlink ref="F134" r:id="rId5181" tooltip="Visit dimech-ent.com"/>
    <x:hyperlink ref="F135" r:id="rId5182" tooltip="Visit aluage.com"/>
    <x:hyperlink ref="F136" r:id="rId5183" tooltip="Visit facebook.com/mtrefurbishing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33"/>
  <x:sheetViews>
    <x:sheetView workbookViewId="0"/>
  </x:sheetViews>
  <x:sheetFormatPr defaultRowHeight="15"/>
  <x:cols>
    <x:col min="1" max="1" width="7.282054" style="0" customWidth="1"/>
    <x:col min="2" max="2" width="41.567768" style="0" customWidth="1"/>
    <x:col min="3" max="3" width="28.996339" style="0" customWidth="1"/>
    <x:col min="4" max="4" width="18.139196" style="0" customWidth="1"/>
    <x:col min="5" max="5" width="70.139196" style="0" customWidth="1"/>
    <x:col min="6" max="6" width="23.853482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839</x:v>
      </x:c>
      <x:c r="E1" s="2" t="s">
        <x:v>522</x:v>
      </x:c>
      <x:c r="F1" s="2" t="s">
        <x:v>23</x:v>
      </x:c>
      <x:c r="G1" s="5">
        <x:f>HYPERLINK("#'Summary List'!A77", "Back to Summary")</x:f>
      </x:c>
    </x:row>
    <x:row r="2" spans="1:7" s="3" customFormat="1">
      <x:c r="A2" s="3" t="s">
        <x:v>4611</x:v>
      </x:c>
      <x:c r="B2" s="3" t="s">
        <x:v>681</x:v>
      </x:c>
      <x:c r="C2" s="6" t="s">
        <x:v>710</x:v>
      </x:c>
      <x:c r="D2" s="7">
        <x:f>CONCATENATE(HYPERLINK("CALLTO:%2B356%202145%201350", "+356 2145 1350"))</x:f>
      </x:c>
      <x:c r="E2" s="6" t="s">
        <x:v>4631</x:v>
      </x:c>
      <x:c r="F2" s="6" t="s">
        <x:v>4643</x:v>
      </x:c>
    </x:row>
    <x:row r="3" spans="1:7" s="1" customFormat="1">
      <x:c r="A3" s="1" t="s">
        <x:v>4611</x:v>
      </x:c>
      <x:c r="B3" s="1" t="s">
        <x:v>4613</x:v>
      </x:c>
      <x:c r="C3" s="8" t="s">
        <x:v>718</x:v>
      </x:c>
      <x:c r="D3" s="9">
        <x:f>CONCATENATE(HYPERLINK("CALLTO:%2B356%202169%205226", "+356 2169 5226"))</x:f>
      </x:c>
      <x:c r="E3" s="8" t="s">
        <x:v>4632</x:v>
      </x:c>
      <x:c r="F3" s="8" t="s">
        <x:v>4644</x:v>
      </x:c>
    </x:row>
    <x:row r="4" spans="1:7" s="4" customFormat="1">
      <x:c r="A4" s="4" t="s">
        <x:v>4611</x:v>
      </x:c>
      <x:c r="B4" s="4" t="s">
        <x:v>4614</x:v>
      </x:c>
      <x:c r="C4" s="10" t="s">
        <x:v>4618</x:v>
      </x:c>
      <x:c r="D4" s="11">
        <x:f>CONCATENATE(HYPERLINK("CALLTO:%2B356%209949%206421", "+356 9949 6421"))</x:f>
      </x:c>
      <x:c r="E4" s="10" t="s">
        <x:v>4633</x:v>
      </x:c>
      <x:c r="F4" s="10" t="s">
        <x:v>4645</x:v>
      </x:c>
    </x:row>
    <x:row r="5" spans="1:7" s="3" customFormat="1">
      <x:c r="A5" s="3" t="s">
        <x:v>4611</x:v>
      </x:c>
      <x:c r="B5" s="3" t="s">
        <x:v>4615</x:v>
      </x:c>
      <x:c r="C5" s="6" t="s">
        <x:v>4625</x:v>
      </x:c>
      <x:c r="D5" s="7">
        <x:f>CONCATENATE(HYPERLINK("CALLTO:%2B356%202143%203636", "+356 2143 3636"))</x:f>
      </x:c>
      <x:c r="E5" s="6" t="s">
        <x:v>4634</x:v>
      </x:c>
      <x:c r="F5" s="6" t="s">
        <x:v>4646</x:v>
      </x:c>
    </x:row>
    <x:row r="6" spans="1:7" s="1" customFormat="1">
      <x:c r="A6" s="1" t="s">
        <x:v>4611</x:v>
      </x:c>
      <x:c r="B6" s="1" t="s">
        <x:v>4616</x:v>
      </x:c>
      <x:c r="C6" s="8" t="s">
        <x:v>1265</x:v>
      </x:c>
      <x:c r="D6" s="9">
        <x:f>CONCATENATE(HYPERLINK("CALLTO:%2B356%209988%204194", "+356 9988 4194"))</x:f>
      </x:c>
      <x:c r="E6" s="8" t="s">
        <x:v>4635</x:v>
      </x:c>
      <x:c r="F6" s="8" t="s">
        <x:v>4647</x:v>
      </x:c>
    </x:row>
    <x:row r="7" spans="1:7" s="4" customFormat="1">
      <x:c r="A7" s="4" t="s">
        <x:v>4611</x:v>
      </x:c>
      <x:c r="B7" s="4" t="s">
        <x:v>4617</x:v>
      </x:c>
      <x:c r="C7" s="10" t="s">
        <x:v>860</x:v>
      </x:c>
      <x:c r="D7" s="11">
        <x:f>CONCATENATE(HYPERLINK("CALLTO:%2B356%202141%204090", "+356 2141 4090"))</x:f>
      </x:c>
      <x:c r="E7" s="10" t="s">
        <x:v>4636</x:v>
      </x:c>
      <x:c r="F7" s="4" t="s">
        <x:v>144</x:v>
      </x:c>
    </x:row>
    <x:row r="8" spans="1:7" s="3" customFormat="1">
      <x:c r="A8" s="3" t="s">
        <x:v>4611</x:v>
      </x:c>
      <x:c r="B8" s="3" t="s">
        <x:v>4612</x:v>
      </x:c>
      <x:c r="C8" s="6" t="s">
        <x:v>4626</x:v>
      </x:c>
      <x:c r="D8" s="7">
        <x:f>CONCATENATE(HYPERLINK("CALLTO:%2B356%209989%209673", "+356 9989 9673"))</x:f>
      </x:c>
      <x:c r="E8" s="6" t="s">
        <x:v>4637</x:v>
      </x:c>
      <x:c r="F8" s="6" t="s">
        <x:v>4649</x:v>
      </x:c>
    </x:row>
    <x:row r="9" spans="1:7" s="1" customFormat="1">
      <x:c r="A9" s="1" t="s">
        <x:v>4611</x:v>
      </x:c>
      <x:c r="B9" s="1" t="s">
        <x:v>4619</x:v>
      </x:c>
      <x:c r="C9" s="8" t="s">
        <x:v>711</x:v>
      </x:c>
      <x:c r="D9" s="9">
        <x:f>CONCATENATE(HYPERLINK("CALLTO:%2B356%202147%202714", "+356 2147 2714"))</x:f>
      </x:c>
      <x:c r="E9" s="8" t="s">
        <x:v>4634</x:v>
      </x:c>
      <x:c r="F9" s="8" t="s">
        <x:v>4650</x:v>
      </x:c>
    </x:row>
    <x:row r="10" spans="1:7" s="4" customFormat="1">
      <x:c r="A10" s="4" t="s">
        <x:v>4611</x:v>
      </x:c>
      <x:c r="B10" s="4" t="s">
        <x:v>4620</x:v>
      </x:c>
      <x:c r="C10" s="10" t="s">
        <x:v>694</x:v>
      </x:c>
      <x:c r="D10" s="11">
        <x:f>CONCATENATE(HYPERLINK("CALLTO:%2B356%202145%200643", "+356 2145 0643"))</x:f>
      </x:c>
      <x:c r="E10" s="10" t="s">
        <x:v>4639</x:v>
      </x:c>
      <x:c r="F10" s="10" t="s">
        <x:v>737</x:v>
      </x:c>
    </x:row>
    <x:row r="11" spans="1:7" s="3" customFormat="1">
      <x:c r="A11" s="3" t="s">
        <x:v>4611</x:v>
      </x:c>
      <x:c r="B11" s="3" t="s">
        <x:v>4621</x:v>
      </x:c>
      <x:c r="C11" s="6" t="s">
        <x:v>4627</x:v>
      </x:c>
      <x:c r="D11" s="7">
        <x:f>CONCATENATE(HYPERLINK("CALLTO:%2B356%202155%207136", "+356 2155 7136"))</x:f>
      </x:c>
      <x:c r="E11" s="6" t="s">
        <x:v>4640</x:v>
      </x:c>
      <x:c r="F11" s="6" t="s">
        <x:v>4651</x:v>
      </x:c>
    </x:row>
    <x:row r="12" spans="1:7" s="1" customFormat="1">
      <x:c r="A12" s="1" t="s">
        <x:v>4611</x:v>
      </x:c>
      <x:c r="B12" s="1" t="s">
        <x:v>4622</x:v>
      </x:c>
      <x:c r="C12" s="8" t="s">
        <x:v>4629</x:v>
      </x:c>
      <x:c r="D12" s="9">
        <x:f>CONCATENATE(HYPERLINK("CALLTO:%2B356%209977%200099", "+356 9977 0099"))</x:f>
      </x:c>
      <x:c r="E12" s="8" t="s">
        <x:v>4638</x:v>
      </x:c>
      <x:c r="F12" s="8" t="s">
        <x:v>4648</x:v>
      </x:c>
    </x:row>
    <x:row r="13" spans="1:7" s="4" customFormat="1">
      <x:c r="A13" s="4" t="s">
        <x:v>4611</x:v>
      </x:c>
      <x:c r="B13" s="4" t="s">
        <x:v>4623</x:v>
      </x:c>
      <x:c r="C13" s="10" t="s">
        <x:v>4628</x:v>
      </x:c>
      <x:c r="D13" s="11">
        <x:f>CONCATENATE(HYPERLINK("CALLTO:%2B356%202155%208398", "+356 2155 8398"))</x:f>
      </x:c>
      <x:c r="E13" s="10" t="s">
        <x:v>4641</x:v>
      </x:c>
      <x:c r="F13" s="10" t="s">
        <x:v>4652</x:v>
      </x:c>
    </x:row>
    <x:row r="14" spans="1:7" s="3" customFormat="1">
      <x:c r="A14" s="3" t="s">
        <x:v>4611</x:v>
      </x:c>
      <x:c r="B14" s="3" t="s">
        <x:v>4624</x:v>
      </x:c>
      <x:c r="C14" s="6" t="s">
        <x:v>4630</x:v>
      </x:c>
      <x:c r="D14" s="7">
        <x:f>CONCATENATE(HYPERLINK("CALLTO:%2B356%202169%206571", "+356 2169 6571"))</x:f>
      </x:c>
      <x:c r="E14" s="6" t="s">
        <x:v>4642</x:v>
      </x:c>
      <x:c r="F14" s="3" t="s">
        <x:v>144</x:v>
      </x:c>
    </x:row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</x:sheetData>
  <x:hyperlinks>
    <x:hyperlink ref="C2" r:id="rId5184" tooltip="Send a mail to info@desanamarbles.com"/>
    <x:hyperlink ref="C3" r:id="rId5185" tooltip="Send a mail to sales@marbleinnovation.com"/>
    <x:hyperlink ref="C4" r:id="rId5186" tooltip="Send a mail to rgpmarblemalta@gmail.com"/>
    <x:hyperlink ref="C5" r:id="rId5187" tooltip="Send a mail to info@hmvella.com"/>
    <x:hyperlink ref="C6" r:id="rId5188" tooltip="Send a mail to bugejamarbles@gmail.com"/>
    <x:hyperlink ref="C7" r:id="rId5189" tooltip="Send a mail to info@chicliving.com.mt"/>
    <x:hyperlink ref="C8" r:id="rId5190" tooltip="Send a mail to amuscatmarble@gmail.com"/>
    <x:hyperlink ref="C9" r:id="rId5191" tooltip="Send a mail to info@cinimarbles.com"/>
    <x:hyperlink ref="C10" r:id="rId5192" tooltip="Send a mail to info@rabatmarbles.com"/>
    <x:hyperlink ref="C11" r:id="rId5193" tooltip="Send a mail to info@juliansmarble.com"/>
    <x:hyperlink ref="C12" r:id="rId5194" tooltip="Send a mail to grechmarbles@onvol.net"/>
    <x:hyperlink ref="C13" r:id="rId5195" tooltip="Send a mail to afellismarbleworks@gmail.com"/>
    <x:hyperlink ref="C14" r:id="rId5196" tooltip="Send a mail to icamill52@gmail.com"/>
    <x:hyperlink ref="E2" r:id="rId5197" tooltip="Search Buskett Road, Dingli, DGL 2709, Malta on Google Maps"/>
    <x:hyperlink ref="E3" r:id="rId5198" tooltip="Search KKW601, Triq Kordin, Paola, Malta on Google Maps"/>
    <x:hyperlink ref="E4" r:id="rId5199" tooltip="Search Ħaż-Żebbuġ, Malta on Google Maps"/>
    <x:hyperlink ref="E5" r:id="rId5200" tooltip="Search Handaq Road, Qormi, QRM 4000, Malta on Google Maps"/>
    <x:hyperlink ref="E6" r:id="rId5201" tooltip="Search Zone 3, Central Business District, Triq San Gwakkin, Birkirkara, Mriehel, Malta on Google Maps"/>
    <x:hyperlink ref="E7" r:id="rId5202" tooltip="Search triq Durumblat, Il-Mosta, Malta MST 4816 on Google Maps"/>
    <x:hyperlink ref="E8" r:id="rId5203" tooltip="Search 355, Triq l-Imdina, Ħal Qormi, Malta QRM 9012 on Google Maps"/>
    <x:hyperlink ref="E9" r:id="rId5204" tooltip="Search Handaq Road, Qormi, QRM 4000, Malta on Google Maps"/>
    <x:hyperlink ref="E10" r:id="rId5205" tooltip="Search Labour Avenue, Rabat RBT 1769 , Malta on Google Maps"/>
    <x:hyperlink ref="E11" r:id="rId5206" tooltip="Search Marsalforn Road , xaghra , Gozo ,Malta on Google Maps"/>
    <x:hyperlink ref="E12" r:id="rId5207" tooltip="Search Triq L-Mdina , H Attard , Malta ATD 9037 on Google Maps"/>
    <x:hyperlink ref="E13" r:id="rId5208" tooltip="Search Il-Pressa, Triq Il-Biccerija, Ix-Xewkija, Gozo, Malta XWK 3000 on Google Maps"/>
    <x:hyperlink ref="E14" r:id="rId5209" tooltip="Search Triq Hal Tarxien, Il-Gudja, Malta ZTN 14 on Google Maps"/>
    <x:hyperlink ref="F2" r:id="rId5210" tooltip="Visit desanamarbles.com"/>
    <x:hyperlink ref="F3" r:id="rId5211" tooltip="Visit marbleinnovation.com"/>
    <x:hyperlink ref="F4" r:id="rId5212" tooltip="Visit rgpmarblemalta.com"/>
    <x:hyperlink ref="F5" r:id="rId5213" tooltip="Visit halmanvella.com"/>
    <x:hyperlink ref="F6" r:id="rId5214" tooltip="Visit bugeja-marbles.com"/>
    <x:hyperlink ref="F8" r:id="rId5215" tooltip="Visit muscarmarbleworks.com"/>
    <x:hyperlink ref="F9" r:id="rId5216" tooltip="Visit cinimarbles.com"/>
    <x:hyperlink ref="F10" r:id="rId5217" tooltip="Visit rabatmarbles.com"/>
    <x:hyperlink ref="F11" r:id="rId5218" tooltip="Visit juliansmarble.com"/>
    <x:hyperlink ref="F12" r:id="rId5219" tooltip="Visit cgrechmarbles.com"/>
    <x:hyperlink ref="F13" r:id="rId5220" tooltip="Visit afellismarbleworks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5"/>
  <x:sheetViews>
    <x:sheetView workbookViewId="0"/>
  </x:sheetViews>
  <x:sheetFormatPr defaultRowHeight="15"/>
  <x:cols>
    <x:col min="1" max="1" width="11.710625" style="0" customWidth="1"/>
    <x:col min="2" max="2" width="18.282054" style="0" customWidth="1"/>
    <x:col min="3" max="3" width="26.424911" style="0" customWidth="1"/>
    <x:col min="4" max="4" width="29.853482" style="0" customWidth="1"/>
    <x:col min="5" max="5" width="46.853482" style="0" customWidth="1"/>
    <x:col min="6" max="6" width="71.424911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List'!A78", "Back to Summary")</x:f>
      </x:c>
    </x:row>
    <x:row r="2" spans="1:7" s="3" customFormat="1">
      <x:c r="A2" s="3" t="s">
        <x:v>4507</x:v>
      </x:c>
      <x:c r="B2" s="3" t="s">
        <x:v>2124</x:v>
      </x:c>
      <x:c r="C2" s="6" t="s">
        <x:v>1487</x:v>
      </x:c>
      <x:c r="D2" s="7">
        <x:f>CONCATENATE(HYPERLINK("CALLTO:%2B356%202034%201569", "+356 2034 1569"))</x:f>
      </x:c>
      <x:c r="E2" s="6" t="s">
        <x:v>2140</x:v>
      </x:c>
      <x:c r="F2" s="6" t="s">
        <x:v>3092</x:v>
      </x:c>
    </x:row>
    <x:row r="3" spans="1:7" s="1" customFormat="1">
      <x:c r="A3" s="1" t="s">
        <x:v>4507</x:v>
      </x:c>
      <x:c r="B3" s="1" t="s">
        <x:v>3665</x:v>
      </x:c>
      <x:c r="C3" s="8" t="s">
        <x:v>4559</x:v>
      </x:c>
      <x:c r="D3" s="9">
        <x:f>CONCATENATE(HYPERLINK("CALLTO:%2B356%202143%200936", "+356 2143 0936"), " / ", HYPERLINK("CALLTO:%2B356%209943%200936", "+356 9943 0936"))</x:f>
      </x:c>
      <x:c r="E3" s="8" t="s">
        <x:v>4585</x:v>
      </x:c>
      <x:c r="F3" s="8" t="s">
        <x:v>3623</x:v>
      </x:c>
    </x:row>
    <x:row r="4" spans="1:7" s="4" customFormat="1">
      <x:c r="A4" s="4" t="s">
        <x:v>4507</x:v>
      </x:c>
      <x:c r="B4" s="4" t="s">
        <x:v>3666</x:v>
      </x:c>
      <x:c r="C4" s="10" t="s">
        <x:v>3690</x:v>
      </x:c>
      <x:c r="D4" s="11">
        <x:f>CONCATENATE(HYPERLINK("CALLTO:%2B356%207979%204242", "+356 7979 4242"), " / ", HYPERLINK("CALLTO:%2B356%207770%207433", "+356 7770 7433"))</x:f>
      </x:c>
      <x:c r="E4" s="10" t="s">
        <x:v>3703</x:v>
      </x:c>
      <x:c r="F4" s="10" t="s">
        <x:v>3726</x:v>
      </x:c>
    </x:row>
    <x:row r="5" spans="1:7" s="3" customFormat="1"/>
    <x:row r="6" spans="1:7" s="1" customFormat="1"/>
    <x:row r="7" spans="1:7" s="4" customFormat="1"/>
    <x:row r="8" spans="1:7" s="3" customFormat="1"/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</x:sheetData>
  <x:hyperlinks>
    <x:hyperlink ref="C2" r:id="rId5221" tooltip="Send a mail to sales@maltadiy.com"/>
    <x:hyperlink ref="C3" r:id="rId5222" tooltip="Send a mail to info@cassarwordworks.com"/>
    <x:hyperlink ref="C4" r:id="rId5223" tooltip="Send a mail to info@ddoorcompany.com"/>
    <x:hyperlink ref="E2" r:id="rId5224" tooltip="Search Baldacchino Building B, Triq Il-Belt Valletta, Zurrieq on Google Maps"/>
    <x:hyperlink ref="E3" r:id="rId5225" tooltip="Search Plot TQL027, Crafts Village, Ta'Qali, ATD 4000, Malta on Google Maps"/>
    <x:hyperlink ref="E4" r:id="rId5226" tooltip="Search 128 Old Railway Track, Santa Venera on Google Maps"/>
    <x:hyperlink ref="F2" r:id="rId5227" tooltip="Visit maltadiy.com/product-category/doors-windows/internal-door/pocket-doors/"/>
    <x:hyperlink ref="F3" r:id="rId5228" tooltip="Visit cassarwoodworks.com/opening-solutions-by-george-cassar-woodworks/"/>
    <x:hyperlink ref="F4" r:id="rId5229" tooltip="Visit ddoorcompany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75"/>
  <x:sheetViews>
    <x:sheetView workbookViewId="0"/>
  </x:sheetViews>
  <x:sheetFormatPr defaultRowHeight="15"/>
  <x:cols>
    <x:col min="1" max="1" width="13.567768" style="0" customWidth="1"/>
    <x:col min="2" max="2" width="25.853482" style="0" customWidth="1"/>
    <x:col min="3" max="3" width="46.567768" style="0" customWidth="1"/>
    <x:col min="4" max="4" width="18.710625" style="0" customWidth="1"/>
    <x:col min="5" max="5" width="60.567768" style="0" customWidth="1"/>
    <x:col min="6" max="6" width="30.996339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5">
        <x:f>HYPERLINK("#'Summary List'!A79", "Back to Summary")</x:f>
      </x:c>
    </x:row>
    <x:row r="2" spans="1:7" s="3" customFormat="1">
      <x:c r="A2" s="3" t="s">
        <x:v>4508</x:v>
      </x:c>
      <x:c r="B2" s="3" t="s">
        <x:v>4517</x:v>
      </x:c>
      <x:c r="C2" s="6" t="s">
        <x:v>3690</x:v>
      </x:c>
      <x:c r="D2" s="7">
        <x:f>CONCATENATE(HYPERLINK("CALLTO:%2B356%207979%204242", "+356 7979 4242"))</x:f>
      </x:c>
      <x:c r="E2" s="6" t="s">
        <x:v>4571</x:v>
      </x:c>
      <x:c r="F2" s="6" t="s">
        <x:v>4595</x:v>
      </x:c>
    </x:row>
    <x:row r="3" spans="1:7" s="1" customFormat="1">
      <x:c r="A3" s="1" t="s">
        <x:v>4508</x:v>
      </x:c>
      <x:c r="B3" s="1" t="s">
        <x:v>4518</x:v>
      </x:c>
      <x:c r="C3" s="8" t="s">
        <x:v>1073</x:v>
      </x:c>
      <x:c r="D3" s="9">
        <x:f>CONCATENATE(HYPERLINK("CALLTO:%2B356%202132%200433", "+356 2132 0433"))</x:f>
      </x:c>
      <x:c r="E3" s="8" t="s">
        <x:v>4570</x:v>
      </x:c>
      <x:c r="F3" s="8" t="s">
        <x:v>4596</x:v>
      </x:c>
    </x:row>
    <x:row r="4" spans="1:7" s="4" customFormat="1">
      <x:c r="A4" s="4" t="s">
        <x:v>4508</x:v>
      </x:c>
      <x:c r="B4" s="4" t="s">
        <x:v>4519</x:v>
      </x:c>
      <x:c r="C4" s="10" t="s">
        <x:v>3758</x:v>
      </x:c>
      <x:c r="D4" s="11">
        <x:f>CONCATENATE(HYPERLINK("CALLTO:%2B356%202144%205656", "+356 2144 5656"))</x:f>
      </x:c>
      <x:c r="E4" s="10" t="s">
        <x:v>4573</x:v>
      </x:c>
      <x:c r="F4" s="10" t="s">
        <x:v>4597</x:v>
      </x:c>
    </x:row>
    <x:row r="5" spans="1:7" s="3" customFormat="1">
      <x:c r="A5" s="3" t="s">
        <x:v>4508</x:v>
      </x:c>
      <x:c r="B5" s="3" t="s">
        <x:v>4520</x:v>
      </x:c>
      <x:c r="C5" s="6" t="s">
        <x:v>3511</x:v>
      </x:c>
      <x:c r="D5" s="7">
        <x:f>CONCATENATE(HYPERLINK("CALLTO:%2B356%209982%202867", "+356 9982 2867"))</x:f>
      </x:c>
      <x:c r="E5" s="6" t="s">
        <x:v>4572</x:v>
      </x:c>
      <x:c r="F5" s="6" t="s">
        <x:v>4594</x:v>
      </x:c>
    </x:row>
    <x:row r="6" spans="1:7" s="1" customFormat="1">
      <x:c r="A6" s="1" t="s">
        <x:v>4508</x:v>
      </x:c>
      <x:c r="B6" s="1" t="s">
        <x:v>214</x:v>
      </x:c>
      <x:c r="C6" s="8" t="s">
        <x:v>224</x:v>
      </x:c>
      <x:c r="D6" s="9">
        <x:f>CONCATENATE(HYPERLINK("CALLTO:%2B356%207744%207610", "+356 7744 7610"))</x:f>
      </x:c>
      <x:c r="E6" s="8" t="s">
        <x:v>4574</x:v>
      </x:c>
      <x:c r="F6" s="8" t="s">
        <x:v>4598</x:v>
      </x:c>
    </x:row>
    <x:row r="7" spans="1:7" s="4" customFormat="1">
      <x:c r="A7" s="4" t="s">
        <x:v>4508</x:v>
      </x:c>
      <x:c r="B7" s="4" t="s">
        <x:v>4521</x:v>
      </x:c>
      <x:c r="C7" s="10" t="s">
        <x:v>697</x:v>
      </x:c>
      <x:c r="D7" s="11">
        <x:f>CONCATENATE(HYPERLINK("CALLTO:%2B356%202141%201111", "+356 2141 1111"))</x:f>
      </x:c>
      <x:c r="E7" s="10" t="s">
        <x:v>3706</x:v>
      </x:c>
      <x:c r="F7" s="10" t="s">
        <x:v>740</x:v>
      </x:c>
    </x:row>
    <x:row r="8" spans="1:7" s="3" customFormat="1">
      <x:c r="A8" s="3" t="s">
        <x:v>4508</x:v>
      </x:c>
      <x:c r="B8" s="3" t="s">
        <x:v>4522</x:v>
      </x:c>
      <x:c r="C8" s="6" t="s">
        <x:v>4550</x:v>
      </x:c>
      <x:c r="D8" s="7">
        <x:f>CONCATENATE(HYPERLINK("CALLTO:%2B356%202142%202040", "+356 2142 2040"))</x:f>
      </x:c>
      <x:c r="E8" s="6" t="s">
        <x:v>4575</x:v>
      </x:c>
      <x:c r="F8" s="6" t="s">
        <x:v>4599</x:v>
      </x:c>
    </x:row>
    <x:row r="9" spans="1:7" s="1" customFormat="1">
      <x:c r="A9" s="1" t="s">
        <x:v>4508</x:v>
      </x:c>
      <x:c r="B9" s="1" t="s">
        <x:v>4523</x:v>
      </x:c>
      <x:c r="C9" s="8" t="s">
        <x:v>4549</x:v>
      </x:c>
      <x:c r="D9" s="9">
        <x:f>CONCATENATE(HYPERLINK("CALLTO:%2B356%209948%207412", "+356 9948 7412"))</x:f>
      </x:c>
      <x:c r="E9" s="8" t="s">
        <x:v>4576</x:v>
      </x:c>
      <x:c r="F9" s="8" t="s">
        <x:v>4601</x:v>
      </x:c>
    </x:row>
    <x:row r="10" spans="1:7" s="4" customFormat="1">
      <x:c r="A10" s="4" t="s">
        <x:v>4508</x:v>
      </x:c>
      <x:c r="B10" s="4" t="s">
        <x:v>4524</x:v>
      </x:c>
      <x:c r="C10" s="10" t="s">
        <x:v>4552</x:v>
      </x:c>
      <x:c r="D10" s="11">
        <x:f>CONCATENATE(HYPERLINK("CALLTO:%2B356%202742%204632", "+356 2742 4632"))</x:f>
      </x:c>
      <x:c r="E10" s="10" t="s">
        <x:v>4578</x:v>
      </x:c>
      <x:c r="F10" s="10" t="s">
        <x:v>4602</x:v>
      </x:c>
    </x:row>
    <x:row r="11" spans="1:7" s="3" customFormat="1">
      <x:c r="A11" s="3" t="s">
        <x:v>4508</x:v>
      </x:c>
      <x:c r="B11" s="3" t="s">
        <x:v>4525</x:v>
      </x:c>
      <x:c r="C11" s="6" t="s">
        <x:v>2554</x:v>
      </x:c>
      <x:c r="D11" s="7">
        <x:f>CONCATENATE(HYPERLINK("CALLTO:%2B356%209944%206043", "+356 9944 6043"))</x:f>
      </x:c>
      <x:c r="E11" s="6" t="s">
        <x:v>4579</x:v>
      </x:c>
      <x:c r="F11" s="6" t="s">
        <x:v>4603</x:v>
      </x:c>
    </x:row>
    <x:row r="12" spans="1:7" s="1" customFormat="1">
      <x:c r="A12" s="1" t="s">
        <x:v>4508</x:v>
      </x:c>
      <x:c r="B12" s="1" t="s">
        <x:v>4526</x:v>
      </x:c>
      <x:c r="C12" s="8" t="s">
        <x:v>4551</x:v>
      </x:c>
      <x:c r="D12" s="9">
        <x:f>CONCATENATE(HYPERLINK("CALLTO:%2B356%202141%209787", "+356 2141 9787"))</x:f>
      </x:c>
      <x:c r="E12" s="8" t="s">
        <x:v>2842</x:v>
      </x:c>
      <x:c r="F12" s="8" t="s">
        <x:v>4600</x:v>
      </x:c>
    </x:row>
    <x:row r="13" spans="1:7" s="4" customFormat="1">
      <x:c r="A13" s="4" t="s">
        <x:v>4508</x:v>
      </x:c>
      <x:c r="B13" s="4" t="s">
        <x:v>217</x:v>
      </x:c>
      <x:c r="C13" s="10" t="s">
        <x:v>4554</x:v>
      </x:c>
      <x:c r="D13" s="11">
        <x:f>CONCATENATE(HYPERLINK("CALLTO:%2B356%202141%200441", "+356 2141 0441"))</x:f>
      </x:c>
      <x:c r="E13" s="10" t="s">
        <x:v>4580</x:v>
      </x:c>
      <x:c r="F13" s="10" t="s">
        <x:v>4604</x:v>
      </x:c>
    </x:row>
    <x:row r="14" spans="1:7" s="3" customFormat="1">
      <x:c r="A14" s="3" t="s">
        <x:v>4508</x:v>
      </x:c>
      <x:c r="B14" s="3" t="s">
        <x:v>4527</x:v>
      </x:c>
      <x:c r="C14" s="3" t="s">
        <x:v>4553</x:v>
      </x:c>
      <x:c r="D14" s="7">
        <x:f>CONCATENATE(HYPERLINK("CALLTO:%2B356%202145%206028", "+356 2145 6028"))</x:f>
      </x:c>
      <x:c r="E14" s="6" t="s">
        <x:v>4577</x:v>
      </x:c>
      <x:c r="F14" s="3" t="s">
        <x:v>144</x:v>
      </x:c>
    </x:row>
    <x:row r="15" spans="1:7" s="1" customFormat="1">
      <x:c r="A15" s="1" t="s">
        <x:v>4508</x:v>
      </x:c>
      <x:c r="B15" s="1" t="s">
        <x:v>4528</x:v>
      </x:c>
      <x:c r="C15" s="8" t="s">
        <x:v>4555</x:v>
      </x:c>
      <x:c r="D15" s="9">
        <x:f>CONCATENATE(HYPERLINK("CALLTO:%2B356%202122%206396", "+356 2122 6396"))</x:f>
      </x:c>
      <x:c r="E15" s="8" t="s">
        <x:v>4581</x:v>
      </x:c>
      <x:c r="F15" s="1" t="s">
        <x:v>144</x:v>
      </x:c>
    </x:row>
    <x:row r="16" spans="1:7" s="4" customFormat="1">
      <x:c r="A16" s="4" t="s">
        <x:v>4508</x:v>
      </x:c>
      <x:c r="B16" s="4" t="s">
        <x:v>4529</x:v>
      </x:c>
      <x:c r="C16" s="10" t="s">
        <x:v>4557</x:v>
      </x:c>
      <x:c r="D16" s="11">
        <x:f>CONCATENATE(HYPERLINK("CALLTO:%2B356%202182%207421", "+356 2182 7421"))</x:f>
      </x:c>
      <x:c r="E16" s="10" t="s">
        <x:v>4582</x:v>
      </x:c>
      <x:c r="F16" s="10" t="s">
        <x:v>4606</x:v>
      </x:c>
    </x:row>
    <x:row r="17" spans="1:7" s="3" customFormat="1">
      <x:c r="A17" s="3" t="s">
        <x:v>4508</x:v>
      </x:c>
      <x:c r="B17" s="3" t="s">
        <x:v>4530</x:v>
      </x:c>
      <x:c r="C17" s="6" t="s">
        <x:v>4556</x:v>
      </x:c>
      <x:c r="D17" s="7">
        <x:f>CONCATENATE(HYPERLINK("CALLTO:%2B356%207940%202368", "+356 7940 2368"))</x:f>
      </x:c>
      <x:c r="E17" s="6" t="s">
        <x:v>4583</x:v>
      </x:c>
      <x:c r="F17" s="6" t="s">
        <x:v>4605</x:v>
      </x:c>
    </x:row>
    <x:row r="18" spans="1:7" s="1" customFormat="1">
      <x:c r="A18" s="1" t="s">
        <x:v>4508</x:v>
      </x:c>
      <x:c r="B18" s="1" t="s">
        <x:v>4531</x:v>
      </x:c>
      <x:c r="C18" s="8" t="s">
        <x:v>4558</x:v>
      </x:c>
      <x:c r="D18" s="9">
        <x:f>CONCATENATE(HYPERLINK("CALLTO:%2B356%202123%202190", "+356 2123 2190"))</x:f>
      </x:c>
      <x:c r="E18" s="8" t="s">
        <x:v>4584</x:v>
      </x:c>
      <x:c r="F18" s="8" t="s">
        <x:v>4607</x:v>
      </x:c>
    </x:row>
    <x:row r="19" spans="1:7" s="4" customFormat="1">
      <x:c r="A19" s="4" t="s">
        <x:v>4508</x:v>
      </x:c>
      <x:c r="B19" s="4" t="s">
        <x:v>992</x:v>
      </x:c>
      <x:c r="C19" s="10" t="s">
        <x:v>1013</x:v>
      </x:c>
      <x:c r="D19" s="11">
        <x:f>CONCATENATE(HYPERLINK("CALLTO:%2B356%202137%207378", "+356 2137 7378"))</x:f>
      </x:c>
      <x:c r="E19" s="10" t="s">
        <x:v>1035</x:v>
      </x:c>
      <x:c r="F19" s="10" t="s">
        <x:v>1051</x:v>
      </x:c>
    </x:row>
    <x:row r="20" spans="1:7" s="3" customFormat="1">
      <x:c r="A20" s="3" t="s">
        <x:v>4508</x:v>
      </x:c>
      <x:c r="B20" s="3" t="s">
        <x:v>3747</x:v>
      </x:c>
      <x:c r="C20" s="6" t="s">
        <x:v>3755</x:v>
      </x:c>
      <x:c r="D20" s="7">
        <x:f>CONCATENATE(HYPERLINK("CALLTO:%2B356%202755%205525", "+356 2755 5525"))</x:f>
      </x:c>
      <x:c r="E20" s="6" t="s">
        <x:v>3760</x:v>
      </x:c>
      <x:c r="F20" s="6" t="s">
        <x:v>722</x:v>
      </x:c>
    </x:row>
    <x:row r="21" spans="1:7" s="1" customFormat="1">
      <x:c r="A21" s="1" t="s">
        <x:v>4508</x:v>
      </x:c>
      <x:c r="B21" s="1" t="s">
        <x:v>4516</x:v>
      </x:c>
      <x:c r="C21" s="8" t="s">
        <x:v>1615</x:v>
      </x:c>
      <x:c r="D21" s="9">
        <x:f>CONCATENATE(HYPERLINK("CALLTO:%2B356%202131%200334", "+356 2131 0334"))</x:f>
      </x:c>
      <x:c r="E21" s="8" t="s">
        <x:v>1710</x:v>
      </x:c>
      <x:c r="F21" s="8" t="s">
        <x:v>1785</x:v>
      </x:c>
    </x:row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</x:sheetData>
  <x:hyperlinks>
    <x:hyperlink ref="C2" r:id="rId5230" tooltip="Send a mail to info@ddoorcompany.com"/>
    <x:hyperlink ref="C3" r:id="rId5231" tooltip="Send a mail to sales@dimech-ent.com"/>
    <x:hyperlink ref="C4" r:id="rId5232" tooltip="Send a mail to info@fourwalls.com.mt"/>
    <x:hyperlink ref="C5" r:id="rId5233" tooltip="Send a mail to info@sfdoorstyles.com.mt"/>
    <x:hyperlink ref="C6" r:id="rId5234" tooltip="Send a mail to info@domestica.com.mt"/>
    <x:hyperlink ref="C7" r:id="rId5235" tooltip="Send a mail to info@pvc.com.mt"/>
    <x:hyperlink ref="C8" r:id="rId5236" tooltip="Send a mail to info@italtrade.com.mt"/>
    <x:hyperlink ref="C9" r:id="rId5237" tooltip="Send a mail to hello@starfurniture.com.mt"/>
    <x:hyperlink ref="C10" r:id="rId5238" tooltip="Send a mail to sales@powerhousemalta.com.eu"/>
    <x:hyperlink ref="C11" r:id="rId5239" tooltip="Send a mail to sales@pvcmalta.com"/>
    <x:hyperlink ref="C12" r:id="rId5240" tooltip="Send a mail to clients@framegrip.com"/>
    <x:hyperlink ref="C13" r:id="rId5241" tooltip="Send a mail to pdgl@go.net.mt"/>
    <x:hyperlink ref="C15" r:id="rId5242" tooltip="Send a mail to clydeaquil@gmail.com"/>
    <x:hyperlink ref="C16" r:id="rId5243" tooltip="Send a mail to info@alfredbaldacchinoltd.net"/>
    <x:hyperlink ref="C17" r:id="rId5244" tooltip="Send a mail to info@nkwoodworks.com"/>
    <x:hyperlink ref="C18" r:id="rId5245" tooltip="Send a mail to occas2@gmail.com"/>
    <x:hyperlink ref="C19" r:id="rId5246" tooltip="Send a mail to info@grfmalta.com"/>
    <x:hyperlink ref="C20" r:id="rId5247" tooltip="Send a mail to info@casconeporteefinestre.it"/>
    <x:hyperlink ref="C21" r:id="rId5248" tooltip="Send a mail to info@promaninteriors.com"/>
    <x:hyperlink ref="E2" r:id="rId5249" tooltip="Search 128 old Railway Track , Santa venera , Malta on Google Maps"/>
    <x:hyperlink ref="E3" r:id="rId5250" tooltip="Search Centre point , Triq Valleta , Luqa  LQA 1762 , Malta on Google Maps"/>
    <x:hyperlink ref="E4" r:id="rId5251" tooltip="Search Triq il-Kappillan Mifsud , Santa venera , Malta on Google Maps"/>
    <x:hyperlink ref="E5" r:id="rId5252" tooltip="Search Unit 1&amp;2, Industrial Estate Luqa MT LQA 3000, Ħal Luqa on Google Maps"/>
    <x:hyperlink ref="E6" r:id="rId5253" tooltip="Search Domestica Complex, Level 1 ,Valley road , Msida  MSD 9091 ,Malta on Google Maps"/>
    <x:hyperlink ref="E7" r:id="rId5254" tooltip="Search 8 Garra, Is-Swieqi on Google Maps"/>
    <x:hyperlink ref="E8" r:id="rId5255" tooltip="Search WC4R+335, Triq il-mosta, Lija LJA 9010 on Google Maps"/>
    <x:hyperlink ref="E9" r:id="rId5256" tooltip="Search 73 Sir Arthur Burton Street, Mosta MST 1883, Malta on Google Maps"/>
    <x:hyperlink ref="E10" r:id="rId5257" tooltip="Search 13 Censu Bugeja Street , Birkirkara , Malta on Google Maps"/>
    <x:hyperlink ref="E11" r:id="rId5258" tooltip="Search 52,Triq ll-Muzika , L-Lkin , Malta IKL 1091 on Google Maps"/>
    <x:hyperlink ref="E12" r:id="rId5259" tooltip="Search Triq Il-Mosta, Hal Lija, Malta LJA 9010 on Google Maps"/>
    <x:hyperlink ref="E13" r:id="rId5260" tooltip="Search triq -il kappar , ll-Mosta , Malta MST 03 on Google Maps"/>
    <x:hyperlink ref="E14" r:id="rId5261" tooltip="Search Triq Mastru Gorg Cachia, Tal-Ħandaq, Ħal Qormi, Malta QRM 4000 on Google Maps"/>
    <x:hyperlink ref="E15" r:id="rId5262" tooltip="Search 166-167, Qasam Industrijali Ta' Hal Luqa, Hal Luqa, Malta on Google Maps"/>
    <x:hyperlink ref="E16" r:id="rId5263" tooltip="Search Triq Valletta Triq Gdida Fi, Hal Luqa, Malta on Google Maps"/>
    <x:hyperlink ref="E17" r:id="rId5264" tooltip="Search No 7, Triq Il-Ballut, Il-Mosta, Malta on Google Maps"/>
    <x:hyperlink ref="E18" r:id="rId5265" tooltip="Search 106, Qasam Industrijali Ta' Hal-Farrug, Hal Luqa, Hal Farrug, Malta on Google Maps"/>
    <x:hyperlink ref="E19" r:id="rId5266" tooltip="Search 117 Triq L-Assemblea Nazzjonali,&#10;San Gwann SGN 3034, Malta on Google Maps"/>
    <x:hyperlink ref="E20" r:id="rId5267" tooltip="Search Msida Valley Road, BKR9022 Birkirkara - Malta on Google Maps"/>
    <x:hyperlink ref="E21" r:id="rId5268" tooltip="Search Proman Interiors,&#10;115, Valley Road,&#10;B'Kara. BKR 9022.&#10;Malta. on Google Maps"/>
    <x:hyperlink ref="F2" r:id="rId5269" tooltip="Visit ddoorcompany.com"/>
    <x:hyperlink ref="F3" r:id="rId5270" tooltip="Visit dimech-ent.com"/>
    <x:hyperlink ref="F4" r:id="rId5271" tooltip="Visit fourwalls.com.mt"/>
    <x:hyperlink ref="F5" r:id="rId5272" tooltip="Visit sfdoorstyles.com.mt"/>
    <x:hyperlink ref="F6" r:id="rId5273" tooltip="Visit domestica.com.mt"/>
    <x:hyperlink ref="F7" r:id="rId5274" tooltip="Visit pvc.com.mt"/>
    <x:hyperlink ref="F8" r:id="rId5275" tooltip="Visit italtrade.com.mt"/>
    <x:hyperlink ref="F9" r:id="rId5276" tooltip="Visit starfurniture.com.mt"/>
    <x:hyperlink ref="F10" r:id="rId5277" tooltip="Visit powerhousemalta.eu.com.mt"/>
    <x:hyperlink ref="F11" r:id="rId5278" tooltip="Visit pvcmalta.com"/>
    <x:hyperlink ref="F12" r:id="rId5279" tooltip="Visit framegrip.com"/>
    <x:hyperlink ref="F13" r:id="rId5280" tooltip="Visit gauciwoodsmalta.com"/>
    <x:hyperlink ref="F16" r:id="rId5281" tooltip="Visit alfredbaldacchinoltd.net"/>
    <x:hyperlink ref="F17" r:id="rId5282" tooltip="Visit nkwoodworks.com"/>
    <x:hyperlink ref="F18" r:id="rId5283" tooltip="Visit masterwoodmalta.net"/>
    <x:hyperlink ref="F19" r:id="rId5284" tooltip="Visit grfmalta.com/"/>
    <x:hyperlink ref="F20" r:id="rId5285" tooltip="Visit casconehome.com/en/index.php"/>
    <x:hyperlink ref="F21" r:id="rId5286" tooltip="Visit promaninteriors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40"/>
  <x:sheetViews>
    <x:sheetView workbookViewId="0"/>
  </x:sheetViews>
  <x:sheetFormatPr defaultRowHeight="15"/>
  <x:cols>
    <x:col min="1" max="1" width="14.853482" style="0" customWidth="1"/>
    <x:col min="2" max="2" width="33.710625" style="0" customWidth="1"/>
    <x:col min="3" max="3" width="32.710625" style="0" customWidth="1"/>
    <x:col min="4" max="4" width="18.710625" style="0" customWidth="1"/>
    <x:col min="5" max="5" width="65.567768" style="0" customWidth="1"/>
    <x:col min="6" max="6" width="90.710625" style="0" customWidth="1"/>
    <x:col min="7" max="7" width="20.996339" style="0" customWidth="1"/>
  </x:cols>
  <x:sheetData>
    <x:row r="1" spans="1:7" s="2" customFormat="1">
      <x:c r="A1" s="2" t="s">
        <x:v>4653</x:v>
      </x:c>
      <x:c r="B1" s="2" t="s">
        <x:v>2302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5">
        <x:f>HYPERLINK("#'Summary List'!A80", "Back to Summary")</x:f>
      </x:c>
    </x:row>
    <x:row r="2" spans="1:7" s="3" customFormat="1">
      <x:c r="A2" s="3" t="s">
        <x:v>4654</x:v>
      </x:c>
      <x:c r="B2" s="3" t="s">
        <x:v>4656</x:v>
      </x:c>
      <x:c r="C2" s="6" t="s">
        <x:v>4684</x:v>
      </x:c>
      <x:c r="D2" s="7">
        <x:f>CONCATENATE(HYPERLINK("CALLTO:%2B356%202142%200534", "+356 2142 0534"))</x:f>
      </x:c>
      <x:c r="E2" s="6" t="s">
        <x:v>4705</x:v>
      </x:c>
      <x:c r="F2" s="6" t="s">
        <x:v>3220</x:v>
      </x:c>
    </x:row>
    <x:row r="3" spans="1:7" s="1" customFormat="1">
      <x:c r="A3" s="1" t="s">
        <x:v>4654</x:v>
      </x:c>
      <x:c r="B3" s="1" t="s">
        <x:v>4655</x:v>
      </x:c>
      <x:c r="C3" s="8" t="s">
        <x:v>4683</x:v>
      </x:c>
      <x:c r="D3" s="9">
        <x:f>CONCATENATE(HYPERLINK("CALLTO:%2B356%202385%200400", "+356 2385 0400"))</x:f>
      </x:c>
      <x:c r="E3" s="8" t="s">
        <x:v>4707</x:v>
      </x:c>
      <x:c r="F3" s="8" t="s">
        <x:v>4733</x:v>
      </x:c>
    </x:row>
    <x:row r="4" spans="1:7" s="4" customFormat="1">
      <x:c r="A4" s="4" t="s">
        <x:v>4654</x:v>
      </x:c>
      <x:c r="B4" s="4" t="s">
        <x:v>4658</x:v>
      </x:c>
      <x:c r="C4" s="10" t="s">
        <x:v>4685</x:v>
      </x:c>
      <x:c r="D4" s="11">
        <x:f>CONCATENATE(HYPERLINK("CALLTO:%2B356%202395%206000", "+356 2395 6000"))</x:f>
      </x:c>
      <x:c r="E4" s="10" t="s">
        <x:v>4706</x:v>
      </x:c>
      <x:c r="F4" s="10" t="s">
        <x:v>4732</x:v>
      </x:c>
    </x:row>
    <x:row r="5" spans="1:7" s="3" customFormat="1">
      <x:c r="A5" s="3" t="s">
        <x:v>4654</x:v>
      </x:c>
      <x:c r="B5" s="3" t="s">
        <x:v>4659</x:v>
      </x:c>
      <x:c r="C5" s="6" t="s">
        <x:v>4686</x:v>
      </x:c>
      <x:c r="D5" s="7">
        <x:f>CONCATENATE(HYPERLINK("CALLTO:%2B356%202149%208658", "+356 2149 8658"))</x:f>
      </x:c>
      <x:c r="E5" s="6" t="s">
        <x:v>4708</x:v>
      </x:c>
      <x:c r="F5" s="6" t="s">
        <x:v>4734</x:v>
      </x:c>
    </x:row>
    <x:row r="6" spans="1:7" s="1" customFormat="1">
      <x:c r="A6" s="1" t="s">
        <x:v>4654</x:v>
      </x:c>
      <x:c r="B6" s="1" t="s">
        <x:v>4660</x:v>
      </x:c>
      <x:c r="C6" s="8" t="s">
        <x:v>785</x:v>
      </x:c>
      <x:c r="D6" s="9">
        <x:f>CONCATENATE(HYPERLINK("CALLTO:%2B356%207777%205495", "+356 7777 5495"))</x:f>
      </x:c>
      <x:c r="E6" s="8" t="s">
        <x:v>4709</x:v>
      </x:c>
      <x:c r="F6" s="8" t="s">
        <x:v>4735</x:v>
      </x:c>
    </x:row>
    <x:row r="7" spans="1:7" s="4" customFormat="1">
      <x:c r="A7" s="4" t="s">
        <x:v>4654</x:v>
      </x:c>
      <x:c r="B7" s="4" t="s">
        <x:v>4661</x:v>
      </x:c>
      <x:c r="C7" s="10" t="s">
        <x:v>4687</x:v>
      </x:c>
      <x:c r="D7" s="11">
        <x:f>CONCATENATE(HYPERLINK("CALLTO:%2B356%202123%200777", "+356 2123 0777"))</x:f>
      </x:c>
      <x:c r="E7" s="10" t="s">
        <x:v>4710</x:v>
      </x:c>
      <x:c r="F7" s="10" t="s">
        <x:v>4736</x:v>
      </x:c>
    </x:row>
    <x:row r="8" spans="1:7" s="3" customFormat="1">
      <x:c r="A8" s="3" t="s">
        <x:v>4654</x:v>
      </x:c>
      <x:c r="B8" s="3" t="s">
        <x:v>4662</x:v>
      </x:c>
      <x:c r="C8" s="6" t="s">
        <x:v>4688</x:v>
      </x:c>
      <x:c r="D8" s="7">
        <x:f>CONCATENATE(HYPERLINK("CALLTO:%2B356%209906%207974", "+356 9906 7974"))</x:f>
      </x:c>
      <x:c r="E8" s="6" t="s">
        <x:v>4711</x:v>
      </x:c>
      <x:c r="F8" s="3" t="s">
        <x:v>144</x:v>
      </x:c>
    </x:row>
    <x:row r="9" spans="1:7" s="1" customFormat="1">
      <x:c r="A9" s="1" t="s">
        <x:v>4654</x:v>
      </x:c>
      <x:c r="B9" s="1" t="s">
        <x:v>4663</x:v>
      </x:c>
      <x:c r="C9" s="8" t="s">
        <x:v>4689</x:v>
      </x:c>
      <x:c r="D9" s="9">
        <x:f>CONCATENATE(HYPERLINK("CALLTO:%2B356%207944%201914", "+356 7944 1914"))</x:f>
      </x:c>
      <x:c r="E9" s="8" t="s">
        <x:v>4712</x:v>
      </x:c>
      <x:c r="F9" s="1" t="s">
        <x:v>144</x:v>
      </x:c>
    </x:row>
    <x:row r="10" spans="1:7" s="4" customFormat="1">
      <x:c r="A10" s="4" t="s">
        <x:v>4654</x:v>
      </x:c>
      <x:c r="B10" s="4" t="s">
        <x:v>4657</x:v>
      </x:c>
      <x:c r="C10" s="10" t="s">
        <x:v>4690</x:v>
      </x:c>
      <x:c r="D10" s="11">
        <x:f>CONCATENATE(HYPERLINK("CALLTO:%2B356%209923%209995", "+356 9923 9995"))</x:f>
      </x:c>
      <x:c r="E10" s="10" t="s">
        <x:v>4713</x:v>
      </x:c>
      <x:c r="F10" s="4" t="s">
        <x:v>144</x:v>
      </x:c>
    </x:row>
    <x:row r="11" spans="1:7" s="3" customFormat="1">
      <x:c r="A11" s="3" t="s">
        <x:v>4654</x:v>
      </x:c>
      <x:c r="B11" s="3" t="s">
        <x:v>4664</x:v>
      </x:c>
      <x:c r="C11" s="6" t="s">
        <x:v>4691</x:v>
      </x:c>
      <x:c r="D11" s="7">
        <x:f>CONCATENATE(HYPERLINK("CALLTO:%2B356%209945%207674", "+356 9945 7674"))</x:f>
      </x:c>
      <x:c r="E11" s="6" t="s">
        <x:v>4714</x:v>
      </x:c>
      <x:c r="F11" s="3" t="s">
        <x:v>144</x:v>
      </x:c>
    </x:row>
    <x:row r="12" spans="1:7" s="1" customFormat="1">
      <x:c r="A12" s="1" t="s">
        <x:v>4654</x:v>
      </x:c>
      <x:c r="B12" s="1" t="s">
        <x:v>890</x:v>
      </x:c>
      <x:c r="C12" s="8" t="s">
        <x:v>907</x:v>
      </x:c>
      <x:c r="D12" s="9">
        <x:f>CONCATENATE(HYPERLINK("CALLTO:%2B356%202137%207181", "+356 2137 7181"))</x:f>
      </x:c>
      <x:c r="E12" s="8" t="s">
        <x:v>4715</x:v>
      </x:c>
      <x:c r="F12" s="1" t="s">
        <x:v>144</x:v>
      </x:c>
    </x:row>
    <x:row r="13" spans="1:7" s="4" customFormat="1">
      <x:c r="A13" s="4" t="s">
        <x:v>4654</x:v>
      </x:c>
      <x:c r="B13" s="4" t="s">
        <x:v>4666</x:v>
      </x:c>
      <x:c r="C13" s="10" t="s">
        <x:v>2838</x:v>
      </x:c>
      <x:c r="D13" s="11">
        <x:f>CONCATENATE(HYPERLINK("CALLTO:%2B356%202122%207330", "+356 2122 7330"))</x:f>
      </x:c>
      <x:c r="E13" s="10" t="s">
        <x:v>4716</x:v>
      </x:c>
      <x:c r="F13" s="10" t="s">
        <x:v>4737</x:v>
      </x:c>
    </x:row>
    <x:row r="14" spans="1:7" s="3" customFormat="1">
      <x:c r="A14" s="3" t="s">
        <x:v>4654</x:v>
      </x:c>
      <x:c r="B14" s="3" t="s">
        <x:v>4667</x:v>
      </x:c>
      <x:c r="C14" s="6" t="s">
        <x:v>71</x:v>
      </x:c>
      <x:c r="D14" s="7">
        <x:f>CONCATENATE(HYPERLINK("CALLTO:%2B356%209926%203762", "+356 9926 3762"))</x:f>
      </x:c>
      <x:c r="E14" s="6" t="s">
        <x:v>4717</x:v>
      </x:c>
      <x:c r="F14" s="6" t="s">
        <x:v>4738</x:v>
      </x:c>
    </x:row>
    <x:row r="15" spans="1:7" s="1" customFormat="1">
      <x:c r="A15" s="1" t="s">
        <x:v>4654</x:v>
      </x:c>
      <x:c r="B15" s="1" t="s">
        <x:v>2919</x:v>
      </x:c>
      <x:c r="C15" s="8" t="s">
        <x:v>2937</x:v>
      </x:c>
      <x:c r="D15" s="9">
        <x:f>CONCATENATE(HYPERLINK("CALLTO:%2B356%202134%201697", "+356 2134 1697"))</x:f>
      </x:c>
      <x:c r="E15" s="8" t="s">
        <x:v>4718</x:v>
      </x:c>
      <x:c r="F15" s="8" t="s">
        <x:v>2971</x:v>
      </x:c>
    </x:row>
    <x:row r="16" spans="1:7" s="4" customFormat="1">
      <x:c r="A16" s="4" t="s">
        <x:v>4654</x:v>
      </x:c>
      <x:c r="B16" s="4" t="s">
        <x:v>1889</x:v>
      </x:c>
      <x:c r="C16" s="10" t="s">
        <x:v>1937</x:v>
      </x:c>
      <x:c r="D16" s="11">
        <x:f>CONCATENATE(HYPERLINK("CALLTO:%2B356%202124%201307", "+356 2124 1307"))</x:f>
      </x:c>
      <x:c r="E16" s="10" t="s">
        <x:v>4719</x:v>
      </x:c>
      <x:c r="F16" s="10" t="s">
        <x:v>2051</x:v>
      </x:c>
    </x:row>
    <x:row r="17" spans="1:7" s="3" customFormat="1">
      <x:c r="A17" s="3" t="s">
        <x:v>4654</x:v>
      </x:c>
      <x:c r="B17" s="3" t="s">
        <x:v>4237</x:v>
      </x:c>
      <x:c r="C17" s="6" t="s">
        <x:v>4305</x:v>
      </x:c>
      <x:c r="D17" s="7">
        <x:f>CONCATENATE(HYPERLINK("CALLTO:%2B356%202149%200957", "+356 2149 0957"))</x:f>
      </x:c>
      <x:c r="E17" s="6" t="s">
        <x:v>4721</x:v>
      </x:c>
      <x:c r="F17" s="6" t="s">
        <x:v>2065</x:v>
      </x:c>
    </x:row>
    <x:row r="18" spans="1:7" s="1" customFormat="1">
      <x:c r="A18" s="1" t="s">
        <x:v>4654</x:v>
      </x:c>
      <x:c r="B18" s="1" t="s">
        <x:v>4668</x:v>
      </x:c>
      <x:c r="C18" s="8" t="s">
        <x:v>4693</x:v>
      </x:c>
      <x:c r="D18" s="9">
        <x:f>CONCATENATE(HYPERLINK("CALLTO:%2B356%202156%209006", "+356 2156 9006"))</x:f>
      </x:c>
      <x:c r="E18" s="8" t="s">
        <x:v>4720</x:v>
      </x:c>
      <x:c r="F18" s="8" t="s">
        <x:v>4739</x:v>
      </x:c>
    </x:row>
    <x:row r="19" spans="1:7" s="4" customFormat="1">
      <x:c r="A19" s="4" t="s">
        <x:v>4654</x:v>
      </x:c>
      <x:c r="B19" s="4" t="s">
        <x:v>4669</x:v>
      </x:c>
      <x:c r="C19" s="10" t="s">
        <x:v>4692</x:v>
      </x:c>
      <x:c r="D19" s="11">
        <x:f>CONCATENATE(HYPERLINK("CALLTO:%2B356%207925%209496", "+356 7925 9496"))</x:f>
      </x:c>
      <x:c r="E19" s="10" t="s">
        <x:v>4722</x:v>
      </x:c>
      <x:c r="F19" s="4" t="s">
        <x:v>144</x:v>
      </x:c>
    </x:row>
    <x:row r="20" spans="1:7" s="3" customFormat="1">
      <x:c r="A20" s="3" t="s">
        <x:v>4654</x:v>
      </x:c>
      <x:c r="B20" s="3" t="s">
        <x:v>4670</x:v>
      </x:c>
      <x:c r="C20" s="6" t="s">
        <x:v>54</x:v>
      </x:c>
      <x:c r="D20" s="7">
        <x:f>CONCATENATE(HYPERLINK("CALLTO:%2B356%209999%204570", "+356 9999 4570"))</x:f>
      </x:c>
      <x:c r="E20" s="6" t="s">
        <x:v>4723</x:v>
      </x:c>
      <x:c r="F20" s="3" t="s">
        <x:v>144</x:v>
      </x:c>
    </x:row>
    <x:row r="21" spans="1:7" s="1" customFormat="1">
      <x:c r="A21" s="1" t="s">
        <x:v>4654</x:v>
      </x:c>
      <x:c r="B21" s="1" t="s">
        <x:v>4665</x:v>
      </x:c>
      <x:c r="C21" s="8" t="s">
        <x:v>65</x:v>
      </x:c>
      <x:c r="D21" s="9">
        <x:f>CONCATENATE(HYPERLINK("CALLTO:%2B356%202138%202091", "+356 2138 2091"))</x:f>
      </x:c>
      <x:c r="E21" s="8" t="s">
        <x:v>4724</x:v>
      </x:c>
      <x:c r="F21" s="1" t="s">
        <x:v>144</x:v>
      </x:c>
    </x:row>
    <x:row r="22" spans="1:7" s="4" customFormat="1">
      <x:c r="A22" s="4" t="s">
        <x:v>4654</x:v>
      </x:c>
      <x:c r="B22" s="4" t="s">
        <x:v>4671</x:v>
      </x:c>
      <x:c r="C22" s="10" t="s">
        <x:v>4694</x:v>
      </x:c>
      <x:c r="D22" s="11">
        <x:f>CONCATENATE(HYPERLINK("CALLTO:%2B356%207775%201441", "+356 7775 1441"))</x:f>
      </x:c>
      <x:c r="E22" s="10" t="s">
        <x:v>4725</x:v>
      </x:c>
      <x:c r="F22" s="10" t="s">
        <x:v>4740</x:v>
      </x:c>
    </x:row>
    <x:row r="23" spans="1:7" s="3" customFormat="1">
      <x:c r="A23" s="3" t="s">
        <x:v>4654</x:v>
      </x:c>
      <x:c r="B23" s="3" t="s">
        <x:v>4672</x:v>
      </x:c>
      <x:c r="C23" s="6" t="s">
        <x:v>4695</x:v>
      </x:c>
      <x:c r="D23" s="7">
        <x:f>CONCATENATE(HYPERLINK("CALLTO:%2B356%207705%207791", "+356 7705 7791"))</x:f>
      </x:c>
      <x:c r="E23" s="6" t="s">
        <x:v>4726</x:v>
      </x:c>
      <x:c r="F23" s="6" t="s">
        <x:v>4741</x:v>
      </x:c>
    </x:row>
    <x:row r="24" spans="1:7" s="1" customFormat="1">
      <x:c r="A24" s="1" t="s">
        <x:v>4654</x:v>
      </x:c>
      <x:c r="B24" s="1" t="s">
        <x:v>4673</x:v>
      </x:c>
      <x:c r="C24" s="8" t="s">
        <x:v>4696</x:v>
      </x:c>
      <x:c r="D24" s="9">
        <x:f>CONCATENATE(HYPERLINK("CALLTO:%2B356%202149%201477", "+356 2149 1477"))</x:f>
      </x:c>
      <x:c r="E24" s="8" t="s">
        <x:v>4727</x:v>
      </x:c>
      <x:c r="F24" s="8" t="s">
        <x:v>4742</x:v>
      </x:c>
    </x:row>
    <x:row r="25" spans="1:7" s="4" customFormat="1">
      <x:c r="A25" s="4" t="s">
        <x:v>4654</x:v>
      </x:c>
      <x:c r="B25" s="4" t="s">
        <x:v>4674</x:v>
      </x:c>
      <x:c r="C25" s="10" t="s">
        <x:v>4697</x:v>
      </x:c>
      <x:c r="D25" s="11">
        <x:f>CONCATENATE(HYPERLINK("CALLTO:%2B356%202778%208400", "+356 2778 8400"))</x:f>
      </x:c>
      <x:c r="E25" s="10" t="s">
        <x:v>4728</x:v>
      </x:c>
      <x:c r="F25" s="10" t="s">
        <x:v>4743</x:v>
      </x:c>
    </x:row>
    <x:row r="26" spans="1:7" s="3" customFormat="1">
      <x:c r="A26" s="3" t="s">
        <x:v>4654</x:v>
      </x:c>
      <x:c r="B26" s="3" t="s">
        <x:v>3212</x:v>
      </x:c>
      <x:c r="C26" s="6" t="s">
        <x:v>3217</x:v>
      </x:c>
      <x:c r="D26" s="7">
        <x:f>CONCATENATE(HYPERLINK("CALLTO:%2B356%202144%201361", "+356 2144 1361"))</x:f>
      </x:c>
      <x:c r="E26" s="6" t="s">
        <x:v>4729</x:v>
      </x:c>
      <x:c r="F26" s="6" t="s">
        <x:v>82</x:v>
      </x:c>
    </x:row>
    <x:row r="27" spans="1:7" s="1" customFormat="1">
      <x:c r="A27" s="1" t="s">
        <x:v>4654</x:v>
      </x:c>
      <x:c r="B27" s="1" t="s">
        <x:v>4675</x:v>
      </x:c>
      <x:c r="C27" s="8" t="s">
        <x:v>4698</x:v>
      </x:c>
      <x:c r="D27" s="9">
        <x:f>CONCATENATE(HYPERLINK("CALLTO:%2B356%202723%204567", "+356 2723 4567"))</x:f>
      </x:c>
      <x:c r="E27" s="8" t="s">
        <x:v>4730</x:v>
      </x:c>
      <x:c r="F27" s="8" t="s">
        <x:v>3229</x:v>
      </x:c>
    </x:row>
    <x:row r="28" spans="1:7" s="4" customFormat="1">
      <x:c r="A28" s="4" t="s">
        <x:v>4654</x:v>
      </x:c>
      <x:c r="B28" s="4" t="s">
        <x:v>4676</x:v>
      </x:c>
      <x:c r="C28" s="10" t="s">
        <x:v>60</x:v>
      </x:c>
      <x:c r="D28" s="11">
        <x:f>CONCATENATE(HYPERLINK("CALLTO:%2B356%202122%202122", "+356 2122 2122"))</x:f>
      </x:c>
      <x:c r="E28" s="10" t="s">
        <x:v>4731</x:v>
      </x:c>
      <x:c r="F28" s="10" t="s">
        <x:v>4744</x:v>
      </x:c>
    </x:row>
    <x:row r="29" spans="1:7" s="3" customFormat="1">
      <x:c r="A29" s="3" t="s">
        <x:v>4654</x:v>
      </x:c>
      <x:c r="B29" s="3" t="s">
        <x:v>4677</x:v>
      </x:c>
      <x:c r="C29" s="6" t="s">
        <x:v>4699</x:v>
      </x:c>
      <x:c r="D29" s="7">
        <x:f>CONCATENATE(HYPERLINK("CALLTO:%2B356%209988%200900", "+356 9988 0900"))</x:f>
      </x:c>
      <x:c r="F29" s="6" t="s">
        <x:v>4745</x:v>
      </x:c>
    </x:row>
    <x:row r="30" spans="1:7" s="1" customFormat="1">
      <x:c r="A30" s="1" t="s">
        <x:v>4654</x:v>
      </x:c>
      <x:c r="B30" s="1" t="s">
        <x:v>4678</x:v>
      </x:c>
      <x:c r="C30" s="8" t="s">
        <x:v>4700</x:v>
      </x:c>
      <x:c r="D30" s="9">
        <x:f>CONCATENATE(HYPERLINK("CALLTO:%2B356%207998%209032", "+356 7998 9032"))</x:f>
      </x:c>
      <x:c r="F30" s="8" t="s">
        <x:v>4746</x:v>
      </x:c>
    </x:row>
    <x:row r="31" spans="1:7" s="4" customFormat="1">
      <x:c r="A31" s="4" t="s">
        <x:v>4654</x:v>
      </x:c>
      <x:c r="B31" s="4" t="s">
        <x:v>4679</x:v>
      </x:c>
      <x:c r="C31" s="10" t="s">
        <x:v>4701</x:v>
      </x:c>
      <x:c r="D31" s="11">
        <x:f>CONCATENATE(HYPERLINK("CALLTO:%2B356%207939%208421", "+356 7939 8421"))</x:f>
      </x:c>
      <x:c r="F31" s="10" t="s">
        <x:v>4747</x:v>
      </x:c>
    </x:row>
    <x:row r="32" spans="1:7" s="3" customFormat="1">
      <x:c r="A32" s="3" t="s">
        <x:v>4654</x:v>
      </x:c>
      <x:c r="B32" s="3" t="s">
        <x:v>4681</x:v>
      </x:c>
      <x:c r="C32" s="6" t="s">
        <x:v>4702</x:v>
      </x:c>
      <x:c r="D32" s="7">
        <x:f>CONCATENATE(HYPERLINK("CALLTO:%2B356%202169%203945", "+356 2169 3945"))</x:f>
      </x:c>
      <x:c r="F32" s="6" t="s">
        <x:v>4748</x:v>
      </x:c>
    </x:row>
    <x:row r="33" spans="1:7" s="1" customFormat="1">
      <x:c r="A33" s="1" t="s">
        <x:v>4654</x:v>
      </x:c>
      <x:c r="B33" s="1" t="s">
        <x:v>4680</x:v>
      </x:c>
      <x:c r="C33" s="8" t="s">
        <x:v>4703</x:v>
      </x:c>
    </x:row>
    <x:row r="34" spans="1:7" s="4" customFormat="1">
      <x:c r="A34" s="4" t="s">
        <x:v>4654</x:v>
      </x:c>
      <x:c r="B34" s="4" t="s">
        <x:v>4682</x:v>
      </x:c>
      <x:c r="C34" s="10" t="s">
        <x:v>4704</x:v>
      </x:c>
    </x:row>
    <x:row r="35" spans="1:7" s="3" customFormat="1">
      <x:c r="A35" s="3" t="s">
        <x:v>4654</x:v>
      </x:c>
      <x:c r="B35" s="3" t="s">
        <x:v>30</x:v>
      </x:c>
    </x:row>
    <x:row r="36" spans="1:7" s="1" customFormat="1">
      <x:c r="A36" s="1" t="s">
        <x:v>4654</x:v>
      </x:c>
    </x:row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  <x:row r="200" spans="1:7" s="3" customFormat="1"/>
    <x:row r="201" spans="1:7" s="1" customFormat="1"/>
    <x:row r="202" spans="1:7" s="4" customFormat="1"/>
    <x:row r="203" spans="1:7" s="3" customFormat="1"/>
    <x:row r="204" spans="1:7" s="1" customFormat="1"/>
    <x:row r="205" spans="1:7" s="4" customFormat="1"/>
    <x:row r="206" spans="1:7" s="3" customFormat="1"/>
    <x:row r="207" spans="1:7" s="1" customFormat="1"/>
    <x:row r="208" spans="1:7" s="4" customFormat="1"/>
    <x:row r="209" spans="1:7" s="3" customFormat="1"/>
    <x:row r="210" spans="1:7" s="1" customFormat="1"/>
    <x:row r="211" spans="1:7" s="4" customFormat="1"/>
    <x:row r="212" spans="1:7" s="3" customFormat="1"/>
    <x:row r="213" spans="1:7" s="1" customFormat="1"/>
    <x:row r="214" spans="1:7" s="4" customFormat="1"/>
    <x:row r="215" spans="1:7" s="3" customFormat="1"/>
    <x:row r="216" spans="1:7" s="1" customFormat="1"/>
    <x:row r="217" spans="1:7" s="4" customFormat="1"/>
    <x:row r="218" spans="1:7" s="3" customFormat="1"/>
    <x:row r="219" spans="1:7" s="1" customFormat="1"/>
    <x:row r="220" spans="1:7" s="4" customFormat="1"/>
    <x:row r="221" spans="1:7" s="3" customFormat="1"/>
    <x:row r="222" spans="1:7" s="1" customFormat="1"/>
    <x:row r="223" spans="1:7" s="4" customFormat="1"/>
    <x:row r="224" spans="1:7" s="3" customFormat="1"/>
    <x:row r="225" spans="1:7" s="1" customFormat="1"/>
    <x:row r="226" spans="1:7" s="4" customFormat="1"/>
    <x:row r="227" spans="1:7" s="3" customFormat="1"/>
    <x:row r="228" spans="1:7" s="1" customFormat="1"/>
    <x:row r="229" spans="1:7" s="4" customFormat="1"/>
    <x:row r="230" spans="1:7" s="3" customFormat="1"/>
    <x:row r="231" spans="1:7" s="1" customFormat="1"/>
    <x:row r="232" spans="1:7" s="4" customFormat="1"/>
    <x:row r="233" spans="1:7" s="3" customFormat="1"/>
    <x:row r="234" spans="1:7" s="1" customFormat="1"/>
    <x:row r="235" spans="1:7" s="4" customFormat="1"/>
    <x:row r="236" spans="1:7" s="3" customFormat="1"/>
    <x:row r="237" spans="1:7" s="1" customFormat="1"/>
    <x:row r="238" spans="1:7" s="4" customFormat="1"/>
    <x:row r="239" spans="1:7" s="3" customFormat="1"/>
    <x:row r="240" spans="1:7" s="1" customFormat="1"/>
  </x:sheetData>
  <x:hyperlinks>
    <x:hyperlink ref="C2" r:id="rId5287" tooltip="Send a mail to jethro@able.com.mnt"/>
    <x:hyperlink ref="C3" r:id="rId5288" tooltip="Send a mail to info@maa.com.mt"/>
    <x:hyperlink ref="C4" r:id="rId5289" tooltip="Send a mail to sales@btmalta.com"/>
    <x:hyperlink ref="C5" r:id="rId5290" tooltip="Send a mail to sales@cutrico.com"/>
    <x:hyperlink ref="C6" r:id="rId5291" tooltip="Send a mail to airsolutions@ezee.mt"/>
    <x:hyperlink ref="C7" r:id="rId5292" tooltip="Send a mail to info@casmalta.com"/>
    <x:hyperlink ref="C8" r:id="rId5293" tooltip="Send a mail to reniergrima.com@gmail.com"/>
    <x:hyperlink ref="C9" r:id="rId5294" tooltip="Send a mail to info@shead.com.mt"/>
    <x:hyperlink ref="C10" r:id="rId5295" tooltip="Send a mail to bamburas583@gmail.com"/>
    <x:hyperlink ref="C11" r:id="rId5296" tooltip="Send a mail to maintainit.mt@gmail.com"/>
    <x:hyperlink ref="C12" r:id="rId5297" tooltip="Send a mail to futurahomeappliances@gmail.com"/>
    <x:hyperlink ref="C13" r:id="rId5298" tooltip="Send a mail to info@attardsmalta.com"/>
    <x:hyperlink ref="C14" r:id="rId5299" tooltip="Send a mail to afenech@smarteffects.com.mt"/>
    <x:hyperlink ref="C15" r:id="rId5300" tooltip="Send a mail to info@titan.mizzi.com.mt"/>
    <x:hyperlink ref="C16" r:id="rId5301" tooltip="Send a mail to showroom@itc-malta.com"/>
    <x:hyperlink ref="C17" r:id="rId5302" tooltip="Send a mail to info@engenuity.com.mt"/>
    <x:hyperlink ref="C18" r:id="rId5303" tooltip="Send a mail to info@econetique.com"/>
    <x:hyperlink ref="C19" r:id="rId5304" tooltip="Send a mail to info@knlservice.com"/>
    <x:hyperlink ref="C20" r:id="rId5305" tooltip="Send a mail to info@hvacsupplies.eu"/>
    <x:hyperlink ref="C21" r:id="rId5306" tooltip="Send a mail to sales@midea.mt"/>
    <x:hyperlink ref="C22" r:id="rId5307" tooltip="Send a mail to info@ac-malta.com"/>
    <x:hyperlink ref="C23" r:id="rId5308" tooltip="Send a mail to gyorgymihalka@gmail.com"/>
    <x:hyperlink ref="C24" r:id="rId5309" tooltip="Send a mail to sales@tekno.com.mt"/>
    <x:hyperlink ref="C25" r:id="rId5310" tooltip="Send a mail to mekanika@gasan.com"/>
    <x:hyperlink ref="C26" r:id="rId5311" tooltip="Send a mail to enquiries@panta.mt"/>
    <x:hyperlink ref="C27" r:id="rId5312" tooltip="Send a mail to info@clima755.com"/>
    <x:hyperlink ref="C28" r:id="rId5313" tooltip="Send a mail to info@cooltekservices.com.mt"/>
    <x:hyperlink ref="C29" r:id="rId5314" tooltip="Send a mail to sales@arjakon.com"/>
    <x:hyperlink ref="C30" r:id="rId5315" tooltip="Send a mail to sales@vairni.com"/>
    <x:hyperlink ref="C31" r:id="rId5316" tooltip="Send a mail to Stefandebono90@gmail.com"/>
    <x:hyperlink ref="C32" r:id="rId5317" tooltip="Send a mail to info@novatrading.com.mt"/>
    <x:hyperlink ref="C33" r:id="rId5318" tooltip="Send a mail to sales@venturamalta.com"/>
    <x:hyperlink ref="C34" r:id="rId5319" tooltip="Send a mail to mark_nova@hotmail.com"/>
    <x:hyperlink ref="E2" r:id="rId5320" tooltip="Search baxa buildings, Triq Valleta , II-Mosta MST 9010 on Google Maps"/>
    <x:hyperlink ref="E3" r:id="rId5321" tooltip="Search Daikin Showroom, Triq Il-Belt Valletta, Hal Qormi QRM 3619 on Google Maps"/>
    <x:hyperlink ref="E4" r:id="rId5322" tooltip="Search B.T. Buildings, 300, Triq San Tumas, Hal Tarxien TXN 1602 on Google Maps"/>
    <x:hyperlink ref="E5" r:id="rId5323" tooltip="Search Cutrico Building, Triq L-Imriehel, Mriehel, Birkirkara BKR 3000 on Google Maps"/>
    <x:hyperlink ref="E6" r:id="rId5324" tooltip="Search Triq Il-Blata L-Kahla, Santa Venera on Google Maps"/>
    <x:hyperlink ref="E7" r:id="rId5325" tooltip="Search 307, Triq Misrah Il-Barrieri, Santa Venera SVR 1758 on Google Maps"/>
    <x:hyperlink ref="E8" r:id="rId5326" tooltip="Search Triq Guzeppi Agius, Is-Siggiewi on Google Maps"/>
    <x:hyperlink ref="E9" r:id="rId5327" tooltip="Search Triq Tal-Mensija, San Gwann on Google Maps"/>
    <x:hyperlink ref="E10" r:id="rId5328" tooltip="Search Flat 4, Hinxman Court, Trejqet Il-Gewz, Ir-Rabat, Il-Bahrija on Google Maps"/>
    <x:hyperlink ref="E11" r:id="rId5329" tooltip="Search Phoenix Apartments, No 5, Triq Tas-Sisla, Birkirkara, Is-Swatar on Google Maps"/>
    <x:hyperlink ref="E12" r:id="rId5330" tooltip="Search 220, Triq In-Naxxar, San Ġwann, Malta SGN 9030 on Google Maps"/>
    <x:hyperlink ref="E13" r:id="rId5331" tooltip="Search 125, Triq Il-Kbira San Ġużepp, Ħamrun, Malta on Google Maps"/>
    <x:hyperlink ref="E14" r:id="rId5332" tooltip="Search MPT Business Centre, Level 3, Triq Dun Karm, Birkirkara, Malta on Google Maps"/>
    <x:hyperlink ref="E15" r:id="rId5333" tooltip="Search The Lyric, Triq Antonio Bosio, Msida, Malta on Google Maps"/>
    <x:hyperlink ref="E16" r:id="rId5334" tooltip="Search Triq Nazzjonali, Ħamrun, Malta on Google Maps"/>
    <x:hyperlink ref="E17" r:id="rId5335" tooltip="Search Triq Tal-Hlas ,Hal Qormi , Malta on Google Maps"/>
    <x:hyperlink ref="E18" r:id="rId5336" tooltip="Search Triq L-Industrija, Xewkija, Gozo on Google Maps"/>
    <x:hyperlink ref="E19" r:id="rId5337" tooltip="Search 9D, Midland Micro Enterprise Park, Triq Il-Burmarrad, Burmarrad, Malta on Google Maps"/>
    <x:hyperlink ref="E20" r:id="rId5338" tooltip="Search Triq Ħal Luqa, Qormi, QRM 9070 on Google Maps"/>
    <x:hyperlink ref="E21" r:id="rId5339" tooltip="Search 168, Luqa Industrial Estate, Luqa on Google Maps"/>
    <x:hyperlink ref="E22" r:id="rId5340" tooltip="Search Air Conditioners Malta , San Giljan on Google Maps"/>
    <x:hyperlink ref="E23" r:id="rId5341" tooltip="Search Triq Is-Salib ta L-Imriehel, Birkirkara on Google Maps"/>
    <x:hyperlink ref="E24" r:id="rId5342" tooltip="Search GPL Business Centre,&#10;Triq l-Esportaturi Zone 1,&#10;Central Business District,&#10;L-Imriehel CBD 1040 on Google Maps"/>
    <x:hyperlink ref="E25" r:id="rId5343" tooltip="Search Valley Road Msida on Google Maps"/>
    <x:hyperlink ref="E26" r:id="rId5344" tooltip="Search 18, Guzeppi Licari, Birkirkara, Malta on Google Maps"/>
    <x:hyperlink ref="E27" r:id="rId5345" tooltip="Search Vairni Services Ltd&#10;5 Triq Titu Brandsma ,&#10;Fgura, Malta FGR 2131 on Google Maps"/>
    <x:hyperlink ref="E28" r:id="rId5346" tooltip="Search 29 Maggie Moran Street, Paola on Google Maps"/>
    <x:hyperlink ref="F2" r:id="rId5347" tooltip="Visit able.com.mt"/>
    <x:hyperlink ref="F3" r:id="rId5348" tooltip="Visit daikin.com.mt"/>
    <x:hyperlink ref="F4" r:id="rId5349" tooltip="Visit btmalta.com"/>
    <x:hyperlink ref="F5" r:id="rId5350" tooltip="Visit cutrico.com"/>
    <x:hyperlink ref="F6" r:id="rId5351" tooltip="Visit airsolutions.com.mt"/>
    <x:hyperlink ref="F7" r:id="rId5352" tooltip="Visit casmalta.com"/>
    <x:hyperlink ref="F13" r:id="rId5353" tooltip="Visit attardsmalta.com"/>
    <x:hyperlink ref="F14" r:id="rId5354" tooltip="Visit smarteffects.com.mt"/>
    <x:hyperlink ref="F15" r:id="rId5355" tooltip="Visit titan.com.mt"/>
    <x:hyperlink ref="F16" r:id="rId5356" tooltip="Visit itc-malta.com"/>
    <x:hyperlink ref="F17" r:id="rId5357" tooltip="Visit engenuity.com.mt"/>
    <x:hyperlink ref="F18" r:id="rId5358" tooltip="Visit econetique.com"/>
    <x:hyperlink ref="F22" r:id="rId5359" tooltip="Visit ac-malta.com/en/contacts.html"/>
    <x:hyperlink ref="F23" r:id="rId5360" tooltip="Visit coolforyoumalta.com/?brid=ZrlreT6d_V10djmjAX8k5Q"/>
    <x:hyperlink ref="F24" r:id="rId5361" tooltip="Visit tekno.com.mt/contact/"/>
    <x:hyperlink ref="F25" r:id="rId5362" tooltip="Visit mekanika.com.mt/?brid=yOf5xAjx5Rj8r2210S_NJg"/>
    <x:hyperlink ref="F26" r:id="rId5363" tooltip="Visit panta.mt/"/>
    <x:hyperlink ref="F27" r:id="rId5364" tooltip="Visit clima755.com/"/>
    <x:hyperlink ref="F28" r:id="rId5365" tooltip="Visit cooltekservices.com.mt/"/>
    <x:hyperlink ref="F29" r:id="rId5366" tooltip="Visit yellow.com.mt/arjakon-co-ltd/air-conditioners/"/>
    <x:hyperlink ref="F30" r:id="rId5367" tooltip="Visit vairni.com/wp/?utm_source=Yellow&amp;utm_medium=Yellow-Website&amp;utm_campaign=Landing-Page"/>
    <x:hyperlink ref="F31" r:id="rId5368" tooltip="Visit facebook.com/steffannnn/"/>
    <x:hyperlink ref="F32" r:id="rId5369" tooltip="Visit novatrading.com.mt/contact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50"/>
  <x:sheetViews>
    <x:sheetView workbookViewId="0"/>
  </x:sheetViews>
  <x:sheetFormatPr defaultRowHeight="15"/>
  <x:cols>
    <x:col min="1" max="1" width="15.710625" style="0" customWidth="1"/>
    <x:col min="2" max="2" width="40.710625" style="0" customWidth="1"/>
    <x:col min="3" max="3" width="30.853482" style="0" customWidth="1"/>
    <x:col min="4" max="4" width="18.710625" style="0" customWidth="1"/>
    <x:col min="5" max="5" width="81.424911" style="0" customWidth="1"/>
    <x:col min="6" max="6" width="33.139196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23</x:v>
      </x:c>
      <x:c r="G1" s="5">
        <x:f>HYPERLINK("#'Summary List'!A81", "Back to Summary")</x:f>
      </x:c>
    </x:row>
    <x:row r="2" spans="1:7" s="3" customFormat="1">
      <x:c r="A2" s="3" t="s">
        <x:v>4750</x:v>
      </x:c>
      <x:c r="B2" s="3" t="s">
        <x:v>4751</x:v>
      </x:c>
      <x:c r="C2" s="6" t="s">
        <x:v>1073</x:v>
      </x:c>
      <x:c r="D2" s="7">
        <x:f>CONCATENATE(HYPERLINK("CALLTO:%2B356%202132%200433", "+356 2132 0433"))</x:f>
      </x:c>
      <x:c r="E2" s="6" t="s">
        <x:v>4772</x:v>
      </x:c>
      <x:c r="F2" s="6" t="s">
        <x:v>721</x:v>
      </x:c>
    </x:row>
    <x:row r="3" spans="1:7" s="1" customFormat="1">
      <x:c r="A3" s="1" t="s">
        <x:v>4750</x:v>
      </x:c>
      <x:c r="B3" s="1" t="s">
        <x:v>2275</x:v>
      </x:c>
      <x:c r="C3" s="8" t="s">
        <x:v>4764</x:v>
      </x:c>
      <x:c r="D3" s="9">
        <x:f>CONCATENATE(HYPERLINK("CALLTO:%2B356%202298%208000", "+356 2298 8000"))</x:f>
      </x:c>
      <x:c r="E3" s="8" t="s">
        <x:v>4773</x:v>
      </x:c>
      <x:c r="F3" s="8" t="s">
        <x:v>4788</x:v>
      </x:c>
    </x:row>
    <x:row r="4" spans="1:7" s="4" customFormat="1">
      <x:c r="A4" s="4" t="s">
        <x:v>4750</x:v>
      </x:c>
      <x:c r="B4" s="4" t="s">
        <x:v>4749</x:v>
      </x:c>
      <x:c r="C4" s="10" t="s">
        <x:v>4763</x:v>
      </x:c>
      <x:c r="D4" s="11">
        <x:f>CONCATENATE(HYPERLINK("CALLTO:%2B356%209944%209872", "+356 9944 9872"))</x:f>
      </x:c>
      <x:c r="E4" s="10" t="s">
        <x:v>4774</x:v>
      </x:c>
      <x:c r="F4" s="10" t="s">
        <x:v>4787</x:v>
      </x:c>
    </x:row>
    <x:row r="5" spans="1:7" s="3" customFormat="1">
      <x:c r="A5" s="3" t="s">
        <x:v>4750</x:v>
      </x:c>
      <x:c r="B5" s="3" t="s">
        <x:v>4752</x:v>
      </x:c>
      <x:c r="C5" s="6" t="s">
        <x:v>2356</x:v>
      </x:c>
      <x:c r="D5" s="7">
        <x:f>CONCATENATE(HYPERLINK("CALLTO:%2B356%202180%204588", "+356 2180 4588"))</x:f>
      </x:c>
      <x:c r="E5" s="6" t="s">
        <x:v>4775</x:v>
      </x:c>
      <x:c r="F5" s="6" t="s">
        <x:v>4789</x:v>
      </x:c>
    </x:row>
    <x:row r="6" spans="1:7" s="1" customFormat="1">
      <x:c r="A6" s="1" t="s">
        <x:v>4750</x:v>
      </x:c>
      <x:c r="B6" s="1" t="s">
        <x:v>4754</x:v>
      </x:c>
      <x:c r="C6" s="8" t="s">
        <x:v>1914</x:v>
      </x:c>
      <x:c r="D6" s="9">
        <x:f>CONCATENATE(HYPERLINK("CALLTO:%2B356%202033%204532", "+356 2033 4532"))</x:f>
      </x:c>
      <x:c r="E6" s="8" t="s">
        <x:v>4776</x:v>
      </x:c>
      <x:c r="F6" s="8" t="s">
        <x:v>4790</x:v>
      </x:c>
    </x:row>
    <x:row r="7" spans="1:7" s="4" customFormat="1">
      <x:c r="A7" s="4" t="s">
        <x:v>4750</x:v>
      </x:c>
      <x:c r="B7" s="4" t="s">
        <x:v>4755</x:v>
      </x:c>
      <x:c r="C7" s="10" t="s">
        <x:v>2554</x:v>
      </x:c>
      <x:c r="D7" s="11">
        <x:f>CONCATENATE(HYPERLINK("CALLTO:%2B356%202138%202595", "+356 2138 2595"))</x:f>
      </x:c>
      <x:c r="E7" s="10" t="s">
        <x:v>4777</x:v>
      </x:c>
      <x:c r="F7" s="4" t="s">
        <x:v>144</x:v>
      </x:c>
    </x:row>
    <x:row r="8" spans="1:7" s="3" customFormat="1">
      <x:c r="A8" s="3" t="s">
        <x:v>4750</x:v>
      </x:c>
      <x:c r="B8" s="3" t="s">
        <x:v>4753</x:v>
      </x:c>
      <x:c r="C8" s="6" t="s">
        <x:v>699</x:v>
      </x:c>
      <x:c r="D8" s="7">
        <x:f>CONCATENATE(HYPERLINK("CALLTO:%2B356%202146%206668", "+356 2146 6668"))</x:f>
      </x:c>
      <x:c r="E8" s="6" t="s">
        <x:v>1400</x:v>
      </x:c>
      <x:c r="F8" s="3" t="s">
        <x:v>144</x:v>
      </x:c>
    </x:row>
    <x:row r="9" spans="1:7" s="1" customFormat="1">
      <x:c r="A9" s="1" t="s">
        <x:v>4750</x:v>
      </x:c>
      <x:c r="B9" s="1" t="s">
        <x:v>4757</x:v>
      </x:c>
      <x:c r="C9" s="8" t="s">
        <x:v>4765</x:v>
      </x:c>
      <x:c r="D9" s="9">
        <x:f>CONCATENATE(HYPERLINK("CALLTO:%2B356%207727%201493", "+356 7727 1493"))</x:f>
      </x:c>
      <x:c r="E9" s="8" t="s">
        <x:v>4778</x:v>
      </x:c>
      <x:c r="F9" s="1" t="s">
        <x:v>144</x:v>
      </x:c>
    </x:row>
    <x:row r="10" spans="1:7" s="4" customFormat="1">
      <x:c r="A10" s="4" t="s">
        <x:v>4750</x:v>
      </x:c>
      <x:c r="B10" s="4" t="s">
        <x:v>4756</x:v>
      </x:c>
      <x:c r="C10" s="10" t="s">
        <x:v>4766</x:v>
      </x:c>
      <x:c r="D10" s="11">
        <x:f>CONCATENATE(HYPERLINK("CALLTO:%2B356%209949%204363", "+356 9949 4363"))</x:f>
      </x:c>
      <x:c r="E10" s="10" t="s">
        <x:v>4779</x:v>
      </x:c>
      <x:c r="F10" s="10" t="s">
        <x:v>4786</x:v>
      </x:c>
    </x:row>
    <x:row r="11" spans="1:7" s="3" customFormat="1">
      <x:c r="A11" s="3" t="s">
        <x:v>4750</x:v>
      </x:c>
      <x:c r="B11" s="3" t="s">
        <x:v>4759</x:v>
      </x:c>
      <x:c r="C11" s="6" t="s">
        <x:v>4767</x:v>
      </x:c>
      <x:c r="D11" s="7">
        <x:f>CONCATENATE(HYPERLINK("CALLTO:%2B356%202169%202917", "+356 2169 2917"))</x:f>
      </x:c>
      <x:c r="E11" s="6" t="s">
        <x:v>4780</x:v>
      </x:c>
      <x:c r="F11" s="6" t="s">
        <x:v>4821</x:v>
      </x:c>
    </x:row>
    <x:row r="12" spans="1:7" s="1" customFormat="1">
      <x:c r="A12" s="1" t="s">
        <x:v>4750</x:v>
      </x:c>
      <x:c r="B12" s="1" t="s">
        <x:v>4758</x:v>
      </x:c>
      <x:c r="C12" s="8" t="s">
        <x:v>4768</x:v>
      </x:c>
      <x:c r="D12" s="9">
        <x:f>CONCATENATE(HYPERLINK("CALLTO:%2B356%202144%204348", "+356 2144 4348"))</x:f>
      </x:c>
      <x:c r="E12" s="8" t="s">
        <x:v>4781</x:v>
      </x:c>
      <x:c r="F12" s="8" t="s">
        <x:v>4791</x:v>
      </x:c>
    </x:row>
    <x:row r="13" spans="1:7" s="4" customFormat="1">
      <x:c r="A13" s="4" t="s">
        <x:v>4750</x:v>
      </x:c>
      <x:c r="B13" s="4" t="s">
        <x:v>4761</x:v>
      </x:c>
      <x:c r="C13" s="10" t="s">
        <x:v>2133</x:v>
      </x:c>
      <x:c r="D13" s="11">
        <x:f>CONCATENATE(HYPERLINK("CALLTO:%2B356%202133%204145", "+356 2133 4145"))</x:f>
      </x:c>
      <x:c r="E13" s="10" t="s">
        <x:v>4783</x:v>
      </x:c>
      <x:c r="F13" s="10" t="s">
        <x:v>4792</x:v>
      </x:c>
    </x:row>
    <x:row r="14" spans="1:7" s="3" customFormat="1">
      <x:c r="A14" s="3" t="s">
        <x:v>4750</x:v>
      </x:c>
      <x:c r="B14" s="3" t="s">
        <x:v>4762</x:v>
      </x:c>
      <x:c r="C14" s="6" t="s">
        <x:v>4769</x:v>
      </x:c>
      <x:c r="D14" s="7">
        <x:f>CONCATENATE(HYPERLINK("CALLTO:%2B356%202148%205203", "+356 2148 5203"))</x:f>
      </x:c>
      <x:c r="E14" s="6" t="s">
        <x:v>4782</x:v>
      </x:c>
      <x:c r="F14" s="6" t="s">
        <x:v>4793</x:v>
      </x:c>
    </x:row>
    <x:row r="15" spans="1:7" s="1" customFormat="1">
      <x:c r="A15" s="1" t="s">
        <x:v>4750</x:v>
      </x:c>
      <x:c r="B15" s="1" t="s">
        <x:v>2287</x:v>
      </x:c>
      <x:c r="C15" s="8" t="s">
        <x:v>4770</x:v>
      </x:c>
      <x:c r="D15" s="9">
        <x:f>CONCATENATE(HYPERLINK("CALLTO:%2B356%207909%205062", "+356 7909 5062"))</x:f>
      </x:c>
      <x:c r="E15" s="8" t="s">
        <x:v>4784</x:v>
      </x:c>
      <x:c r="F15" s="8" t="s">
        <x:v>4794</x:v>
      </x:c>
    </x:row>
    <x:row r="16" spans="1:7" s="4" customFormat="1">
      <x:c r="A16" s="4" t="s">
        <x:v>4750</x:v>
      </x:c>
      <x:c r="B16" s="4" t="s">
        <x:v>4760</x:v>
      </x:c>
      <x:c r="C16" s="10" t="s">
        <x:v>4771</x:v>
      </x:c>
      <x:c r="D16" s="11">
        <x:f>CONCATENATE(HYPERLINK("CALLTO:%2B356%201243%20430892", "+356 1243 430892"))</x:f>
      </x:c>
      <x:c r="E16" s="10" t="s">
        <x:v>4785</x:v>
      </x:c>
      <x:c r="F16" s="10" t="s">
        <x:v>4795</x:v>
      </x:c>
    </x:row>
    <x:row r="17" spans="1:7" s="3" customFormat="1">
      <x:c r="A17" s="3" t="s">
        <x:v>4750</x:v>
      </x:c>
      <x:c r="B17" s="3" t="s">
        <x:v>2983</x:v>
      </x:c>
      <x:c r="C17" s="6" t="s">
        <x:v>2986</x:v>
      </x:c>
      <x:c r="D17" s="7">
        <x:f>CONCATENATE(HYPERLINK("CALLTO:%2B356%202144%207379", "+356 2144 7379"))</x:f>
      </x:c>
      <x:c r="E17" s="6" t="s">
        <x:v>2989</x:v>
      </x:c>
      <x:c r="F17" s="6" t="s">
        <x:v>2146</x:v>
      </x:c>
    </x:row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</x:sheetData>
  <x:hyperlinks>
    <x:hyperlink ref="C2" r:id="rId5370" tooltip="Send a mail to sales@dimech-ent.com"/>
    <x:hyperlink ref="C3" r:id="rId5371" tooltip="Send a mail to Sales@pmhobby.com.mt"/>
    <x:hyperlink ref="C4" r:id="rId5372" tooltip="Send a mail to timbers@demajo.com"/>
    <x:hyperlink ref="C5" r:id="rId5373" tooltip="Send a mail to info@calypsomfg.com"/>
    <x:hyperlink ref="C6" r:id="rId5374" tooltip="Send a mail to sales@maltashopper.com"/>
    <x:hyperlink ref="C7" r:id="rId5375" tooltip="Send a mail to sales@pvcmalta.com"/>
    <x:hyperlink ref="C8" r:id="rId5376" tooltip="Send a mail to bmsltdmalta@gmail.com"/>
    <x:hyperlink ref="C9" r:id="rId5377" tooltip="Send a mail to info@galtd.com"/>
    <x:hyperlink ref="C10" r:id="rId5378" tooltip="Send a mail to info@marineservicesmalta.com"/>
    <x:hyperlink ref="C11" r:id="rId5379" tooltip="Send a mail to info@adrewvassallo.com"/>
    <x:hyperlink ref="C12" r:id="rId5380" tooltip="Send a mail to info@theprofessionalsmalta.com"/>
    <x:hyperlink ref="C13" r:id="rId5381" tooltip="Send a mail to info@linkprojects.com.mt"/>
    <x:hyperlink ref="C14" r:id="rId5382" tooltip="Send a mail to info@protrade.com.mt"/>
    <x:hyperlink ref="C15" r:id="rId5383" tooltip="Send a mail to info@salibawoodworks.com"/>
    <x:hyperlink ref="C16" r:id="rId5384" tooltip="Send a mail to sales@deckfab.co.uk"/>
    <x:hyperlink ref="C17" r:id="rId5385" tooltip="Send a mail to tuttoparquetmalta@gmail.com"/>
    <x:hyperlink ref="E2" r:id="rId5386" tooltip="Search Centre Point, Triq Valletta, Luqa, Malta LQA 1762 on Google Maps"/>
    <x:hyperlink ref="E3" r:id="rId5387" tooltip="Search Zone 1, Central Business District, Bone Street, Mriehel Bypass – Birkirkara, CBD1060 Malta on Google Maps"/>
    <x:hyperlink ref="E4" r:id="rId5388" tooltip="Search Olive Square, Qormi, QRM 11, Malta on Google Maps"/>
    <x:hyperlink ref="E5" r:id="rId5389" tooltip="Search 5, Cospicua Road, Fgura FGR 1261, Malta on Google Maps"/>
    <x:hyperlink ref="E6" r:id="rId5390" tooltip="Search 162, Cannon Road, Santa Venera, Malta on Google Maps"/>
    <x:hyperlink ref="E7" r:id="rId5391" tooltip="Search 52 Triq il-Mużika, Iklin, IKL 1091, Malta on Google Maps"/>
    <x:hyperlink ref="E8" r:id="rId5392" tooltip="Search Mdina Road, Qormi, QRM 9011, Malta on Google Maps"/>
    <x:hyperlink ref="E9" r:id="rId5393" tooltip="Search Triq Tumas Galea, Birkirkara, BKR 4519, Malta on Google Maps"/>
    <x:hyperlink ref="E10" r:id="rId5394" tooltip="Search MSL Boat Yard, Triq il-Kappella ta’ Santa Marija, Magħtab, Naxxar, NXR 6511, Malta on Google Maps"/>
    <x:hyperlink ref="E11" r:id="rId5395" tooltip="Search triq Ħal Tarxien, Il-Gudja, Malta on Google Maps"/>
    <x:hyperlink ref="E12" r:id="rId5396" tooltip="Search Qormi, Malta on Google Maps"/>
    <x:hyperlink ref="E13" r:id="rId5397" tooltip="Search VFWV+V77, ix-Xatt, Ta' Xbiex on Google Maps"/>
    <x:hyperlink ref="E14" r:id="rId5398" tooltip="Search Zone 5, Triq Is-Sebħ, Central Business District, Qormi, Malta on Google Maps"/>
    <x:hyperlink ref="E15" r:id="rId5399" tooltip="Search St Mary Garage, Triq Ħal Tarxien, Gudja, Malta on Google Maps"/>
    <x:hyperlink ref="E16" r:id="rId5400" tooltip="Search malta on Google Maps"/>
    <x:hyperlink ref="E17" r:id="rId5401" tooltip="Search 10, Triq Dun Karm&#10;Birkirkara, Malta on Google Maps"/>
    <x:hyperlink ref="F2" r:id="rId5402" tooltip="Visit dimech-ent.com/outdoors"/>
    <x:hyperlink ref="F3" r:id="rId5403" tooltip="Visit pmhobby.com.mt"/>
    <x:hyperlink ref="F4" r:id="rId5404" tooltip="Visit demajotimbers.com"/>
    <x:hyperlink ref="F5" r:id="rId5405" tooltip="Visit calypsomfg.com"/>
    <x:hyperlink ref="F6" r:id="rId5406" tooltip="Visit maltashopper.com"/>
    <x:hyperlink ref="F10" r:id="rId5407" tooltip="Visit marineservicesmalta.com"/>
    <x:hyperlink ref="F11" r:id="rId5408" tooltip="Visit andrewvassallo.com"/>
    <x:hyperlink ref="F12" r:id="rId5409" tooltip="Visit theprofessionalsmalta.com"/>
    <x:hyperlink ref="F13" r:id="rId5410" tooltip="Visit linkprojects.com.mt"/>
    <x:hyperlink ref="F14" r:id="rId5411" tooltip="Visit protrade.com.mt"/>
    <x:hyperlink ref="F15" r:id="rId5412" tooltip="Visit salibawoodworks.com"/>
    <x:hyperlink ref="F16" r:id="rId5413" tooltip="Visit deckfabmarine.com"/>
    <x:hyperlink ref="F17" r:id="rId5414" tooltip="Visit tuttoparquetmalta.com/index.html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6"/>
  <x:sheetViews>
    <x:sheetView workbookViewId="0"/>
  </x:sheetViews>
  <x:sheetFormatPr defaultRowHeight="15"/>
  <x:cols>
    <x:col min="1" max="1" width="10.853482" style="0" customWidth="1"/>
    <x:col min="2" max="2" width="33.139196" style="0" customWidth="1"/>
    <x:col min="3" max="3" width="29.996339" style="0" customWidth="1"/>
    <x:col min="4" max="4" width="45.282054" style="0" customWidth="1"/>
    <x:col min="5" max="5" width="71.567768" style="0" customWidth="1"/>
    <x:col min="6" max="6" width="20.282054" style="0" customWidth="1"/>
    <x:col min="7" max="7" width="55.567768" style="0" customWidth="1"/>
    <x:col min="8" max="8" width="20.996339" style="0" customWidth="1"/>
  </x:cols>
  <x:sheetData>
    <x:row r="1" spans="1:8" s="2" customFormat="1">
      <x:c r="A1" s="2" t="s">
        <x:v>915</x:v>
      </x:c>
      <x:c r="B1" s="2" t="s">
        <x:v>482</x:v>
      </x:c>
      <x:c r="C1" s="2" t="s">
        <x:v>502</x:v>
      </x:c>
      <x:c r="D1" s="2" t="s">
        <x:v>521</x:v>
      </x:c>
      <x:c r="E1" s="2" t="s">
        <x:v>914</x:v>
      </x:c>
      <x:c r="F1" s="2" t="s">
        <x:v>23</x:v>
      </x:c>
      <x:c r="G1" s="2" t="s">
        <x:v>872</x:v>
      </x:c>
      <x:c r="H1" s="5">
        <x:f>HYPERLINK("#'Summary List'!A82", "Back to Summary")</x:f>
      </x:c>
    </x:row>
    <x:row r="2" spans="1:8" s="3" customFormat="1">
      <x:c r="A2" s="3" t="s">
        <x:v>4797</x:v>
      </x:c>
      <x:c r="B2" s="3" t="s">
        <x:v>4798</x:v>
      </x:c>
      <x:c r="C2" s="6" t="s">
        <x:v>799</x:v>
      </x:c>
      <x:c r="D2" s="7">
        <x:f>CONCATENATE(HYPERLINK("CALLTO:%2B356%202169%202917", "+356 2169 2917"))</x:f>
      </x:c>
      <x:c r="E2" s="6" t="s">
        <x:v>4813</x:v>
      </x:c>
      <x:c r="F2" s="6" t="s">
        <x:v>4821</x:v>
      </x:c>
      <x:c r="G2" s="3" t="s">
        <x:v>144</x:v>
      </x:c>
    </x:row>
    <x:row r="3" spans="1:8" s="1" customFormat="1">
      <x:c r="A3" s="1" t="s">
        <x:v>4797</x:v>
      </x:c>
      <x:c r="B3" s="1" t="s">
        <x:v>4796</x:v>
      </x:c>
      <x:c r="C3" s="8" t="s">
        <x:v>3152</x:v>
      </x:c>
      <x:c r="D3" s="9">
        <x:f>CONCATENATE(HYPERLINK("CALLTO:%2B356%209949%203628", "+356 9949 3628"))</x:f>
      </x:c>
      <x:c r="E3" s="8" t="s">
        <x:v>4814</x:v>
      </x:c>
      <x:c r="F3" s="8" t="s">
        <x:v>4822</x:v>
      </x:c>
      <x:c r="G3" s="1" t="s">
        <x:v>4829</x:v>
      </x:c>
    </x:row>
    <x:row r="4" spans="1:8" s="4" customFormat="1">
      <x:c r="A4" s="4" t="s">
        <x:v>4797</x:v>
      </x:c>
      <x:c r="B4" s="4" t="s">
        <x:v>4800</x:v>
      </x:c>
      <x:c r="C4" s="10" t="s">
        <x:v>1302</x:v>
      </x:c>
      <x:c r="D4" s="11">
        <x:f>CONCATENATE(HYPERLINK("CALLTO:%2B356%202144%209641", "+356 2144 9641"))</x:f>
      </x:c>
      <x:c r="E4" s="10" t="s">
        <x:v>4816</x:v>
      </x:c>
      <x:c r="F4" s="10" t="s">
        <x:v>4823</x:v>
      </x:c>
      <x:c r="G4" s="4" t="s">
        <x:v>4830</x:v>
      </x:c>
    </x:row>
    <x:row r="5" spans="1:8" s="3" customFormat="1">
      <x:c r="A5" s="3" t="s">
        <x:v>4797</x:v>
      </x:c>
      <x:c r="B5" s="3" t="s">
        <x:v>4799</x:v>
      </x:c>
      <x:c r="C5" s="6" t="s">
        <x:v>4808</x:v>
      </x:c>
      <x:c r="D5" s="7">
        <x:f>CONCATENATE(HYPERLINK("CALLTO:%2B356%202143%203636", "+356 2143 3636"))</x:f>
      </x:c>
      <x:c r="E5" s="6" t="s">
        <x:v>4815</x:v>
      </x:c>
      <x:c r="F5" s="6" t="s">
        <x:v>4824</x:v>
      </x:c>
      <x:c r="G5" s="3" t="s">
        <x:v>4831</x:v>
      </x:c>
    </x:row>
    <x:row r="6" spans="1:8" s="1" customFormat="1">
      <x:c r="A6" s="1" t="s">
        <x:v>4797</x:v>
      </x:c>
      <x:c r="B6" s="1" t="s">
        <x:v>4802</x:v>
      </x:c>
      <x:c r="C6" s="8" t="s">
        <x:v>1323</x:v>
      </x:c>
      <x:c r="D6" s="9">
        <x:f>CONCATENATE(HYPERLINK("CALLTO:%2B356%202549%203000", "+356 2549 3000"))</x:f>
      </x:c>
      <x:c r="E6" s="8" t="s">
        <x:v>4817</x:v>
      </x:c>
      <x:c r="F6" s="8" t="s">
        <x:v>4825</x:v>
      </x:c>
      <x:c r="G6" s="1" t="s">
        <x:v>4832</x:v>
      </x:c>
    </x:row>
    <x:row r="7" spans="1:8" s="4" customFormat="1">
      <x:c r="A7" s="4" t="s">
        <x:v>4797</x:v>
      </x:c>
      <x:c r="B7" s="4" t="s">
        <x:v>4801</x:v>
      </x:c>
      <x:c r="C7" s="10" t="s">
        <x:v>2134</x:v>
      </x:c>
      <x:c r="D7" s="11">
        <x:f>CONCATENATE(HYPERLINK("CALLTO:%2B356%202277%203000", "+356 2277 3000"))</x:f>
      </x:c>
      <x:c r="E7" s="10" t="s">
        <x:v>4819</x:v>
      </x:c>
      <x:c r="F7" s="10" t="s">
        <x:v>2137</x:v>
      </x:c>
      <x:c r="G7" s="4" t="s">
        <x:v>4833</x:v>
      </x:c>
    </x:row>
    <x:row r="8" spans="1:8" s="3" customFormat="1">
      <x:c r="A8" s="3" t="s">
        <x:v>4797</x:v>
      </x:c>
      <x:c r="B8" s="3" t="s">
        <x:v>4803</x:v>
      </x:c>
      <x:c r="C8" s="6" t="s">
        <x:v>4809</x:v>
      </x:c>
      <x:c r="D8" s="7">
        <x:f>CONCATENATE(HYPERLINK("CALLTO:%2B356%202144%201234", "+356 2144 1234"), " / ", HYPERLINK("CALLTO:%2B356%202155%206694", "+356 2155 6694"), " / ", HYPERLINK("CALLTO:%2B356%202149%201111", "+356 2149 1111"))</x:f>
      </x:c>
      <x:c r="E8" s="6" t="s">
        <x:v>3208</x:v>
      </x:c>
      <x:c r="F8" s="6" t="s">
        <x:v>4826</x:v>
      </x:c>
      <x:c r="G8" s="3" t="s">
        <x:v>4834</x:v>
      </x:c>
    </x:row>
    <x:row r="9" spans="1:8" s="1" customFormat="1">
      <x:c r="A9" s="1" t="s">
        <x:v>4797</x:v>
      </x:c>
      <x:c r="B9" s="1" t="s">
        <x:v>2496</x:v>
      </x:c>
      <x:c r="C9" s="8" t="s">
        <x:v>1013</x:v>
      </x:c>
      <x:c r="D9" s="9">
        <x:f>CONCATENATE(HYPERLINK("CALLTO:%2B356%202134%205678", "+356 2134 5678"))</x:f>
      </x:c>
      <x:c r="E9" s="8" t="s">
        <x:v>4818</x:v>
      </x:c>
      <x:c r="F9" s="8" t="s">
        <x:v>4827</x:v>
      </x:c>
      <x:c r="G9" s="1" t="s">
        <x:v>4835</x:v>
      </x:c>
    </x:row>
    <x:row r="10" spans="1:8" s="4" customFormat="1">
      <x:c r="A10" s="4" t="s">
        <x:v>4797</x:v>
      </x:c>
      <x:c r="B10" s="4" t="s">
        <x:v>4805</x:v>
      </x:c>
      <x:c r="C10" s="10" t="s">
        <x:v>1071</x:v>
      </x:c>
      <x:c r="D10" s="11">
        <x:f>CONCATENATE(HYPERLINK("CALLTO:%2B356%202180%208802", "+356 2180 8802"))</x:f>
      </x:c>
      <x:c r="E10" s="10" t="s">
        <x:v>4820</x:v>
      </x:c>
      <x:c r="F10" s="10" t="s">
        <x:v>4828</x:v>
      </x:c>
    </x:row>
    <x:row r="11" spans="1:8" s="3" customFormat="1">
      <x:c r="A11" s="3" t="s">
        <x:v>4797</x:v>
      </x:c>
      <x:c r="B11" s="3" t="s">
        <x:v>997</x:v>
      </x:c>
      <x:c r="C11" s="6" t="s">
        <x:v>1017</x:v>
      </x:c>
      <x:c r="D11" s="7">
        <x:f>CONCATENATE(HYPERLINK("CALLTO:%2B356%209949%202278", "+356 9949 2278"))</x:f>
      </x:c>
      <x:c r="E11" s="6" t="s">
        <x:v>1040</x:v>
      </x:c>
      <x:c r="F11" s="6" t="s">
        <x:v>5252</x:v>
      </x:c>
    </x:row>
    <x:row r="12" spans="1:8" s="1" customFormat="1">
      <x:c r="A12" s="1" t="s">
        <x:v>4797</x:v>
      </x:c>
      <x:c r="B12" s="1" t="s">
        <x:v>3814</x:v>
      </x:c>
      <x:c r="C12" s="8" t="s">
        <x:v>3850</x:v>
      </x:c>
      <x:c r="D12" s="9">
        <x:f>CONCATENATE(HYPERLINK("CALLTO:%2B356%209971%202105", "+356 9971 2105"))</x:f>
      </x:c>
    </x:row>
    <x:row r="13" spans="1:8" s="4" customFormat="1">
      <x:c r="A13" s="4" t="s">
        <x:v>4797</x:v>
      </x:c>
      <x:c r="B13" s="4" t="s">
        <x:v>4804</x:v>
      </x:c>
      <x:c r="C13" s="10" t="s">
        <x:v>4293</x:v>
      </x:c>
      <x:c r="D13" s="11">
        <x:f>CONCATENATE(HYPERLINK("CALLTO:%2B356%202737%200730", "+356 2737 0730"))</x:f>
      </x:c>
    </x:row>
    <x:row r="14" spans="1:8" s="3" customFormat="1">
      <x:c r="A14" s="3" t="s">
        <x:v>4797</x:v>
      </x:c>
      <x:c r="B14" s="3" t="s">
        <x:v>4806</x:v>
      </x:c>
      <x:c r="C14" s="6" t="s">
        <x:v>4810</x:v>
      </x:c>
      <x:c r="D14" s="7">
        <x:f>CONCATENATE(HYPERLINK("CALLTO:%2B356%202133%204145", "+356 2133 4145"))</x:f>
      </x:c>
    </x:row>
    <x:row r="15" spans="1:8" s="1" customFormat="1">
      <x:c r="A15" s="1" t="s">
        <x:v>4797</x:v>
      </x:c>
      <x:c r="B15" s="1" t="s">
        <x:v>2127</x:v>
      </x:c>
      <x:c r="C15" s="8" t="s">
        <x:v>2133</x:v>
      </x:c>
    </x:row>
    <x:row r="16" spans="1:8" s="4" customFormat="1">
      <x:c r="A16" s="4" t="s">
        <x:v>4797</x:v>
      </x:c>
      <x:c r="B16" s="4" t="s">
        <x:v>3254</x:v>
      </x:c>
      <x:c r="C16" s="10" t="s">
        <x:v>4811</x:v>
      </x:c>
    </x:row>
    <x:row r="17" spans="1:8" s="3" customFormat="1">
      <x:c r="A17" s="3" t="s">
        <x:v>4797</x:v>
      </x:c>
      <x:c r="B17" s="3" t="s">
        <x:v>4807</x:v>
      </x:c>
      <x:c r="C17" s="6" t="s">
        <x:v>4812</x:v>
      </x:c>
    </x:row>
    <x:row r="18" spans="1:8" s="1" customFormat="1"/>
    <x:row r="19" spans="1:8" s="4" customFormat="1"/>
    <x:row r="20" spans="1:8" s="3" customFormat="1"/>
    <x:row r="21" spans="1:8" s="1" customFormat="1"/>
    <x:row r="22" spans="1:8" s="4" customFormat="1"/>
    <x:row r="23" spans="1:8" s="3" customFormat="1"/>
    <x:row r="24" spans="1:8" s="1" customFormat="1"/>
    <x:row r="25" spans="1:8" s="4" customFormat="1"/>
    <x:row r="26" spans="1:8" s="3" customFormat="1"/>
    <x:row r="27" spans="1:8" s="1" customFormat="1"/>
    <x:row r="28" spans="1:8" s="4" customFormat="1"/>
    <x:row r="29" spans="1:8" s="3" customFormat="1"/>
    <x:row r="30" spans="1:8" s="1" customFormat="1"/>
    <x:row r="31" spans="1:8" s="4" customFormat="1"/>
    <x:row r="32" spans="1:8" s="3" customFormat="1"/>
    <x:row r="33" spans="1:8" s="1" customFormat="1"/>
    <x:row r="34" spans="1:8" s="4" customFormat="1"/>
    <x:row r="35" spans="1:8" s="3" customFormat="1"/>
    <x:row r="36" spans="1:8" s="1" customFormat="1"/>
    <x:row r="37" spans="1:8" s="4" customFormat="1"/>
    <x:row r="38" spans="1:8" s="3" customFormat="1"/>
    <x:row r="39" spans="1:8" s="1" customFormat="1"/>
    <x:row r="40" spans="1:8" s="4" customFormat="1"/>
    <x:row r="41" spans="1:8" s="3" customFormat="1"/>
    <x:row r="42" spans="1:8" s="1" customFormat="1"/>
    <x:row r="43" spans="1:8" s="4" customFormat="1"/>
    <x:row r="44" spans="1:8" s="3" customFormat="1"/>
    <x:row r="45" spans="1:8" s="1" customFormat="1"/>
    <x:row r="46" spans="1:8" s="4" customFormat="1"/>
    <x:row r="47" spans="1:8" s="3" customFormat="1"/>
    <x:row r="48" spans="1:8" s="1" customFormat="1"/>
    <x:row r="49" spans="1:8" s="4" customFormat="1"/>
    <x:row r="50" spans="1:8" s="3" customFormat="1"/>
    <x:row r="51" spans="1:8" s="1" customFormat="1"/>
    <x:row r="52" spans="1:8" s="4" customFormat="1"/>
    <x:row r="53" spans="1:8" s="3" customFormat="1"/>
    <x:row r="54" spans="1:8" s="1" customFormat="1"/>
    <x:row r="55" spans="1:8" s="4" customFormat="1"/>
    <x:row r="56" spans="1:8" s="3" customFormat="1"/>
    <x:row r="57" spans="1:8" s="1" customFormat="1"/>
    <x:row r="58" spans="1:8" s="4" customFormat="1"/>
    <x:row r="59" spans="1:8" s="3" customFormat="1"/>
    <x:row r="60" spans="1:8" s="1" customFormat="1"/>
    <x:row r="61" spans="1:8" s="4" customFormat="1"/>
    <x:row r="62" spans="1:8" s="3" customFormat="1"/>
    <x:row r="63" spans="1:8" s="1" customFormat="1"/>
    <x:row r="64" spans="1:8" s="4" customFormat="1"/>
    <x:row r="65" spans="1:8" s="3" customFormat="1"/>
    <x:row r="66" spans="1:8" s="1" customFormat="1"/>
    <x:row r="67" spans="1:8" s="4" customFormat="1"/>
    <x:row r="68" spans="1:8" s="3" customFormat="1"/>
    <x:row r="69" spans="1:8" s="1" customFormat="1"/>
    <x:row r="70" spans="1:8" s="4" customFormat="1"/>
    <x:row r="71" spans="1:8" s="3" customFormat="1"/>
    <x:row r="72" spans="1:8" s="1" customFormat="1"/>
    <x:row r="73" spans="1:8" s="4" customFormat="1"/>
    <x:row r="74" spans="1:8" s="3" customFormat="1"/>
    <x:row r="75" spans="1:8" s="1" customFormat="1"/>
    <x:row r="76" spans="1:8" s="4" customFormat="1"/>
    <x:row r="77" spans="1:8" s="3" customFormat="1"/>
    <x:row r="78" spans="1:8" s="1" customFormat="1"/>
    <x:row r="79" spans="1:8" s="4" customFormat="1"/>
    <x:row r="80" spans="1:8" s="3" customFormat="1"/>
    <x:row r="81" spans="1:8" s="1" customFormat="1"/>
    <x:row r="82" spans="1:8" s="4" customFormat="1"/>
    <x:row r="83" spans="1:8" s="3" customFormat="1"/>
    <x:row r="84" spans="1:8" s="1" customFormat="1"/>
    <x:row r="85" spans="1:8" s="4" customFormat="1"/>
    <x:row r="86" spans="1:8" s="3" customFormat="1"/>
    <x:row r="87" spans="1:8" s="1" customFormat="1"/>
    <x:row r="88" spans="1:8" s="4" customFormat="1"/>
    <x:row r="89" spans="1:8" s="3" customFormat="1"/>
    <x:row r="90" spans="1:8" s="1" customFormat="1"/>
    <x:row r="91" spans="1:8" s="4" customFormat="1"/>
    <x:row r="92" spans="1:8" s="3" customFormat="1"/>
    <x:row r="93" spans="1:8" s="1" customFormat="1"/>
    <x:row r="94" spans="1:8" s="4" customFormat="1"/>
    <x:row r="95" spans="1:8" s="3" customFormat="1"/>
    <x:row r="96" spans="1:8" s="1" customFormat="1"/>
    <x:row r="97" spans="1:8" s="4" customFormat="1"/>
    <x:row r="98" spans="1:8" s="3" customFormat="1"/>
    <x:row r="99" spans="1:8" s="1" customFormat="1"/>
    <x:row r="100" spans="1:8" s="4" customFormat="1"/>
    <x:row r="101" spans="1:8" s="3" customFormat="1"/>
    <x:row r="102" spans="1:8" s="1" customFormat="1"/>
    <x:row r="103" spans="1:8" s="4" customFormat="1"/>
    <x:row r="104" spans="1:8" s="3" customFormat="1"/>
    <x:row r="105" spans="1:8" s="1" customFormat="1"/>
    <x:row r="106" spans="1:8" s="4" customFormat="1"/>
    <x:row r="107" spans="1:8" s="3" customFormat="1"/>
    <x:row r="108" spans="1:8" s="1" customFormat="1"/>
    <x:row r="109" spans="1:8" s="4" customFormat="1"/>
    <x:row r="110" spans="1:8" s="3" customFormat="1"/>
    <x:row r="111" spans="1:8" s="1" customFormat="1"/>
    <x:row r="112" spans="1:8" s="4" customFormat="1"/>
    <x:row r="113" spans="1:8" s="3" customFormat="1"/>
    <x:row r="114" spans="1:8" s="1" customFormat="1"/>
    <x:row r="115" spans="1:8" s="4" customFormat="1"/>
    <x:row r="116" spans="1:8" s="3" customFormat="1"/>
    <x:row r="117" spans="1:8" s="1" customFormat="1"/>
    <x:row r="118" spans="1:8" s="4" customFormat="1"/>
    <x:row r="119" spans="1:8" s="3" customFormat="1"/>
    <x:row r="120" spans="1:8" s="1" customFormat="1"/>
    <x:row r="121" spans="1:8" s="4" customFormat="1"/>
    <x:row r="122" spans="1:8" s="3" customFormat="1"/>
    <x:row r="123" spans="1:8" s="1" customFormat="1"/>
    <x:row r="124" spans="1:8" s="4" customFormat="1"/>
    <x:row r="125" spans="1:8" s="3" customFormat="1"/>
    <x:row r="126" spans="1:8" s="1" customFormat="1"/>
    <x:row r="127" spans="1:8" s="4" customFormat="1"/>
    <x:row r="128" spans="1:8" s="3" customFormat="1"/>
    <x:row r="129" spans="1:8" s="1" customFormat="1"/>
    <x:row r="130" spans="1:8" s="4" customFormat="1"/>
    <x:row r="131" spans="1:8" s="3" customFormat="1"/>
    <x:row r="132" spans="1:8" s="1" customFormat="1"/>
    <x:row r="133" spans="1:8" s="4" customFormat="1"/>
    <x:row r="134" spans="1:8" s="3" customFormat="1"/>
    <x:row r="135" spans="1:8" s="1" customFormat="1"/>
    <x:row r="136" spans="1:8" s="4" customFormat="1"/>
    <x:row r="137" spans="1:8" s="3" customFormat="1"/>
    <x:row r="138" spans="1:8" s="1" customFormat="1"/>
    <x:row r="139" spans="1:8" s="4" customFormat="1"/>
    <x:row r="140" spans="1:8" s="3" customFormat="1"/>
    <x:row r="141" spans="1:8" s="1" customFormat="1"/>
    <x:row r="142" spans="1:8" s="4" customFormat="1"/>
    <x:row r="143" spans="1:8" s="3" customFormat="1"/>
    <x:row r="144" spans="1:8" s="1" customFormat="1"/>
    <x:row r="145" spans="1:8" s="4" customFormat="1"/>
    <x:row r="146" spans="1:8" s="3" customFormat="1"/>
  </x:sheetData>
  <x:hyperlinks>
    <x:hyperlink ref="C2" r:id="rId5415" tooltip="Send a mail to info@andrewvassallo.com"/>
    <x:hyperlink ref="C3" r:id="rId5416" tooltip="Send a mail to tcj@mbm.com.mt"/>
    <x:hyperlink ref="C4" r:id="rId5417" tooltip="Send a mail to sales@carinibathrooms.com"/>
    <x:hyperlink ref="C5" r:id="rId5418" tooltip="Send a mail to info@hmkint.com"/>
    <x:hyperlink ref="C6" r:id="rId5419" tooltip="Send a mail to info@fino.com.mt"/>
    <x:hyperlink ref="C7" r:id="rId5420" tooltip="Send a mail to info@vivendo.mt"/>
    <x:hyperlink ref="C8" r:id="rId5421" tooltip="Send a mail to info@dv.mt"/>
    <x:hyperlink ref="C9" r:id="rId5422" tooltip="Send a mail to info@grfmalta.com"/>
    <x:hyperlink ref="C10" r:id="rId5423" tooltip="Send a mail to info@trendsltdmalta.com"/>
    <x:hyperlink ref="C11" r:id="rId5424" tooltip="Send a mail to xil@xuerebinstall.com"/>
    <x:hyperlink ref="C12" r:id="rId5425" tooltip="Send a mail to allroundservices9@gmail.com"/>
    <x:hyperlink ref="C13" r:id="rId5426" tooltip="Send a mail to marco@marcovella.com"/>
    <x:hyperlink ref="C14" r:id="rId5427" tooltip="Send a mail to info@fourseasonspools.com.mt"/>
    <x:hyperlink ref="C15" r:id="rId5428" tooltip="Send a mail to info@linkprojects.com.mt"/>
    <x:hyperlink ref="C16" r:id="rId5429" tooltip="Send a mail to info@ptk.mt"/>
    <x:hyperlink ref="C17" r:id="rId5430" tooltip="Send a mail to info@medprojects.com.mt"/>
    <x:hyperlink ref="E2" r:id="rId5431" tooltip="Search Tarxien Road, Gudja, GDJ 1905, Malta on Google Maps"/>
    <x:hyperlink ref="E3" r:id="rId5432" tooltip="Search M4 Shopping Complex, Triq il-Linja, Attard, ATD1234, Malta on Google Maps"/>
    <x:hyperlink ref="E4" r:id="rId5433" tooltip="Search 435,St. Joseph High Road , St Venera , Malta on Google Maps"/>
    <x:hyperlink ref="E5" r:id="rId5434" tooltip="Search The Factory, Mosta Road, Lija, LJA9016, Malta on Google Maps"/>
    <x:hyperlink ref="E6" r:id="rId5435" tooltip="Search Fino Buildings, Triq l-Imdina, Zone 4, Central Business District, Birkirkara, Malta on Google Maps"/>
    <x:hyperlink ref="E7" r:id="rId5436" tooltip="Search Mdina, road Qormi,Malta on Google Maps"/>
    <x:hyperlink ref="E8" r:id="rId5437" tooltip="Search Fairline Centre, Santa Marta Str, Victoria Gozo, VCT 2552, Malta on Google Maps"/>
    <x:hyperlink ref="E9" r:id="rId5438" tooltip="Search 117 Triq L-Assemblea Nazzjonali, San Ġwann SGN 3034 on Google Maps"/>
    <x:hyperlink ref="E10" r:id="rId5439" tooltip="Search Triq il-Karmnu, Luqa, Malta on Google Maps"/>
    <x:hyperlink ref="E11" r:id="rId5440" tooltip="Search Xuereb Installations Ltd. Tal-Hlas Road, Qormi QRM 5011. Malta on Google Maps"/>
    <x:hyperlink ref="F2" r:id="rId5441" tooltip="Visit andrewvassallo.com"/>
    <x:hyperlink ref="F3" r:id="rId5442" tooltip="Visit mbm.com.mt"/>
    <x:hyperlink ref="F4" r:id="rId5443" tooltip="Visit carinibathrooms.com"/>
    <x:hyperlink ref="F5" r:id="rId5444" tooltip="Visit hmkint.com"/>
    <x:hyperlink ref="F6" r:id="rId5445" tooltip="Visit fino.com.mt"/>
    <x:hyperlink ref="F7" r:id="rId5446" tooltip="Visit vivendo.com"/>
    <x:hyperlink ref="F8" r:id="rId5447" tooltip="Visit dv.mt"/>
    <x:hyperlink ref="F9" r:id="rId5448" tooltip="Visit grfmalta.com"/>
    <x:hyperlink ref="F10" r:id="rId5449" tooltip="Visit trendsltdmalta.com"/>
    <x:hyperlink ref="F11" r:id="rId5450" tooltip="Visit xuerebinstall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6"/>
  <x:sheetViews>
    <x:sheetView workbookViewId="0"/>
  </x:sheetViews>
  <x:sheetFormatPr defaultRowHeight="15"/>
  <x:cols>
    <x:col min="1" max="1" width="6.282054" style="0" customWidth="1"/>
    <x:col min="2" max="2" width="24.710625" style="0" customWidth="1"/>
    <x:col min="3" max="3" width="28.710625" style="0" customWidth="1"/>
    <x:col min="4" max="4" width="18.710625" style="0" customWidth="1"/>
    <x:col min="5" max="5" width="101.710625" style="0" customWidth="1"/>
    <x:col min="6" max="6" width="33.853482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List'!A83", "Back to Summary")</x:f>
      </x:c>
    </x:row>
    <x:row r="2" spans="1:7" s="3" customFormat="1">
      <x:c r="A2" s="3" t="s">
        <x:v>4836</x:v>
      </x:c>
      <x:c r="B2" s="3" t="s">
        <x:v>4838</x:v>
      </x:c>
      <x:c r="C2" s="6" t="s">
        <x:v>4842</x:v>
      </x:c>
      <x:c r="D2" s="7">
        <x:f>CONCATENATE(HYPERLINK("CALLTO:%2B356%209942%204646", "+356 9942 4646"))</x:f>
      </x:c>
      <x:c r="E2" s="6" t="s">
        <x:v>4847</x:v>
      </x:c>
      <x:c r="F2" s="6" t="s">
        <x:v>4850</x:v>
      </x:c>
    </x:row>
    <x:row r="3" spans="1:7" s="1" customFormat="1">
      <x:c r="A3" s="1" t="s">
        <x:v>4836</x:v>
      </x:c>
      <x:c r="B3" s="1" t="s">
        <x:v>4839</x:v>
      </x:c>
      <x:c r="C3" s="8" t="s">
        <x:v>4843</x:v>
      </x:c>
      <x:c r="D3" s="9">
        <x:f>CONCATENATE(HYPERLINK("CALLTO:%2B356%209942%204646", "+356 9942 4646"))</x:f>
      </x:c>
      <x:c r="E3" s="8" t="s">
        <x:v>4846</x:v>
      </x:c>
      <x:c r="F3" s="8" t="s">
        <x:v>4852</x:v>
      </x:c>
    </x:row>
    <x:row r="4" spans="1:7" s="4" customFormat="1">
      <x:c r="A4" s="4" t="s">
        <x:v>4836</x:v>
      </x:c>
      <x:c r="B4" s="4" t="s">
        <x:v>988</x:v>
      </x:c>
      <x:c r="C4" s="10" t="s">
        <x:v>4845</x:v>
      </x:c>
      <x:c r="D4" s="11">
        <x:f>CONCATENATE(HYPERLINK("CALLTO:%2B356%202141%208411", "+356 2141 8411"))</x:f>
      </x:c>
      <x:c r="E4" s="10" t="s">
        <x:v>4849</x:v>
      </x:c>
      <x:c r="F4" s="10" t="s">
        <x:v>812</x:v>
      </x:c>
    </x:row>
    <x:row r="5" spans="1:7" s="3" customFormat="1">
      <x:c r="A5" s="3" t="s">
        <x:v>4836</x:v>
      </x:c>
      <x:c r="B5" s="3" t="s">
        <x:v>4837</x:v>
      </x:c>
      <x:c r="C5" s="6" t="s">
        <x:v>788</x:v>
      </x:c>
      <x:c r="D5" s="7">
        <x:f>CONCATENATE(HYPERLINK("CALLTO:%2B356%202149%201111", "+356 2149 1111"))</x:f>
      </x:c>
      <x:c r="E5" s="6" t="s">
        <x:v>820</x:v>
      </x:c>
      <x:c r="F5" s="6" t="s">
        <x:v>1144</x:v>
      </x:c>
    </x:row>
    <x:row r="6" spans="1:7" s="1" customFormat="1">
      <x:c r="A6" s="1" t="s">
        <x:v>4836</x:v>
      </x:c>
      <x:c r="B6" s="1" t="s">
        <x:v>4840</x:v>
      </x:c>
      <x:c r="C6" s="8" t="s">
        <x:v>4685</x:v>
      </x:c>
      <x:c r="D6" s="9">
        <x:f>CONCATENATE(HYPERLINK("CALLTO:%2B356%202395%206000", "+356 2395 6000"))</x:f>
      </x:c>
      <x:c r="E6" s="8" t="s">
        <x:v>4848</x:v>
      </x:c>
      <x:c r="F6" s="8" t="s">
        <x:v>1145</x:v>
      </x:c>
    </x:row>
    <x:row r="7" spans="1:7" s="4" customFormat="1">
      <x:c r="A7" s="4" t="s">
        <x:v>4836</x:v>
      </x:c>
      <x:c r="B7" s="4" t="s">
        <x:v>671</x:v>
      </x:c>
      <x:c r="C7" s="10" t="s">
        <x:v>707</x:v>
      </x:c>
      <x:c r="D7" s="11">
        <x:f>CONCATENATE(HYPERLINK("CALLTO:%2B356%202141%205332", "+356 2141 5332"))</x:f>
      </x:c>
      <x:c r="E7" s="10" t="s">
        <x:v>4851</x:v>
      </x:c>
      <x:c r="F7" s="10" t="s">
        <x:v>4162</x:v>
      </x:c>
    </x:row>
    <x:row r="8" spans="1:7" s="3" customFormat="1">
      <x:c r="A8" s="3" t="s">
        <x:v>4836</x:v>
      </x:c>
      <x:c r="B8" s="3" t="s">
        <x:v>4841</x:v>
      </x:c>
      <x:c r="C8" s="6" t="s">
        <x:v>4844</x:v>
      </x:c>
    </x:row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</x:sheetData>
  <x:hyperlinks>
    <x:hyperlink ref="C2" r:id="rId5451" tooltip="Send a mail to bestinsulationltd@gmail.com"/>
    <x:hyperlink ref="C3" r:id="rId5452" tooltip="Send a mail to pacesons@gmail.com"/>
    <x:hyperlink ref="C4" r:id="rId5453" tooltip="Send a mail to info@bitmac.mt"/>
    <x:hyperlink ref="C5" r:id="rId5454" tooltip="Send a mail to info@devalier.com.mt"/>
    <x:hyperlink ref="C6" r:id="rId5455" tooltip="Send a mail to sales@btmalta.com"/>
    <x:hyperlink ref="C7" r:id="rId5456" tooltip="Send a mail to info@attardbros.com"/>
    <x:hyperlink ref="C8" r:id="rId5457" tooltip="Send a mail to gsturnkeyprojects@gmail.com"/>
    <x:hyperlink ref="E2" r:id="rId5458" tooltip="Search 95, triq Sajd , Haz-Zebbug , ZBG 3047,Malta on Google Maps"/>
    <x:hyperlink ref="E3" r:id="rId5459" tooltip="Search Triq il-Mdina ,Attard ,Malta ATD 9039 on Google Maps"/>
    <x:hyperlink ref="E4" r:id="rId5460" tooltip="Search Tal-Balal Road , Lklin ,IKL 9013 , Malta on Google Maps"/>
    <x:hyperlink ref="E5" r:id="rId5461" tooltip="Search The Old Factory, San Gwakkin Str, Zone 3, Central Business District, Mriehel, B’kara, CBD 3030, Malta on Google Maps"/>
    <x:hyperlink ref="E6" r:id="rId5462" tooltip="Search BT Commercial LTD. The Watercourse, Triq L-Imdina, Zone 2 Central Business District, Birkirkara, Malta, CBD2010 on Google Maps"/>
    <x:hyperlink ref="E7" r:id="rId5463" tooltip="Search Attard Bros Group, Industrial Zone, &#10;Ta’ Qali, ATD 4000, Malta on Google Maps"/>
    <x:hyperlink ref="F2" r:id="rId5464" tooltip="Visit facebook.com/iglumalta"/>
    <x:hyperlink ref="F3" r:id="rId5465" tooltip="Visit yellow.com.mt"/>
    <x:hyperlink ref="F4" r:id="rId5466" tooltip="Visit bitmacltd.com"/>
    <x:hyperlink ref="F5" r:id="rId5467" tooltip="Visit dv.mt/de-valtech/"/>
    <x:hyperlink ref="F6" r:id="rId5468" tooltip="Visit facebook.com/BTCommercialMalta/"/>
    <x:hyperlink ref="F7" r:id="rId5469" tooltip="Visit attardbros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3"/>
  <x:sheetViews>
    <x:sheetView workbookViewId="0"/>
  </x:sheetViews>
  <x:sheetFormatPr defaultRowHeight="15"/>
  <x:cols>
    <x:col min="1" max="1" width="8.424911" style="0" customWidth="1"/>
    <x:col min="2" max="2" width="27.139196" style="0" customWidth="1"/>
    <x:col min="3" max="3" width="31.853482" style="0" customWidth="1"/>
    <x:col min="4" max="4" width="18.710625" style="0" customWidth="1"/>
    <x:col min="5" max="5" width="10.853482" style="0" customWidth="1"/>
    <x:col min="6" max="6" width="42.282054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List'!A84", "Back to Summary")</x:f>
      </x:c>
    </x:row>
    <x:row r="2" spans="1:7" s="3" customFormat="1">
      <x:c r="A2" s="3" t="s">
        <x:v>4854</x:v>
      </x:c>
      <x:c r="B2" s="3" t="s">
        <x:v>4855</x:v>
      </x:c>
      <x:c r="C2" s="6" t="s">
        <x:v>4865</x:v>
      </x:c>
      <x:c r="F2" s="6" t="s">
        <x:v>4853</x:v>
      </x:c>
    </x:row>
    <x:row r="3" spans="1:7" s="1" customFormat="1">
      <x:c r="A3" s="1" t="s">
        <x:v>4854</x:v>
      </x:c>
      <x:c r="B3" s="1" t="s">
        <x:v>4856</x:v>
      </x:c>
      <x:c r="C3" s="8" t="s">
        <x:v>4867</x:v>
      </x:c>
      <x:c r="F3" s="8" t="s">
        <x:v>4871</x:v>
      </x:c>
    </x:row>
    <x:row r="4" spans="1:7" s="4" customFormat="1">
      <x:c r="A4" s="4" t="s">
        <x:v>4854</x:v>
      </x:c>
      <x:c r="B4" s="4" t="s">
        <x:v>671</x:v>
      </x:c>
      <x:c r="C4" s="10" t="s">
        <x:v>707</x:v>
      </x:c>
      <x:c r="F4" s="10" t="s">
        <x:v>4872</x:v>
      </x:c>
    </x:row>
    <x:row r="5" spans="1:7" s="3" customFormat="1">
      <x:c r="A5" s="3" t="s">
        <x:v>4854</x:v>
      </x:c>
      <x:c r="B5" s="3" t="s">
        <x:v>4857</x:v>
      </x:c>
      <x:c r="C5" s="6" t="s">
        <x:v>4866</x:v>
      </x:c>
      <x:c r="F5" s="6" t="s">
        <x:v>4873</x:v>
      </x:c>
    </x:row>
    <x:row r="6" spans="1:7" s="1" customFormat="1">
      <x:c r="A6" s="1" t="s">
        <x:v>4854</x:v>
      </x:c>
      <x:c r="B6" s="1" t="s">
        <x:v>3241</x:v>
      </x:c>
      <x:c r="C6" s="8" t="s">
        <x:v>798</x:v>
      </x:c>
      <x:c r="F6" s="8" t="s">
        <x:v>4874</x:v>
      </x:c>
    </x:row>
    <x:row r="7" spans="1:7" s="4" customFormat="1">
      <x:c r="A7" s="4" t="s">
        <x:v>4854</x:v>
      </x:c>
      <x:c r="B7" s="4" t="s">
        <x:v>4858</x:v>
      </x:c>
      <x:c r="C7" s="10" t="s">
        <x:v>4110</x:v>
      </x:c>
      <x:c r="F7" s="10" t="s">
        <x:v>4875</x:v>
      </x:c>
    </x:row>
    <x:row r="8" spans="1:7" s="3" customFormat="1">
      <x:c r="A8" s="3" t="s">
        <x:v>4854</x:v>
      </x:c>
      <x:c r="B8" s="3" t="s">
        <x:v>4859</x:v>
      </x:c>
      <x:c r="C8" s="6" t="s">
        <x:v>4868</x:v>
      </x:c>
      <x:c r="F8" s="6" t="s">
        <x:v>4876</x:v>
      </x:c>
    </x:row>
    <x:row r="9" spans="1:7" s="1" customFormat="1">
      <x:c r="A9" s="1" t="s">
        <x:v>4854</x:v>
      </x:c>
      <x:c r="B9" s="1" t="s">
        <x:v>4860</x:v>
      </x:c>
      <x:c r="C9" s="8" t="s">
        <x:v>4105</x:v>
      </x:c>
    </x:row>
    <x:row r="10" spans="1:7" s="4" customFormat="1">
      <x:c r="A10" s="4" t="s">
        <x:v>4854</x:v>
      </x:c>
      <x:c r="B10" s="4" t="s">
        <x:v>4861</x:v>
      </x:c>
      <x:c r="C10" s="10" t="s">
        <x:v>4108</x:v>
      </x:c>
    </x:row>
    <x:row r="11" spans="1:7" s="3" customFormat="1">
      <x:c r="A11" s="3" t="s">
        <x:v>4854</x:v>
      </x:c>
      <x:c r="B11" s="3" t="s">
        <x:v>4060</x:v>
      </x:c>
      <x:c r="C11" s="6" t="s">
        <x:v>4111</x:v>
      </x:c>
    </x:row>
    <x:row r="12" spans="1:7" s="1" customFormat="1">
      <x:c r="A12" s="1" t="s">
        <x:v>4854</x:v>
      </x:c>
      <x:c r="B12" s="1" t="s">
        <x:v>4862</x:v>
      </x:c>
      <x:c r="C12" s="8" t="s">
        <x:v>4869</x:v>
      </x:c>
    </x:row>
    <x:row r="13" spans="1:7" s="4" customFormat="1">
      <x:c r="A13" s="4" t="s">
        <x:v>4854</x:v>
      </x:c>
      <x:c r="B13" s="4" t="s">
        <x:v>4863</x:v>
      </x:c>
      <x:c r="C13" s="10" t="s">
        <x:v>3267</x:v>
      </x:c>
    </x:row>
    <x:row r="14" spans="1:7" s="3" customFormat="1">
      <x:c r="A14" s="3" t="s">
        <x:v>4854</x:v>
      </x:c>
      <x:c r="B14" s="3" t="s">
        <x:v>4864</x:v>
      </x:c>
      <x:c r="C14" s="6" t="s">
        <x:v>4870</x:v>
      </x:c>
    </x:row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</x:sheetData>
  <x:hyperlinks>
    <x:hyperlink ref="C2" r:id="rId5470" tooltip="Send a mail to info@blokrete.com.mt"/>
    <x:hyperlink ref="C3" r:id="rId5471" tooltip="Send a mail to ballut@ballutblocks.com"/>
    <x:hyperlink ref="C4" r:id="rId5472" tooltip="Send a mail to info@attardbros.com"/>
    <x:hyperlink ref="C5" r:id="rId5473" tooltip="Send a mail to info@generalprecastconcrete.com"/>
    <x:hyperlink ref="C6" r:id="rId5474" tooltip="Send a mail to sales@jmvibro.com"/>
    <x:hyperlink ref="C7" r:id="rId5475" tooltip="Send a mail to info@polidano-group.com"/>
    <x:hyperlink ref="C8" r:id="rId5476" tooltip="Send a mail to info@jpbaldacchino.com"/>
    <x:hyperlink ref="C9" r:id="rId5477" tooltip="Send a mail to info@bbconstruction.mt"/>
    <x:hyperlink ref="C10" r:id="rId5478" tooltip="Send a mail to info@elbros.com.mt"/>
    <x:hyperlink ref="C11" r:id="rId5479" tooltip="Send a mail to info@ogcw.mt"/>
    <x:hyperlink ref="C12" r:id="rId5480" tooltip="Send a mail to info@michaelcaruanaltd.com"/>
    <x:hyperlink ref="C13" r:id="rId5481" tooltip="Send a mail to info@rasonsltd.com"/>
    <x:hyperlink ref="C14" r:id="rId5482" tooltip="Send a mail to kpt.kpttradingmalta@gmail.com"/>
    <x:hyperlink ref="F2" r:id="rId5483" tooltip="Visit blokrete.com.mt/contact/"/>
    <x:hyperlink ref="F3" r:id="rId5484" tooltip="Visit ballutblocks.com/contact-us/"/>
    <x:hyperlink ref="F4" r:id="rId5485" tooltip="Visit facebook.com/attardbros"/>
    <x:hyperlink ref="F5" r:id="rId5486" tooltip="Visit generalprecastconcrete.com/downloads/"/>
    <x:hyperlink ref="F6" r:id="rId5487" tooltip="Visit jmvibro.com/structural-steel"/>
    <x:hyperlink ref="F7" r:id="rId5488" tooltip="Visit polidano-group.com/content_id_260158.html"/>
    <x:hyperlink ref="F8" r:id="rId5489" tooltip="Visit jpbaldacchino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7"/>
  <x:sheetViews>
    <x:sheetView workbookViewId="0"/>
  </x:sheetViews>
  <x:sheetFormatPr defaultRowHeight="15"/>
  <x:cols>
    <x:col min="1" max="1" width="7.996339" style="0" customWidth="1"/>
    <x:col min="2" max="2" width="25.710625" style="0" customWidth="1"/>
    <x:col min="3" max="3" width="27.853482" style="0" customWidth="1"/>
    <x:col min="4" max="4" width="18.710625" style="0" customWidth="1"/>
    <x:col min="5" max="5" width="89.996339" style="0" customWidth="1"/>
    <x:col min="6" max="6" width="22.424911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482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5">
        <x:f>HYPERLINK("#'Summary List'!A85", "Back to Summary")</x:f>
      </x:c>
    </x:row>
    <x:row r="2" spans="1:7" s="3" customFormat="1">
      <x:c r="A2" s="3" t="s">
        <x:v>4878</x:v>
      </x:c>
      <x:c r="B2" s="3" t="s">
        <x:v>4879</x:v>
      </x:c>
      <x:c r="C2" s="6" t="s">
        <x:v>572</x:v>
      </x:c>
      <x:c r="D2" s="7">
        <x:f>CONCATENATE(HYPERLINK("CALLTO:%2B356%202343%206000", "+356 2343 6000"))</x:f>
      </x:c>
      <x:c r="E2" s="6" t="s">
        <x:v>4887</x:v>
      </x:c>
      <x:c r="F2" s="6" t="s">
        <x:v>953</x:v>
      </x:c>
    </x:row>
    <x:row r="3" spans="1:7" s="1" customFormat="1">
      <x:c r="A3" s="1" t="s">
        <x:v>4878</x:v>
      </x:c>
      <x:c r="B3" s="1" t="s">
        <x:v>4880</x:v>
      </x:c>
      <x:c r="C3" s="8" t="s">
        <x:v>4885</x:v>
      </x:c>
      <x:c r="D3" s="9">
        <x:f>CONCATENATE(HYPERLINK("CALLTO:%2B356%202124%204647", "+356 2124 4647"))</x:f>
      </x:c>
      <x:c r="E3" s="8" t="s">
        <x:v>4888</x:v>
      </x:c>
      <x:c r="F3" s="8" t="s">
        <x:v>4877</x:v>
      </x:c>
    </x:row>
    <x:row r="4" spans="1:7" s="4" customFormat="1">
      <x:c r="A4" s="4" t="s">
        <x:v>4878</x:v>
      </x:c>
      <x:c r="B4" s="4" t="s">
        <x:v>4882</x:v>
      </x:c>
      <x:c r="C4" s="10" t="s">
        <x:v>1119</x:v>
      </x:c>
      <x:c r="D4" s="11">
        <x:f>CONCATENATE(HYPERLINK("CALLTO:%2B356%202148%201111", "+356 2148 1111"))</x:f>
      </x:c>
      <x:c r="E4" s="10" t="s">
        <x:v>4889</x:v>
      </x:c>
      <x:c r="F4" s="10" t="s">
        <x:v>4892</x:v>
      </x:c>
    </x:row>
    <x:row r="5" spans="1:7" s="3" customFormat="1">
      <x:c r="A5" s="3" t="s">
        <x:v>4878</x:v>
      </x:c>
      <x:c r="B5" s="3" t="s">
        <x:v>4881</x:v>
      </x:c>
      <x:c r="C5" s="3" t="s">
        <x:v>4886</x:v>
      </x:c>
      <x:c r="D5" s="7">
        <x:f>CONCATENATE(HYPERLINK("CALLTO:%2B356%202133%209999", "+356 2133 9999"))</x:f>
      </x:c>
      <x:c r="E5" s="6" t="s">
        <x:v>4890</x:v>
      </x:c>
      <x:c r="F5" s="6" t="s">
        <x:v>4893</x:v>
      </x:c>
    </x:row>
    <x:row r="6" spans="1:7" s="1" customFormat="1">
      <x:c r="A6" s="1" t="s">
        <x:v>4878</x:v>
      </x:c>
      <x:c r="B6" s="1" t="s">
        <x:v>4883</x:v>
      </x:c>
      <x:c r="C6" s="8" t="s">
        <x:v>4884</x:v>
      </x:c>
      <x:c r="D6" s="9">
        <x:f>CONCATENATE(HYPERLINK("CALLTO:%2B356%202149%201234", "+356 2149 1234"))</x:f>
      </x:c>
      <x:c r="E6" s="8" t="s">
        <x:v>4891</x:v>
      </x:c>
      <x:c r="F6" s="8" t="s">
        <x:v>4894</x:v>
      </x:c>
    </x:row>
    <x:row r="7" spans="1:7" s="4" customFormat="1">
      <x:c r="F7" s="4" t="s">
        <x:v>144</x:v>
      </x:c>
    </x:row>
    <x:row r="8" spans="1:7" s="3" customFormat="1"/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</x:sheetData>
  <x:hyperlinks>
    <x:hyperlink ref="C2" r:id="rId5490" tooltip="Send a mail to info@forestals.com"/>
    <x:hyperlink ref="C3" r:id="rId5491" tooltip="Send a mail to info@imagesystems.com.mt"/>
    <x:hyperlink ref="C4" r:id="rId5492" tooltip="Send a mail to info@ramilenemalta.com"/>
    <x:hyperlink ref="C6" r:id="rId5493" tooltip="Send a mail to info@bitsandbytesmalta.com"/>
    <x:hyperlink ref="E2" r:id="rId5494" tooltip="Search Lead Business Centre, Triq L-Intrapriza, Zone 4, Central Business District, Birkirkara CBD 4080, Malta on Google Maps"/>
    <x:hyperlink ref="E3" r:id="rId5495" tooltip="Search 19, Vincenti Buildings, 11 Strait Street, Valletta VLT 1432, Malta on Google Maps"/>
    <x:hyperlink ref="E4" r:id="rId5496" tooltip="Search 50/51, Ramilene Building, Triq It-Torri, Swatar, BKR 4011, Malta on Google Maps"/>
    <x:hyperlink ref="E5" r:id="rId5497" tooltip="Search Triq Il-Wied Ta' L-Imsida, L-Imsida, Malta on Google Maps"/>
    <x:hyperlink ref="E6" r:id="rId5498" tooltip="Search St. Aloysius Square, Birkirkara BKR 1474, Malta on Google Maps"/>
    <x:hyperlink ref="F2" r:id="rId5499" tooltip="Visit forestals.com"/>
    <x:hyperlink ref="F3" r:id="rId5500" tooltip="Visit imagesystems.com.mt"/>
    <x:hyperlink ref="F4" r:id="rId5501" tooltip="Visit ramilenemalta.com"/>
    <x:hyperlink ref="F5" r:id="rId5502" tooltip="Visit strandelectronics.com"/>
    <x:hyperlink ref="F6" r:id="rId5503" tooltip="Visit bitsandbytesmalta.com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37"/>
  <x:sheetViews>
    <x:sheetView workbookViewId="0"/>
  </x:sheetViews>
  <x:sheetFormatPr defaultRowHeight="15"/>
  <x:cols>
    <x:col min="1" max="1" width="12.996339" style="0" customWidth="1"/>
    <x:col min="2" max="2" width="21.424911" style="0" customWidth="1"/>
    <x:col min="3" max="3" width="27.710625" style="0" customWidth="1"/>
    <x:col min="4" max="4" width="18.710625" style="0" customWidth="1"/>
    <x:col min="5" max="5" width="29.853482" style="0" customWidth="1"/>
    <x:col min="6" max="6" width="33.424911" style="0" customWidth="1"/>
    <x:col min="7" max="7" width="35.710625" style="0" customWidth="1"/>
    <x:col min="8" max="8" width="20.996339" style="0" customWidth="1"/>
  </x:cols>
  <x:sheetData>
    <x:row r="1" spans="1:8" s="2" customFormat="1">
      <x:c r="A1" s="2" t="s">
        <x:v>915</x:v>
      </x:c>
      <x:c r="B1" s="2" t="s">
        <x:v>482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2" t="s">
        <x:v>4936</x:v>
      </x:c>
      <x:c r="H1" s="5">
        <x:f>HYPERLINK("#'Summary List'!A86", "Back to Summary")</x:f>
      </x:c>
    </x:row>
    <x:row r="2" spans="1:8" s="3" customFormat="1">
      <x:c r="A2" s="3" t="s">
        <x:v>4895</x:v>
      </x:c>
      <x:c r="B2" s="3" t="s">
        <x:v>4896</x:v>
      </x:c>
      <x:c r="C2" s="6" t="s">
        <x:v>4908</x:v>
      </x:c>
      <x:c r="D2" s="7">
        <x:f>CONCATENATE(HYPERLINK("CALLTO:%2B356%207749%204554", "+356 7749 4554"))</x:f>
      </x:c>
      <x:c r="E2" s="6" t="s">
        <x:v>4341</x:v>
      </x:c>
      <x:c r="F2" s="6" t="s">
        <x:v>2441</x:v>
      </x:c>
    </x:row>
    <x:row r="3" spans="1:8" s="1" customFormat="1">
      <x:c r="A3" s="1" t="s">
        <x:v>4895</x:v>
      </x:c>
      <x:c r="B3" s="1" t="s">
        <x:v>4897</x:v>
      </x:c>
      <x:c r="C3" s="8" t="s">
        <x:v>4909</x:v>
      </x:c>
      <x:c r="D3" s="9">
        <x:f>CONCATENATE(HYPERLINK("CALLTO:%2B356%209909%200929", "+356 9909 0929"))</x:f>
      </x:c>
      <x:c r="E3" s="8" t="s">
        <x:v>4341</x:v>
      </x:c>
      <x:c r="F3" s="8" t="s">
        <x:v>4926</x:v>
      </x:c>
    </x:row>
    <x:row r="4" spans="1:8" s="4" customFormat="1">
      <x:c r="A4" s="4" t="s">
        <x:v>4895</x:v>
      </x:c>
      <x:c r="B4" s="4" t="s">
        <x:v>4898</x:v>
      </x:c>
      <x:c r="C4" s="10" t="s">
        <x:v>4910</x:v>
      </x:c>
      <x:c r="D4" s="11">
        <x:f>CONCATENATE(HYPERLINK("CALLTO:%2B356%209903%208899", "+356 9903 8899"))</x:f>
      </x:c>
      <x:c r="E4" s="10" t="s">
        <x:v>4920</x:v>
      </x:c>
      <x:c r="F4" s="10" t="s">
        <x:v>4927</x:v>
      </x:c>
    </x:row>
    <x:row r="5" spans="1:8" s="3" customFormat="1">
      <x:c r="A5" s="3" t="s">
        <x:v>4895</x:v>
      </x:c>
      <x:c r="B5" s="3" t="s">
        <x:v>4899</x:v>
      </x:c>
      <x:c r="C5" s="6" t="s">
        <x:v>4911</x:v>
      </x:c>
      <x:c r="D5" s="7">
        <x:f>CONCATENATE(HYPERLINK("CALLTO:%2B356%209942%208400", "+356 9942 8400"))</x:f>
      </x:c>
      <x:c r="E5" s="6" t="s">
        <x:v>4921</x:v>
      </x:c>
      <x:c r="F5" s="6" t="s">
        <x:v>4928</x:v>
      </x:c>
    </x:row>
    <x:row r="6" spans="1:8" s="1" customFormat="1">
      <x:c r="A6" s="1" t="s">
        <x:v>4895</x:v>
      </x:c>
      <x:c r="B6" s="1" t="s">
        <x:v>4900</x:v>
      </x:c>
      <x:c r="C6" s="8" t="s">
        <x:v>4912</x:v>
      </x:c>
      <x:c r="D6" s="9">
        <x:f>CONCATENATE(HYPERLINK("CALLTO:%2B356%207986%200890", "+356 7986 0890"))</x:f>
      </x:c>
      <x:c r="E6" s="8" t="s">
        <x:v>3160</x:v>
      </x:c>
      <x:c r="F6" s="8" t="s">
        <x:v>4929</x:v>
      </x:c>
    </x:row>
    <x:row r="7" spans="1:8" s="4" customFormat="1">
      <x:c r="A7" s="4" t="s">
        <x:v>4895</x:v>
      </x:c>
      <x:c r="B7" s="4" t="s">
        <x:v>4901</x:v>
      </x:c>
      <x:c r="C7" s="10" t="s">
        <x:v>4913</x:v>
      </x:c>
      <x:c r="D7" s="11">
        <x:f>CONCATENATE(HYPERLINK("CALLTO:%2B356%209997%201719", "+356 9997 1719"))</x:f>
      </x:c>
      <x:c r="E7" s="10" t="s">
        <x:v>4922</x:v>
      </x:c>
      <x:c r="F7" s="10" t="s">
        <x:v>4930</x:v>
      </x:c>
    </x:row>
    <x:row r="8" spans="1:8" s="3" customFormat="1">
      <x:c r="A8" s="3" t="s">
        <x:v>4895</x:v>
      </x:c>
      <x:c r="B8" s="3" t="s">
        <x:v>4902</x:v>
      </x:c>
      <x:c r="C8" s="6" t="s">
        <x:v>4914</x:v>
      </x:c>
      <x:c r="D8" s="7">
        <x:f>CONCATENATE(HYPERLINK("CALLTO:%2B356%207950%203424", "+356 7950 3424"))</x:f>
      </x:c>
      <x:c r="E8" s="6" t="s">
        <x:v>4923</x:v>
      </x:c>
      <x:c r="F8" s="6" t="s">
        <x:v>4931</x:v>
      </x:c>
    </x:row>
    <x:row r="9" spans="1:8" s="1" customFormat="1">
      <x:c r="A9" s="1" t="s">
        <x:v>4895</x:v>
      </x:c>
      <x:c r="B9" s="1" t="s">
        <x:v>763</x:v>
      </x:c>
      <x:c r="C9" s="8" t="s">
        <x:v>793</x:v>
      </x:c>
      <x:c r="D9" s="9">
        <x:f>CONCATENATE(HYPERLINK("CALLTO:%2B356%207777%201522", "+356 7777 1522"))</x:f>
      </x:c>
      <x:c r="E9" s="8" t="s">
        <x:v>4925</x:v>
      </x:c>
      <x:c r="F9" s="8" t="s">
        <x:v>3162</x:v>
      </x:c>
    </x:row>
    <x:row r="10" spans="1:8" s="4" customFormat="1">
      <x:c r="A10" s="4" t="s">
        <x:v>4895</x:v>
      </x:c>
      <x:c r="B10" s="4" t="s">
        <x:v>4903</x:v>
      </x:c>
      <x:c r="C10" s="10" t="s">
        <x:v>4915</x:v>
      </x:c>
      <x:c r="D10" s="11">
        <x:f>CONCATENATE(HYPERLINK("CALLTO:%2B356%209947%200307", "+356 9947 0307"))</x:f>
      </x:c>
      <x:c r="E10" s="10" t="s">
        <x:v>4924</x:v>
      </x:c>
      <x:c r="F10" s="10" t="s">
        <x:v>3163</x:v>
      </x:c>
    </x:row>
    <x:row r="11" spans="1:8" s="3" customFormat="1">
      <x:c r="A11" s="3" t="s">
        <x:v>4895</x:v>
      </x:c>
      <x:c r="B11" s="3" t="s">
        <x:v>4904</x:v>
      </x:c>
      <x:c r="C11" s="6" t="s">
        <x:v>4916</x:v>
      </x:c>
      <x:c r="D11" s="7">
        <x:f>CONCATENATE(HYPERLINK("CALLTO:%2B356%207921%201328", "+356 7921 1328"))</x:f>
      </x:c>
      <x:c r="E11" s="6" t="s">
        <x:v>1037</x:v>
      </x:c>
      <x:c r="F11" s="6" t="s">
        <x:v>4932</x:v>
      </x:c>
    </x:row>
    <x:row r="12" spans="1:8" s="1" customFormat="1">
      <x:c r="A12" s="1" t="s">
        <x:v>4895</x:v>
      </x:c>
      <x:c r="B12" s="1" t="s">
        <x:v>4905</x:v>
      </x:c>
      <x:c r="C12" s="8" t="s">
        <x:v>4917</x:v>
      </x:c>
      <x:c r="D12" s="9">
        <x:f>CONCATENATE(HYPERLINK("CALLTO:%2B356%202704%201800", "+356 2704 1800"))</x:f>
      </x:c>
      <x:c r="F12" s="8" t="s">
        <x:v>4933</x:v>
      </x:c>
    </x:row>
    <x:row r="13" spans="1:8" s="4" customFormat="1">
      <x:c r="A13" s="4" t="s">
        <x:v>4895</x:v>
      </x:c>
      <x:c r="B13" s="4" t="s">
        <x:v>4906</x:v>
      </x:c>
      <x:c r="C13" s="10" t="s">
        <x:v>4918</x:v>
      </x:c>
      <x:c r="D13" s="11">
        <x:f>CONCATENATE(HYPERLINK("CALLTO:%2B356%209931%201545", "+356 9931 1545"))</x:f>
      </x:c>
      <x:c r="F13" s="10" t="s">
        <x:v>4934</x:v>
      </x:c>
    </x:row>
    <x:row r="14" spans="1:8" s="3" customFormat="1">
      <x:c r="A14" s="3" t="s">
        <x:v>4895</x:v>
      </x:c>
      <x:c r="B14" s="3" t="s">
        <x:v>4907</x:v>
      </x:c>
      <x:c r="C14" s="6" t="s">
        <x:v>4919</x:v>
      </x:c>
      <x:c r="D14" s="7">
        <x:f>CONCATENATE(HYPERLINK("CALLTO:%2B356%209935%200849", "+356 9935 0849"))</x:f>
      </x:c>
      <x:c r="F14" s="6" t="s">
        <x:v>4935</x:v>
      </x:c>
    </x:row>
    <x:row r="15" spans="1:8" s="1" customFormat="1">
      <x:c r="A15" s="1" t="s">
        <x:v>4895</x:v>
      </x:c>
      <x:c r="B15" s="1" t="s">
        <x:v>1529</x:v>
      </x:c>
      <x:c r="C15" s="8" t="s">
        <x:v>1614</x:v>
      </x:c>
      <x:c r="D15" s="9">
        <x:f>CONCATENATE(HYPERLINK("CALLTO:%2B356%207710%205385", "+356 7710 5385"))</x:f>
      </x:c>
    </x:row>
    <x:row r="16" spans="1:8" s="4" customFormat="1"/>
    <x:row r="17" spans="1:8" s="3" customFormat="1"/>
    <x:row r="18" spans="1:8" s="1" customFormat="1"/>
    <x:row r="19" spans="1:8" s="4" customFormat="1"/>
    <x:row r="20" spans="1:8" s="3" customFormat="1"/>
    <x:row r="21" spans="1:8" s="1" customFormat="1"/>
    <x:row r="22" spans="1:8" s="4" customFormat="1"/>
    <x:row r="23" spans="1:8" s="3" customFormat="1"/>
    <x:row r="24" spans="1:8" s="1" customFormat="1"/>
    <x:row r="25" spans="1:8" s="4" customFormat="1"/>
    <x:row r="26" spans="1:8" s="3" customFormat="1"/>
    <x:row r="27" spans="1:8" s="1" customFormat="1"/>
    <x:row r="28" spans="1:8" s="4" customFormat="1"/>
    <x:row r="29" spans="1:8" s="3" customFormat="1"/>
    <x:row r="30" spans="1:8" s="1" customFormat="1"/>
    <x:row r="31" spans="1:8" s="4" customFormat="1"/>
    <x:row r="32" spans="1:8" s="3" customFormat="1"/>
    <x:row r="33" spans="1:8" s="1" customFormat="1"/>
    <x:row r="34" spans="1:8" s="4" customFormat="1"/>
    <x:row r="35" spans="1:8" s="3" customFormat="1"/>
    <x:row r="36" spans="1:8" s="1" customFormat="1"/>
    <x:row r="37" spans="1:8" s="4" customFormat="1"/>
    <x:row r="38" spans="1:8" s="3" customFormat="1"/>
    <x:row r="39" spans="1:8" s="1" customFormat="1"/>
    <x:row r="40" spans="1:8" s="4" customFormat="1"/>
    <x:row r="41" spans="1:8" s="3" customFormat="1"/>
    <x:row r="42" spans="1:8" s="1" customFormat="1"/>
    <x:row r="43" spans="1:8" s="4" customFormat="1"/>
    <x:row r="44" spans="1:8" s="3" customFormat="1"/>
    <x:row r="45" spans="1:8" s="1" customFormat="1"/>
    <x:row r="46" spans="1:8" s="4" customFormat="1"/>
    <x:row r="47" spans="1:8" s="3" customFormat="1"/>
    <x:row r="48" spans="1:8" s="1" customFormat="1"/>
    <x:row r="49" spans="1:8" s="4" customFormat="1"/>
    <x:row r="50" spans="1:8" s="3" customFormat="1"/>
    <x:row r="51" spans="1:8" s="1" customFormat="1"/>
    <x:row r="52" spans="1:8" s="4" customFormat="1"/>
    <x:row r="53" spans="1:8" s="3" customFormat="1"/>
    <x:row r="54" spans="1:8" s="1" customFormat="1"/>
    <x:row r="55" spans="1:8" s="4" customFormat="1"/>
    <x:row r="56" spans="1:8" s="3" customFormat="1"/>
    <x:row r="57" spans="1:8" s="1" customFormat="1"/>
    <x:row r="58" spans="1:8" s="4" customFormat="1"/>
    <x:row r="59" spans="1:8" s="3" customFormat="1"/>
    <x:row r="60" spans="1:8" s="1" customFormat="1"/>
    <x:row r="61" spans="1:8" s="4" customFormat="1"/>
    <x:row r="62" spans="1:8" s="3" customFormat="1"/>
    <x:row r="63" spans="1:8" s="1" customFormat="1"/>
    <x:row r="64" spans="1:8" s="4" customFormat="1"/>
    <x:row r="65" spans="1:8" s="3" customFormat="1"/>
    <x:row r="66" spans="1:8" s="1" customFormat="1"/>
    <x:row r="67" spans="1:8" s="4" customFormat="1"/>
    <x:row r="68" spans="1:8" s="3" customFormat="1"/>
    <x:row r="69" spans="1:8" s="1" customFormat="1"/>
    <x:row r="70" spans="1:8" s="4" customFormat="1"/>
    <x:row r="71" spans="1:8" s="3" customFormat="1"/>
    <x:row r="72" spans="1:8" s="1" customFormat="1"/>
    <x:row r="73" spans="1:8" s="4" customFormat="1"/>
    <x:row r="74" spans="1:8" s="3" customFormat="1"/>
    <x:row r="75" spans="1:8" s="1" customFormat="1"/>
    <x:row r="76" spans="1:8" s="4" customFormat="1"/>
    <x:row r="77" spans="1:8" s="3" customFormat="1"/>
    <x:row r="78" spans="1:8" s="1" customFormat="1"/>
    <x:row r="79" spans="1:8" s="4" customFormat="1"/>
    <x:row r="80" spans="1:8" s="3" customFormat="1"/>
    <x:row r="81" spans="1:8" s="1" customFormat="1"/>
    <x:row r="82" spans="1:8" s="4" customFormat="1"/>
    <x:row r="83" spans="1:8" s="3" customFormat="1"/>
    <x:row r="84" spans="1:8" s="1" customFormat="1"/>
    <x:row r="85" spans="1:8" s="4" customFormat="1"/>
    <x:row r="86" spans="1:8" s="3" customFormat="1"/>
    <x:row r="87" spans="1:8" s="1" customFormat="1"/>
    <x:row r="88" spans="1:8" s="4" customFormat="1"/>
    <x:row r="89" spans="1:8" s="3" customFormat="1"/>
    <x:row r="90" spans="1:8" s="1" customFormat="1"/>
    <x:row r="91" spans="1:8" s="4" customFormat="1"/>
    <x:row r="92" spans="1:8" s="3" customFormat="1"/>
    <x:row r="93" spans="1:8" s="1" customFormat="1"/>
    <x:row r="94" spans="1:8" s="4" customFormat="1"/>
    <x:row r="95" spans="1:8" s="3" customFormat="1"/>
    <x:row r="96" spans="1:8" s="1" customFormat="1"/>
    <x:row r="97" spans="1:8" s="4" customFormat="1"/>
    <x:row r="98" spans="1:8" s="3" customFormat="1"/>
    <x:row r="99" spans="1:8" s="1" customFormat="1"/>
    <x:row r="100" spans="1:8" s="4" customFormat="1"/>
    <x:row r="101" spans="1:8" s="3" customFormat="1"/>
    <x:row r="102" spans="1:8" s="1" customFormat="1"/>
    <x:row r="103" spans="1:8" s="4" customFormat="1"/>
    <x:row r="104" spans="1:8" s="3" customFormat="1"/>
    <x:row r="105" spans="1:8" s="1" customFormat="1"/>
    <x:row r="106" spans="1:8" s="4" customFormat="1"/>
    <x:row r="107" spans="1:8" s="3" customFormat="1"/>
    <x:row r="108" spans="1:8" s="1" customFormat="1"/>
    <x:row r="109" spans="1:8" s="4" customFormat="1"/>
    <x:row r="110" spans="1:8" s="3" customFormat="1"/>
    <x:row r="111" spans="1:8" s="1" customFormat="1"/>
    <x:row r="112" spans="1:8" s="4" customFormat="1"/>
    <x:row r="113" spans="1:8" s="3" customFormat="1"/>
    <x:row r="114" spans="1:8" s="1" customFormat="1"/>
    <x:row r="115" spans="1:8" s="4" customFormat="1"/>
    <x:row r="116" spans="1:8" s="3" customFormat="1"/>
    <x:row r="117" spans="1:8" s="1" customFormat="1"/>
    <x:row r="118" spans="1:8" s="4" customFormat="1"/>
    <x:row r="119" spans="1:8" s="3" customFormat="1"/>
    <x:row r="120" spans="1:8" s="1" customFormat="1"/>
    <x:row r="121" spans="1:8" s="4" customFormat="1"/>
    <x:row r="122" spans="1:8" s="3" customFormat="1"/>
    <x:row r="123" spans="1:8" s="1" customFormat="1"/>
    <x:row r="124" spans="1:8" s="4" customFormat="1"/>
    <x:row r="125" spans="1:8" s="3" customFormat="1"/>
    <x:row r="126" spans="1:8" s="1" customFormat="1"/>
    <x:row r="127" spans="1:8" s="4" customFormat="1"/>
    <x:row r="128" spans="1:8" s="3" customFormat="1"/>
    <x:row r="129" spans="1:8" s="1" customFormat="1"/>
    <x:row r="130" spans="1:8" s="4" customFormat="1"/>
    <x:row r="131" spans="1:8" s="3" customFormat="1"/>
    <x:row r="132" spans="1:8" s="1" customFormat="1"/>
    <x:row r="133" spans="1:8" s="4" customFormat="1"/>
    <x:row r="134" spans="1:8" s="3" customFormat="1"/>
    <x:row r="135" spans="1:8" s="1" customFormat="1"/>
    <x:row r="136" spans="1:8" s="4" customFormat="1"/>
    <x:row r="137" spans="1:8" s="3" customFormat="1"/>
  </x:sheetData>
  <x:hyperlinks>
    <x:hyperlink ref="C2" r:id="rId5504" tooltip="Send a mail to info@dprostudio.com"/>
    <x:hyperlink ref="C3" r:id="rId5505" tooltip="Send a mail to info@vizwali.com"/>
    <x:hyperlink ref="C4" r:id="rId5506" tooltip="Send a mail to hello@solideye.eu"/>
    <x:hyperlink ref="C5" r:id="rId5507" tooltip="Send a mail to info@KT3DStudio.mt"/>
    <x:hyperlink ref="C6" r:id="rId5508" tooltip="Send a mail to 3dsocietymalta@gmail.com"/>
    <x:hyperlink ref="C7" r:id="rId5509" tooltip="Send a mail to 3dvisualsmalta@gmail.com"/>
    <x:hyperlink ref="C8" r:id="rId5510" tooltip="Send a mail to info@entifystudio.com"/>
    <x:hyperlink ref="C9" r:id="rId5511" tooltip="Send a mail to contact@kibitec.com"/>
    <x:hyperlink ref="C10" r:id="rId5512" tooltip="Send a mail to jpace@vrsmalta.com"/>
    <x:hyperlink ref="C11" r:id="rId5513" tooltip="Send a mail to mdvisualsmalta@gmail.com"/>
    <x:hyperlink ref="C12" r:id="rId5514" tooltip="Send a mail to info@designprinciple.com.mt"/>
    <x:hyperlink ref="C13" r:id="rId5515" tooltip="Send a mail to info@pialidesign.com"/>
    <x:hyperlink ref="C14" r:id="rId5516" tooltip="Send a mail to toptiermalta@gmail.com"/>
    <x:hyperlink ref="C15" r:id="rId5517" tooltip="Send a mail to sales@malta-design.com"/>
    <x:hyperlink ref="E2" r:id="rId5518" tooltip="Search / on Google Maps"/>
    <x:hyperlink ref="E3" r:id="rId5519" tooltip="Search / on Google Maps"/>
    <x:hyperlink ref="E4" r:id="rId5520" tooltip="Search 39, Għajnsielem Street&#10;Għajnsielem GSM 1185&#10;Gozo, Malta on Google Maps"/>
    <x:hyperlink ref="E5" r:id="rId5521" tooltip="Search 15 Graham Street, Sliema, Malta on Google Maps"/>
    <x:hyperlink ref="E6" r:id="rId5522" tooltip="Search Triq Domenico Cachia 54&#10;Birkirkara, BKR1017, Malta on Google Maps"/>
    <x:hyperlink ref="E7" r:id="rId5523" tooltip="Search 4 Flat 1, Veduta Apartments,&#10;Luigi Ellul Street,&#10;Attard, ATD 3023,&#10;Malta on Google Maps"/>
    <x:hyperlink ref="E8" r:id="rId5524" tooltip="Search Qrendi, Malta on Google Maps"/>
    <x:hyperlink ref="E9" r:id="rId5525" tooltip="Search Design Principle&#10;52, St Paul Street&#10;Valletta VLT 1212&#10;Malta on Google Maps"/>
    <x:hyperlink ref="E10" r:id="rId5526" tooltip="Search Mdina Road,&#10;Ħaz-Zebbug, Malta on Google Maps"/>
    <x:hyperlink ref="E11" r:id="rId5527" tooltip="Search Valletta, Malta on Google Maps"/>
    <x:hyperlink ref="F2" r:id="rId5528" tooltip="Visit dprostudio.com/"/>
    <x:hyperlink ref="F3" r:id="rId5529" tooltip="Visit vizwali.com/"/>
    <x:hyperlink ref="F4" r:id="rId5530" tooltip="Visit solideye.eu/"/>
    <x:hyperlink ref="F5" r:id="rId5531" tooltip="Visit kt3dstudio.com/"/>
    <x:hyperlink ref="F6" r:id="rId5532" tooltip="Visit 3dsocietymalta.com/"/>
    <x:hyperlink ref="F7" r:id="rId5533" tooltip="Visit 3dvisualsmalta.com/"/>
    <x:hyperlink ref="F8" r:id="rId5534" tooltip="Visit entifystudio.com/"/>
    <x:hyperlink ref="F9" r:id="rId5535" tooltip="Visit kibitec.com/"/>
    <x:hyperlink ref="F10" r:id="rId5536" tooltip="Visit vrsmalta.com/"/>
    <x:hyperlink ref="F11" r:id="rId5537" tooltip="Visit facebook.com/moredetailedvisuals"/>
    <x:hyperlink ref="F12" r:id="rId5538" tooltip="Visit designprinciple.com.mt/"/>
    <x:hyperlink ref="F13" r:id="rId5539" tooltip="Visit pialidesign.com/"/>
    <x:hyperlink ref="F14" r:id="rId5540" tooltip="Visit facebook.com/TopTierMediaMalta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89"/>
  <x:sheetViews>
    <x:sheetView workbookViewId="0"/>
  </x:sheetViews>
  <x:sheetFormatPr defaultRowHeight="15"/>
  <x:cols>
    <x:col min="1" max="1" width="6.282054" style="0" customWidth="1"/>
    <x:col min="2" max="2" width="20.282054" style="0" customWidth="1"/>
    <x:col min="3" max="3" width="29.853482" style="0" customWidth="1"/>
    <x:col min="4" max="4" width="18.710625" style="0" customWidth="1"/>
    <x:col min="5" max="5" width="39.996339" style="0" customWidth="1"/>
    <x:col min="6" max="6" width="32.710625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482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5">
        <x:f>HYPERLINK("#'Summary List'!A87", "Back to Summary")</x:f>
      </x:c>
    </x:row>
    <x:row r="2" spans="1:7" s="3" customFormat="1">
      <x:c r="A2" s="3" t="s">
        <x:v>4937</x:v>
      </x:c>
      <x:c r="B2" s="3" t="s">
        <x:v>4938</x:v>
      </x:c>
      <x:c r="C2" s="6" t="s">
        <x:v>4959</x:v>
      </x:c>
      <x:c r="D2" s="7">
        <x:f>CONCATENATE(HYPERLINK("CALLTO:%2B356%202703%207656", "+356 2703 7656"))</x:f>
      </x:c>
      <x:c r="E2" s="6" t="s">
        <x:v>4979</x:v>
      </x:c>
      <x:c r="F2" s="6" t="s">
        <x:v>2506</x:v>
      </x:c>
    </x:row>
    <x:row r="3" spans="1:7" s="1" customFormat="1">
      <x:c r="A3" s="1" t="s">
        <x:v>4937</x:v>
      </x:c>
      <x:c r="B3" s="1" t="s">
        <x:v>4939</x:v>
      </x:c>
      <x:c r="C3" s="8" t="s">
        <x:v>4960</x:v>
      </x:c>
      <x:c r="D3" s="9">
        <x:f>CONCATENATE(HYPERLINK("CALLTO:%2B356%202146%202409", "+356 2146 2409"))</x:f>
      </x:c>
      <x:c r="E3" s="8" t="s">
        <x:v>4981</x:v>
      </x:c>
      <x:c r="F3" s="8" t="s">
        <x:v>4996</x:v>
      </x:c>
    </x:row>
    <x:row r="4" spans="1:7" s="4" customFormat="1">
      <x:c r="A4" s="4" t="s">
        <x:v>4937</x:v>
      </x:c>
      <x:c r="B4" s="4" t="s">
        <x:v>4940</x:v>
      </x:c>
      <x:c r="C4" s="10" t="s">
        <x:v>4961</x:v>
      </x:c>
      <x:c r="D4" s="11">
        <x:f>CONCATENATE(HYPERLINK("CALLTO:%2B356%202146%204640", "+356 2146 4640"))</x:f>
      </x:c>
      <x:c r="E4" s="10" t="s">
        <x:v>2510</x:v>
      </x:c>
      <x:c r="F4" s="10" t="s">
        <x:v>4997</x:v>
      </x:c>
    </x:row>
    <x:row r="5" spans="1:7" s="3" customFormat="1">
      <x:c r="A5" s="3" t="s">
        <x:v>4937</x:v>
      </x:c>
      <x:c r="B5" s="3" t="s">
        <x:v>4941</x:v>
      </x:c>
      <x:c r="C5" s="6" t="s">
        <x:v>2501</x:v>
      </x:c>
      <x:c r="D5" s="7">
        <x:f>CONCATENATE(HYPERLINK("CALLTO:%2B356%209947%201937", "+356 9947 1937"))</x:f>
      </x:c>
      <x:c r="E5" s="6" t="s">
        <x:v>4980</x:v>
      </x:c>
      <x:c r="F5" s="6" t="s">
        <x:v>2515</x:v>
      </x:c>
    </x:row>
    <x:row r="6" spans="1:7" s="1" customFormat="1">
      <x:c r="A6" s="1" t="s">
        <x:v>4937</x:v>
      </x:c>
      <x:c r="B6" s="1" t="s">
        <x:v>4942</x:v>
      </x:c>
      <x:c r="C6" s="8" t="s">
        <x:v>4962</x:v>
      </x:c>
      <x:c r="D6" s="9">
        <x:f>CONCATENATE(HYPERLINK("CALLTO:%2B356%202133%205531", "+356 2133 5531"))</x:f>
      </x:c>
      <x:c r="E6" s="8" t="s">
        <x:v>4982</x:v>
      </x:c>
      <x:c r="F6" s="8" t="s">
        <x:v>2516</x:v>
      </x:c>
    </x:row>
    <x:row r="7" spans="1:7" s="4" customFormat="1">
      <x:c r="A7" s="4" t="s">
        <x:v>4937</x:v>
      </x:c>
      <x:c r="B7" s="4" t="s">
        <x:v>4943</x:v>
      </x:c>
      <x:c r="C7" s="10" t="s">
        <x:v>4963</x:v>
      </x:c>
      <x:c r="D7" s="11">
        <x:f>CONCATENATE(HYPERLINK("CALLTO:%2B356%202745%203353", "+356 2745 3353"))</x:f>
      </x:c>
      <x:c r="E7" s="10" t="s">
        <x:v>4983</x:v>
      </x:c>
      <x:c r="F7" s="10" t="s">
        <x:v>4998</x:v>
      </x:c>
    </x:row>
    <x:row r="8" spans="1:7" s="3" customFormat="1">
      <x:c r="A8" s="3" t="s">
        <x:v>4937</x:v>
      </x:c>
      <x:c r="B8" s="3" t="s">
        <x:v>4944</x:v>
      </x:c>
      <x:c r="C8" s="6" t="s">
        <x:v>4964</x:v>
      </x:c>
      <x:c r="D8" s="7">
        <x:f>CONCATENATE(HYPERLINK("CALLTO:%2B356%209999%203278", "+356 9999 3278"))</x:f>
      </x:c>
      <x:c r="E8" s="6" t="s">
        <x:v>4984</x:v>
      </x:c>
      <x:c r="F8" s="6" t="s">
        <x:v>4999</x:v>
      </x:c>
    </x:row>
    <x:row r="9" spans="1:7" s="1" customFormat="1">
      <x:c r="A9" s="1" t="s">
        <x:v>4937</x:v>
      </x:c>
      <x:c r="B9" s="1" t="s">
        <x:v>4945</x:v>
      </x:c>
      <x:c r="C9" s="8" t="s">
        <x:v>4965</x:v>
      </x:c>
      <x:c r="D9" s="9">
        <x:f>CONCATENATE(HYPERLINK("CALLTO:%2B356%202745%203355", "+356 2745 3355"))</x:f>
      </x:c>
      <x:c r="E9" s="8" t="s">
        <x:v>4985</x:v>
      </x:c>
      <x:c r="F9" s="8" t="s">
        <x:v>5000</x:v>
      </x:c>
    </x:row>
    <x:row r="10" spans="1:7" s="4" customFormat="1">
      <x:c r="A10" s="4" t="s">
        <x:v>4937</x:v>
      </x:c>
      <x:c r="B10" s="4" t="s">
        <x:v>4946</x:v>
      </x:c>
      <x:c r="C10" s="10" t="s">
        <x:v>4966</x:v>
      </x:c>
      <x:c r="D10" s="11">
        <x:f>CONCATENATE(HYPERLINK("CALLTO:%2B356%209942%207063", "+356 9942 7063"))</x:f>
      </x:c>
      <x:c r="E10" s="10" t="s">
        <x:v>4986</x:v>
      </x:c>
      <x:c r="F10" s="10" t="s">
        <x:v>5001</x:v>
      </x:c>
    </x:row>
    <x:row r="11" spans="1:7" s="3" customFormat="1">
      <x:c r="A11" s="3" t="s">
        <x:v>4937</x:v>
      </x:c>
      <x:c r="B11" s="3" t="s">
        <x:v>4947</x:v>
      </x:c>
      <x:c r="C11" s="6" t="s">
        <x:v>4967</x:v>
      </x:c>
      <x:c r="D11" s="7">
        <x:f>CONCATENATE(HYPERLINK("CALLTO:%2B356%207905%205109", "+356 7905 5109"))</x:f>
      </x:c>
      <x:c r="E11" s="6" t="s">
        <x:v>4987</x:v>
      </x:c>
      <x:c r="F11" s="6" t="s">
        <x:v>5002</x:v>
      </x:c>
    </x:row>
    <x:row r="12" spans="1:7" s="1" customFormat="1">
      <x:c r="A12" s="1" t="s">
        <x:v>4937</x:v>
      </x:c>
      <x:c r="B12" s="1" t="s">
        <x:v>4948</x:v>
      </x:c>
      <x:c r="C12" s="8" t="s">
        <x:v>4968</x:v>
      </x:c>
      <x:c r="D12" s="9">
        <x:f>CONCATENATE(HYPERLINK("CALLTO:%2B356%207966%201109", "+356 7966 1109"))</x:f>
      </x:c>
      <x:c r="E12" s="8" t="s">
        <x:v>4988</x:v>
      </x:c>
      <x:c r="F12" s="8" t="s">
        <x:v>5003</x:v>
      </x:c>
    </x:row>
    <x:row r="13" spans="1:7" s="4" customFormat="1">
      <x:c r="A13" s="4" t="s">
        <x:v>4937</x:v>
      </x:c>
      <x:c r="B13" s="4" t="s">
        <x:v>4949</x:v>
      </x:c>
      <x:c r="C13" s="10" t="s">
        <x:v>4969</x:v>
      </x:c>
      <x:c r="D13" s="11">
        <x:f>CONCATENATE(HYPERLINK("CALLTO:%2B356%202169%206787", "+356 2169 6787"))</x:f>
      </x:c>
      <x:c r="E13" s="10" t="s">
        <x:v>4989</x:v>
      </x:c>
      <x:c r="F13" s="10" t="s">
        <x:v>5004</x:v>
      </x:c>
    </x:row>
    <x:row r="14" spans="1:7" s="3" customFormat="1">
      <x:c r="A14" s="3" t="s">
        <x:v>4937</x:v>
      </x:c>
      <x:c r="B14" s="3" t="s">
        <x:v>4950</x:v>
      </x:c>
      <x:c r="C14" s="6" t="s">
        <x:v>4970</x:v>
      </x:c>
      <x:c r="D14" s="7">
        <x:f>CONCATENATE(HYPERLINK("CALLTO:%2B356%209955%205708", "+356 9955 5708"))</x:f>
      </x:c>
      <x:c r="E14" s="6" t="s">
        <x:v>4990</x:v>
      </x:c>
      <x:c r="F14" s="6" t="s">
        <x:v>5005</x:v>
      </x:c>
    </x:row>
    <x:row r="15" spans="1:7" s="1" customFormat="1">
      <x:c r="A15" s="1" t="s">
        <x:v>4937</x:v>
      </x:c>
      <x:c r="B15" s="1" t="s">
        <x:v>4951</x:v>
      </x:c>
      <x:c r="C15" s="8" t="s">
        <x:v>4971</x:v>
      </x:c>
      <x:c r="D15" s="9">
        <x:f>CONCATENATE(HYPERLINK("CALLTO:%2B356%202148%203517", "+356 2148 3517"))</x:f>
      </x:c>
      <x:c r="E15" s="8" t="s">
        <x:v>4991</x:v>
      </x:c>
      <x:c r="F15" s="8" t="s">
        <x:v>5006</x:v>
      </x:c>
    </x:row>
    <x:row r="16" spans="1:7" s="4" customFormat="1">
      <x:c r="A16" s="4" t="s">
        <x:v>4937</x:v>
      </x:c>
      <x:c r="B16" s="4" t="s">
        <x:v>4952</x:v>
      </x:c>
      <x:c r="C16" s="10" t="s">
        <x:v>4972</x:v>
      </x:c>
      <x:c r="D16" s="11">
        <x:f>CONCATENATE(HYPERLINK("CALLTO:%2B356%209902%203649", "+356 9902 3649"))</x:f>
      </x:c>
      <x:c r="E16" s="10" t="s">
        <x:v>4992</x:v>
      </x:c>
      <x:c r="F16" s="10" t="s">
        <x:v>5007</x:v>
      </x:c>
    </x:row>
    <x:row r="17" spans="1:7" s="3" customFormat="1">
      <x:c r="A17" s="3" t="s">
        <x:v>4937</x:v>
      </x:c>
      <x:c r="B17" s="3" t="s">
        <x:v>4953</x:v>
      </x:c>
      <x:c r="C17" s="6" t="s">
        <x:v>4973</x:v>
      </x:c>
      <x:c r="D17" s="7">
        <x:f>CONCATENATE(HYPERLINK("CALLTO:%2B356%209968%207662", "+356 9968 7662"))</x:f>
      </x:c>
      <x:c r="E17" s="6" t="s">
        <x:v>4993</x:v>
      </x:c>
      <x:c r="F17" s="6" t="s">
        <x:v>5008</x:v>
      </x:c>
    </x:row>
    <x:row r="18" spans="1:7" s="1" customFormat="1">
      <x:c r="A18" s="1" t="s">
        <x:v>4937</x:v>
      </x:c>
      <x:c r="B18" s="1" t="s">
        <x:v>4954</x:v>
      </x:c>
      <x:c r="C18" s="8" t="s">
        <x:v>4974</x:v>
      </x:c>
      <x:c r="D18" s="9">
        <x:f>CONCATENATE(HYPERLINK("CALLTO:%2B356%209933%206964", "+356 9933 6964"))</x:f>
      </x:c>
      <x:c r="E18" s="8" t="s">
        <x:v>4994</x:v>
      </x:c>
      <x:c r="F18" s="8" t="s">
        <x:v>5009</x:v>
      </x:c>
    </x:row>
    <x:row r="19" spans="1:7" s="4" customFormat="1">
      <x:c r="A19" s="4" t="s">
        <x:v>4937</x:v>
      </x:c>
      <x:c r="B19" s="4" t="s">
        <x:v>4955</x:v>
      </x:c>
      <x:c r="C19" s="10" t="s">
        <x:v>4975</x:v>
      </x:c>
      <x:c r="D19" s="11">
        <x:f>CONCATENATE(HYPERLINK("CALLTO:%2B356%207707%209656", "+356 7707 9656"))</x:f>
      </x:c>
      <x:c r="E19" s="10" t="s">
        <x:v>4995</x:v>
      </x:c>
      <x:c r="F19" s="10" t="s">
        <x:v>5010</x:v>
      </x:c>
    </x:row>
    <x:row r="20" spans="1:7" s="3" customFormat="1">
      <x:c r="A20" s="3" t="s">
        <x:v>4937</x:v>
      </x:c>
      <x:c r="B20" s="3" t="s">
        <x:v>4858</x:v>
      </x:c>
      <x:c r="C20" s="6" t="s">
        <x:v>4976</x:v>
      </x:c>
      <x:c r="D20" s="7">
        <x:f>CONCATENATE(HYPERLINK("CALLTO:%2B356%202010%207888", "+356 2010 7888"))</x:f>
      </x:c>
      <x:c r="F20" s="6" t="s">
        <x:v>2473</x:v>
      </x:c>
    </x:row>
    <x:row r="21" spans="1:7" s="1" customFormat="1">
      <x:c r="A21" s="1" t="s">
        <x:v>4937</x:v>
      </x:c>
      <x:c r="B21" s="1" t="s">
        <x:v>4956</x:v>
      </x:c>
      <x:c r="C21" s="8" t="s">
        <x:v>4977</x:v>
      </x:c>
      <x:c r="D21" s="9">
        <x:f>CONCATENATE(HYPERLINK("CALLTO:%2B356%202131%205760", "+356 2131 5760"))</x:f>
      </x:c>
      <x:c r="F21" s="8" t="s">
        <x:v>2513</x:v>
      </x:c>
    </x:row>
    <x:row r="22" spans="1:7" s="4" customFormat="1">
      <x:c r="A22" s="4" t="s">
        <x:v>4937</x:v>
      </x:c>
      <x:c r="B22" s="4" t="s">
        <x:v>4957</x:v>
      </x:c>
      <x:c r="C22" s="10" t="s">
        <x:v>2503</x:v>
      </x:c>
      <x:c r="D22" s="11">
        <x:f>CONCATENATE(HYPERLINK("CALLTO:%2B356%207960%205737", "+356 7960 5737"))</x:f>
      </x:c>
      <x:c r="F22" s="10" t="s">
        <x:v>5011</x:v>
      </x:c>
    </x:row>
    <x:row r="23" spans="1:7" s="3" customFormat="1">
      <x:c r="A23" s="3" t="s">
        <x:v>4937</x:v>
      </x:c>
      <x:c r="B23" s="3" t="s">
        <x:v>2495</x:v>
      </x:c>
      <x:c r="C23" s="6" t="s">
        <x:v>4978</x:v>
      </x:c>
      <x:c r="D23" s="7">
        <x:f>CONCATENATE(HYPERLINK("CALLTO:%2B356%202148%204305", "+356 2148 4305"))</x:f>
      </x:c>
      <x:c r="F23" s="6" t="s">
        <x:v>2517</x:v>
      </x:c>
    </x:row>
    <x:row r="24" spans="1:7" s="1" customFormat="1">
      <x:c r="A24" s="1" t="s">
        <x:v>4937</x:v>
      </x:c>
      <x:c r="B24" s="1" t="s">
        <x:v>4958</x:v>
      </x:c>
      <x:c r="D24" s="9">
        <x:f>CONCATENATE(HYPERLINK("CALLTO:%2B356%202169%202576", "+356 2169 2576"))</x:f>
      </x:c>
      <x:c r="F24" s="8" t="s">
        <x:v>2518</x:v>
      </x:c>
    </x:row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</x:sheetData>
  <x:hyperlinks>
    <x:hyperlink ref="C2" r:id="rId5541" tooltip="Send a mail to info@cmyk.com.mt"/>
    <x:hyperlink ref="C3" r:id="rId5542" tooltip="Send a mail to sales@maltasigns.com"/>
    <x:hyperlink ref="C4" r:id="rId5543" tooltip="Send a mail to info@signfactory.com.mt"/>
    <x:hyperlink ref="C5" r:id="rId5544" tooltip="Send a mail to info@signworldmalta.com"/>
    <x:hyperlink ref="C6" r:id="rId5545" tooltip="Send a mail to info@gescosigns.com"/>
    <x:hyperlink ref="C7" r:id="rId5546" tooltip="Send a mail to info@vikingsignrite.com"/>
    <x:hyperlink ref="C8" r:id="rId5547" tooltip="Send a mail to customer.care@fastsigns.com"/>
    <x:hyperlink ref="C9" r:id="rId5548" tooltip="Send a mail to info@deltamedia.services"/>
    <x:hyperlink ref="C10" r:id="rId5549" tooltip="Send a mail to smcsigns@gmail.com"/>
    <x:hyperlink ref="C11" r:id="rId5550" tooltip="Send a mail to hello@ajet.mt"/>
    <x:hyperlink ref="C12" r:id="rId5551" tooltip="Send a mail to sales@mgmalta.com"/>
    <x:hyperlink ref="C13" r:id="rId5552" tooltip="Send a mail to bannersmalta@gmail.com"/>
    <x:hyperlink ref="C14" r:id="rId5553" tooltip="Send a mail to creativeworksmalta@gmail.com"/>
    <x:hyperlink ref="C15" r:id="rId5554" tooltip="Send a mail to info@DZYNmalta.com"/>
    <x:hyperlink ref="C16" r:id="rId5555" tooltip="Send a mail to connor@essencyengraving.com"/>
    <x:hyperlink ref="C17" r:id="rId5556" tooltip="Send a mail to info@gozo.graphics"/>
    <x:hyperlink ref="C18" r:id="rId5557" tooltip="Send a mail to edgar.engraving@gmail.com"/>
    <x:hyperlink ref="C19" r:id="rId5558" tooltip="Send a mail to nadia@pplmalta.com"/>
    <x:hyperlink ref="C20" r:id="rId5559" tooltip="Send a mail to info@printagram.com.mt"/>
    <x:hyperlink ref="C21" r:id="rId5560" tooltip="Send a mail to sales@prismprinting.com.mt"/>
    <x:hyperlink ref="C22" r:id="rId5561" tooltip="Send a mail to admin@zaffarese.com"/>
    <x:hyperlink ref="C23" r:id="rId5562" tooltip="Send a mail to info@decomalta.com"/>
    <x:hyperlink ref="E2" r:id="rId5563" tooltip="Search 118 Triq Glormu Cassar, Mosta MST4112 on Google Maps"/>
    <x:hyperlink ref="E3" r:id="rId5564" tooltip="Search The Sign Factory&#10;Triq Dun Luret Callus&#10;Ħaż-Żebbuġ - ZBG 2495 on Google Maps"/>
    <x:hyperlink ref="E4" r:id="rId5565" tooltip="Search Triq il-Frangiskani, L-Imsida&#10;MSD 1120, Malta on Google Maps"/>
    <x:hyperlink ref="E5" r:id="rId5566" tooltip="Search Sliema Road, Gzira on Google Maps"/>
    <x:hyperlink ref="E6" r:id="rId5567" tooltip="Search 128 Pitkali Road, Attard&#10;M01, 2214 on Google Maps"/>
    <x:hyperlink ref="E7" r:id="rId5568" tooltip="Search Industrial Area, H'Attard on Google Maps"/>
    <x:hyperlink ref="E8" r:id="rId5569" tooltip="Search SMC Designs&#10;Portico Flt 1, 23rd April Street&#10;Victoria, Gozo - Malta. on Google Maps"/>
    <x:hyperlink ref="E9" r:id="rId5570" tooltip="Search 3, Triq Bugharbiel ZTN 3436 Iz-Zejtun, Malta on Google Maps"/>
    <x:hyperlink ref="E10" r:id="rId5571" tooltip="Search MG Signs&#10;90 | 91 | 92x , Luqa industrial estate&#10;Luqa, LQA 3000 on Google Maps"/>
    <x:hyperlink ref="E11" r:id="rId5572" tooltip="Search Indri Psaila Street,&#10;Qormi QRM4000, Malta. on Google Maps"/>
    <x:hyperlink ref="E12" r:id="rId5573" tooltip="Search Santa Venera on Google Maps"/>
    <x:hyperlink ref="E13" r:id="rId5574" tooltip="Search 53, Triq Marina Pietà (Sa Maison) on Google Maps"/>
    <x:hyperlink ref="E14" r:id="rId5575" tooltip="Search Zabbar, Malta on Google Maps"/>
    <x:hyperlink ref="E15" r:id="rId5576" tooltip="Search Industrial Estate, Luqa, Malta on Google Maps"/>
    <x:hyperlink ref="E16" r:id="rId5577" tooltip="Search 11, Triq II-Burmarrad&#10;Naxxar, NXR 6345&#10;Malta on Google Maps"/>
    <x:hyperlink ref="E17" r:id="rId5578" tooltip="Search Merkanti, Prism Printing,&#10;Naggar Street,&#10;Mosta,&#10;MST 1761 on Google Maps"/>
    <x:hyperlink ref="E18" r:id="rId5579" tooltip="Search CCG Building, Triq 3 Ta’ Settembru 1798&#10;Zone 3, Central Business District,&#10;Birkirkara CBD 3100 Malta on Google Maps"/>
    <x:hyperlink ref="E19" r:id="rId5580" tooltip="Search Bulebel, Zejtun on Google Maps"/>
    <x:hyperlink ref="F2" r:id="rId5581" tooltip="Visit cmyk.com.mt"/>
    <x:hyperlink ref="F3" r:id="rId5582" tooltip="Visit maltasigns.com/"/>
    <x:hyperlink ref="F4" r:id="rId5583" tooltip="Visit signfactory.com.mt/"/>
    <x:hyperlink ref="F5" r:id="rId5584" tooltip="Visit signworldmalta.com/"/>
    <x:hyperlink ref="F6" r:id="rId5585" tooltip="Visit gescosigns.com/index.html"/>
    <x:hyperlink ref="F7" r:id="rId5586" tooltip="Visit vikingsignrite.com/"/>
    <x:hyperlink ref="F8" r:id="rId5587" tooltip="Visit fastsigns.mt/"/>
    <x:hyperlink ref="F9" r:id="rId5588" tooltip="Visit deltamedia.services/"/>
    <x:hyperlink ref="F10" r:id="rId5589" tooltip="Visit smcdesignstudio.com/"/>
    <x:hyperlink ref="F11" r:id="rId5590" tooltip="Visit facebook.com/houseofsignsmalta/"/>
    <x:hyperlink ref="F12" r:id="rId5591" tooltip="Visit facebook.com/ajet.signs/"/>
    <x:hyperlink ref="F13" r:id="rId5592" tooltip="Visit facebook.com/mgsignsmalta/"/>
    <x:hyperlink ref="F14" r:id="rId5593" tooltip="Visit bannersmalta.com/"/>
    <x:hyperlink ref="F15" r:id="rId5594" tooltip="Visit creativeworksmalta.com/"/>
    <x:hyperlink ref="F16" r:id="rId5595" tooltip="Visit dzynmalta.com/"/>
    <x:hyperlink ref="F17" r:id="rId5596" tooltip="Visit essencyengraving.com/mt"/>
    <x:hyperlink ref="F18" r:id="rId5597" tooltip="Visit gozographics.com/"/>
    <x:hyperlink ref="F19" r:id="rId5598" tooltip="Visit eseengraving.com/"/>
    <x:hyperlink ref="F20" r:id="rId5599" tooltip="Visit pplmalta.com/"/>
    <x:hyperlink ref="F21" r:id="rId5600" tooltip="Visit printagram.com.mt/"/>
    <x:hyperlink ref="F22" r:id="rId5601" tooltip="Visit prismprinting.com.mt/"/>
    <x:hyperlink ref="F23" r:id="rId5602" tooltip="Visit zaffarese.com/"/>
    <x:hyperlink ref="F24" r:id="rId5603" tooltip="Visit decomalta.com/contac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99"/>
  <x:sheetViews>
    <x:sheetView workbookViewId="0"/>
  </x:sheetViews>
  <x:sheetFormatPr defaultRowHeight="15"/>
  <x:cols>
    <x:col min="1" max="1" width="13.282054" style="0" customWidth="1"/>
    <x:col min="2" max="2" width="41.567768" style="0" customWidth="1"/>
    <x:col min="3" max="3" width="30.996339" style="0" customWidth="1"/>
    <x:col min="4" max="4" width="18.139196" style="0" customWidth="1"/>
    <x:col min="5" max="5" width="70.139196" style="0" customWidth="1"/>
    <x:col min="6" max="6" width="32.710625" style="0" customWidth="1"/>
    <x:col min="7" max="7" width="20.996339" style="0" customWidth="1"/>
  </x:cols>
  <x:sheetData>
    <x:row r="1" spans="1:7" s="2" customFormat="1">
      <x:c r="A1" s="2" t="s">
        <x:v>479</x:v>
      </x:c>
      <x:c r="B1" s="2" t="s">
        <x:v>482</x:v>
      </x:c>
      <x:c r="C1" s="2" t="s">
        <x:v>502</x:v>
      </x:c>
      <x:c r="D1" s="2" t="s">
        <x:v>839</x:v>
      </x:c>
      <x:c r="E1" s="2" t="s">
        <x:v>522</x:v>
      </x:c>
      <x:c r="F1" s="2" t="s">
        <x:v>23</x:v>
      </x:c>
      <x:c r="G1" s="5">
        <x:f>HYPERLINK("#'Summary List'!A88", "Back to Summary")</x:f>
      </x:c>
    </x:row>
    <x:row r="2" spans="1:7" s="3" customFormat="1">
      <x:c r="A2" s="3" t="s">
        <x:v>5012</x:v>
      </x:c>
      <x:c r="B2" s="3" t="s">
        <x:v>3094</x:v>
      </x:c>
      <x:c r="C2" s="6" t="s">
        <x:v>3126</x:v>
      </x:c>
      <x:c r="D2" s="7">
        <x:f>CONCATENATE(HYPERLINK("CALLTO:%2B356%202145%201350", "+356 2145 1350"))</x:f>
      </x:c>
      <x:c r="E2" s="6" t="s">
        <x:v>4631</x:v>
      </x:c>
      <x:c r="F2" s="6" t="s">
        <x:v>4643</x:v>
      </x:c>
    </x:row>
    <x:row r="3" spans="1:7" s="1" customFormat="1"/>
    <x:row r="4" spans="1:7" s="4" customFormat="1">
      <x:c r="A4" s="4" t="s">
        <x:v>4611</x:v>
      </x:c>
      <x:c r="B4" s="4" t="s">
        <x:v>681</x:v>
      </x:c>
      <x:c r="C4" s="10" t="s">
        <x:v>710</x:v>
      </x:c>
      <x:c r="D4" s="11">
        <x:f>CONCATENATE(HYPERLINK("CALLTO:%2B356%202169%205226", "+356 2169 5226"))</x:f>
      </x:c>
      <x:c r="E4" s="10" t="s">
        <x:v>4632</x:v>
      </x:c>
      <x:c r="F4" s="10" t="s">
        <x:v>4644</x:v>
      </x:c>
    </x:row>
    <x:row r="5" spans="1:7" s="3" customFormat="1">
      <x:c r="A5" s="3" t="s">
        <x:v>4611</x:v>
      </x:c>
      <x:c r="B5" s="3" t="s">
        <x:v>4613</x:v>
      </x:c>
      <x:c r="C5" s="6" t="s">
        <x:v>718</x:v>
      </x:c>
      <x:c r="D5" s="7">
        <x:f>CONCATENATE(HYPERLINK("CALLTO:%2B356%209949%206421", "+356 9949 6421"))</x:f>
      </x:c>
      <x:c r="E5" s="6" t="s">
        <x:v>4633</x:v>
      </x:c>
      <x:c r="F5" s="6" t="s">
        <x:v>4645</x:v>
      </x:c>
    </x:row>
    <x:row r="6" spans="1:7" s="1" customFormat="1">
      <x:c r="A6" s="1" t="s">
        <x:v>4611</x:v>
      </x:c>
      <x:c r="B6" s="1" t="s">
        <x:v>4614</x:v>
      </x:c>
      <x:c r="C6" s="8" t="s">
        <x:v>4618</x:v>
      </x:c>
      <x:c r="D6" s="9">
        <x:f>CONCATENATE(HYPERLINK("CALLTO:%2B356%202143%203636", "+356 2143 3636"))</x:f>
      </x:c>
      <x:c r="E6" s="8" t="s">
        <x:v>4634</x:v>
      </x:c>
      <x:c r="F6" s="8" t="s">
        <x:v>4646</x:v>
      </x:c>
    </x:row>
    <x:row r="7" spans="1:7" s="4" customFormat="1">
      <x:c r="A7" s="4" t="s">
        <x:v>4611</x:v>
      </x:c>
      <x:c r="B7" s="4" t="s">
        <x:v>4615</x:v>
      </x:c>
      <x:c r="C7" s="10" t="s">
        <x:v>4625</x:v>
      </x:c>
      <x:c r="D7" s="11">
        <x:f>CONCATENATE(HYPERLINK("CALLTO:%2B356%209988%204194", "+356 9988 4194"))</x:f>
      </x:c>
      <x:c r="E7" s="10" t="s">
        <x:v>4635</x:v>
      </x:c>
      <x:c r="F7" s="10" t="s">
        <x:v>4647</x:v>
      </x:c>
    </x:row>
    <x:row r="8" spans="1:7" s="3" customFormat="1">
      <x:c r="A8" s="3" t="s">
        <x:v>4611</x:v>
      </x:c>
      <x:c r="B8" s="3" t="s">
        <x:v>4616</x:v>
      </x:c>
      <x:c r="C8" s="6" t="s">
        <x:v>1265</x:v>
      </x:c>
      <x:c r="D8" s="7">
        <x:f>CONCATENATE(HYPERLINK("CALLTO:%2B356%202141%204090", "+356 2141 4090"))</x:f>
      </x:c>
      <x:c r="E8" s="6" t="s">
        <x:v>4636</x:v>
      </x:c>
      <x:c r="F8" s="3" t="s">
        <x:v>144</x:v>
      </x:c>
    </x:row>
    <x:row r="9" spans="1:7" s="1" customFormat="1">
      <x:c r="A9" s="1" t="s">
        <x:v>4611</x:v>
      </x:c>
      <x:c r="B9" s="1" t="s">
        <x:v>4617</x:v>
      </x:c>
      <x:c r="C9" s="8" t="s">
        <x:v>860</x:v>
      </x:c>
      <x:c r="D9" s="9">
        <x:f>CONCATENATE(HYPERLINK("CALLTO:%2B356%209989%209673", "+356 9989 9673"))</x:f>
      </x:c>
      <x:c r="E9" s="8" t="s">
        <x:v>4637</x:v>
      </x:c>
      <x:c r="F9" s="8" t="s">
        <x:v>4649</x:v>
      </x:c>
    </x:row>
    <x:row r="10" spans="1:7" s="4" customFormat="1">
      <x:c r="A10" s="4" t="s">
        <x:v>4611</x:v>
      </x:c>
      <x:c r="B10" s="4" t="s">
        <x:v>4612</x:v>
      </x:c>
      <x:c r="C10" s="10" t="s">
        <x:v>4626</x:v>
      </x:c>
      <x:c r="D10" s="11">
        <x:f>CONCATENATE(HYPERLINK("CALLTO:%2B356%202147%202714", "+356 2147 2714"))</x:f>
      </x:c>
      <x:c r="E10" s="10" t="s">
        <x:v>4634</x:v>
      </x:c>
      <x:c r="F10" s="10" t="s">
        <x:v>4650</x:v>
      </x:c>
    </x:row>
    <x:row r="11" spans="1:7" s="3" customFormat="1">
      <x:c r="A11" s="3" t="s">
        <x:v>4611</x:v>
      </x:c>
      <x:c r="B11" s="3" t="s">
        <x:v>4619</x:v>
      </x:c>
      <x:c r="C11" s="6" t="s">
        <x:v>711</x:v>
      </x:c>
      <x:c r="D11" s="7">
        <x:f>CONCATENATE(HYPERLINK("CALLTO:%2B356%202145%200643", "+356 2145 0643"))</x:f>
      </x:c>
      <x:c r="E11" s="6" t="s">
        <x:v>4639</x:v>
      </x:c>
      <x:c r="F11" s="6" t="s">
        <x:v>737</x:v>
      </x:c>
    </x:row>
    <x:row r="12" spans="1:7" s="1" customFormat="1">
      <x:c r="A12" s="1" t="s">
        <x:v>4611</x:v>
      </x:c>
      <x:c r="B12" s="1" t="s">
        <x:v>4620</x:v>
      </x:c>
      <x:c r="C12" s="8" t="s">
        <x:v>694</x:v>
      </x:c>
      <x:c r="D12" s="9">
        <x:f>CONCATENATE(HYPERLINK("CALLTO:%2B356%202155%207136", "+356 2155 7136"))</x:f>
      </x:c>
      <x:c r="E12" s="8" t="s">
        <x:v>4640</x:v>
      </x:c>
      <x:c r="F12" s="8" t="s">
        <x:v>4651</x:v>
      </x:c>
    </x:row>
    <x:row r="13" spans="1:7" s="4" customFormat="1">
      <x:c r="A13" s="4" t="s">
        <x:v>4611</x:v>
      </x:c>
      <x:c r="B13" s="4" t="s">
        <x:v>4621</x:v>
      </x:c>
      <x:c r="C13" s="10" t="s">
        <x:v>4627</x:v>
      </x:c>
      <x:c r="D13" s="11">
        <x:f>CONCATENATE(HYPERLINK("CALLTO:%2B356%209977%200099", "+356 9977 0099"))</x:f>
      </x:c>
      <x:c r="E13" s="10" t="s">
        <x:v>4638</x:v>
      </x:c>
      <x:c r="F13" s="10" t="s">
        <x:v>4648</x:v>
      </x:c>
    </x:row>
    <x:row r="14" spans="1:7" s="3" customFormat="1">
      <x:c r="A14" s="3" t="s">
        <x:v>4611</x:v>
      </x:c>
      <x:c r="B14" s="3" t="s">
        <x:v>4622</x:v>
      </x:c>
      <x:c r="C14" s="6" t="s">
        <x:v>4629</x:v>
      </x:c>
      <x:c r="D14" s="7">
        <x:f>CONCATENATE(HYPERLINK("CALLTO:%2B356%202155%208398", "+356 2155 8398"))</x:f>
      </x:c>
      <x:c r="E14" s="6" t="s">
        <x:v>4641</x:v>
      </x:c>
      <x:c r="F14" s="6" t="s">
        <x:v>4652</x:v>
      </x:c>
    </x:row>
    <x:row r="15" spans="1:7" s="1" customFormat="1">
      <x:c r="A15" s="1" t="s">
        <x:v>4611</x:v>
      </x:c>
      <x:c r="B15" s="1" t="s">
        <x:v>4623</x:v>
      </x:c>
      <x:c r="C15" s="8" t="s">
        <x:v>4628</x:v>
      </x:c>
      <x:c r="D15" s="9">
        <x:f>CONCATENATE(HYPERLINK("CALLTO:%2B356%202169%206571", "+356 2169 6571"))</x:f>
      </x:c>
      <x:c r="E15" s="8" t="s">
        <x:v>4642</x:v>
      </x:c>
      <x:c r="F15" s="1" t="s">
        <x:v>144</x:v>
      </x:c>
    </x:row>
    <x:row r="16" spans="1:7" s="4" customFormat="1">
      <x:c r="A16" s="4" t="s">
        <x:v>4611</x:v>
      </x:c>
      <x:c r="B16" s="4" t="s">
        <x:v>4624</x:v>
      </x:c>
      <x:c r="C16" s="10" t="s">
        <x:v>4630</x:v>
      </x:c>
      <x:c r="D16" s="11">
        <x:f>CONCATENATE(HYPERLINK("CALLTO:%2B356%202141%207596", "+356 2141 7596"))</x:f>
      </x:c>
      <x:c r="E16" s="10" t="s">
        <x:v>1352</x:v>
      </x:c>
      <x:c r="F16" s="10" t="s">
        <x:v>1328</x:v>
      </x:c>
    </x:row>
    <x:row r="17" spans="1:7" s="3" customFormat="1"/>
    <x:row r="18" spans="1:7" s="1" customFormat="1">
      <x:c r="A18" s="1" t="s">
        <x:v>5013</x:v>
      </x:c>
      <x:c r="B18" s="1" t="s">
        <x:v>843</x:v>
      </x:c>
      <x:c r="C18" s="8" t="s">
        <x:v>852</x:v>
      </x:c>
      <x:c r="D18" s="9">
        <x:f>CONCATENATE(HYPERLINK("CALLTO:%2B356%207737%208069", "+356 7737 8069"))</x:f>
      </x:c>
      <x:c r="E18" s="8" t="s">
        <x:v>5027</x:v>
      </x:c>
      <x:c r="F18" s="8" t="s">
        <x:v>3088</x:v>
      </x:c>
    </x:row>
    <x:row r="19" spans="1:7" s="4" customFormat="1"/>
    <x:row r="20" spans="1:7" s="3" customFormat="1">
      <x:c r="A20" s="3" t="s">
        <x:v>5014</x:v>
      </x:c>
      <x:c r="B20" s="3" t="s">
        <x:v>5016</x:v>
      </x:c>
      <x:c r="C20" s="6" t="s">
        <x:v>5024</x:v>
      </x:c>
      <x:c r="D20" s="7">
        <x:f>CONCATENATE(HYPERLINK("CALLTO:%2B356%207724%204377", "+356 7724 4377"))</x:f>
      </x:c>
      <x:c r="E20" s="6" t="s">
        <x:v>2460</x:v>
      </x:c>
      <x:c r="F20" s="6" t="s">
        <x:v>2115</x:v>
      </x:c>
    </x:row>
    <x:row r="21" spans="1:7" s="1" customFormat="1"/>
    <x:row r="22" spans="1:7" s="4" customFormat="1">
      <x:c r="A22" s="4" t="s">
        <x:v>5015</x:v>
      </x:c>
      <x:c r="B22" s="4" t="s">
        <x:v>2083</x:v>
      </x:c>
      <x:c r="C22" s="10" t="s">
        <x:v>862</x:v>
      </x:c>
      <x:c r="D22" s="11">
        <x:f>CONCATENATE(HYPERLINK("CALLTO:%2B356%207962%208055", "+356 7962 8055"))</x:f>
      </x:c>
      <x:c r="F22" s="10" t="s">
        <x:v>2425</x:v>
      </x:c>
    </x:row>
    <x:row r="23" spans="1:7" s="3" customFormat="1">
      <x:c r="A23" s="3" t="s">
        <x:v>5015</x:v>
      </x:c>
      <x:c r="B23" s="3" t="s">
        <x:v>2458</x:v>
      </x:c>
      <x:c r="C23" s="6" t="s">
        <x:v>695</x:v>
      </x:c>
      <x:c r="D23" s="7">
        <x:f>CONCATENATE(HYPERLINK("CALLTO:%2B356%202137%201891", "+356 2137 1891"))</x:f>
      </x:c>
    </x:row>
    <x:row r="24" spans="1:7" s="1" customFormat="1"/>
    <x:row r="25" spans="1:7" s="4" customFormat="1">
      <x:c r="B25" s="4" t="s">
        <x:v>2816</x:v>
      </x:c>
      <x:c r="C25" s="10" t="s">
        <x:v>1302</x:v>
      </x:c>
      <x:c r="D25" s="11">
        <x:f>CONCATENATE(HYPERLINK("CALLTO:%2B356%202144%205165", "+356 2144 5165"))</x:f>
      </x:c>
    </x:row>
    <x:row r="26" spans="1:7" s="3" customFormat="1">
      <x:c r="B26" s="3" t="s">
        <x:v>1519</x:v>
      </x:c>
      <x:c r="C26" s="6" t="s">
        <x:v>1605</x:v>
      </x:c>
      <x:c r="D26" s="7">
        <x:f>CONCATENATE(HYPERLINK("CALLTO:%2B356%202148%203216", "+356 2148 3216"))</x:f>
      </x:c>
    </x:row>
    <x:row r="27" spans="1:7" s="1" customFormat="1">
      <x:c r="B27" s="1" t="s">
        <x:v>5017</x:v>
      </x:c>
      <x:c r="C27" s="8" t="s">
        <x:v>853</x:v>
      </x:c>
      <x:c r="D27" s="9">
        <x:f>CONCATENATE(HYPERLINK("CALLTO:%2B356%202146%208770", "+356 2146 8770"))</x:f>
      </x:c>
    </x:row>
    <x:row r="28" spans="1:7" s="4" customFormat="1">
      <x:c r="B28" s="4" t="s">
        <x:v>5018</x:v>
      </x:c>
      <x:c r="C28" s="10" t="s">
        <x:v>715</x:v>
      </x:c>
      <x:c r="D28" s="11">
        <x:f>CONCATENATE(HYPERLINK("CALLTO:%2B356%202124%200100", "+356 2124 0100"))</x:f>
      </x:c>
    </x:row>
    <x:row r="29" spans="1:7" s="3" customFormat="1">
      <x:c r="B29" s="3" t="s">
        <x:v>3095</x:v>
      </x:c>
      <x:c r="C29" s="6" t="s">
        <x:v>1497</x:v>
      </x:c>
      <x:c r="D29" s="7">
        <x:f>CONCATENATE(HYPERLINK("CALLTO:%2B356%207952%202966", "+356 7952 2966"))</x:f>
      </x:c>
    </x:row>
    <x:row r="30" spans="1:7" s="1" customFormat="1">
      <x:c r="B30" s="1" t="s">
        <x:v>1484</x:v>
      </x:c>
      <x:c r="C30" s="8" t="s">
        <x:v>1318</x:v>
      </x:c>
      <x:c r="D30" s="9">
        <x:f>CONCATENATE(HYPERLINK("CALLTO:%2B356%202141%200685", "+356 2141 0685"))</x:f>
      </x:c>
    </x:row>
    <x:row r="31" spans="1:7" s="4" customFormat="1">
      <x:c r="B31" s="4" t="s">
        <x:v>1249</x:v>
      </x:c>
      <x:c r="C31" s="10" t="s">
        <x:v>1292</x:v>
      </x:c>
      <x:c r="D31" s="11">
        <x:f>CONCATENATE(HYPERLINK("CALLTO:%2B356%202737%200730", "+356 2737 0730"))</x:f>
      </x:c>
    </x:row>
    <x:row r="32" spans="1:7" s="3" customFormat="1">
      <x:c r="B32" s="3" t="s">
        <x:v>5019</x:v>
      </x:c>
      <x:c r="C32" s="6" t="s">
        <x:v>1295</x:v>
      </x:c>
      <x:c r="D32" s="7">
        <x:f>CONCATENATE(HYPERLINK("CALLTO:%2B356%202132%202250", "+356 2132 2250"))</x:f>
      </x:c>
    </x:row>
    <x:row r="33" spans="1:7" s="1" customFormat="1">
      <x:c r="B33" s="1" t="s">
        <x:v>1216</x:v>
      </x:c>
      <x:c r="C33" s="8" t="s">
        <x:v>1326</x:v>
      </x:c>
    </x:row>
    <x:row r="34" spans="1:7" s="4" customFormat="1">
      <x:c r="B34" s="4" t="s">
        <x:v>5020</x:v>
      </x:c>
      <x:c r="C34" s="10" t="s">
        <x:v>857</x:v>
      </x:c>
    </x:row>
    <x:row r="35" spans="1:7" s="3" customFormat="1">
      <x:c r="B35" s="3" t="s">
        <x:v>848</x:v>
      </x:c>
      <x:c r="C35" s="6" t="s">
        <x:v>1599</x:v>
      </x:c>
    </x:row>
    <x:row r="36" spans="1:7" s="1" customFormat="1">
      <x:c r="B36" s="1" t="s">
        <x:v>5021</x:v>
      </x:c>
      <x:c r="C36" s="8" t="s">
        <x:v>1294</x:v>
      </x:c>
    </x:row>
    <x:row r="37" spans="1:7" s="4" customFormat="1">
      <x:c r="B37" s="4" t="s">
        <x:v>1215</x:v>
      </x:c>
      <x:c r="C37" s="10" t="s">
        <x:v>5025</x:v>
      </x:c>
    </x:row>
    <x:row r="38" spans="1:7" s="3" customFormat="1">
      <x:c r="B38" s="3" t="s">
        <x:v>5022</x:v>
      </x:c>
      <x:c r="C38" s="6" t="s">
        <x:v>855</x:v>
      </x:c>
    </x:row>
    <x:row r="39" spans="1:7" s="1" customFormat="1">
      <x:c r="B39" s="1" t="s">
        <x:v>846</x:v>
      </x:c>
      <x:c r="C39" s="8" t="s">
        <x:v>5026</x:v>
      </x:c>
    </x:row>
    <x:row r="40" spans="1:7" s="4" customFormat="1">
      <x:c r="B40" s="4" t="s">
        <x:v>5023</x:v>
      </x:c>
    </x:row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  <x:row r="193" spans="1:7" s="4" customFormat="1"/>
    <x:row r="194" spans="1:7" s="3" customFormat="1"/>
    <x:row r="195" spans="1:7" s="1" customFormat="1"/>
    <x:row r="196" spans="1:7" s="4" customFormat="1"/>
    <x:row r="197" spans="1:7" s="3" customFormat="1"/>
    <x:row r="198" spans="1:7" s="1" customFormat="1"/>
    <x:row r="199" spans="1:7" s="4" customFormat="1"/>
  </x:sheetData>
  <x:hyperlinks>
    <x:hyperlink ref="C2" r:id="rId5604" tooltip="Send a mail to info@maltatiles.com"/>
    <x:hyperlink ref="C4" r:id="rId5605" tooltip="Send a mail to info@desanamarbles.com"/>
    <x:hyperlink ref="C5" r:id="rId5606" tooltip="Send a mail to sales@marbleinnovation.com"/>
    <x:hyperlink ref="C6" r:id="rId5607" tooltip="Send a mail to rgpmarblemalta@gmail.com"/>
    <x:hyperlink ref="C7" r:id="rId5608" tooltip="Send a mail to info@hmvella.com"/>
    <x:hyperlink ref="C8" r:id="rId5609" tooltip="Send a mail to bugejamarbles@gmail.com"/>
    <x:hyperlink ref="C9" r:id="rId5610" tooltip="Send a mail to info@chicliving.com.mt"/>
    <x:hyperlink ref="C10" r:id="rId5611" tooltip="Send a mail to amuscatmarble@gmail.com"/>
    <x:hyperlink ref="C11" r:id="rId5612" tooltip="Send a mail to info@cinimarbles.com"/>
    <x:hyperlink ref="C12" r:id="rId5613" tooltip="Send a mail to info@rabatmarbles.com"/>
    <x:hyperlink ref="C13" r:id="rId5614" tooltip="Send a mail to info@juliansmarble.com"/>
    <x:hyperlink ref="C14" r:id="rId5615" tooltip="Send a mail to grechmarbles@onvol.net"/>
    <x:hyperlink ref="C15" r:id="rId5616" tooltip="Send a mail to afellismarbleworks@gmail.com"/>
    <x:hyperlink ref="C16" r:id="rId5617" tooltip="Send a mail to icamill52@gmail.com"/>
    <x:hyperlink ref="C18" r:id="rId5618" tooltip="Send a mail to info@absolute.com.mt"/>
    <x:hyperlink ref="C20" r:id="rId5619" tooltip="Send a mail to kbugeja@qualitystonemalta.com"/>
    <x:hyperlink ref="C22" r:id="rId5620" tooltip="Send a mail to info@bfmarbles.com"/>
    <x:hyperlink ref="C23" r:id="rId5621" tooltip="Send a mail to info@soll.mt"/>
    <x:hyperlink ref="C25" r:id="rId5622" tooltip="Send a mail to sales@carinibathrooms.com"/>
    <x:hyperlink ref="C26" r:id="rId5623" tooltip="Send a mail to info@okhome.com.mt"/>
    <x:hyperlink ref="C27" r:id="rId5624" tooltip="Send a mail to info@jpitre.com"/>
    <x:hyperlink ref="C28" r:id="rId5625" tooltip="Send a mail to tilesandmarbleinfo@gmail.com"/>
    <x:hyperlink ref="C29" r:id="rId5626" tooltip="Send a mail to info@bigmatmalta.com"/>
    <x:hyperlink ref="C30" r:id="rId5627" tooltip="Send a mail to info@the-tile.com"/>
    <x:hyperlink ref="C31" r:id="rId5628" tooltip="Send a mail to info@ssbathrooms.com"/>
    <x:hyperlink ref="C32" r:id="rId5629" tooltip="Send a mail to info@vellafalzon.com"/>
    <x:hyperlink ref="C33" r:id="rId5630" tooltip="Send a mail to cristalbath@onvol.net"/>
    <x:hyperlink ref="C34" r:id="rId5631" tooltip="Send a mail to info@mrcd.com.mt"/>
    <x:hyperlink ref="C35" r:id="rId5632" tooltip="Send a mail to info@dinofino.com"/>
    <x:hyperlink ref="C36" r:id="rId5633" tooltip="Send a mail to sales@thetubmalta.com"/>
    <x:hyperlink ref="C37" r:id="rId5634" tooltip="Send a mail to josies@josies.mt"/>
    <x:hyperlink ref="C38" r:id="rId5635" tooltip="Send a mail to info@radosystems.eu"/>
    <x:hyperlink ref="C39" r:id="rId5636" tooltip="Send a mail to admin@bhome.com.mt"/>
    <x:hyperlink ref="E2" r:id="rId5637" tooltip="Search Buskett Road, Dingli, DGL 2709, Malta on Google Maps"/>
    <x:hyperlink ref="E4" r:id="rId5638" tooltip="Search KKW601, Triq Kordin, Paola, Malta on Google Maps"/>
    <x:hyperlink ref="E5" r:id="rId5639" tooltip="Search Ħaż-Żebbuġ, Malta on Google Maps"/>
    <x:hyperlink ref="E6" r:id="rId5640" tooltip="Search Handaq Road, Qormi, QRM 4000, Malta on Google Maps"/>
    <x:hyperlink ref="E7" r:id="rId5641" tooltip="Search Zone 3, Central Business District, Triq San Gwakkin, Birkirkara, Mriehel, Malta on Google Maps"/>
    <x:hyperlink ref="E8" r:id="rId5642" tooltip="Search triq Durumblat, Il-Mosta, Malta MST 4816 on Google Maps"/>
    <x:hyperlink ref="E9" r:id="rId5643" tooltip="Search 355, Triq l-Imdina, Ħal Qormi, Malta QRM 9012 on Google Maps"/>
    <x:hyperlink ref="E10" r:id="rId5644" tooltip="Search Handaq Road, Qormi, QRM 4000, Malta on Google Maps"/>
    <x:hyperlink ref="E11" r:id="rId5645" tooltip="Search Labour Avenue, Rabat RBT 1769 , Malta on Google Maps"/>
    <x:hyperlink ref="E12" r:id="rId5646" tooltip="Search Marsalforn Road , xaghra , Gozo ,Malta on Google Maps"/>
    <x:hyperlink ref="E13" r:id="rId5647" tooltip="Search Triq L-Mdina , H Attard , Malta ATD 9037 on Google Maps"/>
    <x:hyperlink ref="E14" r:id="rId5648" tooltip="Search Il-Pressa, Triq Il-Biccerija, Ix-Xewkija, Gozo, Malta XWK 3000 on Google Maps"/>
    <x:hyperlink ref="E15" r:id="rId5649" tooltip="Search Triq Hal Tarxien, Il-Gudja, Malta ZTN 14 on Google Maps"/>
    <x:hyperlink ref="E16" r:id="rId5650" tooltip="Search Triq Pantar, Hal Lija on Google Maps"/>
    <x:hyperlink ref="E18" r:id="rId5651" tooltip="Search John Micheal Testa Handaq, Qormi, Malta on Google Maps"/>
    <x:hyperlink ref="E20" r:id="rId5652" tooltip="Search B1, Midland Enterprise Park&#10;Burmarrad Road,&#10;Naxxar, Malta on Google Maps"/>
    <x:hyperlink ref="F2" r:id="rId5653" tooltip="Visit desanamarbles.com"/>
    <x:hyperlink ref="F4" r:id="rId5654" tooltip="Visit marbleinnovation.com"/>
    <x:hyperlink ref="F5" r:id="rId5655" tooltip="Visit rgpmarblemalta.com"/>
    <x:hyperlink ref="F6" r:id="rId5656" tooltip="Visit halmanvella.com"/>
    <x:hyperlink ref="F7" r:id="rId5657" tooltip="Visit bugeja-marbles.com"/>
    <x:hyperlink ref="F9" r:id="rId5658" tooltip="Visit muscarmarbleworks.com"/>
    <x:hyperlink ref="F10" r:id="rId5659" tooltip="Visit cinimarbles.com"/>
    <x:hyperlink ref="F11" r:id="rId5660" tooltip="Visit rabatmarbles.com"/>
    <x:hyperlink ref="F12" r:id="rId5661" tooltip="Visit juliansmarble.com"/>
    <x:hyperlink ref="F13" r:id="rId5662" tooltip="Visit cgrechmarbles.com"/>
    <x:hyperlink ref="F14" r:id="rId5663" tooltip="Visit afellismarbleworks.com"/>
    <x:hyperlink ref="F16" r:id="rId5664" tooltip="Visit absolute.com.mt/"/>
    <x:hyperlink ref="F18" r:id="rId5665" tooltip="Visit facebook.com/QualityStoneMalta/"/>
    <x:hyperlink ref="F20" r:id="rId5666" tooltip="Visit bfmarbles.com/#"/>
    <x:hyperlink ref="F22" r:id="rId5667" tooltip="Visit soll.mt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92"/>
  <x:sheetViews>
    <x:sheetView workbookViewId="0"/>
  </x:sheetViews>
  <x:sheetFormatPr defaultRowHeight="15"/>
  <x:cols>
    <x:col min="1" max="1" width="18.282054" style="0" customWidth="1"/>
    <x:col min="2" max="2" width="44.710625" style="0" customWidth="1"/>
    <x:col min="3" max="3" width="30.567768" style="0" customWidth="1"/>
    <x:col min="4" max="4" width="18.710625" style="0" customWidth="1"/>
    <x:col min="5" max="5" width="54.282054" style="0" customWidth="1"/>
    <x:col min="6" max="6" width="44.853482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List'!A89", "Back to Summary")</x:f>
      </x:c>
    </x:row>
    <x:row r="2" spans="1:7" s="3" customFormat="1">
      <x:c r="A2" s="3" t="s">
        <x:v>5028</x:v>
      </x:c>
      <x:c r="B2" s="3" t="s">
        <x:v>5030</x:v>
      </x:c>
      <x:c r="C2" s="6" t="s">
        <x:v>5063</x:v>
      </x:c>
      <x:c r="D2" s="7">
        <x:f>CONCATENATE(HYPERLINK("CALLTO:%2B356%207936%205191", "+356 7936 5191"))</x:f>
      </x:c>
      <x:c r="E2" s="6" t="s">
        <x:v>5087</x:v>
      </x:c>
      <x:c r="F2" s="6" t="s">
        <x:v>3060</x:v>
      </x:c>
    </x:row>
    <x:row r="3" spans="1:7" s="1" customFormat="1">
      <x:c r="A3" s="1" t="s">
        <x:v>5028</x:v>
      </x:c>
      <x:c r="B3" s="1" t="s">
        <x:v>5031</x:v>
      </x:c>
      <x:c r="C3" s="8" t="s">
        <x:v>4094</x:v>
      </x:c>
      <x:c r="D3" s="9">
        <x:f>CONCATENATE(HYPERLINK("CALLTO:%2B356%209996%202709", "+356 9996 2709"))</x:f>
      </x:c>
      <x:c r="E3" s="8" t="s">
        <x:v>5088</x:v>
      </x:c>
      <x:c r="F3" s="8" t="s">
        <x:v>5091</x:v>
      </x:c>
    </x:row>
    <x:row r="4" spans="1:7" s="4" customFormat="1">
      <x:c r="A4" s="4" t="s">
        <x:v>5028</x:v>
      </x:c>
      <x:c r="B4" s="4" t="s">
        <x:v>5032</x:v>
      </x:c>
      <x:c r="C4" s="10" t="s">
        <x:v>5064</x:v>
      </x:c>
      <x:c r="D4" s="11">
        <x:f>CONCATENATE(HYPERLINK("CALLTO:%2B356%202741%208713", "+356 2741 8713"))</x:f>
      </x:c>
      <x:c r="E4" s="10" t="s">
        <x:v>5089</x:v>
      </x:c>
    </x:row>
    <x:row r="5" spans="1:7" s="3" customFormat="1">
      <x:c r="A5" s="3" t="s">
        <x:v>5028</x:v>
      </x:c>
      <x:c r="B5" s="3" t="s">
        <x:v>5033</x:v>
      </x:c>
      <x:c r="C5" s="6" t="s">
        <x:v>791</x:v>
      </x:c>
      <x:c r="D5" s="7">
        <x:f>CONCATENATE(HYPERLINK("CALLTO:%2B356%209982%200714", "+356 9982 0714"))</x:f>
      </x:c>
      <x:c r="E5" s="6" t="s">
        <x:v>5090</x:v>
      </x:c>
    </x:row>
    <x:row r="6" spans="1:7" s="1" customFormat="1">
      <x:c r="A6" s="1" t="s">
        <x:v>5028</x:v>
      </x:c>
      <x:c r="B6" s="1" t="s">
        <x:v>5034</x:v>
      </x:c>
      <x:c r="C6" s="8" t="s">
        <x:v>5065</x:v>
      </x:c>
      <x:c r="D6" s="9">
        <x:f>CONCATENATE(HYPERLINK("CALLTO:%2B356%207777%201522", "+356 7777 1522"))</x:f>
      </x:c>
      <x:c r="E6" s="8" t="s">
        <x:v>4781</x:v>
      </x:c>
    </x:row>
    <x:row r="7" spans="1:7" s="4" customFormat="1">
      <x:c r="A7" s="4" t="s">
        <x:v>5028</x:v>
      </x:c>
      <x:c r="B7" s="4" t="s">
        <x:v>5035</x:v>
      </x:c>
      <x:c r="C7" s="10" t="s">
        <x:v>5066</x:v>
      </x:c>
      <x:c r="D7" s="11">
        <x:f>CONCATENATE(HYPERLINK("CALLTO:%2B356%209956%202994", "+356 9956 2994"))</x:f>
      </x:c>
    </x:row>
    <x:row r="8" spans="1:7" s="3" customFormat="1">
      <x:c r="A8" s="3" t="s">
        <x:v>5028</x:v>
      </x:c>
      <x:c r="B8" s="3" t="s">
        <x:v>5036</x:v>
      </x:c>
      <x:c r="C8" s="6" t="s">
        <x:v>1012</x:v>
      </x:c>
      <x:c r="D8" s="7">
        <x:f>CONCATENATE(HYPERLINK("CALLTO:%2B356%209958%204175", "+356 9958 4175"))</x:f>
      </x:c>
    </x:row>
    <x:row r="9" spans="1:7" s="1" customFormat="1">
      <x:c r="A9" s="1" t="s">
        <x:v>5028</x:v>
      </x:c>
      <x:c r="B9" s="1" t="s">
        <x:v>3248</x:v>
      </x:c>
      <x:c r="C9" s="8" t="s">
        <x:v>2994</x:v>
      </x:c>
      <x:c r="D9" s="9">
        <x:f>CONCATENATE(HYPERLINK("CALLTO:%2B356%202740%201923", "+356 2740 1923"))</x:f>
      </x:c>
    </x:row>
    <x:row r="10" spans="1:7" s="4" customFormat="1">
      <x:c r="A10" s="4" t="s">
        <x:v>5028</x:v>
      </x:c>
      <x:c r="B10" s="4" t="s">
        <x:v>5037</x:v>
      </x:c>
      <x:c r="C10" s="10" t="s">
        <x:v>121</x:v>
      </x:c>
      <x:c r="D10" s="11">
        <x:f>CONCATENATE(HYPERLINK("CALLTO:%2B356%209972%203789", "+356 9972 3789"))</x:f>
      </x:c>
    </x:row>
    <x:row r="11" spans="1:7" s="3" customFormat="1">
      <x:c r="A11" s="3" t="s">
        <x:v>5028</x:v>
      </x:c>
      <x:c r="B11" s="3" t="s">
        <x:v>96</x:v>
      </x:c>
      <x:c r="C11" s="6" t="s">
        <x:v>1017</x:v>
      </x:c>
    </x:row>
    <x:row r="12" spans="1:7" s="1" customFormat="1">
      <x:c r="A12" s="1" t="s">
        <x:v>5028</x:v>
      </x:c>
      <x:c r="B12" s="1" t="s">
        <x:v>1061</x:v>
      </x:c>
      <x:c r="C12" s="8" t="s">
        <x:v>4811</x:v>
      </x:c>
    </x:row>
    <x:row r="13" spans="1:7" s="4" customFormat="1">
      <x:c r="A13" s="4" t="s">
        <x:v>5028</x:v>
      </x:c>
      <x:c r="B13" s="4" t="s">
        <x:v>3254</x:v>
      </x:c>
      <x:c r="C13" s="10" t="s">
        <x:v>3989</x:v>
      </x:c>
    </x:row>
    <x:row r="14" spans="1:7" s="3" customFormat="1">
      <x:c r="A14" s="3" t="s">
        <x:v>5028</x:v>
      </x:c>
      <x:c r="B14" s="3" t="s">
        <x:v>5038</x:v>
      </x:c>
      <x:c r="C14" s="6" t="s">
        <x:v>5067</x:v>
      </x:c>
    </x:row>
    <x:row r="15" spans="1:7" s="1" customFormat="1">
      <x:c r="A15" s="1" t="s">
        <x:v>5028</x:v>
      </x:c>
      <x:c r="B15" s="1" t="s">
        <x:v>5039</x:v>
      </x:c>
      <x:c r="C15" s="8" t="s">
        <x:v>5068</x:v>
      </x:c>
    </x:row>
    <x:row r="16" spans="1:7" s="4" customFormat="1">
      <x:c r="A16" s="4" t="s">
        <x:v>5028</x:v>
      </x:c>
      <x:c r="B16" s="4" t="s">
        <x:v>5040</x:v>
      </x:c>
      <x:c r="C16" s="10" t="s">
        <x:v>3002</x:v>
      </x:c>
    </x:row>
    <x:row r="17" spans="1:7" s="3" customFormat="1">
      <x:c r="A17" s="3" t="s">
        <x:v>5028</x:v>
      </x:c>
      <x:c r="B17" s="3" t="s">
        <x:v>5041</x:v>
      </x:c>
      <x:c r="C17" s="6" t="s">
        <x:v>5069</x:v>
      </x:c>
    </x:row>
    <x:row r="18" spans="1:7" s="1" customFormat="1">
      <x:c r="A18" s="1" t="s">
        <x:v>5028</x:v>
      </x:c>
      <x:c r="B18" s="1" t="s">
        <x:v>5042</x:v>
      </x:c>
      <x:c r="C18" s="8" t="s">
        <x:v>5070</x:v>
      </x:c>
    </x:row>
    <x:row r="19" spans="1:7" s="4" customFormat="1">
      <x:c r="A19" s="4" t="s">
        <x:v>5028</x:v>
      </x:c>
      <x:c r="B19" s="4" t="s">
        <x:v>5043</x:v>
      </x:c>
      <x:c r="C19" s="10" t="s">
        <x:v>5071</x:v>
      </x:c>
    </x:row>
    <x:row r="20" spans="1:7" s="3" customFormat="1">
      <x:c r="A20" s="3" t="s">
        <x:v>5028</x:v>
      </x:c>
      <x:c r="B20" s="3" t="s">
        <x:v>5044</x:v>
      </x:c>
      <x:c r="C20" s="6" t="s">
        <x:v>5072</x:v>
      </x:c>
    </x:row>
    <x:row r="21" spans="1:7" s="1" customFormat="1">
      <x:c r="A21" s="1" t="s">
        <x:v>5028</x:v>
      </x:c>
      <x:c r="B21" s="1" t="s">
        <x:v>5046</x:v>
      </x:c>
      <x:c r="C21" s="8" t="s">
        <x:v>5073</x:v>
      </x:c>
    </x:row>
    <x:row r="22" spans="1:7" s="4" customFormat="1">
      <x:c r="A22" s="4" t="s">
        <x:v>5028</x:v>
      </x:c>
      <x:c r="B22" s="4" t="s">
        <x:v>5045</x:v>
      </x:c>
      <x:c r="C22" s="10" t="s">
        <x:v>1000</x:v>
      </x:c>
    </x:row>
    <x:row r="23" spans="1:7" s="3" customFormat="1"/>
    <x:row r="24" spans="1:7" s="1" customFormat="1">
      <x:c r="A24" s="1" t="s">
        <x:v>5029</x:v>
      </x:c>
      <x:c r="B24" s="1" t="s">
        <x:v>979</x:v>
      </x:c>
      <x:c r="C24" s="8" t="s">
        <x:v>5074</x:v>
      </x:c>
    </x:row>
    <x:row r="25" spans="1:7" s="4" customFormat="1">
      <x:c r="A25" s="4" t="s">
        <x:v>5029</x:v>
      </x:c>
      <x:c r="B25" s="4" t="s">
        <x:v>5047</x:v>
      </x:c>
      <x:c r="C25" s="10" t="s">
        <x:v>793</x:v>
      </x:c>
    </x:row>
    <x:row r="26" spans="1:7" s="3" customFormat="1">
      <x:c r="A26" s="3" t="s">
        <x:v>5029</x:v>
      </x:c>
      <x:c r="B26" s="3" t="s">
        <x:v>5048</x:v>
      </x:c>
      <x:c r="C26" s="6" t="s">
        <x:v>3048</x:v>
      </x:c>
    </x:row>
    <x:row r="27" spans="1:7" s="1" customFormat="1">
      <x:c r="A27" s="1" t="s">
        <x:v>5029</x:v>
      </x:c>
      <x:c r="B27" s="1" t="s">
        <x:v>5049</x:v>
      </x:c>
      <x:c r="C27" s="8" t="s">
        <x:v>3049</x:v>
      </x:c>
    </x:row>
    <x:row r="28" spans="1:7" s="4" customFormat="1">
      <x:c r="A28" s="4" t="s">
        <x:v>5029</x:v>
      </x:c>
      <x:c r="B28" s="4" t="s">
        <x:v>5050</x:v>
      </x:c>
      <x:c r="C28" s="10" t="s">
        <x:v>5075</x:v>
      </x:c>
    </x:row>
    <x:row r="29" spans="1:7" s="3" customFormat="1">
      <x:c r="A29" s="3" t="s">
        <x:v>5029</x:v>
      </x:c>
      <x:c r="B29" s="3" t="s">
        <x:v>5051</x:v>
      </x:c>
      <x:c r="C29" s="6" t="s">
        <x:v>5076</x:v>
      </x:c>
    </x:row>
    <x:row r="30" spans="1:7" s="1" customFormat="1">
      <x:c r="A30" s="1" t="s">
        <x:v>5029</x:v>
      </x:c>
      <x:c r="B30" s="1" t="s">
        <x:v>5052</x:v>
      </x:c>
      <x:c r="C30" s="8" t="s">
        <x:v>5077</x:v>
      </x:c>
    </x:row>
    <x:row r="31" spans="1:7" s="4" customFormat="1">
      <x:c r="A31" s="4" t="s">
        <x:v>5029</x:v>
      </x:c>
      <x:c r="B31" s="4" t="s">
        <x:v>5054</x:v>
      </x:c>
      <x:c r="C31" s="10" t="s">
        <x:v>3152</x:v>
      </x:c>
    </x:row>
    <x:row r="32" spans="1:7" s="3" customFormat="1">
      <x:c r="A32" s="3" t="s">
        <x:v>5029</x:v>
      </x:c>
      <x:c r="B32" s="3" t="s">
        <x:v>3144</x:v>
      </x:c>
      <x:c r="C32" s="6" t="s">
        <x:v>5078</x:v>
      </x:c>
    </x:row>
    <x:row r="33" spans="1:7" s="1" customFormat="1">
      <x:c r="A33" s="1" t="s">
        <x:v>5029</x:v>
      </x:c>
      <x:c r="B33" s="1" t="s">
        <x:v>5053</x:v>
      </x:c>
      <x:c r="C33" s="8" t="s">
        <x:v>5079</x:v>
      </x:c>
    </x:row>
    <x:row r="34" spans="1:7" s="4" customFormat="1">
      <x:c r="A34" s="4" t="s">
        <x:v>5029</x:v>
      </x:c>
      <x:c r="B34" s="4" t="s">
        <x:v>5055</x:v>
      </x:c>
      <x:c r="C34" s="10" t="s">
        <x:v>5080</x:v>
      </x:c>
    </x:row>
    <x:row r="35" spans="1:7" s="3" customFormat="1">
      <x:c r="A35" s="3" t="s">
        <x:v>5029</x:v>
      </x:c>
      <x:c r="B35" s="3" t="s">
        <x:v>5056</x:v>
      </x:c>
      <x:c r="C35" s="6" t="s">
        <x:v>5081</x:v>
      </x:c>
    </x:row>
    <x:row r="36" spans="1:7" s="1" customFormat="1">
      <x:c r="A36" s="1" t="s">
        <x:v>5029</x:v>
      </x:c>
      <x:c r="B36" s="1" t="s">
        <x:v>5057</x:v>
      </x:c>
      <x:c r="C36" s="8" t="s">
        <x:v>5082</x:v>
      </x:c>
    </x:row>
    <x:row r="37" spans="1:7" s="4" customFormat="1">
      <x:c r="A37" s="4" t="s">
        <x:v>5029</x:v>
      </x:c>
      <x:c r="B37" s="4" t="s">
        <x:v>5058</x:v>
      </x:c>
      <x:c r="C37" s="10" t="s">
        <x:v>5083</x:v>
      </x:c>
    </x:row>
    <x:row r="38" spans="1:7" s="3" customFormat="1">
      <x:c r="A38" s="3" t="s">
        <x:v>5029</x:v>
      </x:c>
      <x:c r="B38" s="3" t="s">
        <x:v>5059</x:v>
      </x:c>
      <x:c r="C38" s="6" t="s">
        <x:v>5084</x:v>
      </x:c>
    </x:row>
    <x:row r="39" spans="1:7" s="1" customFormat="1">
      <x:c r="A39" s="1" t="s">
        <x:v>5029</x:v>
      </x:c>
      <x:c r="B39" s="1" t="s">
        <x:v>5060</x:v>
      </x:c>
      <x:c r="C39" s="8" t="s">
        <x:v>1007</x:v>
      </x:c>
    </x:row>
    <x:row r="40" spans="1:7" s="4" customFormat="1">
      <x:c r="A40" s="4" t="s">
        <x:v>5029</x:v>
      </x:c>
      <x:c r="B40" s="4" t="s">
        <x:v>986</x:v>
      </x:c>
      <x:c r="C40" s="10" t="s">
        <x:v>5085</x:v>
      </x:c>
    </x:row>
    <x:row r="41" spans="1:7" s="3" customFormat="1">
      <x:c r="A41" s="3" t="s">
        <x:v>5029</x:v>
      </x:c>
      <x:c r="B41" s="3" t="s">
        <x:v>5061</x:v>
      </x:c>
      <x:c r="C41" s="6" t="s">
        <x:v>5086</x:v>
      </x:c>
    </x:row>
    <x:row r="42" spans="1:7" s="1" customFormat="1">
      <x:c r="A42" s="1" t="s">
        <x:v>5029</x:v>
      </x:c>
      <x:c r="B42" s="1" t="s">
        <x:v>5062</x:v>
      </x:c>
    </x:row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  <x:row r="180" spans="1:7" s="1" customFormat="1"/>
    <x:row r="181" spans="1:7" s="4" customFormat="1"/>
    <x:row r="182" spans="1:7" s="3" customFormat="1"/>
    <x:row r="183" spans="1:7" s="1" customFormat="1"/>
    <x:row r="184" spans="1:7" s="4" customFormat="1"/>
    <x:row r="185" spans="1:7" s="3" customFormat="1"/>
    <x:row r="186" spans="1:7" s="1" customFormat="1"/>
    <x:row r="187" spans="1:7" s="4" customFormat="1"/>
    <x:row r="188" spans="1:7" s="3" customFormat="1"/>
    <x:row r="189" spans="1:7" s="1" customFormat="1"/>
    <x:row r="190" spans="1:7" s="4" customFormat="1"/>
    <x:row r="191" spans="1:7" s="3" customFormat="1"/>
    <x:row r="192" spans="1:7" s="1" customFormat="1"/>
  </x:sheetData>
  <x:hyperlinks>
    <x:hyperlink ref="C2" r:id="rId5668" tooltip="Send a mail to sunnyabdilla@yahoo.com"/>
    <x:hyperlink ref="C3" r:id="rId5669" tooltip="Send a mail to curmijonathan@gmail.com"/>
    <x:hyperlink ref="C4" r:id="rId5670" tooltip="Send a mail to walldonegozo@gmail.com"/>
    <x:hyperlink ref="C5" r:id="rId5671" tooltip="Send a mail to clintsaliba3@gmail.com"/>
    <x:hyperlink ref="C6" r:id="rId5672" tooltip="Send a mail to hello@gypsumworks-malta.com"/>
    <x:hyperlink ref="C7" r:id="rId5673" tooltip="Send a mail to galeasupplies@gmail.com"/>
    <x:hyperlink ref="C8" r:id="rId5674" tooltip="Send a mail to info@mbfmalta.com"/>
    <x:hyperlink ref="C9" r:id="rId5675" tooltip="Send a mail to info@rainbowlimited.com"/>
    <x:hyperlink ref="C10" r:id="rId5676" tooltip="Send a mail to info@wsinstallations.com"/>
    <x:hyperlink ref="C11" r:id="rId5677" tooltip="Send a mail to xil@xuerebinstall.com"/>
    <x:hyperlink ref="C12" r:id="rId5678" tooltip="Send a mail to info@ptk.mt"/>
    <x:hyperlink ref="C13" r:id="rId5679" tooltip="Send a mail to hamody.zedan00@gmail.com"/>
    <x:hyperlink ref="C14" r:id="rId5680" tooltip="Send a mail to doriantheuma@yahoo.com"/>
    <x:hyperlink ref="C15" r:id="rId5681" tooltip="Send a mail to japlastering@gmail.com"/>
    <x:hyperlink ref="C16" r:id="rId5682" tooltip="Send a mail to wayne_7489@msn.com"/>
    <x:hyperlink ref="C17" r:id="rId5683" tooltip="Send a mail to rp_plastering@hotmail.com"/>
    <x:hyperlink ref="C18" r:id="rId5684" tooltip="Send a mail to Josefborg2009@hotmail.com"/>
    <x:hyperlink ref="C19" r:id="rId5685" tooltip="Send a mail to rmgypsumworks@gmail.com"/>
    <x:hyperlink ref="C20" r:id="rId5686" tooltip="Send a mail to EdutzuDutzu@gmail.com"/>
    <x:hyperlink ref="C21" r:id="rId5687" tooltip="Send a mail to emadcmf@gmail.com"/>
    <x:hyperlink ref="C22" r:id="rId5688" tooltip="Send a mail to cagypsum@onvol.net"/>
    <x:hyperlink ref="C24" r:id="rId5689" tooltip="Send a mail to darrensb@hotmail.co.uk"/>
    <x:hyperlink ref="C25" r:id="rId5690" tooltip="Send a mail to contact@kibitec.com"/>
    <x:hyperlink ref="C26" r:id="rId5691" tooltip="Send a mail to malta.tiling@gmail.com"/>
    <x:hyperlink ref="C27" r:id="rId5692" tooltip="Send a mail to siamnd1985@gmail.com"/>
    <x:hyperlink ref="C28" r:id="rId5693" tooltip="Send a mail to gattjason76@gmail.com"/>
    <x:hyperlink ref="C29" r:id="rId5694" tooltip="Send a mail to oscardebono@hotmail.com"/>
    <x:hyperlink ref="C30" r:id="rId5695" tooltip="Send a mail to Ghazi.zedan@gmail.com"/>
    <x:hyperlink ref="C31" r:id="rId5696" tooltip="Send a mail to tcj@mbm.com.mt"/>
    <x:hyperlink ref="C32" r:id="rId5697" tooltip="Send a mail to alibodhir@yahoo.co.uk"/>
    <x:hyperlink ref="C33" r:id="rId5698" tooltip="Send a mail to roderickmicallef1993@gmail.com"/>
    <x:hyperlink ref="C34" r:id="rId5699" tooltip="Send a mail to alexcalafato@live.com"/>
    <x:hyperlink ref="C35" r:id="rId5700" tooltip="Send a mail to mhmdbdallh72544@gmail.com"/>
    <x:hyperlink ref="C36" r:id="rId5701" tooltip="Send a mail to alihamza44500@gmail.com"/>
    <x:hyperlink ref="C37" r:id="rId5702" tooltip="Send a mail to Clydespiteri123@gmail.com"/>
    <x:hyperlink ref="C38" r:id="rId5703" tooltip="Send a mail to briangrech@hotmail.com"/>
    <x:hyperlink ref="C39" r:id="rId5704" tooltip="Send a mail to grimainteriors@hotmail.com"/>
    <x:hyperlink ref="C40" r:id="rId5705" tooltip="Send a mail to galeapainters@gmail.com"/>
    <x:hyperlink ref="C41" r:id="rId5706" tooltip="Send a mail to damianfava27@gmail.com"/>
    <x:hyperlink ref="E2" r:id="rId5707" tooltip="Search 47/1 Sqaq Tomna, San Ġwann, Malta on Google Maps"/>
    <x:hyperlink ref="E3" r:id="rId5708" tooltip="Search Antreas', Triq Pietru Saliba, Ħal Luqa, Malta on Google Maps"/>
    <x:hyperlink ref="E4" r:id="rId5709" tooltip="Search 44, Triq V Boron, Naxxar NXR 1862, Malta on Google Maps"/>
    <x:hyperlink ref="E5" r:id="rId5710" tooltip="Search 32, Redeemer, Triq Ta' Masrija, Il-Mellieħa, Malta MLH 1637 on Google Maps"/>
    <x:hyperlink ref="E6" r:id="rId5711" tooltip="Search Qormi, Malta on Google Maps"/>
    <x:hyperlink ref="F2" r:id="rId5712" tooltip="Visit gattjason.com"/>
    <x:hyperlink ref="F3" r:id="rId5713" tooltip="Visit facebook.com/zedanconstructionandplastering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0"/>
  <x:sheetViews>
    <x:sheetView workbookViewId="0"/>
  </x:sheetViews>
  <x:sheetFormatPr defaultRowHeight="15"/>
  <x:cols>
    <x:col min="1" max="1" width="12.996339" style="0" customWidth="1"/>
    <x:col min="2" max="2" width="25.567768" style="0" customWidth="1"/>
    <x:col min="3" max="3" width="27.710625" style="0" customWidth="1"/>
    <x:col min="4" max="4" width="18.710625" style="0" customWidth="1"/>
    <x:col min="5" max="5" width="36.853482" style="0" customWidth="1"/>
    <x:col min="6" max="6" width="35.282054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2167</x:v>
      </x:c>
      <x:c r="C1" s="2" t="s">
        <x:v>502</x:v>
      </x:c>
      <x:c r="D1" s="2" t="s">
        <x:v>521</x:v>
      </x:c>
      <x:c r="E1" s="2" t="s">
        <x:v>914</x:v>
      </x:c>
      <x:c r="F1" s="2" t="s">
        <x:v>529</x:v>
      </x:c>
      <x:c r="G1" s="5">
        <x:f>HYPERLINK("#'Summary List'!A90", "Back to Summary")</x:f>
      </x:c>
    </x:row>
    <x:row r="2" spans="1:7" s="3" customFormat="1">
      <x:c r="A2" s="3" t="s">
        <x:v>5092</x:v>
      </x:c>
      <x:c r="B2" s="3" t="s">
        <x:v>3959</x:v>
      </x:c>
      <x:c r="C2" s="6" t="s">
        <x:v>3976</x:v>
      </x:c>
      <x:c r="D2" s="7">
        <x:f>CONCATENATE(HYPERLINK("CALLTO:%2B356%209982%205993", "+356 9982 5993"))</x:f>
      </x:c>
      <x:c r="E2" s="6" t="s">
        <x:v>4001</x:v>
      </x:c>
      <x:c r="F2" s="6" t="s">
        <x:v>3186</x:v>
      </x:c>
    </x:row>
    <x:row r="3" spans="1:7" s="1" customFormat="1">
      <x:c r="A3" s="1" t="s">
        <x:v>5092</x:v>
      </x:c>
      <x:c r="B3" s="1" t="s">
        <x:v>5093</x:v>
      </x:c>
      <x:c r="C3" s="8" t="s">
        <x:v>5101</x:v>
      </x:c>
      <x:c r="D3" s="9">
        <x:f>CONCATENATE(HYPERLINK("CALLTO:%2B356%207701%203328", "+356 7701 3328"))</x:f>
      </x:c>
      <x:c r="E3" s="8" t="s">
        <x:v>5107</x:v>
      </x:c>
      <x:c r="F3" s="8" t="s">
        <x:v>5108</x:v>
      </x:c>
    </x:row>
    <x:row r="4" spans="1:7" s="4" customFormat="1">
      <x:c r="A4" s="4" t="s">
        <x:v>5092</x:v>
      </x:c>
      <x:c r="B4" s="4" t="s">
        <x:v>763</x:v>
      </x:c>
      <x:c r="C4" s="10" t="s">
        <x:v>793</x:v>
      </x:c>
      <x:c r="D4" s="11">
        <x:f>CONCATENATE(HYPERLINK("CALLTO:%2B356%207777%201522", "+356 7777 1522"))</x:f>
      </x:c>
      <x:c r="F4" s="10" t="s">
        <x:v>5109</x:v>
      </x:c>
    </x:row>
    <x:row r="5" spans="1:7" s="3" customFormat="1">
      <x:c r="A5" s="3" t="s">
        <x:v>5092</x:v>
      </x:c>
      <x:c r="B5" s="3" t="s">
        <x:v>5094</x:v>
      </x:c>
      <x:c r="C5" s="6" t="s">
        <x:v>5102</x:v>
      </x:c>
      <x:c r="D5" s="7">
        <x:f>CONCATENATE(HYPERLINK("CALLTO:%2B356%209970%201286", "+356 9970 1286"))</x:f>
      </x:c>
      <x:c r="F5" s="6" t="s">
        <x:v>5110</x:v>
      </x:c>
    </x:row>
    <x:row r="6" spans="1:7" s="1" customFormat="1">
      <x:c r="A6" s="1" t="s">
        <x:v>5092</x:v>
      </x:c>
      <x:c r="B6" s="1" t="s">
        <x:v>3148</x:v>
      </x:c>
      <x:c r="C6" s="8" t="s">
        <x:v>5103</x:v>
      </x:c>
      <x:c r="D6" s="9">
        <x:f>CONCATENATE(HYPERLINK("CALLTO:%2B356%207929%204977", "+356 7929 4977"))</x:f>
      </x:c>
      <x:c r="F6" s="8" t="s">
        <x:v>4020</x:v>
      </x:c>
    </x:row>
    <x:row r="7" spans="1:7" s="4" customFormat="1">
      <x:c r="A7" s="4" t="s">
        <x:v>5092</x:v>
      </x:c>
      <x:c r="B7" s="4" t="s">
        <x:v>5095</x:v>
      </x:c>
      <x:c r="C7" s="10" t="s">
        <x:v>3977</x:v>
      </x:c>
      <x:c r="D7" s="11">
        <x:f>CONCATENATE(HYPERLINK("CALLTO:%2B356%209916%201605", "+356 9916 1605"))</x:f>
      </x:c>
    </x:row>
    <x:row r="8" spans="1:7" s="3" customFormat="1">
      <x:c r="A8" s="3" t="s">
        <x:v>5092</x:v>
      </x:c>
      <x:c r="B8" s="3" t="s">
        <x:v>5096</x:v>
      </x:c>
      <x:c r="C8" s="6" t="s">
        <x:v>5104</x:v>
      </x:c>
      <x:c r="D8" s="7">
        <x:f>CONCATENATE(HYPERLINK("CALLTO:%2B356%209911%209657", "+356 9911 9657"))</x:f>
      </x:c>
    </x:row>
    <x:row r="9" spans="1:7" s="1" customFormat="1">
      <x:c r="A9" s="1" t="s">
        <x:v>5092</x:v>
      </x:c>
      <x:c r="B9" s="1" t="s">
        <x:v>5097</x:v>
      </x:c>
      <x:c r="C9" s="8" t="s">
        <x:v>5105</x:v>
      </x:c>
      <x:c r="D9" s="9">
        <x:f>CONCATENATE(HYPERLINK("CALLTO:%2B356%209936%205497", "+356 9936 5497"))</x:f>
      </x:c>
    </x:row>
    <x:row r="10" spans="1:7" s="4" customFormat="1">
      <x:c r="A10" s="4" t="s">
        <x:v>5092</x:v>
      </x:c>
      <x:c r="B10" s="4" t="s">
        <x:v>5098</x:v>
      </x:c>
      <x:c r="C10" s="10" t="s">
        <x:v>5106</x:v>
      </x:c>
      <x:c r="D10" s="11">
        <x:f>CONCATENATE(HYPERLINK("CALLTO:%2B356%209900%206025", "+356 9900 6025"))</x:f>
      </x:c>
    </x:row>
    <x:row r="11" spans="1:7" s="3" customFormat="1">
      <x:c r="A11" s="3" t="s">
        <x:v>5092</x:v>
      </x:c>
      <x:c r="B11" s="3" t="s">
        <x:v>5099</x:v>
      </x:c>
      <x:c r="C11" s="6" t="s">
        <x:v>855</x:v>
      </x:c>
      <x:c r="D11" s="7">
        <x:f>CONCATENATE(HYPERLINK("CALLTO:%2B356%209946%208622", "+356 9946 8622"))</x:f>
      </x:c>
    </x:row>
    <x:row r="12" spans="1:7" s="1" customFormat="1">
      <x:c r="A12" s="1" t="s">
        <x:v>5092</x:v>
      </x:c>
      <x:c r="B12" s="1" t="s">
        <x:v>5100</x:v>
      </x:c>
      <x:c r="C12" s="8" t="s">
        <x:v>3184</x:v>
      </x:c>
      <x:c r="D12" s="9">
        <x:f>CONCATENATE(HYPERLINK("CALLTO:%2B356%209927%204185", "+356 9927 4185"))</x:f>
      </x:c>
    </x:row>
    <x:row r="13" spans="1:7" s="4" customFormat="1">
      <x:c r="A13" s="4" t="s">
        <x:v>5092</x:v>
      </x:c>
      <x:c r="B13" s="4" t="s">
        <x:v>3177</x:v>
      </x:c>
    </x:row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</x:sheetData>
  <x:hyperlinks>
    <x:hyperlink ref="C2" r:id="rId5714" tooltip="Send a mail to info@keycontractors.com.mt"/>
    <x:hyperlink ref="C3" r:id="rId5715" tooltip="Send a mail to decofinishesmt@gmail.com"/>
    <x:hyperlink ref="C4" r:id="rId5716" tooltip="Send a mail to contact@kibitec.com"/>
    <x:hyperlink ref="C5" r:id="rId5717" tooltip="Send a mail to protilingmalta@gmail.com"/>
    <x:hyperlink ref="C6" r:id="rId5718" tooltip="Send a mail to pronesti@mail.com"/>
    <x:hyperlink ref="C7" r:id="rId5719" tooltip="Send a mail to info@csprojects.com.mt"/>
    <x:hyperlink ref="C8" r:id="rId5720" tooltip="Send a mail to dwtinstallations@gmail.com"/>
    <x:hyperlink ref="C9" r:id="rId5721" tooltip="Send a mail to dean.bonello29@gmail.com"/>
    <x:hyperlink ref="C10" r:id="rId5722" tooltip="Send a mail to gypsumwizards@gmail.com"/>
    <x:hyperlink ref="C11" r:id="rId5723" tooltip="Send a mail to info@radosystems.eu"/>
    <x:hyperlink ref="C12" r:id="rId5724" tooltip="Send a mail to info@Fodha.mt"/>
    <x:hyperlink ref="E2" r:id="rId5725" tooltip="Search Trejqet Isouard&#10;Marsa MRS 2020&#10;Malta on Google Maps"/>
    <x:hyperlink ref="E3" r:id="rId5726" tooltip="Search 25, Triq Il-Muzika, L-Iklin, Malta, IKL1091 on Google Maps"/>
    <x:hyperlink ref="F2" r:id="rId5727" tooltip="Visit keycontractors.com.mt/contact-us/"/>
    <x:hyperlink ref="F3" r:id="rId5728" tooltip="Visit microcementmalta.com/contact-us"/>
    <x:hyperlink ref="F4" r:id="rId5729" tooltip="Visit kibitec.com/contact-us/"/>
    <x:hyperlink ref="F5" r:id="rId5730" tooltip="Visit facebook.com/customconcretemalta/"/>
    <x:hyperlink ref="F6" r:id="rId5731" tooltip="Visit csgrouplimited.com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6"/>
  <x:sheetViews>
    <x:sheetView workbookViewId="0"/>
  </x:sheetViews>
  <x:sheetFormatPr defaultRowHeight="15"/>
  <x:cols>
    <x:col min="1" max="1" width="9.710625" style="0" customWidth="1"/>
    <x:col min="2" max="2" width="33.996339" style="0" customWidth="1"/>
    <x:col min="3" max="3" width="40.424911" style="0" customWidth="1"/>
    <x:col min="4" max="4" width="18.710625" style="0" customWidth="1"/>
    <x:col min="5" max="5" width="11.424911" style="0" customWidth="1"/>
    <x:col min="6" max="6" width="10.996339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482</x:v>
      </x:c>
      <x:c r="C1" s="2" t="s">
        <x:v>502</x:v>
      </x:c>
      <x:c r="D1" s="2" t="s">
        <x:v>521</x:v>
      </x:c>
      <x:c r="E1" s="2" t="s">
        <x:v>522</x:v>
      </x:c>
      <x:c r="F1" s="2" t="s">
        <x:v>529</x:v>
      </x:c>
      <x:c r="G1" s="5">
        <x:f>HYPERLINK("#'Summary List'!A91", "Back to Summary")</x:f>
      </x:c>
    </x:row>
    <x:row r="2" spans="1:7" s="3" customFormat="1">
      <x:c r="A2" s="3" t="s">
        <x:v>5111</x:v>
      </x:c>
      <x:c r="B2" s="3" t="s">
        <x:v>5112</x:v>
      </x:c>
      <x:c r="C2" s="6" t="s">
        <x:v>4842</x:v>
      </x:c>
    </x:row>
    <x:row r="3" spans="1:7" s="1" customFormat="1">
      <x:c r="A3" s="1" t="s">
        <x:v>5111</x:v>
      </x:c>
      <x:c r="B3" s="1" t="s">
        <x:v>3240</x:v>
      </x:c>
      <x:c r="C3" s="8" t="s">
        <x:v>5134</x:v>
      </x:c>
    </x:row>
    <x:row r="4" spans="1:7" s="4" customFormat="1">
      <x:c r="A4" s="4" t="s">
        <x:v>5111</x:v>
      </x:c>
      <x:c r="B4" s="4" t="s">
        <x:v>763</x:v>
      </x:c>
      <x:c r="C4" s="10" t="s">
        <x:v>793</x:v>
      </x:c>
    </x:row>
    <x:row r="5" spans="1:7" s="3" customFormat="1">
      <x:c r="A5" s="3" t="s">
        <x:v>5111</x:v>
      </x:c>
      <x:c r="B5" s="3" t="s">
        <x:v>5113</x:v>
      </x:c>
      <x:c r="C5" s="6" t="s">
        <x:v>5135</x:v>
      </x:c>
    </x:row>
    <x:row r="6" spans="1:7" s="1" customFormat="1">
      <x:c r="A6" s="1" t="s">
        <x:v>5111</x:v>
      </x:c>
      <x:c r="B6" s="1" t="s">
        <x:v>5114</x:v>
      </x:c>
      <x:c r="C6" s="8" t="s">
        <x:v>5136</x:v>
      </x:c>
    </x:row>
    <x:row r="7" spans="1:7" s="4" customFormat="1">
      <x:c r="A7" s="4" t="s">
        <x:v>5111</x:v>
      </x:c>
      <x:c r="B7" s="4" t="s">
        <x:v>5115</x:v>
      </x:c>
      <x:c r="C7" s="10" t="s">
        <x:v>233</x:v>
      </x:c>
    </x:row>
    <x:row r="8" spans="1:7" s="3" customFormat="1">
      <x:c r="A8" s="3" t="s">
        <x:v>5111</x:v>
      </x:c>
      <x:c r="B8" s="3" t="s">
        <x:v>5116</x:v>
      </x:c>
      <x:c r="C8" s="6" t="s">
        <x:v>5137</x:v>
      </x:c>
    </x:row>
    <x:row r="9" spans="1:7" s="1" customFormat="1">
      <x:c r="A9" s="1" t="s">
        <x:v>5111</x:v>
      </x:c>
      <x:c r="B9" s="1" t="s">
        <x:v>5117</x:v>
      </x:c>
      <x:c r="C9" s="8" t="s">
        <x:v>5138</x:v>
      </x:c>
    </x:row>
    <x:row r="10" spans="1:7" s="4" customFormat="1">
      <x:c r="A10" s="4" t="s">
        <x:v>5111</x:v>
      </x:c>
      <x:c r="B10" s="4" t="s">
        <x:v>5118</x:v>
      </x:c>
      <x:c r="C10" s="10" t="s">
        <x:v>786</x:v>
      </x:c>
    </x:row>
    <x:row r="11" spans="1:7" s="3" customFormat="1"/>
    <x:row r="12" spans="1:7" s="1" customFormat="1">
      <x:c r="B12" s="1" t="s">
        <x:v>5119</x:v>
      </x:c>
      <x:c r="C12" s="8" t="s">
        <x:v>5139</x:v>
      </x:c>
    </x:row>
    <x:row r="13" spans="1:7" s="4" customFormat="1">
      <x:c r="B13" s="4" t="s">
        <x:v>4864</x:v>
      </x:c>
      <x:c r="C13" s="10" t="s">
        <x:v>4870</x:v>
      </x:c>
    </x:row>
    <x:row r="14" spans="1:7" s="3" customFormat="1">
      <x:c r="B14" s="3" t="s">
        <x:v>5120</x:v>
      </x:c>
      <x:c r="C14" s="6" t="s">
        <x:v>3205</x:v>
      </x:c>
    </x:row>
    <x:row r="15" spans="1:7" s="1" customFormat="1">
      <x:c r="B15" s="1" t="s">
        <x:v>3144</x:v>
      </x:c>
      <x:c r="C15" s="8" t="s">
        <x:v>3152</x:v>
      </x:c>
    </x:row>
    <x:row r="16" spans="1:7" s="4" customFormat="1">
      <x:c r="B16" s="4" t="s">
        <x:v>4052</x:v>
      </x:c>
      <x:c r="C16" s="10" t="s">
        <x:v>707</x:v>
      </x:c>
    </x:row>
    <x:row r="17" spans="1:7" s="3" customFormat="1">
      <x:c r="B17" s="3" t="s">
        <x:v>5121</x:v>
      </x:c>
      <x:c r="C17" s="6" t="s">
        <x:v>1067</x:v>
      </x:c>
    </x:row>
    <x:row r="18" spans="1:7" s="1" customFormat="1">
      <x:c r="B18" s="1" t="s">
        <x:v>4532</x:v>
      </x:c>
      <x:c r="C18" s="8" t="s">
        <x:v>1914</x:v>
      </x:c>
    </x:row>
    <x:row r="19" spans="1:7" s="4" customFormat="1">
      <x:c r="B19" s="4" t="s">
        <x:v>5122</x:v>
      </x:c>
      <x:c r="C19" s="10" t="s">
        <x:v>5140</x:v>
      </x:c>
    </x:row>
    <x:row r="20" spans="1:7" s="3" customFormat="1">
      <x:c r="B20" s="3" t="s">
        <x:v>3248</x:v>
      </x:c>
      <x:c r="C20" s="6" t="s">
        <x:v>1012</x:v>
      </x:c>
    </x:row>
    <x:row r="21" spans="1:7" s="1" customFormat="1">
      <x:c r="B21" s="1" t="s">
        <x:v>5123</x:v>
      </x:c>
      <x:c r="C21" s="8" t="s">
        <x:v>790</x:v>
      </x:c>
    </x:row>
    <x:row r="22" spans="1:7" s="4" customFormat="1">
      <x:c r="B22" s="4" t="s">
        <x:v>5124</x:v>
      </x:c>
      <x:c r="C22" s="10" t="s">
        <x:v>783</x:v>
      </x:c>
    </x:row>
    <x:row r="23" spans="1:7" s="3" customFormat="1">
      <x:c r="B23" s="3" t="s">
        <x:v>5125</x:v>
      </x:c>
      <x:c r="C23" s="6" t="s">
        <x:v>798</x:v>
      </x:c>
    </x:row>
    <x:row r="24" spans="1:7" s="1" customFormat="1">
      <x:c r="B24" s="1" t="s">
        <x:v>5126</x:v>
      </x:c>
      <x:c r="C24" s="8" t="s">
        <x:v>5141</x:v>
      </x:c>
    </x:row>
    <x:row r="25" spans="1:7" s="4" customFormat="1">
      <x:c r="B25" s="4" t="s">
        <x:v>5127</x:v>
      </x:c>
      <x:c r="C25" s="10" t="s">
        <x:v>5142</x:v>
      </x:c>
    </x:row>
    <x:row r="26" spans="1:7" s="3" customFormat="1">
      <x:c r="B26" s="3" t="s">
        <x:v>5128</x:v>
      </x:c>
      <x:c r="C26" s="6" t="s">
        <x:v>4842</x:v>
      </x:c>
    </x:row>
    <x:row r="27" spans="1:7" s="1" customFormat="1">
      <x:c r="B27" s="1" t="s">
        <x:v>5129</x:v>
      </x:c>
      <x:c r="C27" s="8" t="s">
        <x:v>1113</x:v>
      </x:c>
    </x:row>
    <x:row r="28" spans="1:7" s="4" customFormat="1">
      <x:c r="B28" s="4" t="s">
        <x:v>5130</x:v>
      </x:c>
      <x:c r="C28" s="10" t="s">
        <x:v>5143</x:v>
      </x:c>
    </x:row>
    <x:row r="29" spans="1:7" s="3" customFormat="1">
      <x:c r="B29" s="3" t="s">
        <x:v>5131</x:v>
      </x:c>
      <x:c r="C29" s="6" t="s">
        <x:v>806</x:v>
      </x:c>
    </x:row>
    <x:row r="30" spans="1:7" s="1" customFormat="1">
      <x:c r="B30" s="1" t="s">
        <x:v>5132</x:v>
      </x:c>
      <x:c r="C30" s="8" t="s">
        <x:v>5144</x:v>
      </x:c>
    </x:row>
    <x:row r="31" spans="1:7" s="4" customFormat="1">
      <x:c r="B31" s="4" t="s">
        <x:v>5133</x:v>
      </x:c>
      <x:c r="C31" s="10" t="s">
        <x:v>5145</x:v>
      </x:c>
    </x:row>
    <x:row r="32" spans="1:7" s="3" customFormat="1">
      <x:c r="B32" s="3" t="s">
        <x:v>2079</x:v>
      </x:c>
      <x:c r="C32" s="6" t="s">
        <x:v>2090</x:v>
      </x:c>
    </x:row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</x:sheetData>
  <x:hyperlinks>
    <x:hyperlink ref="C2" r:id="rId5732" tooltip="Send a mail to bestinsulationltd@gmail.com"/>
    <x:hyperlink ref="C3" r:id="rId5733" tooltip="Send a mail to info@bitmac.com.mt"/>
    <x:hyperlink ref="C4" r:id="rId5734" tooltip="Send a mail to contact@kibitec.com"/>
    <x:hyperlink ref="C5" r:id="rId5735" tooltip="Send a mail to thermapro@outlook.com"/>
    <x:hyperlink ref="C6" r:id="rId5736" tooltip="Send a mail to decgypsum@gmail.com"/>
    <x:hyperlink ref="C7" r:id="rId5737" tooltip="Send a mail to info@baldacchinogroup.com"/>
    <x:hyperlink ref="C8" r:id="rId5738" tooltip="Send a mail to info@ecogroup-mt.com"/>
    <x:hyperlink ref="C9" r:id="rId5739" tooltip="Send a mail to qamarwaterproofing.insulation@gmail.com"/>
    <x:hyperlink ref="C10" r:id="rId5740" tooltip="Send a mail to tnwaterproof@gmail.com"/>
    <x:hyperlink ref="C12" r:id="rId5741" tooltip="Send a mail to info@bms-malta.com"/>
    <x:hyperlink ref="C13" r:id="rId5742" tooltip="Send a mail to kpt.kpttradingmalta@gmail.com"/>
    <x:hyperlink ref="C14" r:id="rId5743" tooltip="Send a mail to info@betacentre.com.mt"/>
    <x:hyperlink ref="C15" r:id="rId5744" tooltip="Send a mail to tcj@mbm.com.mt"/>
    <x:hyperlink ref="C16" r:id="rId5745" tooltip="Send a mail to info@attardbros.com"/>
    <x:hyperlink ref="C17" r:id="rId5746" tooltip="Send a mail to marketing@crcmalta.com"/>
    <x:hyperlink ref="C18" r:id="rId5747" tooltip="Send a mail to sales@maltashopper.com"/>
    <x:hyperlink ref="C19" r:id="rId5748" tooltip="Send a mail to info@iqbloc.com"/>
    <x:hyperlink ref="C20" r:id="rId5749" tooltip="Send a mail to info@mbfmalta.com"/>
    <x:hyperlink ref="C21" r:id="rId5750" tooltip="Send a mail to info@389.com.mt"/>
    <x:hyperlink ref="C22" r:id="rId5751" tooltip="Send a mail to alexgrech.waterproofing@gmail.com"/>
    <x:hyperlink ref="C23" r:id="rId5752" tooltip="Send a mail to sales@jmvibro.com"/>
    <x:hyperlink ref="C24" r:id="rId5753" tooltip="Send a mail to sales@patabone.com"/>
    <x:hyperlink ref="C25" r:id="rId5754" tooltip="Send a mail to sales@wuerth.com.mt"/>
    <x:hyperlink ref="C26" r:id="rId5755" tooltip="Send a mail to bestinsulationltd@gmail.com"/>
    <x:hyperlink ref="C27" r:id="rId5756" tooltip="Send a mail to info@t4bservices.com"/>
    <x:hyperlink ref="C28" r:id="rId5757" tooltip="Send a mail to contact@ge-stones.com"/>
    <x:hyperlink ref="C29" r:id="rId5758" tooltip="Send a mail to admin@thermasealmalta.com"/>
    <x:hyperlink ref="C30" r:id="rId5759" tooltip="Send a mail to info@creativeprojects.eu"/>
    <x:hyperlink ref="C31" r:id="rId5760" tooltip="Send a mail to info@macmed.com.mt"/>
    <x:hyperlink ref="C32" r:id="rId5761" tooltip="Send a mail to info@rsgroup.com.mt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3"/>
  <x:sheetViews>
    <x:sheetView workbookViewId="0"/>
  </x:sheetViews>
  <x:sheetFormatPr defaultRowHeight="15"/>
  <x:cols>
    <x:col min="1" max="1" width="55.424911" style="0" customWidth="1"/>
    <x:col min="2" max="2" width="46.424911" style="0" customWidth="1"/>
    <x:col min="3" max="3" width="31.139196" style="0" customWidth="1"/>
    <x:col min="4" max="4" width="18.710625" style="0" customWidth="1"/>
    <x:col min="5" max="5" width="70.710625" style="0" customWidth="1"/>
    <x:col min="6" max="6" width="10.424911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2302</x:v>
      </x:c>
      <x:c r="C1" s="2" t="s">
        <x:v>502</x:v>
      </x:c>
      <x:c r="D1" s="2" t="s">
        <x:v>521</x:v>
      </x:c>
      <x:c r="E1" s="2" t="s">
        <x:v>914</x:v>
      </x:c>
      <x:c r="F1" s="2" t="s">
        <x:v>23</x:v>
      </x:c>
      <x:c r="G1" s="5">
        <x:f>HYPERLINK("#'Summary List'!A92", "Back to Summary")</x:f>
      </x:c>
    </x:row>
    <x:row r="2" spans="1:7" s="3" customFormat="1">
      <x:c r="A2" s="3" t="s">
        <x:v>5146</x:v>
      </x:c>
      <x:c r="B2" s="3" t="s">
        <x:v>5147</x:v>
      </x:c>
      <x:c r="C2" s="6" t="s">
        <x:v>5156</x:v>
      </x:c>
      <x:c r="D2" s="7">
        <x:f>CONCATENATE(HYPERLINK("CALLTO:%2B356%202189%206144", "+356 2189 6144"))</x:f>
      </x:c>
      <x:c r="E2" s="6" t="s">
        <x:v>5165</x:v>
      </x:c>
    </x:row>
    <x:row r="3" spans="1:7" s="1" customFormat="1"/>
    <x:row r="4" spans="1:7" s="4" customFormat="1">
      <x:c r="A4" s="4" t="s">
        <x:v>5148</x:v>
      </x:c>
      <x:c r="B4" s="4" t="s">
        <x:v>5149</x:v>
      </x:c>
      <x:c r="C4" s="10" t="s">
        <x:v>5157</x:v>
      </x:c>
      <x:c r="D4" s="11">
        <x:f>CONCATENATE(HYPERLINK("CALLTO:%2B356%207960%204517", "+356 7960 4517"))</x:f>
      </x:c>
      <x:c r="E4" s="10" t="s">
        <x:v>5166</x:v>
      </x:c>
    </x:row>
    <x:row r="5" spans="1:7" s="3" customFormat="1">
      <x:c r="A5" s="3" t="s">
        <x:v>5148</x:v>
      </x:c>
      <x:c r="B5" s="3" t="s">
        <x:v>5150</x:v>
      </x:c>
      <x:c r="C5" s="6" t="s">
        <x:v>5158</x:v>
      </x:c>
      <x:c r="D5" s="7">
        <x:f>CONCATENATE(HYPERLINK("CALLTO:%2B356%209946%203948", "+356 9946 3948"))</x:f>
      </x:c>
      <x:c r="E5" s="6" t="s">
        <x:v>5167</x:v>
      </x:c>
    </x:row>
    <x:row r="6" spans="1:7" s="1" customFormat="1">
      <x:c r="A6" s="1" t="s">
        <x:v>5148</x:v>
      </x:c>
      <x:c r="B6" s="1" t="s">
        <x:v>5151</x:v>
      </x:c>
      <x:c r="C6" s="8" t="s">
        <x:v>5159</x:v>
      </x:c>
      <x:c r="D6" s="9">
        <x:f>CONCATENATE(HYPERLINK("CALLTO:%2B356%207932%203700", "+356 7932 3700"))</x:f>
      </x:c>
      <x:c r="E6" s="8" t="s">
        <x:v>5168</x:v>
      </x:c>
    </x:row>
    <x:row r="7" spans="1:7" s="4" customFormat="1">
      <x:c r="A7" s="4" t="s">
        <x:v>5148</x:v>
      </x:c>
      <x:c r="B7" s="4" t="s">
        <x:v>3360</x:v>
      </x:c>
      <x:c r="C7" s="10" t="s">
        <x:v>3450</x:v>
      </x:c>
      <x:c r="D7" s="11">
        <x:f>CONCATENATE(HYPERLINK("CALLTO:%2B356%209949%208678", "+356 9949 8678"))</x:f>
      </x:c>
      <x:c r="E7" s="10" t="s">
        <x:v>5169</x:v>
      </x:c>
    </x:row>
    <x:row r="8" spans="1:7" s="3" customFormat="1">
      <x:c r="A8" s="3" t="s">
        <x:v>5148</x:v>
      </x:c>
      <x:c r="B8" s="3" t="s">
        <x:v>5152</x:v>
      </x:c>
      <x:c r="C8" s="6" t="s">
        <x:v>5160</x:v>
      </x:c>
      <x:c r="D8" s="7">
        <x:f>CONCATENATE(HYPERLINK("CALLTO:%2B356%209946%202824", "+356 9946 2824"))</x:f>
      </x:c>
      <x:c r="E8" s="6" t="s">
        <x:v>5170</x:v>
      </x:c>
    </x:row>
    <x:row r="9" spans="1:7" s="1" customFormat="1">
      <x:c r="A9" s="1" t="s">
        <x:v>5148</x:v>
      </x:c>
      <x:c r="B9" s="1" t="s">
        <x:v>5153</x:v>
      </x:c>
      <x:c r="C9" s="8" t="s">
        <x:v>5161</x:v>
      </x:c>
      <x:c r="D9" s="9">
        <x:f>CONCATENATE(HYPERLINK("CALLTO:%2B356%202143%202721", "+356 2143 2721"))</x:f>
      </x:c>
      <x:c r="E9" s="8" t="s">
        <x:v>5171</x:v>
      </x:c>
    </x:row>
    <x:row r="10" spans="1:7" s="4" customFormat="1">
      <x:c r="A10" s="4" t="s">
        <x:v>5148</x:v>
      </x:c>
      <x:c r="B10" s="4" t="s">
        <x:v>5154</x:v>
      </x:c>
      <x:c r="C10" s="10" t="s">
        <x:v>5162</x:v>
      </x:c>
      <x:c r="D10" s="11">
        <x:f>CONCATENATE(HYPERLINK("CALLTO:%2B356%202166%207116", "+356 2166 7116"))</x:f>
      </x:c>
      <x:c r="E10" s="10" t="s">
        <x:v>5172</x:v>
      </x:c>
    </x:row>
    <x:row r="11" spans="1:7" s="3" customFormat="1">
      <x:c r="A11" s="3" t="s">
        <x:v>5148</x:v>
      </x:c>
      <x:c r="B11" s="3" t="s">
        <x:v>3349</x:v>
      </x:c>
      <x:c r="C11" s="6" t="s">
        <x:v>5163</x:v>
      </x:c>
      <x:c r="D11" s="7">
        <x:f>CONCATENATE(HYPERLINK("CALLTO:%2B356%202182%204287", "+356 2182 4287"))</x:f>
      </x:c>
      <x:c r="E11" s="6" t="s">
        <x:v>5173</x:v>
      </x:c>
    </x:row>
    <x:row r="12" spans="1:7" s="1" customFormat="1">
      <x:c r="A12" s="1" t="s">
        <x:v>5148</x:v>
      </x:c>
      <x:c r="B12" s="1" t="s">
        <x:v>3343</x:v>
      </x:c>
      <x:c r="C12" s="8" t="s">
        <x:v>3434</x:v>
      </x:c>
      <x:c r="D12" s="9">
        <x:f>CONCATENATE(HYPERLINK("CALLTO:%2B356%209989%209781", "+356 9989 9781"))</x:f>
      </x:c>
      <x:c r="E12" s="8" t="s">
        <x:v>5174</x:v>
      </x:c>
    </x:row>
    <x:row r="13" spans="1:7" s="4" customFormat="1">
      <x:c r="A13" s="4" t="s">
        <x:v>5148</x:v>
      </x:c>
      <x:c r="B13" s="4" t="s">
        <x:v>5155</x:v>
      </x:c>
      <x:c r="C13" s="10" t="s">
        <x:v>5164</x:v>
      </x:c>
      <x:c r="D13" s="11">
        <x:f>CONCATENATE(HYPERLINK("CALLTO:%2B356%202164%207068", "+356 2164 7068"))</x:f>
      </x:c>
      <x:c r="E13" s="10" t="s">
        <x:v>5175</x:v>
      </x:c>
    </x:row>
    <x:row r="14" spans="1:7" s="3" customFormat="1">
      <x:c r="A14" s="3" t="s">
        <x:v>5148</x:v>
      </x:c>
    </x:row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</x:sheetData>
  <x:hyperlinks>
    <x:hyperlink ref="C2" r:id="rId5762" tooltip="Send a mail to info@generalmetalworks.com.mt"/>
    <x:hyperlink ref="C4" r:id="rId5763" tooltip="Send a mail to info@ironmalta.com"/>
    <x:hyperlink ref="C5" r:id="rId5764" tooltip="Send a mail to info@fantinmetalworks.com"/>
    <x:hyperlink ref="C6" r:id="rId5765" tooltip="Send a mail to info@gmscreation.com"/>
    <x:hyperlink ref="C7" r:id="rId5766" tooltip="Send a mail to josefvella72@gmail.com"/>
    <x:hyperlink ref="C8" r:id="rId5767" tooltip="Send a mail to saliba2@maltanet.net"/>
    <x:hyperlink ref="C9" r:id="rId5768" tooltip="Send a mail to info@expressblasting.com"/>
    <x:hyperlink ref="C10" r:id="rId5769" tooltip="Send a mail to info@xn-teq.com.mt"/>
    <x:hyperlink ref="C11" r:id="rId5770" tooltip="Send a mail to amabileg@onvol.net"/>
    <x:hyperlink ref="C12" r:id="rId5771" tooltip="Send a mail to stakterinacons@outlook.com"/>
    <x:hyperlink ref="C13" r:id="rId5772" tooltip="Send a mail to info@gml.com.mt"/>
    <x:hyperlink ref="E2" r:id="rId5773" tooltip="Search Bieb is-Sultan Street, Żabbar, Malta on Google Maps"/>
    <x:hyperlink ref="E4" r:id="rId5774" tooltip="Search Luqa Industrial Estate, Parcela 102, Hal Farrug, Malta on Google Maps"/>
    <x:hyperlink ref="E5" r:id="rId5775" tooltip="Search Mgarr Road, Għajnsielem, Gozo on Google Maps"/>
    <x:hyperlink ref="E6" r:id="rId5776" tooltip="Search : Andreas Yard, Garage No 1, Triq L-Imdina, Ħaż-Żebbuġ, Malta on Google Maps"/>
    <x:hyperlink ref="E7" r:id="rId5777" tooltip="Search Garage 25, Tal-Barrani Industrial Estate, Triq Il-Belt Valletta, Ħal Għaxaq, Malta on Google Maps"/>
    <x:hyperlink ref="E8" r:id="rId5778" tooltip="Search Entrada 4, Puerta 12, Triq Valletta, Ħal Luqa, Malta on Google Maps"/>
    <x:hyperlink ref="E9" r:id="rId5779" tooltip="Search Fábrica MRA 057A, Qasam Industrijali, Il-Marsa, Malta on Google Maps"/>
    <x:hyperlink ref="E10" r:id="rId5780" tooltip="Search MRA 15A, Qasam Industrijali, Il-Marsa, Malta on Google Maps"/>
    <x:hyperlink ref="E11" r:id="rId5781" tooltip="Search 34 Triq it-Torri San Gwann ,&#10;Birgu, Malta BRG 1116 on Google Maps"/>
    <x:hyperlink ref="E12" r:id="rId5782" tooltip="Search Triq il-Kappella ta’ Santa Marija ,&#10;Naxxar, Malta NXR 5613 on Google Maps"/>
    <x:hyperlink ref="E13" r:id="rId5783" tooltip="Search HHF 033 Qasam Industrijali, Hal Far ,&#10;B’Bugia, Malta BBG 3000 on Google Maps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79"/>
  <x:sheetViews>
    <x:sheetView workbookViewId="0"/>
  </x:sheetViews>
  <x:sheetFormatPr defaultRowHeight="15"/>
  <x:cols>
    <x:col min="1" max="1" width="9.996339" style="0" customWidth="1"/>
    <x:col min="2" max="2" width="27.567768" style="0" customWidth="1"/>
    <x:col min="3" max="3" width="32.996339" style="0" customWidth="1"/>
    <x:col min="4" max="4" width="18.710625" style="0" customWidth="1"/>
    <x:col min="5" max="5" width="52.282054" style="0" customWidth="1"/>
    <x:col min="6" max="6" width="96.996339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2302</x:v>
      </x:c>
      <x:c r="C1" s="2" t="s">
        <x:v>502</x:v>
      </x:c>
      <x:c r="D1" s="2" t="s">
        <x:v>521</x:v>
      </x:c>
      <x:c r="E1" s="2" t="s">
        <x:v>914</x:v>
      </x:c>
      <x:c r="F1" s="2" t="s">
        <x:v>23</x:v>
      </x:c>
      <x:c r="G1" s="5">
        <x:f>HYPERLINK("#'Summary List'!A93", "Back to Summary")</x:f>
      </x:c>
    </x:row>
    <x:row r="2" spans="1:7" s="3" customFormat="1">
      <x:c r="A2" s="3" t="s">
        <x:v>5176</x:v>
      </x:c>
      <x:c r="B2" s="3" t="s">
        <x:v>5177</x:v>
      </x:c>
      <x:c r="C2" s="6" t="s">
        <x:v>5201</x:v>
      </x:c>
      <x:c r="D2" s="7">
        <x:f>CONCATENATE(HYPERLINK("CALLTO:%2B356%202147%200278", "+356 2147 0278"))</x:f>
      </x:c>
      <x:c r="E2" s="6" t="s">
        <x:v>5218</x:v>
      </x:c>
      <x:c r="F2" s="6" t="s">
        <x:v>3522</x:v>
      </x:c>
    </x:row>
    <x:row r="3" spans="1:7" s="1" customFormat="1">
      <x:c r="A3" s="1" t="s">
        <x:v>5176</x:v>
      </x:c>
      <x:c r="B3" s="1" t="s">
        <x:v>1220</x:v>
      </x:c>
      <x:c r="C3" s="8" t="s">
        <x:v>1299</x:v>
      </x:c>
      <x:c r="D3" s="9">
        <x:f>CONCATENATE(HYPERLINK("CALLTO:%2B356%202123%200659", "+356 2123 0659"))</x:f>
      </x:c>
      <x:c r="E3" s="8" t="s">
        <x:v>5219</x:v>
      </x:c>
      <x:c r="F3" s="8" t="s">
        <x:v>5223</x:v>
      </x:c>
    </x:row>
    <x:row r="4" spans="1:7" s="4" customFormat="1">
      <x:c r="A4" s="4" t="s">
        <x:v>5176</x:v>
      </x:c>
      <x:c r="B4" s="4" t="s">
        <x:v>5178</x:v>
      </x:c>
      <x:c r="C4" s="10" t="s">
        <x:v>1305</x:v>
      </x:c>
      <x:c r="D4" s="11">
        <x:f>CONCATENATE(HYPERLINK("CALLTO:%2B356%202141%206247", "+356 2141 6247"))</x:f>
      </x:c>
      <x:c r="E4" s="10" t="s">
        <x:v>5221</x:v>
      </x:c>
      <x:c r="F4" s="10" t="s">
        <x:v>5224</x:v>
      </x:c>
    </x:row>
    <x:row r="5" spans="1:7" s="3" customFormat="1">
      <x:c r="A5" s="3" t="s">
        <x:v>5176</x:v>
      </x:c>
      <x:c r="B5" s="3" t="s">
        <x:v>5179</x:v>
      </x:c>
      <x:c r="C5" s="6" t="s">
        <x:v>1306</x:v>
      </x:c>
      <x:c r="D5" s="7">
        <x:f>CONCATENATE(HYPERLINK("CALLTO:%2B356%202123%205228", "+356 2123 5228"))</x:f>
      </x:c>
      <x:c r="E5" s="6" t="s">
        <x:v>5220</x:v>
      </x:c>
      <x:c r="F5" s="6" t="s">
        <x:v>5225</x:v>
      </x:c>
    </x:row>
    <x:row r="6" spans="1:7" s="1" customFormat="1">
      <x:c r="A6" s="1" t="s">
        <x:v>5176</x:v>
      </x:c>
      <x:c r="B6" s="1" t="s">
        <x:v>5180</x:v>
      </x:c>
      <x:c r="C6" s="8" t="s">
        <x:v>5202</x:v>
      </x:c>
      <x:c r="D6" s="9">
        <x:f>CONCATENATE(HYPERLINK("CALLTO:%2B356%202146%200202", "+356 2146 0202"))</x:f>
      </x:c>
      <x:c r="E6" s="8" t="s">
        <x:v>5222</x:v>
      </x:c>
      <x:c r="F6" s="8" t="s">
        <x:v>5226</x:v>
      </x:c>
    </x:row>
    <x:row r="7" spans="1:7" s="4" customFormat="1">
      <x:c r="A7" s="4" t="s">
        <x:v>5176</x:v>
      </x:c>
      <x:c r="B7" s="4" t="s">
        <x:v>5181</x:v>
      </x:c>
      <x:c r="C7" s="10" t="s">
        <x:v>3517</x:v>
      </x:c>
      <x:c r="D7" s="11">
        <x:f>CONCATENATE(HYPERLINK("CALLTO:%2B356%202132%200433", "+356 2132 0433"))</x:f>
      </x:c>
      <x:c r="F7" s="10" t="s">
        <x:v>5227</x:v>
      </x:c>
    </x:row>
    <x:row r="8" spans="1:7" s="3" customFormat="1">
      <x:c r="A8" s="3" t="s">
        <x:v>5176</x:v>
      </x:c>
      <x:c r="B8" s="3" t="s">
        <x:v>5182</x:v>
      </x:c>
      <x:c r="C8" s="6" t="s">
        <x:v>5203</x:v>
      </x:c>
      <x:c r="D8" s="7">
        <x:f>CONCATENATE(HYPERLINK("CALLTO:%2B356%209925%207011", "+356 9925 7011"))</x:f>
      </x:c>
      <x:c r="F8" s="6" t="s">
        <x:v>1081</x:v>
      </x:c>
    </x:row>
    <x:row r="9" spans="1:7" s="1" customFormat="1">
      <x:c r="A9" s="1" t="s">
        <x:v>5176</x:v>
      </x:c>
      <x:c r="B9" s="1" t="s">
        <x:v>1063</x:v>
      </x:c>
      <x:c r="C9" s="8" t="s">
        <x:v>1073</x:v>
      </x:c>
      <x:c r="D9" s="9">
        <x:f>CONCATENATE(HYPERLINK("CALLTO:%2B356%202124%202599", "+356 2124 2599"))</x:f>
      </x:c>
      <x:c r="F9" s="8" t="s">
        <x:v>1082</x:v>
      </x:c>
    </x:row>
    <x:row r="10" spans="1:7" s="4" customFormat="1">
      <x:c r="A10" s="4" t="s">
        <x:v>5176</x:v>
      </x:c>
      <x:c r="B10" s="4" t="s">
        <x:v>1230</x:v>
      </x:c>
      <x:c r="C10" s="10" t="s">
        <x:v>5204</x:v>
      </x:c>
      <x:c r="D10" s="11">
        <x:f>CONCATENATE(HYPERLINK("CALLTO:%2B356%202149%202071", "+356 2149 2071"))</x:f>
      </x:c>
      <x:c r="F10" s="10" t="s">
        <x:v>5228</x:v>
      </x:c>
    </x:row>
    <x:row r="11" spans="1:7" s="3" customFormat="1">
      <x:c r="A11" s="3" t="s">
        <x:v>5176</x:v>
      </x:c>
      <x:c r="B11" s="3" t="s">
        <x:v>5183</x:v>
      </x:c>
      <x:c r="C11" s="6" t="s">
        <x:v>5205</x:v>
      </x:c>
      <x:c r="D11" s="7">
        <x:f>CONCATENATE(HYPERLINK("CALLTO:%2B356%207935%206835", "+356 7935 6835"))</x:f>
      </x:c>
      <x:c r="F11" s="6" t="s">
        <x:v>5229</x:v>
      </x:c>
    </x:row>
    <x:row r="12" spans="1:7" s="1" customFormat="1">
      <x:c r="A12" s="1" t="s">
        <x:v>5176</x:v>
      </x:c>
      <x:c r="B12" s="1" t="s">
        <x:v>3381</x:v>
      </x:c>
      <x:c r="C12" s="8" t="s">
        <x:v>3471</x:v>
      </x:c>
      <x:c r="D12" s="9">
        <x:f>CONCATENATE(HYPERLINK("CALLTO:%2B356%202180%203682", "+356 2180 3682"))</x:f>
      </x:c>
      <x:c r="F12" s="8" t="s">
        <x:v>5230</x:v>
      </x:c>
    </x:row>
    <x:row r="13" spans="1:7" s="4" customFormat="1">
      <x:c r="A13" s="4" t="s">
        <x:v>5176</x:v>
      </x:c>
      <x:c r="B13" s="4" t="s">
        <x:v>5184</x:v>
      </x:c>
      <x:c r="C13" s="10" t="s">
        <x:v>5206</x:v>
      </x:c>
      <x:c r="D13" s="11">
        <x:f>CONCATENATE(HYPERLINK("CALLTO:%2B356%202169%202917", "+356 2169 2917"))</x:f>
      </x:c>
      <x:c r="F13" s="10" t="s">
        <x:v>5231</x:v>
      </x:c>
    </x:row>
    <x:row r="14" spans="1:7" s="3" customFormat="1">
      <x:c r="A14" s="3" t="s">
        <x:v>5176</x:v>
      </x:c>
      <x:c r="B14" s="3" t="s">
        <x:v>5185</x:v>
      </x:c>
      <x:c r="C14" s="6" t="s">
        <x:v>5207</x:v>
      </x:c>
      <x:c r="D14" s="7">
        <x:f>CONCATENATE(HYPERLINK("CALLTO:%2B356%209940%202482", "+356 9940 2482"))</x:f>
      </x:c>
      <x:c r="F14" s="6" t="s">
        <x:v>5232</x:v>
      </x:c>
    </x:row>
    <x:row r="15" spans="1:7" s="1" customFormat="1">
      <x:c r="A15" s="1" t="s">
        <x:v>5176</x:v>
      </x:c>
      <x:c r="B15" s="1" t="s">
        <x:v>5186</x:v>
      </x:c>
      <x:c r="C15" s="8" t="s">
        <x:v>799</x:v>
      </x:c>
      <x:c r="D15" s="9">
        <x:f>CONCATENATE(HYPERLINK("CALLTO:%2B356%207924%202344", "+356 7924 2344"))</x:f>
      </x:c>
      <x:c r="F15" s="8" t="s">
        <x:v>5371</x:v>
      </x:c>
    </x:row>
    <x:row r="16" spans="1:7" s="4" customFormat="1">
      <x:c r="A16" s="4" t="s">
        <x:v>5176</x:v>
      </x:c>
      <x:c r="B16" s="4" t="s">
        <x:v>5187</x:v>
      </x:c>
      <x:c r="C16" s="10" t="s">
        <x:v>3501</x:v>
      </x:c>
      <x:c r="D16" s="11">
        <x:f>CONCATENATE(HYPERLINK("CALLTO:%2B356%207996%200410", "+356 7996 0410"))</x:f>
      </x:c>
    </x:row>
    <x:row r="17" spans="1:7" s="3" customFormat="1">
      <x:c r="A17" s="3" t="s">
        <x:v>5176</x:v>
      </x:c>
      <x:c r="B17" s="3" t="s">
        <x:v>5188</x:v>
      </x:c>
      <x:c r="C17" s="6" t="s">
        <x:v>5208</x:v>
      </x:c>
      <x:c r="D17" s="7">
        <x:f>CONCATENATE(HYPERLINK("CALLTO:%2B356%209947%203598", "+356 9947 3598"))</x:f>
      </x:c>
    </x:row>
    <x:row r="18" spans="1:7" s="1" customFormat="1">
      <x:c r="A18" s="1" t="s">
        <x:v>5176</x:v>
      </x:c>
      <x:c r="B18" s="1" t="s">
        <x:v>5189</x:v>
      </x:c>
      <x:c r="C18" s="8" t="s">
        <x:v>3442</x:v>
      </x:c>
      <x:c r="D18" s="9">
        <x:f>CONCATENATE(HYPERLINK("CALLTO:%2B356%202137%205721", "+356 2137 5721"))</x:f>
      </x:c>
    </x:row>
    <x:row r="19" spans="1:7" s="4" customFormat="1">
      <x:c r="A19" s="4" t="s">
        <x:v>5176</x:v>
      </x:c>
      <x:c r="B19" s="4" t="s">
        <x:v>5191</x:v>
      </x:c>
      <x:c r="C19" s="10" t="s">
        <x:v>3446</x:v>
      </x:c>
      <x:c r="D19" s="11">
        <x:f>CONCATENATE(HYPERLINK("CALLTO:%2B356%202148%200404", "+356 2148 0404"))</x:f>
      </x:c>
    </x:row>
    <x:row r="20" spans="1:7" s="3" customFormat="1">
      <x:c r="A20" s="3" t="s">
        <x:v>5176</x:v>
      </x:c>
      <x:c r="B20" s="3" t="s">
        <x:v>5192</x:v>
      </x:c>
      <x:c r="C20" s="6" t="s">
        <x:v>5209</x:v>
      </x:c>
      <x:c r="D20" s="7">
        <x:f>CONCATENATE(HYPERLINK("CALLTO:%2B356%202156%201372", "+356 2156 1372"))</x:f>
      </x:c>
    </x:row>
    <x:row r="21" spans="1:7" s="1" customFormat="1">
      <x:c r="A21" s="1" t="s">
        <x:v>5176</x:v>
      </x:c>
      <x:c r="B21" s="1" t="s">
        <x:v>5193</x:v>
      </x:c>
      <x:c r="C21" s="8" t="s">
        <x:v>5210</x:v>
      </x:c>
    </x:row>
    <x:row r="22" spans="1:7" s="4" customFormat="1">
      <x:c r="A22" s="4" t="s">
        <x:v>5176</x:v>
      </x:c>
      <x:c r="B22" s="4" t="s">
        <x:v>5194</x:v>
      </x:c>
      <x:c r="C22" s="10" t="s">
        <x:v>5211</x:v>
      </x:c>
    </x:row>
    <x:row r="23" spans="1:7" s="3" customFormat="1">
      <x:c r="A23" s="3" t="s">
        <x:v>5176</x:v>
      </x:c>
      <x:c r="B23" s="3" t="s">
        <x:v>5190</x:v>
      </x:c>
      <x:c r="C23" s="6" t="s">
        <x:v>5212</x:v>
      </x:c>
    </x:row>
    <x:row r="24" spans="1:7" s="1" customFormat="1">
      <x:c r="A24" s="1" t="s">
        <x:v>5176</x:v>
      </x:c>
      <x:c r="B24" s="1" t="s">
        <x:v>5195</x:v>
      </x:c>
      <x:c r="C24" s="8" t="s">
        <x:v>5213</x:v>
      </x:c>
    </x:row>
    <x:row r="25" spans="1:7" s="4" customFormat="1">
      <x:c r="A25" s="4" t="s">
        <x:v>5176</x:v>
      </x:c>
      <x:c r="B25" s="4" t="s">
        <x:v>5196</x:v>
      </x:c>
      <x:c r="C25" s="10" t="s">
        <x:v>5214</x:v>
      </x:c>
    </x:row>
    <x:row r="26" spans="1:7" s="3" customFormat="1">
      <x:c r="A26" s="3" t="s">
        <x:v>5176</x:v>
      </x:c>
      <x:c r="B26" s="3" t="s">
        <x:v>5197</x:v>
      </x:c>
      <x:c r="C26" s="6" t="s">
        <x:v>5215</x:v>
      </x:c>
    </x:row>
    <x:row r="27" spans="1:7" s="1" customFormat="1">
      <x:c r="A27" s="1" t="s">
        <x:v>5176</x:v>
      </x:c>
      <x:c r="B27" s="1" t="s">
        <x:v>5198</x:v>
      </x:c>
      <x:c r="C27" s="8" t="s">
        <x:v>5216</x:v>
      </x:c>
    </x:row>
    <x:row r="28" spans="1:7" s="4" customFormat="1">
      <x:c r="A28" s="4" t="s">
        <x:v>5176</x:v>
      </x:c>
      <x:c r="B28" s="4" t="s">
        <x:v>5199</x:v>
      </x:c>
      <x:c r="C28" s="10" t="s">
        <x:v>5217</x:v>
      </x:c>
    </x:row>
    <x:row r="29" spans="1:7" s="3" customFormat="1">
      <x:c r="A29" s="3" t="s">
        <x:v>5176</x:v>
      </x:c>
      <x:c r="B29" s="3" t="s">
        <x:v>5200</x:v>
      </x:c>
      <x:c r="C29" s="6" t="s">
        <x:v>3520</x:v>
      </x:c>
    </x:row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  <x:row r="82" spans="1:7" s="4" customFormat="1"/>
    <x:row r="83" spans="1:7" s="3" customFormat="1"/>
    <x:row r="84" spans="1:7" s="1" customFormat="1"/>
    <x:row r="85" spans="1:7" s="4" customFormat="1"/>
    <x:row r="86" spans="1:7" s="3" customFormat="1"/>
    <x:row r="87" spans="1:7" s="1" customFormat="1"/>
    <x:row r="88" spans="1:7" s="4" customFormat="1"/>
    <x:row r="89" spans="1:7" s="3" customFormat="1"/>
    <x:row r="90" spans="1:7" s="1" customFormat="1"/>
    <x:row r="91" spans="1:7" s="4" customFormat="1"/>
    <x:row r="92" spans="1:7" s="3" customFormat="1"/>
    <x:row r="93" spans="1:7" s="1" customFormat="1"/>
    <x:row r="94" spans="1:7" s="4" customFormat="1"/>
    <x:row r="95" spans="1:7" s="3" customFormat="1"/>
    <x:row r="96" spans="1:7" s="1" customFormat="1"/>
    <x:row r="97" spans="1:7" s="4" customFormat="1"/>
    <x:row r="98" spans="1:7" s="3" customFormat="1"/>
    <x:row r="99" spans="1:7" s="1" customFormat="1"/>
    <x:row r="100" spans="1:7" s="4" customFormat="1"/>
    <x:row r="101" spans="1:7" s="3" customFormat="1"/>
    <x:row r="102" spans="1:7" s="1" customFormat="1"/>
    <x:row r="103" spans="1:7" s="4" customFormat="1"/>
    <x:row r="104" spans="1:7" s="3" customFormat="1"/>
    <x:row r="105" spans="1:7" s="1" customFormat="1"/>
    <x:row r="106" spans="1:7" s="4" customFormat="1"/>
    <x:row r="107" spans="1:7" s="3" customFormat="1"/>
    <x:row r="108" spans="1:7" s="1" customFormat="1"/>
    <x:row r="109" spans="1:7" s="4" customFormat="1"/>
    <x:row r="110" spans="1:7" s="3" customFormat="1"/>
    <x:row r="111" spans="1:7" s="1" customFormat="1"/>
    <x:row r="112" spans="1:7" s="4" customFormat="1"/>
    <x:row r="113" spans="1:7" s="3" customFormat="1"/>
    <x:row r="114" spans="1:7" s="1" customFormat="1"/>
    <x:row r="115" spans="1:7" s="4" customFormat="1"/>
    <x:row r="116" spans="1:7" s="3" customFormat="1"/>
    <x:row r="117" spans="1:7" s="1" customFormat="1"/>
    <x:row r="118" spans="1:7" s="4" customFormat="1"/>
    <x:row r="119" spans="1:7" s="3" customFormat="1"/>
    <x:row r="120" spans="1:7" s="1" customFormat="1"/>
    <x:row r="121" spans="1:7" s="4" customFormat="1"/>
    <x:row r="122" spans="1:7" s="3" customFormat="1"/>
    <x:row r="123" spans="1:7" s="1" customFormat="1"/>
    <x:row r="124" spans="1:7" s="4" customFormat="1"/>
    <x:row r="125" spans="1:7" s="3" customFormat="1"/>
    <x:row r="126" spans="1:7" s="1" customFormat="1"/>
    <x:row r="127" spans="1:7" s="4" customFormat="1"/>
    <x:row r="128" spans="1:7" s="3" customFormat="1"/>
    <x:row r="129" spans="1:7" s="1" customFormat="1"/>
    <x:row r="130" spans="1:7" s="4" customFormat="1"/>
    <x:row r="131" spans="1:7" s="3" customFormat="1"/>
    <x:row r="132" spans="1:7" s="1" customFormat="1"/>
    <x:row r="133" spans="1:7" s="4" customFormat="1"/>
    <x:row r="134" spans="1:7" s="3" customFormat="1"/>
    <x:row r="135" spans="1:7" s="1" customFormat="1"/>
    <x:row r="136" spans="1:7" s="4" customFormat="1"/>
    <x:row r="137" spans="1:7" s="3" customFormat="1"/>
    <x:row r="138" spans="1:7" s="1" customFormat="1"/>
    <x:row r="139" spans="1:7" s="4" customFormat="1"/>
    <x:row r="140" spans="1:7" s="3" customFormat="1"/>
    <x:row r="141" spans="1:7" s="1" customFormat="1"/>
    <x:row r="142" spans="1:7" s="4" customFormat="1"/>
    <x:row r="143" spans="1:7" s="3" customFormat="1"/>
    <x:row r="144" spans="1:7" s="1" customFormat="1"/>
    <x:row r="145" spans="1:7" s="4" customFormat="1"/>
    <x:row r="146" spans="1:7" s="3" customFormat="1"/>
    <x:row r="147" spans="1:7" s="1" customFormat="1"/>
    <x:row r="148" spans="1:7" s="4" customFormat="1"/>
    <x:row r="149" spans="1:7" s="3" customFormat="1"/>
    <x:row r="150" spans="1:7" s="1" customFormat="1"/>
    <x:row r="151" spans="1:7" s="4" customFormat="1"/>
    <x:row r="152" spans="1:7" s="3" customFormat="1"/>
    <x:row r="153" spans="1:7" s="1" customFormat="1"/>
    <x:row r="154" spans="1:7" s="4" customFormat="1"/>
    <x:row r="155" spans="1:7" s="3" customFormat="1"/>
    <x:row r="156" spans="1:7" s="1" customFormat="1"/>
    <x:row r="157" spans="1:7" s="4" customFormat="1"/>
    <x:row r="158" spans="1:7" s="3" customFormat="1"/>
    <x:row r="159" spans="1:7" s="1" customFormat="1"/>
    <x:row r="160" spans="1:7" s="4" customFormat="1"/>
    <x:row r="161" spans="1:7" s="3" customFormat="1"/>
    <x:row r="162" spans="1:7" s="1" customFormat="1"/>
    <x:row r="163" spans="1:7" s="4" customFormat="1"/>
    <x:row r="164" spans="1:7" s="3" customFormat="1"/>
    <x:row r="165" spans="1:7" s="1" customFormat="1"/>
    <x:row r="166" spans="1:7" s="4" customFormat="1"/>
    <x:row r="167" spans="1:7" s="3" customFormat="1"/>
    <x:row r="168" spans="1:7" s="1" customFormat="1"/>
    <x:row r="169" spans="1:7" s="4" customFormat="1"/>
    <x:row r="170" spans="1:7" s="3" customFormat="1"/>
    <x:row r="171" spans="1:7" s="1" customFormat="1"/>
    <x:row r="172" spans="1:7" s="4" customFormat="1"/>
    <x:row r="173" spans="1:7" s="3" customFormat="1"/>
    <x:row r="174" spans="1:7" s="1" customFormat="1"/>
    <x:row r="175" spans="1:7" s="4" customFormat="1"/>
    <x:row r="176" spans="1:7" s="3" customFormat="1"/>
    <x:row r="177" spans="1:7" s="1" customFormat="1"/>
    <x:row r="178" spans="1:7" s="4" customFormat="1"/>
    <x:row r="179" spans="1:7" s="3" customFormat="1"/>
  </x:sheetData>
  <x:hyperlinks>
    <x:hyperlink ref="C2" r:id="rId5784" tooltip="Send a mail to info@tonnaglass.com"/>
    <x:hyperlink ref="C3" r:id="rId5785" tooltip="Send a mail to info@fzammitglass.com"/>
    <x:hyperlink ref="C4" r:id="rId5786" tooltip="Send a mail to info@floatglassltd.com"/>
    <x:hyperlink ref="C5" r:id="rId5787" tooltip="Send a mail to kl.glass@outlook.com"/>
    <x:hyperlink ref="C6" r:id="rId5788" tooltip="Send a mail to jacap@jacap.net"/>
    <x:hyperlink ref="C7" r:id="rId5789" tooltip="Send a mail to info@jamarmalta.com"/>
    <x:hyperlink ref="C8" r:id="rId5790" tooltip="Send a mail to Quotes@capriceltd.com"/>
    <x:hyperlink ref="C9" r:id="rId5791" tooltip="Send a mail to sales@dimech-ent.com"/>
    <x:hyperlink ref="C10" r:id="rId5792" tooltip="Send a mail to info@glassdesignmalta.com"/>
    <x:hyperlink ref="C11" r:id="rId5793" tooltip="Send a mail to miryaltd@gmail.com"/>
    <x:hyperlink ref="C12" r:id="rId5794" tooltip="Send a mail to info@cagroup.com.mt"/>
    <x:hyperlink ref="C13" r:id="rId5795" tooltip="Send a mail to crgrech.steel@gmail.com"/>
    <x:hyperlink ref="C14" r:id="rId5796" tooltip="Send a mail to info@anvil-forge.com"/>
    <x:hyperlink ref="C15" r:id="rId5797" tooltip="Send a mail to info@andrewvassallo.com"/>
    <x:hyperlink ref="C16" r:id="rId5798" tooltip="Send a mail to raymondfarrugia74@gmail.com"/>
    <x:hyperlink ref="C17" r:id="rId5799" tooltip="Send a mail to salvodsicilia@hotmail.it"/>
    <x:hyperlink ref="C18" r:id="rId5800" tooltip="Send a mail to info@a1finishesltd.com"/>
    <x:hyperlink ref="C19" r:id="rId5801" tooltip="Send a mail to j3aluminium@gmail.com"/>
    <x:hyperlink ref="C20" r:id="rId5802" tooltip="Send a mail to laenterprises73@gmail.com"/>
    <x:hyperlink ref="C21" r:id="rId5803" tooltip="Send a mail to quotes@jlautier.com"/>
    <x:hyperlink ref="C22" r:id="rId5804" tooltip="Send a mail to taboneglassltd@gmail.com"/>
    <x:hyperlink ref="C23" r:id="rId5805" tooltip="Send a mail to info@xgglass.com.mt"/>
    <x:hyperlink ref="C24" r:id="rId5806" tooltip="Send a mail to jeaninstallations@gmail.com"/>
    <x:hyperlink ref="C25" r:id="rId5807" tooltip="Send a mail to medalls.aluminium@gmail.com"/>
    <x:hyperlink ref="C26" r:id="rId5808" tooltip="Send a mail to info@newalucare.com"/>
    <x:hyperlink ref="C27" r:id="rId5809" tooltip="Send a mail to gilbertglassandmore@gmail.com"/>
    <x:hyperlink ref="C28" r:id="rId5810" tooltip="Send a mail to jesmond.dragonforge@yahoo.com"/>
    <x:hyperlink ref="C29" r:id="rId5811" tooltip="Send a mail to valormalta@gmail.com"/>
    <x:hyperlink ref="E2" r:id="rId5812" tooltip="Search Paul Tonna Son of Santu Ltd&#10;Zone 1 Triq L-Intornjatur Central Business District ,&#10;B’Kara, Malta CBD 1050 on Google Maps"/>
    <x:hyperlink ref="E3" r:id="rId5813" tooltip="Search Triq l-Imdina ,Zebbug, Malta ZBG 9019 on Google Maps"/>
    <x:hyperlink ref="E4" r:id="rId5814" tooltip="Search Dimech Enterprises Ltd Centre Point, Triq Valletta Luqa on Google Maps"/>
    <x:hyperlink ref="E5" r:id="rId5815" tooltip="Search 12 Old Trafford, Dun Filippu Borg, Birkirkara, Malta. on Google Maps"/>
    <x:hyperlink ref="E6" r:id="rId5816" tooltip="Search Mirya, VF9V+PQ8, Marsa, Malta, Marsa, Malta, MRS3000 on Google Maps"/>
    <x:hyperlink ref="F2" r:id="rId5817" tooltip="Visit yellow.com.mt/paul-tonna-son-of-santu-ltd/glass-contractors/"/>
    <x:hyperlink ref="F3" r:id="rId5818" tooltip="Visit fzammitglass.com/en/?utm_source=Yellow&amp;utm_medium=Yellow-Website&amp;utm_campaign=Landing-Page"/>
    <x:hyperlink ref="F4" r:id="rId5819" tooltip="Visit floatglassltd.com/en/home.htm"/>
    <x:hyperlink ref="F5" r:id="rId5820" tooltip="Visit klglassmalta.com/?utm_source=Yellow&amp;utm_medium=Yellow-Website&amp;utm_campaign=Landing-Page"/>
    <x:hyperlink ref="F6" r:id="rId5821" tooltip="Visit jamarmalta.com/"/>
    <x:hyperlink ref="F7" r:id="rId5822" tooltip="Visit capriceglass.com/"/>
    <x:hyperlink ref="F8" r:id="rId5823" tooltip="Visit dimech-ent.com/"/>
    <x:hyperlink ref="F9" r:id="rId5824" tooltip="Visit glassdesignmalta.com/copy-of-glass-walls"/>
    <x:hyperlink ref="F10" r:id="rId5825" tooltip="Visit facebook.com/MiryaLimited/"/>
    <x:hyperlink ref="F11" r:id="rId5826" tooltip="Visit facebook.com/profile.php?id=100066455006954"/>
    <x:hyperlink ref="F12" r:id="rId5827" tooltip="Visit facebook.com/profile.php?id=100057245816371"/>
    <x:hyperlink ref="F13" r:id="rId5828" tooltip="Visit facebook.com/innovativesteeldesign/"/>
    <x:hyperlink ref="F14" r:id="rId5829" tooltip="Visit facebook.com/Andrewvassalloltd/"/>
    <x:hyperlink ref="F15" r:id="rId5830" tooltip="Visit facebook.com/RayAluWorks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1"/>
  <x:sheetViews>
    <x:sheetView workbookViewId="0"/>
  </x:sheetViews>
  <x:sheetFormatPr defaultRowHeight="15"/>
  <x:cols>
    <x:col min="1" max="1" width="10.853482" style="0" customWidth="1"/>
    <x:col min="2" max="2" width="19.710625" style="0" customWidth="1"/>
    <x:col min="3" max="3" width="29.282054" style="0" customWidth="1"/>
    <x:col min="4" max="4" width="18.139196" style="0" customWidth="1"/>
    <x:col min="5" max="5" width="42.710625" style="0" customWidth="1"/>
    <x:col min="6" max="6" width="43.282054" style="0" customWidth="1"/>
    <x:col min="7" max="7" width="20.996339" style="0" customWidth="1"/>
  </x:cols>
  <x:sheetData>
    <x:row r="1" spans="1:7" s="2" customFormat="1">
      <x:c r="A1" s="2" t="s">
        <x:v>915</x:v>
      </x:c>
      <x:c r="B1" s="2" t="s">
        <x:v>482</x:v>
      </x:c>
      <x:c r="C1" s="2" t="s">
        <x:v>502</x:v>
      </x:c>
      <x:c r="D1" s="2" t="s">
        <x:v>839</x:v>
      </x:c>
      <x:c r="E1" s="2" t="s">
        <x:v>914</x:v>
      </x:c>
      <x:c r="F1" s="2" t="s">
        <x:v>23</x:v>
      </x:c>
      <x:c r="G1" s="5">
        <x:f>HYPERLINK("#'Summary List'!A94", "Back to Summary")</x:f>
      </x:c>
    </x:row>
    <x:row r="2" spans="1:7" s="3" customFormat="1">
      <x:c r="A2" s="3" t="s">
        <x:v>5233</x:v>
      </x:c>
      <x:c r="B2" s="3" t="s">
        <x:v>2983</x:v>
      </x:c>
      <x:c r="C2" s="6" t="s">
        <x:v>2986</x:v>
      </x:c>
      <x:c r="D2" s="7">
        <x:f>CONCATENATE(HYPERLINK("CALLTO:%2B356%202144%207379", "+356 2144 7379"))</x:f>
      </x:c>
      <x:c r="E2" s="6" t="s">
        <x:v>2989</x:v>
      </x:c>
      <x:c r="F2" s="6" t="s">
        <x:v>2146</x:v>
      </x:c>
    </x:row>
    <x:row r="3" spans="1:7" s="1" customFormat="1">
      <x:c r="A3" s="1" t="s">
        <x:v>5233</x:v>
      </x:c>
      <x:c r="B3" s="1" t="s">
        <x:v>3030</x:v>
      </x:c>
      <x:c r="C3" s="8" t="s">
        <x:v>3057</x:v>
      </x:c>
      <x:c r="D3" s="9">
        <x:f>CONCATENATE(HYPERLINK("CALLTO:%2B356%209942%202632", "+356 9942 2632"))</x:f>
      </x:c>
      <x:c r="E3" s="8" t="s">
        <x:v>3086</x:v>
      </x:c>
      <x:c r="F3" s="8" t="s">
        <x:v>3089</x:v>
      </x:c>
    </x:row>
    <x:row r="4" spans="1:7" s="4" customFormat="1"/>
    <x:row r="5" spans="1:7" s="3" customFormat="1">
      <x:c r="A5" s="3" t="s">
        <x:v>3663</x:v>
      </x:c>
      <x:c r="B5" s="3" t="s">
        <x:v>4538</x:v>
      </x:c>
      <x:c r="C5" s="6" t="s">
        <x:v>4562</x:v>
      </x:c>
      <x:c r="D5" s="7">
        <x:f>CONCATENATE(HYPERLINK("CALLTO:%2B356%207706%208066", "+356 7706 8066"))</x:f>
      </x:c>
      <x:c r="E5" s="6" t="s">
        <x:v>5235</x:v>
      </x:c>
      <x:c r="F5" s="6" t="s">
        <x:v>4608</x:v>
      </x:c>
    </x:row>
    <x:row r="6" spans="1:7" s="1" customFormat="1">
      <x:c r="A6" s="1" t="s">
        <x:v>3663</x:v>
      </x:c>
      <x:c r="B6" s="1" t="s">
        <x:v>5234</x:v>
      </x:c>
      <x:c r="C6" s="8" t="s">
        <x:v>1652</x:v>
      </x:c>
      <x:c r="D6" s="9">
        <x:f>CONCATENATE(HYPERLINK("CALLTO:%2B356%209947%204736", "+356 9947 4736"))</x:f>
      </x:c>
      <x:c r="E6" s="8" t="s">
        <x:v>5236</x:v>
      </x:c>
      <x:c r="F6" s="8" t="s">
        <x:v>4610</x:v>
      </x:c>
    </x:row>
    <x:row r="7" spans="1:7" s="4" customFormat="1"/>
    <x:row r="8" spans="1:7" s="3" customFormat="1"/>
    <x:row r="9" spans="1:7" s="1" customFormat="1"/>
    <x:row r="10" spans="1:7" s="4" customFormat="1"/>
    <x:row r="11" spans="1:7" s="3" customFormat="1"/>
    <x:row r="12" spans="1:7" s="1" customFormat="1"/>
    <x:row r="13" spans="1:7" s="4" customFormat="1"/>
    <x:row r="14" spans="1:7" s="3" customFormat="1"/>
    <x:row r="15" spans="1:7" s="1" customFormat="1"/>
    <x:row r="16" spans="1:7" s="4" customFormat="1"/>
    <x:row r="17" spans="1:7" s="3" customFormat="1"/>
    <x:row r="18" spans="1:7" s="1" customFormat="1"/>
    <x:row r="19" spans="1:7" s="4" customFormat="1"/>
    <x:row r="20" spans="1:7" s="3" customFormat="1"/>
    <x:row r="21" spans="1:7" s="1" customFormat="1"/>
    <x:row r="22" spans="1:7" s="4" customFormat="1"/>
    <x:row r="23" spans="1:7" s="3" customFormat="1"/>
    <x:row r="24" spans="1:7" s="1" customFormat="1"/>
    <x:row r="25" spans="1:7" s="4" customFormat="1"/>
    <x:row r="26" spans="1:7" s="3" customFormat="1"/>
    <x:row r="27" spans="1:7" s="1" customFormat="1"/>
    <x:row r="28" spans="1:7" s="4" customFormat="1"/>
    <x:row r="29" spans="1:7" s="3" customFormat="1"/>
    <x:row r="30" spans="1:7" s="1" customFormat="1"/>
    <x:row r="31" spans="1:7" s="4" customFormat="1"/>
    <x:row r="32" spans="1:7" s="3" customFormat="1"/>
    <x:row r="33" spans="1:7" s="1" customFormat="1"/>
    <x:row r="34" spans="1:7" s="4" customFormat="1"/>
    <x:row r="35" spans="1:7" s="3" customFormat="1"/>
    <x:row r="36" spans="1:7" s="1" customFormat="1"/>
    <x:row r="37" spans="1:7" s="4" customFormat="1"/>
    <x:row r="38" spans="1:7" s="3" customFormat="1"/>
    <x:row r="39" spans="1:7" s="1" customFormat="1"/>
    <x:row r="40" spans="1:7" s="4" customFormat="1"/>
    <x:row r="41" spans="1:7" s="3" customFormat="1"/>
    <x:row r="42" spans="1:7" s="1" customFormat="1"/>
    <x:row r="43" spans="1:7" s="4" customFormat="1"/>
    <x:row r="44" spans="1:7" s="3" customFormat="1"/>
    <x:row r="45" spans="1:7" s="1" customFormat="1"/>
    <x:row r="46" spans="1:7" s="4" customFormat="1"/>
    <x:row r="47" spans="1:7" s="3" customFormat="1"/>
    <x:row r="48" spans="1:7" s="1" customFormat="1"/>
    <x:row r="49" spans="1:7" s="4" customFormat="1"/>
    <x:row r="50" spans="1:7" s="3" customFormat="1"/>
    <x:row r="51" spans="1:7" s="1" customFormat="1"/>
    <x:row r="52" spans="1:7" s="4" customFormat="1"/>
    <x:row r="53" spans="1:7" s="3" customFormat="1"/>
    <x:row r="54" spans="1:7" s="1" customFormat="1"/>
    <x:row r="55" spans="1:7" s="4" customFormat="1"/>
    <x:row r="56" spans="1:7" s="3" customFormat="1"/>
    <x:row r="57" spans="1:7" s="1" customFormat="1"/>
    <x:row r="58" spans="1:7" s="4" customFormat="1"/>
    <x:row r="59" spans="1:7" s="3" customFormat="1"/>
    <x:row r="60" spans="1:7" s="1" customFormat="1"/>
    <x:row r="61" spans="1:7" s="4" customFormat="1"/>
    <x:row r="62" spans="1:7" s="3" customFormat="1"/>
    <x:row r="63" spans="1:7" s="1" customFormat="1"/>
    <x:row r="64" spans="1:7" s="4" customFormat="1"/>
    <x:row r="65" spans="1:7" s="3" customFormat="1"/>
    <x:row r="66" spans="1:7" s="1" customFormat="1"/>
    <x:row r="67" spans="1:7" s="4" customFormat="1"/>
    <x:row r="68" spans="1:7" s="3" customFormat="1"/>
    <x:row r="69" spans="1:7" s="1" customFormat="1"/>
    <x:row r="70" spans="1:7" s="4" customFormat="1"/>
    <x:row r="71" spans="1:7" s="3" customFormat="1"/>
    <x:row r="72" spans="1:7" s="1" customFormat="1"/>
    <x:row r="73" spans="1:7" s="4" customFormat="1"/>
    <x:row r="74" spans="1:7" s="3" customFormat="1"/>
    <x:row r="75" spans="1:7" s="1" customFormat="1"/>
    <x:row r="76" spans="1:7" s="4" customFormat="1"/>
    <x:row r="77" spans="1:7" s="3" customFormat="1"/>
    <x:row r="78" spans="1:7" s="1" customFormat="1"/>
    <x:row r="79" spans="1:7" s="4" customFormat="1"/>
    <x:row r="80" spans="1:7" s="3" customFormat="1"/>
    <x:row r="81" spans="1:7" s="1" customFormat="1"/>
  </x:sheetData>
  <x:hyperlinks>
    <x:hyperlink ref="C2" r:id="rId5831" tooltip="Send a mail to tuttoparquetmalta@gmail.com"/>
    <x:hyperlink ref="C3" r:id="rId5832" tooltip="Send a mail to showtiles@gmail.com"/>
    <x:hyperlink ref="C5" r:id="rId5833" tooltip="Send a mail to info@hirisegroup.com.mt"/>
    <x:hyperlink ref="C6" r:id="rId5834" tooltip="Send a mail to info@farrugiagroup.com"/>
    <x:hyperlink ref="E2" r:id="rId5835" tooltip="Search 10, Triq Dun Karm&#10;Birkirkara, Malta on Google Maps"/>
    <x:hyperlink ref="E3" r:id="rId5836" tooltip="Search 78, Triq San Pawl NXR 4016 Naxxar, Malta on Google Maps"/>
    <x:hyperlink ref="E5" r:id="rId5837" tooltip="Search Tal-Ħandaq, Qormi, Malta on Google Maps"/>
    <x:hyperlink ref="E6" r:id="rId5838" tooltip="Search Farrugia Woodworks&#10;60 Ta’ Magi Industrial Park Triq San Leonardu ,&#10;Xghajra, Malta on Google Maps"/>
    <x:hyperlink ref="F2" r:id="rId5839" tooltip="Visit tuttoparquetmalta.com/index.html"/>
    <x:hyperlink ref="F3" r:id="rId5840" tooltip="Visit facebook.com/showtilesnaxxar/"/>
    <x:hyperlink ref="F5" r:id="rId5841" tooltip="Visit facebook.com/mtrefurbishing/"/>
    <x:hyperlink ref="F6" r:id="rId5842" tooltip="Visit yellow.com.mt/farrugia-woodworks/furniture/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82">
      <vt:lpstr>Summary List</vt:lpstr>
      <vt:lpstr>Fibreglass</vt:lpstr>
      <vt:lpstr>Extractors</vt:lpstr>
      <vt:lpstr>Handyman</vt:lpstr>
      <vt:lpstr>Electricians</vt:lpstr>
      <vt:lpstr>Carpenters</vt:lpstr>
      <vt:lpstr>Second Hand Car Dealers</vt:lpstr>
      <vt:lpstr>Archaeological Monitors</vt:lpstr>
      <vt:lpstr>Maltese Balconies</vt:lpstr>
      <vt:lpstr>Wall Mounted Speakers</vt:lpstr>
      <vt:lpstr>Hardware</vt:lpstr>
      <vt:lpstr>Laser</vt:lpstr>
      <vt:lpstr>Surveyors</vt:lpstr>
      <vt:lpstr>Car Scrapping</vt:lpstr>
      <vt:lpstr>Sills</vt:lpstr>
      <vt:lpstr>Waterproofing</vt:lpstr>
      <vt:lpstr>Surface finishes</vt:lpstr>
      <vt:lpstr>Terrazzo Slabs</vt:lpstr>
      <vt:lpstr>Washing Machines</vt:lpstr>
      <vt:lpstr>Tumble Dryer</vt:lpstr>
      <vt:lpstr>Gypsum</vt:lpstr>
      <vt:lpstr>Cubicle Partitions</vt:lpstr>
      <vt:lpstr>Site Clearance</vt:lpstr>
      <vt:lpstr>Industrial Shelving</vt:lpstr>
      <vt:lpstr>multysensory room</vt:lpstr>
      <vt:lpstr>Bathroom</vt:lpstr>
      <vt:lpstr>Jacuzzi</vt:lpstr>
      <vt:lpstr>Bedroom</vt:lpstr>
      <vt:lpstr>Kitchen</vt:lpstr>
      <vt:lpstr>Wall Panels</vt:lpstr>
      <vt:lpstr>Office</vt:lpstr>
      <vt:lpstr>Office Tables</vt:lpstr>
      <vt:lpstr>Living Room</vt:lpstr>
      <vt:lpstr>Storage Units</vt:lpstr>
      <vt:lpstr>Custom Furniture</vt:lpstr>
      <vt:lpstr>Garden </vt:lpstr>
      <vt:lpstr>Outdoor Furniture</vt:lpstr>
      <vt:lpstr>Wallpapers</vt:lpstr>
      <vt:lpstr>Trimwork</vt:lpstr>
      <vt:lpstr>House Decor</vt:lpstr>
      <vt:lpstr>Business Cards</vt:lpstr>
      <vt:lpstr>Laundry room</vt:lpstr>
      <vt:lpstr>Window Films</vt:lpstr>
      <vt:lpstr>Blinds</vt:lpstr>
      <vt:lpstr>Systems </vt:lpstr>
      <vt:lpstr>Water tank</vt:lpstr>
      <vt:lpstr>STO</vt:lpstr>
      <vt:lpstr>MEP Services</vt:lpstr>
      <vt:lpstr>Lifts</vt:lpstr>
      <vt:lpstr>Flooring</vt:lpstr>
      <vt:lpstr>Tilers</vt:lpstr>
      <vt:lpstr>Tiles</vt:lpstr>
      <vt:lpstr>Seamless flooring </vt:lpstr>
      <vt:lpstr>Resin Flooring</vt:lpstr>
      <vt:lpstr>Epoxy Flooring</vt:lpstr>
      <vt:lpstr>Vinyl Flooring</vt:lpstr>
      <vt:lpstr>Underfloor Heating</vt:lpstr>
      <vt:lpstr>Floor Levelling</vt:lpstr>
      <vt:lpstr>Garage doors</vt:lpstr>
      <vt:lpstr>BBQ</vt:lpstr>
      <vt:lpstr>Alum Apertures</vt:lpstr>
      <vt:lpstr>Aluminum</vt:lpstr>
      <vt:lpstr>Skylight</vt:lpstr>
      <vt:lpstr>Timber Apertures</vt:lpstr>
      <vt:lpstr>PVC Appertures</vt:lpstr>
      <vt:lpstr>uPVC Apertures</vt:lpstr>
      <vt:lpstr>Pocket Doors &amp; Sliding Doors</vt:lpstr>
      <vt:lpstr>Restoration</vt:lpstr>
      <vt:lpstr>Cherry Pickers</vt:lpstr>
      <vt:lpstr>Turnkey Companies</vt:lpstr>
      <vt:lpstr>Construction</vt:lpstr>
      <vt:lpstr>Electrical &amp; Plumbing</vt:lpstr>
      <vt:lpstr>Lighting</vt:lpstr>
      <vt:lpstr>Scaffolding</vt:lpstr>
      <vt:lpstr>Awnings &amp; Pergolas</vt:lpstr>
      <vt:lpstr>Doors</vt:lpstr>
      <vt:lpstr>Marble suppliers </vt:lpstr>
      <vt:lpstr>Pocket doors</vt:lpstr>
      <vt:lpstr>Internal doors </vt:lpstr>
      <vt:lpstr>Air conditioners</vt:lpstr>
      <vt:lpstr>Outdoor decking</vt:lpstr>
      <vt:lpstr>Raised flooring</vt:lpstr>
      <vt:lpstr>Iglus </vt:lpstr>
      <vt:lpstr>T Beams</vt:lpstr>
      <vt:lpstr>Plotters </vt:lpstr>
      <vt:lpstr>3D Rendering Services</vt:lpstr>
      <vt:lpstr>Sign Makers</vt:lpstr>
      <vt:lpstr>Stone suppliers</vt:lpstr>
      <vt:lpstr>Plasterers</vt:lpstr>
      <vt:lpstr>Microcement</vt:lpstr>
      <vt:lpstr>Insulation</vt:lpstr>
      <vt:lpstr>Metal works </vt:lpstr>
      <vt:lpstr>Glass</vt:lpstr>
      <vt:lpstr>Wood working</vt:lpstr>
      <vt:lpstr>Fibreglass!Print_Area</vt:lpstr>
      <vt:lpstr>Fibreglass!Print_Titles</vt:lpstr>
      <vt:lpstr>Extractors!Print_Area</vt:lpstr>
      <vt:lpstr>Extractors!Print_Titles</vt:lpstr>
      <vt:lpstr>Handyman!Print_Area</vt:lpstr>
      <vt:lpstr>Handyman!Print_Titles</vt:lpstr>
      <vt:lpstr>Electricians!Print_Area</vt:lpstr>
      <vt:lpstr>Electricians!Print_Titles</vt:lpstr>
      <vt:lpstr>Carpenters!Print_Area</vt:lpstr>
      <vt:lpstr>Carpenters!Print_Titles</vt:lpstr>
      <vt:lpstr>Second Hand Car Dealers!Print_Area</vt:lpstr>
      <vt:lpstr>Second Hand Car Dealers!Print_Titles</vt:lpstr>
      <vt:lpstr>Archaeological Monitors!Print_Area</vt:lpstr>
      <vt:lpstr>Archaeological Monitors!Print_Titles</vt:lpstr>
      <vt:lpstr>Maltese Balconies!Print_Area</vt:lpstr>
      <vt:lpstr>Maltese Balconies!Print_Titles</vt:lpstr>
      <vt:lpstr>Wall Mounted Speakers!Print_Area</vt:lpstr>
      <vt:lpstr>Wall Mounted Speakers!Print_Titles</vt:lpstr>
      <vt:lpstr>Hardware!Print_Area</vt:lpstr>
      <vt:lpstr>Hardware!Print_Titles</vt:lpstr>
      <vt:lpstr>Laser!Print_Area</vt:lpstr>
      <vt:lpstr>Laser!Print_Titles</vt:lpstr>
      <vt:lpstr>Surveyors!Print_Area</vt:lpstr>
      <vt:lpstr>Surveyors!Print_Titles</vt:lpstr>
      <vt:lpstr>Car Scrapping!Print_Area</vt:lpstr>
      <vt:lpstr>Car Scrapping!Print_Titles</vt:lpstr>
      <vt:lpstr>Sills!Print_Area</vt:lpstr>
      <vt:lpstr>Sills!Print_Titles</vt:lpstr>
      <vt:lpstr>Waterproofing!Print_Area</vt:lpstr>
      <vt:lpstr>Waterproofing!Print_Titles</vt:lpstr>
      <vt:lpstr>Surface finishes!Print_Area</vt:lpstr>
      <vt:lpstr>Surface finishes!Print_Titles</vt:lpstr>
      <vt:lpstr>Terrazzo Slabs!Print_Area</vt:lpstr>
      <vt:lpstr>Terrazzo Slabs!Print_Titles</vt:lpstr>
      <vt:lpstr>Washing Machines!Print_Area</vt:lpstr>
      <vt:lpstr>Washing Machines!Print_Titles</vt:lpstr>
      <vt:lpstr>Tumble Dryer!Print_Area</vt:lpstr>
      <vt:lpstr>Tumble Dryer!Print_Titles</vt:lpstr>
      <vt:lpstr>Gypsum!Print_Area</vt:lpstr>
      <vt:lpstr>Gypsum!Print_Titles</vt:lpstr>
      <vt:lpstr>Cubicle Partitions!Print_Area</vt:lpstr>
      <vt:lpstr>Cubicle Partitions!Print_Titles</vt:lpstr>
      <vt:lpstr>Site Clearance!Print_Area</vt:lpstr>
      <vt:lpstr>Site Clearance!Print_Titles</vt:lpstr>
      <vt:lpstr>Industrial Shelving!Print_Area</vt:lpstr>
      <vt:lpstr>Industrial Shelving!Print_Titles</vt:lpstr>
      <vt:lpstr>multysensory room!Print_Area</vt:lpstr>
      <vt:lpstr>multysensory room!Print_Titles</vt:lpstr>
      <vt:lpstr>Bathroom!Print_Area</vt:lpstr>
      <vt:lpstr>Bathroom!Print_Titles</vt:lpstr>
      <vt:lpstr>Jacuzzi!Print_Area</vt:lpstr>
      <vt:lpstr>Jacuzzi!Print_Titles</vt:lpstr>
      <vt:lpstr>Bedroom!Print_Area</vt:lpstr>
      <vt:lpstr>Bedroom!Print_Titles</vt:lpstr>
      <vt:lpstr>Kitchen!Print_Area</vt:lpstr>
      <vt:lpstr>Kitchen!Print_Titles</vt:lpstr>
      <vt:lpstr>Wall Panels!Print_Area</vt:lpstr>
      <vt:lpstr>Wall Panels!Print_Titles</vt:lpstr>
      <vt:lpstr>Office!Print_Area</vt:lpstr>
      <vt:lpstr>Office!Print_Titles</vt:lpstr>
      <vt:lpstr>Office Tables!Print_Area</vt:lpstr>
      <vt:lpstr>Office Tables!Print_Titles</vt:lpstr>
      <vt:lpstr>Living Room!Print_Area</vt:lpstr>
      <vt:lpstr>Living Room!Print_Titles</vt:lpstr>
      <vt:lpstr>Storage Units!Print_Area</vt:lpstr>
      <vt:lpstr>Storage Units!Print_Titles</vt:lpstr>
      <vt:lpstr>Custom Furniture!Print_Area</vt:lpstr>
      <vt:lpstr>Custom Furniture!Print_Titles</vt:lpstr>
      <vt:lpstr>Garden !Print_Area</vt:lpstr>
      <vt:lpstr>Garden !Print_Titles</vt:lpstr>
      <vt:lpstr>Outdoor Furniture!Print_Area</vt:lpstr>
      <vt:lpstr>Outdoor Furniture!Print_Titles</vt:lpstr>
      <vt:lpstr>Wallpapers!Print_Area</vt:lpstr>
      <vt:lpstr>Wallpapers!Print_Titles</vt:lpstr>
      <vt:lpstr>Trimwork!Print_Area</vt:lpstr>
      <vt:lpstr>Trimwork!Print_Titles</vt:lpstr>
      <vt:lpstr>House Decor!Print_Area</vt:lpstr>
      <vt:lpstr>House Decor!Print_Titles</vt:lpstr>
      <vt:lpstr>Business Cards!Print_Area</vt:lpstr>
      <vt:lpstr>Business Cards!Print_Titles</vt:lpstr>
      <vt:lpstr>Laundry room!Print_Area</vt:lpstr>
      <vt:lpstr>Laundry room!Print_Titles</vt:lpstr>
      <vt:lpstr>Window Films!Print_Area</vt:lpstr>
      <vt:lpstr>Window Films!Print_Titles</vt:lpstr>
      <vt:lpstr>Blinds!Print_Area</vt:lpstr>
      <vt:lpstr>Blinds!Print_Titles</vt:lpstr>
      <vt:lpstr>Systems !Print_Area</vt:lpstr>
      <vt:lpstr>Systems !Print_Titles</vt:lpstr>
      <vt:lpstr>Water tank!Print_Area</vt:lpstr>
      <vt:lpstr>Water tank!Print_Titles</vt:lpstr>
      <vt:lpstr>STO!Print_Area</vt:lpstr>
      <vt:lpstr>STO!Print_Titles</vt:lpstr>
      <vt:lpstr>MEP Services!Print_Area</vt:lpstr>
      <vt:lpstr>MEP Services!Print_Titles</vt:lpstr>
      <vt:lpstr>Lifts!Print_Area</vt:lpstr>
      <vt:lpstr>Lifts!Print_Titles</vt:lpstr>
      <vt:lpstr>Flooring!Print_Area</vt:lpstr>
      <vt:lpstr>Flooring!Print_Titles</vt:lpstr>
      <vt:lpstr>Tilers!Print_Area</vt:lpstr>
      <vt:lpstr>Tilers!Print_Titles</vt:lpstr>
      <vt:lpstr>Tiles!Print_Area</vt:lpstr>
      <vt:lpstr>Tiles!Print_Titles</vt:lpstr>
      <vt:lpstr>Seamless flooring !Print_Area</vt:lpstr>
      <vt:lpstr>Seamless flooring !Print_Titles</vt:lpstr>
      <vt:lpstr>Resin Flooring!Print_Area</vt:lpstr>
      <vt:lpstr>Resin Flooring!Print_Titles</vt:lpstr>
      <vt:lpstr>Epoxy Flooring!Print_Area</vt:lpstr>
      <vt:lpstr>Epoxy Flooring!Print_Titles</vt:lpstr>
      <vt:lpstr>Vinyl Flooring!Print_Area</vt:lpstr>
      <vt:lpstr>Vinyl Flooring!Print_Titles</vt:lpstr>
      <vt:lpstr>Underfloor Heating!Print_Area</vt:lpstr>
      <vt:lpstr>Underfloor Heating!Print_Titles</vt:lpstr>
      <vt:lpstr>Floor Levelling!Print_Area</vt:lpstr>
      <vt:lpstr>Floor Levelling!Print_Titles</vt:lpstr>
      <vt:lpstr>Garage doors!Print_Area</vt:lpstr>
      <vt:lpstr>Garage doors!Print_Titles</vt:lpstr>
      <vt:lpstr>BBQ!Print_Area</vt:lpstr>
      <vt:lpstr>BBQ!Print_Titles</vt:lpstr>
      <vt:lpstr>Alum Apertures!Print_Area</vt:lpstr>
      <vt:lpstr>Alum Apertures!Print_Titles</vt:lpstr>
      <vt:lpstr>Aluminum!Print_Area</vt:lpstr>
      <vt:lpstr>Aluminum!Print_Titles</vt:lpstr>
      <vt:lpstr>Skylight!Print_Area</vt:lpstr>
      <vt:lpstr>Skylight!Print_Titles</vt:lpstr>
      <vt:lpstr>Timber Apertures!Print_Area</vt:lpstr>
      <vt:lpstr>Timber Apertures!Print_Titles</vt:lpstr>
      <vt:lpstr>PVC Appertures!Print_Area</vt:lpstr>
      <vt:lpstr>PVC Appertures!Print_Titles</vt:lpstr>
      <vt:lpstr>uPVC Apertures!Print_Area</vt:lpstr>
      <vt:lpstr>uPVC Apertures!Print_Titles</vt:lpstr>
      <vt:lpstr>Pocket Doors &amp; Sliding Doors!Print_Area</vt:lpstr>
      <vt:lpstr>Pocket Doors &amp; Sliding Doors!Print_Titles</vt:lpstr>
      <vt:lpstr>Restoration!Print_Area</vt:lpstr>
      <vt:lpstr>Restoration!Print_Titles</vt:lpstr>
      <vt:lpstr>Cherry Pickers!Print_Area</vt:lpstr>
      <vt:lpstr>Cherry Pickers!Print_Titles</vt:lpstr>
      <vt:lpstr>Turnkey Companies!Print_Area</vt:lpstr>
      <vt:lpstr>Turnkey Companies!Print_Titles</vt:lpstr>
      <vt:lpstr>Construction!Print_Area</vt:lpstr>
      <vt:lpstr>Construction!Print_Titles</vt:lpstr>
      <vt:lpstr>Electrical &amp; Plumbing!Print_Area</vt:lpstr>
      <vt:lpstr>Electrical &amp; Plumbing!Print_Titles</vt:lpstr>
      <vt:lpstr>Lighting!Print_Area</vt:lpstr>
      <vt:lpstr>Lighting!Print_Titles</vt:lpstr>
      <vt:lpstr>Scaffolding!Print_Area</vt:lpstr>
      <vt:lpstr>Scaffolding!Print_Titles</vt:lpstr>
      <vt:lpstr>Awnings &amp; Pergolas!Print_Area</vt:lpstr>
      <vt:lpstr>Awnings &amp; Pergolas!Print_Titles</vt:lpstr>
      <vt:lpstr>Doors!Print_Area</vt:lpstr>
      <vt:lpstr>Doors!Print_Titles</vt:lpstr>
      <vt:lpstr>Marble suppliers !Print_Area</vt:lpstr>
      <vt:lpstr>Marble suppliers !Print_Titles</vt:lpstr>
      <vt:lpstr>Pocket doors!Print_Area</vt:lpstr>
      <vt:lpstr>Pocket doors!Print_Titles</vt:lpstr>
      <vt:lpstr>Internal doors !Print_Area</vt:lpstr>
      <vt:lpstr>Internal doors !Print_Titles</vt:lpstr>
      <vt:lpstr>Air conditioners!Print_Area</vt:lpstr>
      <vt:lpstr>Air conditioners!Print_Titles</vt:lpstr>
      <vt:lpstr>Outdoor decking!Print_Area</vt:lpstr>
      <vt:lpstr>Outdoor decking!Print_Titles</vt:lpstr>
      <vt:lpstr>Raised flooring!Print_Area</vt:lpstr>
      <vt:lpstr>Raised flooring!Print_Titles</vt:lpstr>
      <vt:lpstr>Iglus !Print_Area</vt:lpstr>
      <vt:lpstr>Iglus !Print_Titles</vt:lpstr>
      <vt:lpstr>T Beams!Print_Area</vt:lpstr>
      <vt:lpstr>T Beams!Print_Titles</vt:lpstr>
      <vt:lpstr>Plotters !Print_Area</vt:lpstr>
      <vt:lpstr>Plotters !Print_Titles</vt:lpstr>
      <vt:lpstr>3D Rendering Services!Print_Area</vt:lpstr>
      <vt:lpstr>3D Rendering Services!Print_Titles</vt:lpstr>
      <vt:lpstr>Sign Makers!Print_Area</vt:lpstr>
      <vt:lpstr>Sign Makers!Print_Titles</vt:lpstr>
      <vt:lpstr>Stone suppliers!Print_Area</vt:lpstr>
      <vt:lpstr>Stone suppliers!Print_Titles</vt:lpstr>
      <vt:lpstr>Plasterers!Print_Area</vt:lpstr>
      <vt:lpstr>Plasterers!Print_Titles</vt:lpstr>
      <vt:lpstr>Microcement!Print_Area</vt:lpstr>
      <vt:lpstr>Microcement!Print_Titles</vt:lpstr>
      <vt:lpstr>Insulation!Print_Area</vt:lpstr>
      <vt:lpstr>Insulation!Print_Titles</vt:lpstr>
      <vt:lpstr>Metal works !Print_Area</vt:lpstr>
      <vt:lpstr>Metal works !Print_Titles</vt:lpstr>
      <vt:lpstr>Glass!Print_Area</vt:lpstr>
      <vt:lpstr>Glass!Print_Titles</vt:lpstr>
      <vt:lpstr>Wood working!Print_Area</vt:lpstr>
      <vt:lpstr>Wood working!Print_Titles</vt:lpstr>
      <vt:lpstr>Summary List!Print_Area</vt:lpstr>
      <vt:lpstr>Summary List!Print_Titles</vt:lpstr>
    </vt:vector>
  </ap:TitlesOfParts>
  <ap:HeadingPairs>
    <vt:vector baseType="variant" size="4">
      <vt:variant>
        <vt:lpstr>Worksheets</vt:lpstr>
      </vt:variant>
      <vt:variant>
        <vt:i4>94</vt:i4>
      </vt:variant>
      <vt:variant>
        <vt:lpstr>Named Ranges</vt:lpstr>
      </vt:variant>
      <vt:variant>
        <vt:i4>188</vt:i4>
      </vt:variant>
    </vt:vector>
  </ap:HeadingPairs>
  <ap:DocSecurity>0</ap:DocSecurity>
  <ap:ScaleCrop>false</ap:ScaleCrop>
</ap:Properties>
</file>