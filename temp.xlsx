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lzkaemperFabio\source\repos\ExcelScript\"/>
    </mc:Choice>
  </mc:AlternateContent>
  <xr:revisionPtr revIDLastSave="0" documentId="11_A91A49504C3938BE41EDB16E966F4EC75B12BDA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breglass" sheetId="1" r:id="rId1"/>
    <sheet name="Extractors" sheetId="2" r:id="rId2"/>
    <sheet name="Handyman" sheetId="3" r:id="rId3"/>
    <sheet name="Electricians" sheetId="4" r:id="rId4"/>
    <sheet name="Carpenters" sheetId="5" r:id="rId5"/>
    <sheet name="Second Hand Car Dealers" sheetId="6" r:id="rId6"/>
    <sheet name="Archaeological Monitors" sheetId="7" r:id="rId7"/>
    <sheet name="Maltese Balconies" sheetId="8" r:id="rId8"/>
    <sheet name="Wall Mounted Speakers" sheetId="9" r:id="rId9"/>
    <sheet name="Hardware" sheetId="10" r:id="rId10"/>
    <sheet name="Laser" sheetId="11" r:id="rId11"/>
    <sheet name="Surveyors" sheetId="12" r:id="rId12"/>
    <sheet name="Car Scrapping" sheetId="13" r:id="rId13"/>
    <sheet name="Sills" sheetId="14" r:id="rId14"/>
    <sheet name="Waterproofing" sheetId="15" r:id="rId15"/>
    <sheet name="Surface finishes" sheetId="16" r:id="rId16"/>
    <sheet name="Terrazzo Slabs" sheetId="17" r:id="rId17"/>
    <sheet name="Washing Machines" sheetId="18" r:id="rId18"/>
    <sheet name="Tumble Dryer" sheetId="19" r:id="rId19"/>
    <sheet name="Gypsum" sheetId="20" r:id="rId20"/>
    <sheet name="Cubicle Partitions" sheetId="21" r:id="rId21"/>
    <sheet name="Site Clearance" sheetId="22" r:id="rId22"/>
    <sheet name="Industrial Shelving" sheetId="23" r:id="rId23"/>
    <sheet name="multysensory room" sheetId="24" r:id="rId24"/>
    <sheet name="Bathroom" sheetId="25" r:id="rId25"/>
    <sheet name="Jacuzzi" sheetId="26" r:id="rId26"/>
    <sheet name="Bedroom" sheetId="27" r:id="rId27"/>
    <sheet name="Kitchen" sheetId="28" r:id="rId28"/>
    <sheet name="Wall Panels" sheetId="29" r:id="rId29"/>
    <sheet name="Office" sheetId="30" r:id="rId30"/>
    <sheet name="Office Tables" sheetId="31" r:id="rId31"/>
    <sheet name="Living Room" sheetId="32" r:id="rId32"/>
    <sheet name="Storage Units" sheetId="33" r:id="rId33"/>
    <sheet name="Custom Furniture" sheetId="34" r:id="rId34"/>
    <sheet name="Garden " sheetId="35" r:id="rId35"/>
    <sheet name="Outdoor Furniture" sheetId="36" r:id="rId36"/>
    <sheet name="Wallpapers" sheetId="37" r:id="rId37"/>
    <sheet name="Trimwork" sheetId="38" r:id="rId38"/>
    <sheet name="House Decor" sheetId="39" r:id="rId39"/>
    <sheet name="Business Cards" sheetId="40" r:id="rId40"/>
    <sheet name="Laundry room" sheetId="41" r:id="rId41"/>
    <sheet name="Window Films" sheetId="42" r:id="rId42"/>
    <sheet name="Blinds" sheetId="43" r:id="rId43"/>
    <sheet name="Systems " sheetId="44" r:id="rId44"/>
    <sheet name="Water tank" sheetId="45" r:id="rId45"/>
    <sheet name="STO" sheetId="46" r:id="rId46"/>
    <sheet name="MEP Services" sheetId="47" r:id="rId47"/>
    <sheet name="Lifts" sheetId="48" r:id="rId48"/>
    <sheet name="Flooring" sheetId="49" r:id="rId49"/>
    <sheet name="Tilers" sheetId="50" r:id="rId50"/>
    <sheet name="Tiles" sheetId="51" r:id="rId51"/>
    <sheet name="Seamless flooring " sheetId="52" r:id="rId52"/>
    <sheet name="Resin Flooring" sheetId="53" r:id="rId53"/>
    <sheet name="Epoxy Flooring" sheetId="54" r:id="rId54"/>
    <sheet name="Vinyl Flooring" sheetId="55" r:id="rId55"/>
    <sheet name="Underfloor Heating" sheetId="56" r:id="rId56"/>
    <sheet name="Floor Levelling" sheetId="57" r:id="rId57"/>
    <sheet name="Garage doors" sheetId="58" r:id="rId58"/>
    <sheet name="BBQ" sheetId="59" r:id="rId59"/>
    <sheet name="Alum Apertures" sheetId="60" r:id="rId60"/>
    <sheet name="Aluminum" sheetId="61" r:id="rId61"/>
    <sheet name="Skylight" sheetId="62" r:id="rId62"/>
    <sheet name="Timber Apertures" sheetId="63" r:id="rId63"/>
    <sheet name="PVC Appertures" sheetId="64" r:id="rId64"/>
    <sheet name="uPVC Apertures" sheetId="65" r:id="rId65"/>
    <sheet name="Pocket Doors &amp; Sliding Doors" sheetId="66" r:id="rId66"/>
    <sheet name="Restoration" sheetId="67" r:id="rId67"/>
    <sheet name="Cherry Pickers" sheetId="68" r:id="rId68"/>
    <sheet name="Turnkey Companies" sheetId="69" r:id="rId69"/>
    <sheet name="Construction" sheetId="70" r:id="rId70"/>
    <sheet name="Electrical &amp; Plumbing" sheetId="71" r:id="rId71"/>
    <sheet name="Lighting" sheetId="72" r:id="rId72"/>
    <sheet name="Scaffolding" sheetId="73" r:id="rId73"/>
    <sheet name="Awnings &amp; Pergolas" sheetId="74" r:id="rId74"/>
    <sheet name="Doors" sheetId="75" r:id="rId75"/>
    <sheet name="Marble suppliers " sheetId="76" r:id="rId76"/>
    <sheet name="Pocket doors" sheetId="77" r:id="rId77"/>
    <sheet name="Internal doors " sheetId="78" r:id="rId78"/>
    <sheet name="Air conditioners" sheetId="79" r:id="rId79"/>
    <sheet name="Outdoor decking" sheetId="80" r:id="rId80"/>
    <sheet name="Raised flooring" sheetId="81" r:id="rId81"/>
    <sheet name="Iglus " sheetId="82" r:id="rId82"/>
    <sheet name="T Beams" sheetId="83" r:id="rId83"/>
    <sheet name="Plotters " sheetId="84" r:id="rId84"/>
    <sheet name="3D Rendering Services" sheetId="85" r:id="rId85"/>
    <sheet name="Sign Makers" sheetId="86" r:id="rId86"/>
    <sheet name="Stone suppliers" sheetId="87" r:id="rId87"/>
    <sheet name="Plasterers" sheetId="88" r:id="rId88"/>
    <sheet name="Microcement" sheetId="89" r:id="rId89"/>
    <sheet name="Insulation" sheetId="90" r:id="rId90"/>
    <sheet name="Metal works " sheetId="91" r:id="rId91"/>
    <sheet name="Glass" sheetId="92" r:id="rId92"/>
    <sheet name="Wood working" sheetId="93" r:id="rId9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2" i="2"/>
  <c r="D3" i="2"/>
  <c r="D4" i="2"/>
  <c r="D5" i="2"/>
  <c r="D6" i="2"/>
  <c r="D7" i="2"/>
  <c r="D8" i="2"/>
  <c r="D9" i="2"/>
  <c r="D10" i="2"/>
  <c r="D11" i="2"/>
  <c r="D12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5" i="3"/>
  <c r="D26" i="3"/>
  <c r="D2" i="4"/>
  <c r="D3" i="4"/>
  <c r="D4" i="4"/>
  <c r="D5" i="4"/>
  <c r="D9" i="4"/>
  <c r="D10" i="4"/>
  <c r="D11" i="4"/>
  <c r="D12" i="4"/>
  <c r="D13" i="4"/>
  <c r="D14" i="4"/>
  <c r="D2" i="6"/>
  <c r="D3" i="6"/>
  <c r="D4" i="6"/>
  <c r="D5" i="6"/>
  <c r="D6" i="6"/>
  <c r="D7" i="6"/>
  <c r="D8" i="6"/>
  <c r="D9" i="6"/>
  <c r="D10" i="6"/>
  <c r="D11" i="6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2" i="9"/>
  <c r="D3" i="9"/>
  <c r="D4" i="9"/>
  <c r="D5" i="9"/>
  <c r="D6" i="9"/>
  <c r="D7" i="9"/>
  <c r="D8" i="9"/>
  <c r="D9" i="9"/>
  <c r="D10" i="9"/>
  <c r="D11" i="9"/>
  <c r="D12" i="9"/>
  <c r="D13" i="9"/>
  <c r="D2" i="11"/>
  <c r="D2" i="12"/>
  <c r="D3" i="12"/>
  <c r="D4" i="12"/>
  <c r="D5" i="12"/>
  <c r="D6" i="12"/>
  <c r="D7" i="12"/>
  <c r="D8" i="12"/>
  <c r="D9" i="12"/>
  <c r="D10" i="12"/>
  <c r="D11" i="12"/>
  <c r="D12" i="12"/>
  <c r="D13" i="12"/>
  <c r="D2" i="13"/>
  <c r="D3" i="13"/>
  <c r="D4" i="13"/>
  <c r="D5" i="13"/>
  <c r="D6" i="13"/>
  <c r="D7" i="13"/>
  <c r="D8" i="13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2" i="17"/>
  <c r="D3" i="17"/>
  <c r="D4" i="17"/>
  <c r="D5" i="17"/>
  <c r="D6" i="17"/>
  <c r="D2" i="18"/>
  <c r="D3" i="18"/>
  <c r="D4" i="18"/>
  <c r="D5" i="18"/>
  <c r="D6" i="18"/>
  <c r="D7" i="18"/>
  <c r="D8" i="18"/>
  <c r="D9" i="18"/>
  <c r="D10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" i="21"/>
  <c r="D3" i="21"/>
  <c r="D4" i="21"/>
  <c r="D5" i="21"/>
  <c r="D2" i="22"/>
  <c r="D3" i="22"/>
  <c r="D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2" i="24"/>
  <c r="D3" i="24"/>
  <c r="D4" i="24"/>
  <c r="D5" i="24"/>
  <c r="D6" i="24"/>
  <c r="D2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2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2" i="28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2" i="30"/>
  <c r="D3" i="30"/>
  <c r="D4" i="30"/>
  <c r="D5" i="30"/>
  <c r="D6" i="30"/>
  <c r="D7" i="30"/>
  <c r="D8" i="30"/>
  <c r="D9" i="30"/>
  <c r="D10" i="30"/>
  <c r="D11" i="30"/>
  <c r="D12" i="30"/>
  <c r="D2" i="32"/>
  <c r="D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2" i="35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2" i="36"/>
  <c r="D3" i="36"/>
  <c r="D4" i="36"/>
  <c r="D5" i="36"/>
  <c r="D6" i="36"/>
  <c r="D2" i="39"/>
  <c r="D3" i="39"/>
  <c r="D4" i="39"/>
  <c r="D5" i="39"/>
  <c r="D6" i="39"/>
  <c r="D7" i="39"/>
  <c r="D8" i="39"/>
  <c r="D2" i="40"/>
  <c r="D2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2" i="42"/>
  <c r="D3" i="42"/>
  <c r="D4" i="42"/>
  <c r="D5" i="42"/>
  <c r="D6" i="42"/>
  <c r="D7" i="42"/>
  <c r="D8" i="42"/>
  <c r="D9" i="42"/>
  <c r="D10" i="42"/>
  <c r="D2" i="43"/>
  <c r="D3" i="43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" i="44"/>
  <c r="D3" i="44"/>
  <c r="D4" i="4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2" i="45"/>
  <c r="D3" i="45"/>
  <c r="D4" i="45"/>
  <c r="D5" i="45"/>
  <c r="D6" i="45"/>
  <c r="D7" i="45"/>
  <c r="D8" i="45"/>
  <c r="D9" i="45"/>
  <c r="D10" i="45"/>
  <c r="D11" i="45"/>
  <c r="D12" i="45"/>
  <c r="D13" i="45"/>
  <c r="D14" i="45"/>
  <c r="D15" i="45"/>
  <c r="C2" i="46"/>
  <c r="C3" i="46"/>
  <c r="C4" i="46"/>
  <c r="C5" i="46"/>
  <c r="C6" i="46"/>
  <c r="C7" i="46"/>
  <c r="C8" i="46"/>
  <c r="C9" i="46"/>
  <c r="C10" i="46"/>
  <c r="C11" i="46"/>
  <c r="C12" i="46"/>
  <c r="C13" i="46"/>
  <c r="C2" i="47"/>
  <c r="C2" i="48"/>
  <c r="C3" i="48"/>
  <c r="C4" i="48"/>
  <c r="C5" i="48"/>
  <c r="C6" i="48"/>
  <c r="C7" i="48"/>
  <c r="C8" i="48"/>
  <c r="C9" i="48"/>
  <c r="C10" i="48"/>
  <c r="C11" i="48"/>
  <c r="C12" i="48"/>
  <c r="C13" i="48"/>
  <c r="C14" i="48"/>
  <c r="C15" i="48"/>
  <c r="C16" i="48"/>
  <c r="C17" i="48"/>
  <c r="C18" i="48"/>
  <c r="C19" i="48"/>
  <c r="D2" i="49"/>
  <c r="D3" i="49"/>
  <c r="D4" i="49"/>
  <c r="D5" i="49"/>
  <c r="D2" i="50"/>
  <c r="D3" i="50"/>
  <c r="D4" i="50"/>
  <c r="D5" i="50"/>
  <c r="D6" i="50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2" i="51"/>
  <c r="D2" i="52"/>
  <c r="D3" i="52"/>
  <c r="D4" i="52"/>
  <c r="D5" i="52"/>
  <c r="D6" i="52"/>
  <c r="D7" i="52"/>
  <c r="D8" i="52"/>
  <c r="D2" i="53"/>
  <c r="D3" i="53"/>
  <c r="D4" i="53"/>
  <c r="D5" i="53"/>
  <c r="D6" i="53"/>
  <c r="D7" i="53"/>
  <c r="D8" i="53"/>
  <c r="D9" i="53"/>
  <c r="D10" i="53"/>
  <c r="D11" i="53"/>
  <c r="D12" i="53"/>
  <c r="D2" i="54"/>
  <c r="D3" i="54"/>
  <c r="D2" i="55"/>
  <c r="D3" i="55"/>
  <c r="D4" i="55"/>
  <c r="D5" i="55"/>
  <c r="D2" i="56"/>
  <c r="D3" i="56"/>
  <c r="D4" i="56"/>
  <c r="D5" i="56"/>
  <c r="D6" i="56"/>
  <c r="D7" i="56"/>
  <c r="D8" i="56"/>
  <c r="D9" i="56"/>
  <c r="D10" i="56"/>
  <c r="D2" i="59"/>
  <c r="D3" i="59"/>
  <c r="D4" i="59"/>
  <c r="D5" i="59"/>
  <c r="D6" i="59"/>
  <c r="D7" i="59"/>
  <c r="D8" i="59"/>
  <c r="D9" i="59"/>
  <c r="D10" i="59"/>
  <c r="D11" i="59"/>
  <c r="D12" i="59"/>
  <c r="D13" i="59"/>
  <c r="D14" i="59"/>
  <c r="D15" i="59"/>
  <c r="D16" i="59"/>
  <c r="D2" i="60"/>
  <c r="D3" i="60"/>
  <c r="D4" i="60"/>
  <c r="D5" i="60"/>
  <c r="D6" i="60"/>
  <c r="D7" i="60"/>
  <c r="D8" i="60"/>
  <c r="D9" i="60"/>
  <c r="D10" i="60"/>
  <c r="D11" i="60"/>
  <c r="D12" i="60"/>
  <c r="D13" i="60"/>
  <c r="D14" i="60"/>
  <c r="D15" i="60"/>
  <c r="D16" i="60"/>
  <c r="D17" i="60"/>
  <c r="D18" i="60"/>
  <c r="D19" i="60"/>
  <c r="D20" i="60"/>
  <c r="D21" i="60"/>
  <c r="D22" i="60"/>
  <c r="D23" i="60"/>
  <c r="D24" i="60"/>
  <c r="D25" i="60"/>
  <c r="D26" i="60"/>
  <c r="D27" i="60"/>
  <c r="D28" i="60"/>
  <c r="D29" i="60"/>
  <c r="D30" i="60"/>
  <c r="D31" i="60"/>
  <c r="D32" i="60"/>
  <c r="D33" i="60"/>
  <c r="D34" i="60"/>
  <c r="D35" i="60"/>
  <c r="D36" i="60"/>
  <c r="D37" i="60"/>
  <c r="D38" i="60"/>
  <c r="D39" i="60"/>
  <c r="D40" i="60"/>
  <c r="D41" i="60"/>
  <c r="D42" i="60"/>
  <c r="D43" i="60"/>
  <c r="D44" i="60"/>
  <c r="D45" i="60"/>
  <c r="D46" i="60"/>
  <c r="D47" i="60"/>
  <c r="D48" i="60"/>
  <c r="D49" i="60"/>
  <c r="D50" i="60"/>
  <c r="D51" i="60"/>
  <c r="D52" i="60"/>
  <c r="D53" i="60"/>
  <c r="D54" i="60"/>
  <c r="D55" i="60"/>
  <c r="D56" i="60"/>
  <c r="D57" i="60"/>
  <c r="D58" i="60"/>
  <c r="D59" i="60"/>
  <c r="D60" i="60"/>
  <c r="D61" i="60"/>
  <c r="D62" i="60"/>
  <c r="D63" i="60"/>
  <c r="D64" i="60"/>
  <c r="D65" i="60"/>
  <c r="D66" i="60"/>
  <c r="D67" i="60"/>
  <c r="D68" i="60"/>
  <c r="D69" i="60"/>
  <c r="D70" i="60"/>
  <c r="D71" i="60"/>
  <c r="D72" i="60"/>
  <c r="D73" i="60"/>
  <c r="D74" i="60"/>
  <c r="D75" i="60"/>
  <c r="D76" i="60"/>
  <c r="D77" i="60"/>
  <c r="D78" i="60"/>
  <c r="D79" i="60"/>
  <c r="D80" i="60"/>
  <c r="D81" i="60"/>
  <c r="D82" i="60"/>
  <c r="D83" i="60"/>
  <c r="D84" i="60"/>
  <c r="D85" i="60"/>
  <c r="D86" i="60"/>
  <c r="D87" i="60"/>
  <c r="D88" i="60"/>
  <c r="D89" i="60"/>
  <c r="D90" i="60"/>
  <c r="D91" i="60"/>
  <c r="D92" i="60"/>
  <c r="D93" i="60"/>
  <c r="D94" i="60"/>
  <c r="D95" i="60"/>
  <c r="D96" i="60"/>
  <c r="D97" i="60"/>
  <c r="D98" i="60"/>
  <c r="D99" i="60"/>
  <c r="D100" i="60"/>
  <c r="D101" i="60"/>
  <c r="D102" i="60"/>
  <c r="D103" i="60"/>
  <c r="D104" i="60"/>
  <c r="D105" i="60"/>
  <c r="D106" i="60"/>
  <c r="D107" i="60"/>
  <c r="D108" i="60"/>
  <c r="D109" i="60"/>
  <c r="D110" i="60"/>
  <c r="D111" i="60"/>
  <c r="D112" i="60"/>
  <c r="D113" i="60"/>
  <c r="D114" i="60"/>
  <c r="D115" i="60"/>
  <c r="D116" i="60"/>
  <c r="D117" i="60"/>
  <c r="D118" i="60"/>
  <c r="D119" i="60"/>
  <c r="D120" i="60"/>
  <c r="D121" i="60"/>
  <c r="D122" i="60"/>
  <c r="D123" i="60"/>
  <c r="D124" i="60"/>
  <c r="D125" i="60"/>
  <c r="D126" i="60"/>
  <c r="D127" i="60"/>
  <c r="D128" i="60"/>
  <c r="D129" i="60"/>
  <c r="D130" i="60"/>
  <c r="D131" i="60"/>
  <c r="D132" i="60"/>
  <c r="D133" i="60"/>
  <c r="D134" i="60"/>
  <c r="D135" i="60"/>
  <c r="D136" i="60"/>
  <c r="D137" i="60"/>
  <c r="D138" i="60"/>
  <c r="D139" i="60"/>
  <c r="D140" i="60"/>
  <c r="D141" i="60"/>
  <c r="D142" i="60"/>
  <c r="D143" i="60"/>
  <c r="D144" i="60"/>
  <c r="D145" i="60"/>
  <c r="D146" i="60"/>
  <c r="D147" i="60"/>
  <c r="D148" i="60"/>
  <c r="D149" i="60"/>
  <c r="D150" i="60"/>
  <c r="D151" i="60"/>
  <c r="D152" i="60"/>
  <c r="D153" i="60"/>
  <c r="D154" i="60"/>
  <c r="D155" i="60"/>
  <c r="D156" i="60"/>
  <c r="D157" i="60"/>
  <c r="D158" i="60"/>
  <c r="D159" i="60"/>
  <c r="D160" i="60"/>
  <c r="D161" i="60"/>
  <c r="D162" i="60"/>
  <c r="D163" i="60"/>
  <c r="D164" i="60"/>
  <c r="D165" i="60"/>
  <c r="D166" i="60"/>
  <c r="D167" i="60"/>
  <c r="D168" i="60"/>
  <c r="D169" i="60"/>
  <c r="D170" i="60"/>
  <c r="D2" i="61"/>
  <c r="D3" i="61"/>
  <c r="D4" i="61"/>
  <c r="D5" i="61"/>
  <c r="D6" i="61"/>
  <c r="D7" i="61"/>
  <c r="D8" i="61"/>
  <c r="D2" i="62"/>
  <c r="D3" i="62"/>
  <c r="D4" i="62"/>
  <c r="D2" i="63"/>
  <c r="D3" i="63"/>
  <c r="D4" i="63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18" i="63"/>
  <c r="D19" i="63"/>
  <c r="D20" i="63"/>
  <c r="D21" i="63"/>
  <c r="D22" i="63"/>
  <c r="D23" i="63"/>
  <c r="D24" i="63"/>
  <c r="D25" i="63"/>
  <c r="D26" i="63"/>
  <c r="D27" i="63"/>
  <c r="D2" i="64"/>
  <c r="D3" i="64"/>
  <c r="D4" i="64"/>
  <c r="D5" i="64"/>
  <c r="D6" i="64"/>
  <c r="D7" i="64"/>
  <c r="D8" i="64"/>
  <c r="D9" i="64"/>
  <c r="D10" i="64"/>
  <c r="D11" i="64"/>
  <c r="D12" i="64"/>
  <c r="D2" i="65"/>
  <c r="D3" i="65"/>
  <c r="D4" i="65"/>
  <c r="D5" i="65"/>
  <c r="D6" i="65"/>
  <c r="D2" i="66"/>
  <c r="D2" i="67"/>
  <c r="D3" i="67"/>
  <c r="D4" i="67"/>
  <c r="D5" i="67"/>
  <c r="D6" i="67"/>
  <c r="D7" i="67"/>
  <c r="D8" i="67"/>
  <c r="D9" i="67"/>
  <c r="D10" i="67"/>
  <c r="D11" i="67"/>
  <c r="D12" i="67"/>
  <c r="D13" i="67"/>
  <c r="D14" i="67"/>
  <c r="D15" i="67"/>
  <c r="D16" i="67"/>
  <c r="D17" i="67"/>
  <c r="D18" i="67"/>
  <c r="D19" i="67"/>
  <c r="D20" i="67"/>
  <c r="D21" i="67"/>
  <c r="D22" i="67"/>
  <c r="D23" i="67"/>
  <c r="D24" i="67"/>
  <c r="D25" i="67"/>
  <c r="D2" i="68"/>
  <c r="D3" i="68"/>
  <c r="D4" i="68"/>
  <c r="D5" i="68"/>
  <c r="D6" i="68"/>
  <c r="D7" i="68"/>
  <c r="D8" i="68"/>
  <c r="D9" i="68"/>
  <c r="D10" i="68"/>
  <c r="D11" i="68"/>
  <c r="D12" i="68"/>
  <c r="D13" i="68"/>
  <c r="D14" i="68"/>
  <c r="D15" i="68"/>
  <c r="D16" i="68"/>
  <c r="D17" i="68"/>
  <c r="D18" i="68"/>
  <c r="D19" i="68"/>
  <c r="D20" i="68"/>
  <c r="D21" i="68"/>
  <c r="D22" i="68"/>
  <c r="D23" i="68"/>
  <c r="D24" i="68"/>
  <c r="D25" i="68"/>
  <c r="D26" i="68"/>
  <c r="D27" i="68"/>
  <c r="D28" i="68"/>
  <c r="D29" i="68"/>
  <c r="D30" i="68"/>
  <c r="D31" i="68"/>
  <c r="D32" i="68"/>
  <c r="D33" i="68"/>
  <c r="D2" i="69"/>
  <c r="D3" i="69"/>
  <c r="D4" i="69"/>
  <c r="D5" i="69"/>
  <c r="D6" i="69"/>
  <c r="D7" i="69"/>
  <c r="D8" i="69"/>
  <c r="D9" i="69"/>
  <c r="D10" i="69"/>
  <c r="D11" i="69"/>
  <c r="D12" i="69"/>
  <c r="D13" i="69"/>
  <c r="D14" i="69"/>
  <c r="D15" i="69"/>
  <c r="D16" i="69"/>
  <c r="D17" i="69"/>
  <c r="D18" i="69"/>
  <c r="D19" i="69"/>
  <c r="D20" i="69"/>
  <c r="D21" i="69"/>
  <c r="D22" i="69"/>
  <c r="D23" i="69"/>
  <c r="D24" i="69"/>
  <c r="D25" i="69"/>
  <c r="D26" i="69"/>
  <c r="D27" i="69"/>
  <c r="D28" i="69"/>
  <c r="D29" i="69"/>
  <c r="D2" i="70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2" i="71"/>
  <c r="D3" i="71"/>
  <c r="D4" i="71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" i="74"/>
  <c r="D3" i="74"/>
  <c r="D4" i="74"/>
  <c r="D5" i="74"/>
  <c r="D6" i="74"/>
  <c r="D2" i="75"/>
  <c r="D3" i="75"/>
  <c r="D4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D19" i="75"/>
  <c r="D20" i="75"/>
  <c r="D21" i="75"/>
  <c r="D22" i="75"/>
  <c r="D23" i="75"/>
  <c r="D24" i="75"/>
  <c r="D25" i="75"/>
  <c r="D26" i="75"/>
  <c r="D27" i="75"/>
  <c r="D28" i="75"/>
  <c r="D29" i="75"/>
  <c r="D30" i="75"/>
  <c r="D31" i="75"/>
  <c r="D32" i="75"/>
  <c r="D33" i="75"/>
  <c r="D34" i="75"/>
  <c r="D35" i="75"/>
  <c r="D36" i="75"/>
  <c r="D37" i="75"/>
  <c r="D38" i="75"/>
  <c r="D39" i="75"/>
  <c r="D40" i="75"/>
  <c r="D41" i="75"/>
  <c r="D42" i="75"/>
  <c r="D43" i="75"/>
  <c r="D44" i="75"/>
  <c r="D45" i="75"/>
  <c r="D46" i="75"/>
  <c r="D47" i="75"/>
  <c r="D48" i="75"/>
  <c r="D49" i="75"/>
  <c r="D50" i="75"/>
  <c r="D51" i="75"/>
  <c r="D52" i="75"/>
  <c r="D53" i="75"/>
  <c r="D54" i="75"/>
  <c r="D55" i="75"/>
  <c r="D56" i="75"/>
  <c r="D57" i="75"/>
  <c r="D58" i="75"/>
  <c r="D59" i="75"/>
  <c r="D60" i="75"/>
  <c r="D61" i="75"/>
  <c r="D62" i="75"/>
  <c r="D63" i="75"/>
  <c r="D64" i="75"/>
  <c r="D65" i="75"/>
  <c r="D66" i="75"/>
  <c r="D67" i="75"/>
  <c r="D68" i="75"/>
  <c r="D69" i="75"/>
  <c r="D70" i="75"/>
  <c r="D71" i="75"/>
  <c r="D72" i="75"/>
  <c r="D73" i="75"/>
  <c r="D74" i="75"/>
  <c r="D75" i="75"/>
  <c r="D76" i="75"/>
  <c r="D77" i="75"/>
  <c r="D78" i="75"/>
  <c r="D79" i="75"/>
  <c r="D80" i="75"/>
  <c r="D81" i="75"/>
  <c r="D82" i="75"/>
  <c r="D83" i="75"/>
  <c r="D84" i="75"/>
  <c r="D85" i="75"/>
  <c r="D86" i="75"/>
  <c r="D87" i="75"/>
  <c r="D88" i="75"/>
  <c r="D89" i="75"/>
  <c r="D90" i="75"/>
  <c r="D91" i="75"/>
  <c r="D92" i="75"/>
  <c r="D93" i="75"/>
  <c r="D94" i="75"/>
  <c r="D95" i="75"/>
  <c r="D96" i="75"/>
  <c r="D97" i="75"/>
  <c r="D98" i="75"/>
  <c r="D99" i="75"/>
  <c r="D100" i="75"/>
  <c r="D101" i="75"/>
  <c r="D102" i="75"/>
  <c r="D103" i="75"/>
  <c r="D104" i="75"/>
  <c r="D105" i="75"/>
  <c r="D106" i="75"/>
  <c r="D107" i="75"/>
  <c r="D108" i="75"/>
  <c r="D109" i="75"/>
  <c r="D110" i="75"/>
  <c r="D111" i="75"/>
  <c r="D112" i="75"/>
  <c r="D113" i="75"/>
  <c r="D114" i="75"/>
  <c r="D115" i="75"/>
  <c r="D116" i="75"/>
  <c r="D117" i="75"/>
  <c r="D118" i="75"/>
  <c r="D119" i="75"/>
  <c r="D120" i="75"/>
  <c r="D121" i="75"/>
  <c r="D122" i="75"/>
  <c r="D123" i="75"/>
  <c r="D124" i="75"/>
  <c r="D125" i="75"/>
  <c r="D126" i="75"/>
  <c r="D127" i="75"/>
  <c r="D128" i="75"/>
  <c r="D129" i="75"/>
  <c r="D130" i="75"/>
  <c r="D131" i="75"/>
  <c r="D132" i="75"/>
  <c r="D133" i="75"/>
  <c r="D2" i="76"/>
  <c r="D3" i="76"/>
  <c r="D4" i="76"/>
  <c r="D5" i="76"/>
  <c r="D6" i="76"/>
  <c r="D7" i="76"/>
  <c r="D8" i="76"/>
  <c r="D9" i="76"/>
  <c r="D10" i="76"/>
  <c r="D11" i="76"/>
  <c r="D12" i="76"/>
  <c r="D13" i="76"/>
  <c r="D14" i="76"/>
  <c r="D2" i="77"/>
  <c r="D3" i="77"/>
  <c r="D4" i="77"/>
  <c r="D2" i="78"/>
  <c r="D3" i="78"/>
  <c r="D4" i="78"/>
  <c r="D5" i="78"/>
  <c r="D6" i="78"/>
  <c r="D7" i="78"/>
  <c r="D8" i="78"/>
  <c r="D9" i="78"/>
  <c r="D10" i="78"/>
  <c r="D11" i="78"/>
  <c r="D12" i="78"/>
  <c r="D13" i="78"/>
  <c r="D14" i="78"/>
  <c r="D15" i="78"/>
  <c r="D16" i="78"/>
  <c r="D17" i="78"/>
  <c r="D18" i="78"/>
  <c r="D19" i="78"/>
  <c r="D20" i="78"/>
  <c r="D21" i="78"/>
  <c r="D2" i="79"/>
  <c r="D3" i="79"/>
  <c r="D4" i="79"/>
  <c r="D5" i="79"/>
  <c r="D6" i="79"/>
  <c r="D7" i="79"/>
  <c r="D8" i="79"/>
  <c r="D9" i="79"/>
  <c r="D10" i="79"/>
  <c r="D11" i="79"/>
  <c r="D12" i="79"/>
  <c r="D13" i="79"/>
  <c r="D14" i="79"/>
  <c r="D15" i="79"/>
  <c r="D16" i="79"/>
  <c r="D17" i="79"/>
  <c r="D18" i="79"/>
  <c r="D19" i="79"/>
  <c r="D20" i="79"/>
  <c r="D21" i="79"/>
  <c r="D22" i="79"/>
  <c r="D23" i="79"/>
  <c r="D24" i="79"/>
  <c r="D25" i="79"/>
  <c r="D26" i="79"/>
  <c r="D27" i="79"/>
  <c r="D28" i="79"/>
  <c r="D29" i="79"/>
  <c r="D30" i="79"/>
  <c r="D31" i="79"/>
  <c r="D32" i="79"/>
  <c r="D2" i="80"/>
  <c r="D3" i="80"/>
  <c r="D4" i="80"/>
  <c r="D5" i="80"/>
  <c r="D6" i="80"/>
  <c r="D7" i="80"/>
  <c r="D8" i="80"/>
  <c r="D9" i="80"/>
  <c r="D10" i="80"/>
  <c r="D11" i="80"/>
  <c r="D12" i="80"/>
  <c r="D13" i="80"/>
  <c r="D14" i="80"/>
  <c r="D15" i="80"/>
  <c r="D16" i="80"/>
  <c r="D17" i="80"/>
  <c r="D2" i="81"/>
  <c r="D3" i="81"/>
  <c r="D4" i="81"/>
  <c r="D5" i="81"/>
  <c r="D6" i="81"/>
  <c r="D7" i="81"/>
  <c r="D8" i="81"/>
  <c r="D9" i="81"/>
  <c r="D10" i="81"/>
  <c r="D11" i="81"/>
  <c r="D12" i="81"/>
  <c r="D13" i="81"/>
  <c r="D14" i="81"/>
  <c r="D2" i="82"/>
  <c r="D3" i="82"/>
  <c r="D4" i="82"/>
  <c r="D5" i="82"/>
  <c r="D6" i="82"/>
  <c r="D7" i="82"/>
  <c r="D2" i="84"/>
  <c r="D3" i="84"/>
  <c r="D4" i="84"/>
  <c r="D5" i="84"/>
  <c r="D6" i="84"/>
  <c r="D2" i="85"/>
  <c r="D3" i="85"/>
  <c r="D4" i="85"/>
  <c r="D5" i="85"/>
  <c r="D6" i="85"/>
  <c r="D7" i="85"/>
  <c r="D8" i="85"/>
  <c r="D9" i="85"/>
  <c r="D10" i="85"/>
  <c r="D11" i="85"/>
  <c r="D12" i="85"/>
  <c r="D13" i="85"/>
  <c r="D14" i="85"/>
  <c r="D15" i="85"/>
  <c r="D2" i="86"/>
  <c r="D3" i="86"/>
  <c r="D4" i="86"/>
  <c r="D5" i="86"/>
  <c r="D6" i="86"/>
  <c r="D7" i="86"/>
  <c r="D8" i="86"/>
  <c r="D9" i="86"/>
  <c r="D10" i="86"/>
  <c r="D11" i="86"/>
  <c r="D12" i="86"/>
  <c r="D13" i="86"/>
  <c r="D14" i="86"/>
  <c r="D15" i="86"/>
  <c r="D16" i="86"/>
  <c r="D17" i="86"/>
  <c r="D18" i="86"/>
  <c r="D19" i="86"/>
  <c r="D20" i="86"/>
  <c r="D21" i="86"/>
  <c r="D22" i="86"/>
  <c r="D23" i="86"/>
  <c r="D24" i="86"/>
  <c r="D2" i="87"/>
  <c r="D3" i="87"/>
  <c r="D4" i="87"/>
  <c r="D5" i="87"/>
  <c r="D6" i="87"/>
  <c r="D7" i="87"/>
  <c r="D8" i="87"/>
  <c r="D9" i="87"/>
  <c r="D10" i="87"/>
  <c r="D11" i="87"/>
  <c r="D12" i="87"/>
  <c r="D13" i="87"/>
  <c r="D14" i="87"/>
  <c r="D15" i="87"/>
  <c r="D16" i="87"/>
  <c r="D17" i="87"/>
  <c r="D18" i="87"/>
  <c r="D19" i="87"/>
  <c r="D20" i="87"/>
  <c r="D21" i="87"/>
  <c r="D22" i="87"/>
  <c r="D23" i="87"/>
  <c r="D24" i="87"/>
  <c r="D25" i="87"/>
  <c r="D26" i="87"/>
  <c r="D27" i="87"/>
  <c r="D2" i="88"/>
  <c r="D3" i="88"/>
  <c r="D4" i="88"/>
  <c r="D5" i="88"/>
  <c r="D6" i="88"/>
  <c r="D7" i="88"/>
  <c r="D8" i="88"/>
  <c r="D9" i="88"/>
  <c r="D10" i="88"/>
  <c r="D2" i="89"/>
  <c r="D3" i="89"/>
  <c r="D4" i="89"/>
  <c r="D5" i="89"/>
  <c r="D6" i="89"/>
  <c r="D7" i="89"/>
  <c r="D8" i="89"/>
  <c r="D9" i="89"/>
  <c r="D10" i="89"/>
  <c r="D11" i="89"/>
  <c r="D12" i="89"/>
  <c r="D2" i="91"/>
  <c r="D3" i="91"/>
  <c r="D4" i="91"/>
  <c r="D5" i="91"/>
  <c r="D6" i="91"/>
  <c r="D7" i="91"/>
  <c r="D8" i="91"/>
  <c r="D9" i="91"/>
  <c r="D10" i="91"/>
  <c r="D11" i="91"/>
  <c r="D12" i="91"/>
  <c r="D2" i="92"/>
  <c r="D3" i="92"/>
  <c r="D4" i="92"/>
  <c r="D5" i="92"/>
  <c r="D6" i="92"/>
  <c r="D7" i="92"/>
  <c r="D8" i="92"/>
  <c r="D9" i="92"/>
  <c r="D10" i="92"/>
  <c r="D11" i="92"/>
  <c r="D12" i="92"/>
  <c r="D13" i="92"/>
  <c r="D14" i="92"/>
  <c r="D15" i="92"/>
  <c r="D16" i="92"/>
  <c r="D17" i="92"/>
  <c r="D18" i="92"/>
  <c r="D19" i="92"/>
  <c r="D20" i="92"/>
  <c r="D2" i="93"/>
  <c r="D3" i="93"/>
  <c r="D4" i="93"/>
  <c r="D5" i="93"/>
</calcChain>
</file>

<file path=xl/sharedStrings.xml><?xml version="1.0" encoding="utf-8"?>
<sst xmlns="http://schemas.openxmlformats.org/spreadsheetml/2006/main" count="12554" uniqueCount="5388">
  <si>
    <t>item</t>
  </si>
  <si>
    <t>Glassfibre Industries</t>
  </si>
  <si>
    <t>Crown Fibreglass</t>
  </si>
  <si>
    <t>Silvercraft Products Ltd</t>
  </si>
  <si>
    <t>Fashion Fibreglass</t>
  </si>
  <si>
    <t>Seabrave Marine</t>
  </si>
  <si>
    <t>info@micalleffibreglassworks.com</t>
  </si>
  <si>
    <t>info@silvercraftltd.com</t>
  </si>
  <si>
    <t>etienne@silvercraftltd.com</t>
  </si>
  <si>
    <t>angela@silvercraftltd.com</t>
  </si>
  <si>
    <t>info@crownfibreglass.com</t>
  </si>
  <si>
    <t>info@micallefpools.com</t>
  </si>
  <si>
    <t>natasha@glassfibreindustries.net</t>
  </si>
  <si>
    <t>fashionfibre@hotmail.com</t>
  </si>
  <si>
    <t>info@seabravemarine.com</t>
  </si>
  <si>
    <t>Birkirkara</t>
  </si>
  <si>
    <t>Zetjun</t>
  </si>
  <si>
    <t>Marsa</t>
  </si>
  <si>
    <t>Qormi</t>
  </si>
  <si>
    <t>Birzebbugia</t>
  </si>
  <si>
    <t>Website</t>
  </si>
  <si>
    <t>glassfibreindustries.net/?utm_source=Yellow&amp;utm_medium=Yellow-Website&amp;utm_campaign=Landing-Page</t>
  </si>
  <si>
    <t>crownfibreglass.com/?utm_source=Yellow&amp;utm_medium=Yellow-Website&amp;utm_campaign=Landing-Page</t>
  </si>
  <si>
    <t>silvercraftltd.com/?utm_source=Yellow&amp;utm_medium=Yellow-Website&amp;utm_campaign=Landing-Page</t>
  </si>
  <si>
    <t>facebook.com/people/Seabrave-Marine/100057368593400/</t>
  </si>
  <si>
    <t>Name</t>
  </si>
  <si>
    <t>Ventilation</t>
  </si>
  <si>
    <t>Econova</t>
  </si>
  <si>
    <t>Titan</t>
  </si>
  <si>
    <t>HVAC</t>
  </si>
  <si>
    <t>Cutrico</t>
  </si>
  <si>
    <t>Comfortek</t>
  </si>
  <si>
    <t>Bezzina Bros</t>
  </si>
  <si>
    <t>GI Maintenance</t>
  </si>
  <si>
    <t>C&amp;D Electrical &amp; Mechanical Installations</t>
  </si>
  <si>
    <t>Energex</t>
  </si>
  <si>
    <t>Cooltec</t>
  </si>
  <si>
    <t>DR Installations</t>
  </si>
  <si>
    <t>CE Installations</t>
  </si>
  <si>
    <t>WeDuct</t>
  </si>
  <si>
    <t>Proklima</t>
  </si>
  <si>
    <t>Midea Malta</t>
  </si>
  <si>
    <t>Callejja</t>
  </si>
  <si>
    <t>Tabone Direct</t>
  </si>
  <si>
    <t>Geoholistic</t>
  </si>
  <si>
    <t>RS</t>
  </si>
  <si>
    <t>MFF Industrial Supplies</t>
  </si>
  <si>
    <t>Smart Effects</t>
  </si>
  <si>
    <t>MV System</t>
  </si>
  <si>
    <t>Nonstop forced cross ventilation</t>
  </si>
  <si>
    <t>You need a fresh air system together with the ac unit</t>
  </si>
  <si>
    <t>We need to draft up an email to these guys to tell us what our options are.</t>
  </si>
  <si>
    <t>Econova is suggesting a tailored ventilation system (we need enough height in the room).</t>
  </si>
  <si>
    <t>They intall a bulkhead (to hide the ventilation pipes) and created a filtrated ventilation system.</t>
  </si>
  <si>
    <t>econovamalta@gmail.com</t>
  </si>
  <si>
    <t>info@hvacsupplies.eu</t>
  </si>
  <si>
    <t>info@cutrico.com</t>
  </si>
  <si>
    <t>dpcomfortek@gmail.com</t>
  </si>
  <si>
    <t>info@bezzbros.com</t>
  </si>
  <si>
    <t>info@cdinstallations.com.mt</t>
  </si>
  <si>
    <t>energexservices@gmail.com</t>
  </si>
  <si>
    <t>info@cooltekservices.com.mt</t>
  </si>
  <si>
    <t>rosamonddesira@gmail.com</t>
  </si>
  <si>
    <t>info@ceinstallations.com.mt</t>
  </si>
  <si>
    <t>projects@proklimamalta.com</t>
  </si>
  <si>
    <t>info@weduct.com.mt</t>
  </si>
  <si>
    <t>sales@midea.mt</t>
  </si>
  <si>
    <t>webshop@calleja.com.mt</t>
  </si>
  <si>
    <t>sales@tabonedirect.com</t>
  </si>
  <si>
    <t>info@geoholistic.com</t>
  </si>
  <si>
    <t>sales@thetccgroup.org</t>
  </si>
  <si>
    <t>sales@mff-isl.com</t>
  </si>
  <si>
    <t>afenech@smarteffects.com.mt</t>
  </si>
  <si>
    <t>50, Triq Salvu Psaila, Birkirkara, Malta, BKR9072</t>
  </si>
  <si>
    <t>Triq Ħal Luqa, Qormi, QRM 9070, Malta</t>
  </si>
  <si>
    <t>Cutrico Ltd,
Mriehel By-pass, Mriehel,
Malta</t>
  </si>
  <si>
    <t>94 Triq wied hal-Balzan, Balzan, Malta</t>
  </si>
  <si>
    <t>Aldo Moro Rd., Marsa, Malta, MRS9065</t>
  </si>
  <si>
    <t>28, Triq Borg, Fleur-De-Lys, Birkirkara, BKR 4963</t>
  </si>
  <si>
    <t>Garage V15 Warehouse First Floor, Binja San Guzepp Haddiem Triq Indri Psaila
Qormi</t>
  </si>
  <si>
    <t>Geo Holistic Co. Ltd.
G1, Five Star Business Park,
Triq il-Belt Valletta,
Ghaxaq</t>
  </si>
  <si>
    <t>comfortek.mt</t>
  </si>
  <si>
    <t>facebook.com/econovamalta/</t>
  </si>
  <si>
    <t>hvacsupplies.eu/about-us/</t>
  </si>
  <si>
    <t>cutrico.com/en/home.htm</t>
  </si>
  <si>
    <t>Wants us to book a consultation (but costs 50euro for them to come on site)
https://docs.google.com/forms/d/e/1FAIpQLSeB6v8JWo79RIujHFRtUz1Z2D1YFwtXp6QogrjMGIh5-JjSqw/viewform</t>
  </si>
  <si>
    <t>bezzbros.com/</t>
  </si>
  <si>
    <t>cdinstallations.com.mt/</t>
  </si>
  <si>
    <t>cooltekservices.com.mt/contact-us/</t>
  </si>
  <si>
    <t>ceinstallations.com.mt/</t>
  </si>
  <si>
    <t>proklimamalta.com/</t>
  </si>
  <si>
    <t>midea.mt/contact/</t>
  </si>
  <si>
    <t>calleja.com.mt/contact/</t>
  </si>
  <si>
    <t>geoholistic.com/ventilation.html</t>
  </si>
  <si>
    <t xml:space="preserve">Installation </t>
  </si>
  <si>
    <t>Handyman</t>
  </si>
  <si>
    <t>Ewi home services Limited</t>
  </si>
  <si>
    <t>Mr. Handy</t>
  </si>
  <si>
    <t>WS Installations</t>
  </si>
  <si>
    <t>Handyman Solutions Ltd</t>
  </si>
  <si>
    <t>24/7 Handyman Services (Kevin Bonnici)</t>
  </si>
  <si>
    <t>Homecare Malta</t>
  </si>
  <si>
    <t>J D Maintenance &amp; High-Up</t>
  </si>
  <si>
    <t>NLP Force Ltd</t>
  </si>
  <si>
    <t>Joseph's Handy Solutions</t>
  </si>
  <si>
    <t>AB Installations By Formosa</t>
  </si>
  <si>
    <t>Marco Vella Handyman Services</t>
  </si>
  <si>
    <t>Briiz (Mr. Handyman)</t>
  </si>
  <si>
    <t>Swift Solutions</t>
  </si>
  <si>
    <t>Better Call Tyrone</t>
  </si>
  <si>
    <t>JC Handyman &amp; Turnkey</t>
  </si>
  <si>
    <t>ZAG - Services &amp; Finishes Malta</t>
  </si>
  <si>
    <t>EC Installations</t>
  </si>
  <si>
    <t>ACM Maintanace</t>
  </si>
  <si>
    <t>GF Installations</t>
  </si>
  <si>
    <t>Brian Handyman &amp; Gypsum Works</t>
  </si>
  <si>
    <t>Gino Handyman Service</t>
  </si>
  <si>
    <t>MB Handyman Services</t>
  </si>
  <si>
    <t>Emilio Bilocca Handyman Services</t>
  </si>
  <si>
    <t>Manutek</t>
  </si>
  <si>
    <t>Pj Handyman</t>
  </si>
  <si>
    <t>info@mrhandy.mt</t>
  </si>
  <si>
    <t>info@ewihomeservices.com</t>
  </si>
  <si>
    <t>info@wsinstallations.com</t>
  </si>
  <si>
    <t>ilenia@actsmart.com.mt</t>
  </si>
  <si>
    <t>kevin.bonnici76@gmail.com</t>
  </si>
  <si>
    <t>info@homecaremalta.com</t>
  </si>
  <si>
    <t>demicolijo@gmail.com</t>
  </si>
  <si>
    <t>nikola.pejovic@nlpforce.com</t>
  </si>
  <si>
    <t>schembrijoseph91@gmail.com</t>
  </si>
  <si>
    <t>abinstallationsbyformosa@gmail.com</t>
  </si>
  <si>
    <t>Contact via website form</t>
  </si>
  <si>
    <t>info@briiz.com.mt</t>
  </si>
  <si>
    <t>swiftsolution2025@gmail.com</t>
  </si>
  <si>
    <t>tyrone.vassallo01@gmail.com</t>
  </si>
  <si>
    <t>jason.cordina79@gmail.com</t>
  </si>
  <si>
    <t>ZAGinfo@gmail.com</t>
  </si>
  <si>
    <t>clivesammut@hotmail.co.uk</t>
  </si>
  <si>
    <t>esteliocini@gmail.com</t>
  </si>
  <si>
    <t>gfinstallations@gmail.com</t>
  </si>
  <si>
    <t>brifor06@hotmail.com</t>
  </si>
  <si>
    <t>gino.bonnici.11@gmail.com</t>
  </si>
  <si>
    <t>mb.handymanservice@libero.it</t>
  </si>
  <si>
    <t>info@emiliohandyman.com</t>
  </si>
  <si>
    <t>Manutek@kompleto.com.mt</t>
  </si>
  <si>
    <t>pjhandyman@mail.com</t>
  </si>
  <si>
    <t/>
  </si>
  <si>
    <t>682, Triq il-Kbira San Ġużepp, Ħamrun, Malta</t>
  </si>
  <si>
    <t>Registered in Malta (Service area: All Malta, no public storefront)</t>
  </si>
  <si>
    <t>Triq Ċensu Busuttil, L-Iklin</t>
  </si>
  <si>
    <t>58c, Triq Patri Feliċjan Bilocca, Marsa</t>
  </si>
  <si>
    <t>Registered in Qormi (Mobile contractor, no public storefront)</t>
  </si>
  <si>
    <t>881, Triq il-Kbira San Ġużepp, Ħamrun, HMR 1010</t>
  </si>
  <si>
    <t>Registered in Mosta (Mobile contractor, no public storefront)</t>
  </si>
  <si>
    <t>Triq Ġużeppi Xuereb ix-Xhudi, Swatar, Birkirkara</t>
  </si>
  <si>
    <t>Registered in Żejtun (Mobile contractor, no public storefront)</t>
  </si>
  <si>
    <t>Registered in Żabbar (Mobile contractor, no public storefront)</t>
  </si>
  <si>
    <t>31, Triq il-Merill, Mellieħa, MLH 2572</t>
  </si>
  <si>
    <t>Registered in Mosta (Service area: All Malta, no public storefront)</t>
  </si>
  <si>
    <t>176, Triq San Bastjan, Qormi</t>
  </si>
  <si>
    <t>373, St Joseph High Street, Mosta</t>
  </si>
  <si>
    <t>45, Indri Borg Street, Rabat</t>
  </si>
  <si>
    <t>152, St. Peter Paul, Triq il-Kbira, Qormi</t>
  </si>
  <si>
    <t>Garage 64, Triq is-Sajjied, Qawra, San Pawl il-Baħar</t>
  </si>
  <si>
    <t>Registered in Tarxien (Mobile contractor, no public storefront)</t>
  </si>
  <si>
    <t>Registered in Buġibba / St. Paul's Bay (Mobile contractor, no public storefront)</t>
  </si>
  <si>
    <t>17 Madonnina, Triq il-Pluvieri, Gudja (Also lists: Milicent Garage, Triq il-Magħsar, Gudja)</t>
  </si>
  <si>
    <t>GPL Business Centre, Office 1, Level 2, Sqaq il-Ghadam, Mriehel, BKR3000</t>
  </si>
  <si>
    <t>briiz.com.mt/handyman</t>
  </si>
  <si>
    <t>ewihomeservices.com</t>
  </si>
  <si>
    <t>homecaremalta.com</t>
  </si>
  <si>
    <t>wsinstallationsmalta.com/</t>
  </si>
  <si>
    <t>nlpforce.com</t>
  </si>
  <si>
    <t>marcovella.com</t>
  </si>
  <si>
    <t>gfonlinestore.com</t>
  </si>
  <si>
    <t>emiliohandyman.com</t>
  </si>
  <si>
    <t>Corporate/Self Employed</t>
  </si>
  <si>
    <t>kompleto.com.mt</t>
  </si>
  <si>
    <t>Corporate</t>
  </si>
  <si>
    <t>Self-Employed</t>
  </si>
  <si>
    <t>Note</t>
  </si>
  <si>
    <t>Agreed to the tems. Self-Employed, just one worker</t>
  </si>
  <si>
    <t>Reqiures a meeting to discuss further</t>
  </si>
  <si>
    <t>Chanrges 40EUR/hr Per Person</t>
  </si>
  <si>
    <t>Does not work on fixed rates but by quote on site.</t>
  </si>
  <si>
    <t>Electrician</t>
  </si>
  <si>
    <t>Aaron Agius</t>
  </si>
  <si>
    <t>Anthony D'Anastasi</t>
  </si>
  <si>
    <t>Aaron Zammit</t>
  </si>
  <si>
    <t>Stefan (AC's By Stefan)</t>
  </si>
  <si>
    <t>Dorian Sciortino</t>
  </si>
  <si>
    <t>HandySalv</t>
  </si>
  <si>
    <t>Roderick Attard</t>
  </si>
  <si>
    <t>Michelle Colombo</t>
  </si>
  <si>
    <t>Salvu Fenech Ta' Spekna</t>
  </si>
  <si>
    <t>Carmel Carabott</t>
  </si>
  <si>
    <t>JC Electrical Plumbing Installation</t>
  </si>
  <si>
    <t>Stephen Micallef (Electrical &amp; Plumbing)</t>
  </si>
  <si>
    <t>aaronagius82@gmail.com</t>
  </si>
  <si>
    <t>danastasi.rt@outlook.com</t>
  </si>
  <si>
    <t>Contact via REWS registry</t>
  </si>
  <si>
    <t>Contact via StarOfService directory</t>
  </si>
  <si>
    <t>salvufenech@gmail.com</t>
  </si>
  <si>
    <t>jcelectricalmalta@gmail.com</t>
  </si>
  <si>
    <t>Id-Dwejra, Triq il-Fidwa, Gudja, Malta</t>
  </si>
  <si>
    <t>32 Virgo, Triq il-Battaljun, Mosta, MST 2721, Malta</t>
  </si>
  <si>
    <t>Cawsli Court, Flt 4, Triq L-Imdina, Ħal Qormi, Malta</t>
  </si>
  <si>
    <t>Registered in Qormi (Mobile contractor, no public street address listed)</t>
  </si>
  <si>
    <t>Registered in Malta (Mobile contractor, no public street address listed)</t>
  </si>
  <si>
    <t>Blk C6 Flat 2, Triq il-Fraxxnu, Ħaż-Żebbuġ, Malta</t>
  </si>
  <si>
    <t>Registered in Birżebbuġa, BBG 1606, Malta (Mobile contractor)</t>
  </si>
  <si>
    <t>Registered in Central Malta (Mobile domestic electrician)</t>
  </si>
  <si>
    <t>92 Triq Blanche Huber, Sliema, Malta</t>
  </si>
  <si>
    <t>39 Siskina, Triq Raddet Ir-Roti, Mosta, Malta</t>
  </si>
  <si>
    <t>Registered in Marsaxlokk (Mobile domestic electrician)</t>
  </si>
  <si>
    <t>Registered in Qormi (Mobile contractor)</t>
  </si>
  <si>
    <t>Registered in Naxxar (Mobile contractor)</t>
  </si>
  <si>
    <t>Carpenter</t>
  </si>
  <si>
    <t>Domestica</t>
  </si>
  <si>
    <t>FV Carpentry</t>
  </si>
  <si>
    <t>Refalo Woodworks Ltd</t>
  </si>
  <si>
    <t>Gauci Woodworks</t>
  </si>
  <si>
    <t>BP Woodworks</t>
  </si>
  <si>
    <t>Armstrong Woodworks Ltd</t>
  </si>
  <si>
    <t>Shalom Woodworks</t>
  </si>
  <si>
    <t>Joseph Briffa Woodworks</t>
  </si>
  <si>
    <t>Jomasero Woodworks</t>
  </si>
  <si>
    <t>Baldacchino Woodworks Ltd</t>
  </si>
  <si>
    <t>info@domestica.com.mt</t>
  </si>
  <si>
    <t>fran@fvcarpentry.com</t>
  </si>
  <si>
    <t>info@refalowoodworksltd.com</t>
  </si>
  <si>
    <t>pdgl1969@gmail.com</t>
  </si>
  <si>
    <t>info@bpwoodworks.com</t>
  </si>
  <si>
    <t>info@armstrong.com.mt</t>
  </si>
  <si>
    <t>sales@shalomwoodworks.com</t>
  </si>
  <si>
    <t>joseph.briffa.woodworks@hotmail.com</t>
  </si>
  <si>
    <t>joseph.taekwondo@gmail.com</t>
  </si>
  <si>
    <t>info@baldacchinogroup.com</t>
  </si>
  <si>
    <t>Car Dealer</t>
  </si>
  <si>
    <t>domestica.com.mt</t>
  </si>
  <si>
    <t>fvcarpentry.com</t>
  </si>
  <si>
    <t>refalowoodworks.com</t>
  </si>
  <si>
    <t>findit.com.mt/en/directory/listings/3682/gauci-woodworks.htm</t>
  </si>
  <si>
    <t>bpwoodworks.com</t>
  </si>
  <si>
    <t>armstrong.com.mt</t>
  </si>
  <si>
    <t>shalomwoodworks.com</t>
  </si>
  <si>
    <t>baldacchinogroup.com/left-menu/woodworks.html</t>
  </si>
  <si>
    <t>A&amp;A</t>
  </si>
  <si>
    <t>A1 Autodealers</t>
  </si>
  <si>
    <t>ABS Auto Dealer</t>
  </si>
  <si>
    <t>AJ Motors</t>
  </si>
  <si>
    <t>Alan Motors</t>
  </si>
  <si>
    <t>Attard Auto Dealer</t>
  </si>
  <si>
    <t>Attards Motors</t>
  </si>
  <si>
    <t>AutoGama</t>
  </si>
  <si>
    <t>Autozone Autodealer</t>
  </si>
  <si>
    <t>Avis Malta</t>
  </si>
  <si>
    <t>Brincat Auto Imports</t>
  </si>
  <si>
    <t>BTL Autodealer</t>
  </si>
  <si>
    <t>Canadis Autodealer</t>
  </si>
  <si>
    <t>CarHub</t>
  </si>
  <si>
    <t>Caromotors</t>
  </si>
  <si>
    <t>Cars and More</t>
  </si>
  <si>
    <t>Cars Unlimited</t>
  </si>
  <si>
    <t>Charlie Auto Dealer</t>
  </si>
  <si>
    <t>Chevron Auto Dealer</t>
  </si>
  <si>
    <t>CR Cars</t>
  </si>
  <si>
    <t>D &amp; G Auto Dealer</t>
  </si>
  <si>
    <t>D &amp; S Auto Dealer</t>
  </si>
  <si>
    <t>DC Motors</t>
  </si>
  <si>
    <t>Dino's Motor Centre</t>
  </si>
  <si>
    <t>Drive Automotive Co Ltd</t>
  </si>
  <si>
    <t>DRM Auto Sales</t>
  </si>
  <si>
    <t>Emotion Car Imports</t>
  </si>
  <si>
    <t>Eucharist Mercieca Auto Ltd</t>
  </si>
  <si>
    <t>Fava Auto Dealers</t>
  </si>
  <si>
    <t>Galea General Services Ltd (GGS)</t>
  </si>
  <si>
    <t>Gasan Enterprises Ltd</t>
  </si>
  <si>
    <t>Gauci Automobiles Co Ltd</t>
  </si>
  <si>
    <t>George and Rocco Car Centre</t>
  </si>
  <si>
    <t>George Autodealer</t>
  </si>
  <si>
    <t>Glenn's Highway Auto Dealer</t>
  </si>
  <si>
    <t>Horace Auto Dealer</t>
  </si>
  <si>
    <t>J Auto Malta</t>
  </si>
  <si>
    <t>J C Car Sales</t>
  </si>
  <si>
    <t>J F Motors</t>
  </si>
  <si>
    <t>J M Motors</t>
  </si>
  <si>
    <t>Jason Imports</t>
  </si>
  <si>
    <t>Joe AutoDealer</t>
  </si>
  <si>
    <t>Justin Autodealer</t>
  </si>
  <si>
    <t>Kenky Cars</t>
  </si>
  <si>
    <t>Kind's Auto Sales</t>
  </si>
  <si>
    <t>Kurt's Auto Sales</t>
  </si>
  <si>
    <t>LF Motors</t>
  </si>
  <si>
    <t>Mario Galea</t>
  </si>
  <si>
    <t>Mark's Motors 4 x 4</t>
  </si>
  <si>
    <t>Melliehi Garage</t>
  </si>
  <si>
    <t>Mibrum Co. Ltd</t>
  </si>
  <si>
    <t>Michael Debono</t>
  </si>
  <si>
    <t>Mizzi Motors Ltd</t>
  </si>
  <si>
    <t>Montebello Enterprises Ltd</t>
  </si>
  <si>
    <t>Mosta Auto Dealers</t>
  </si>
  <si>
    <t>Motors Inc</t>
  </si>
  <si>
    <t>Naxxar Motors</t>
  </si>
  <si>
    <t>Noel Second Hand Auto Dealer</t>
  </si>
  <si>
    <t>Owen Auto Dealer</t>
  </si>
  <si>
    <t>P Y M C A Auto Dealer</t>
  </si>
  <si>
    <t>Pajsu</t>
  </si>
  <si>
    <t>Paola Car Centre</t>
  </si>
  <si>
    <t>PC Motors</t>
  </si>
  <si>
    <t>Portelli - Auto Dealer</t>
  </si>
  <si>
    <t>Premier Car Sales</t>
  </si>
  <si>
    <t>Puli Motors</t>
  </si>
  <si>
    <t>Regina Auto Dealer Ltd</t>
  </si>
  <si>
    <t>Rocky Auto Dealer</t>
  </si>
  <si>
    <t>Rokku Auto Dealer</t>
  </si>
  <si>
    <t>Route 66</t>
  </si>
  <si>
    <t>Sant Brothers Commercials Ltd</t>
  </si>
  <si>
    <t>SB Autocentre Ltd / SB Auto Centre Ltd</t>
  </si>
  <si>
    <t>Scotch Automobiles</t>
  </si>
  <si>
    <t>Sonic Auto Dealer / Sonic Car Importers</t>
  </si>
  <si>
    <t>Spiteri Autos</t>
  </si>
  <si>
    <t>Tal-Qasab Auto Dealer / Alexander Auto Sales</t>
  </si>
  <si>
    <t>Tasika Auto Ltd / Complete Motors</t>
  </si>
  <si>
    <t>Tonna Auto Dealer</t>
  </si>
  <si>
    <t>Ventur Motors</t>
  </si>
  <si>
    <t>Vince Auto Dealer</t>
  </si>
  <si>
    <t>Welcome Auto Dealer</t>
  </si>
  <si>
    <t>Winter Auto Dealer</t>
  </si>
  <si>
    <t>X Automobiles</t>
  </si>
  <si>
    <t>Xclusv Auto Dealer</t>
  </si>
  <si>
    <t>info@aacarimports.com.mt</t>
  </si>
  <si>
    <t>dowlinga@go.net.mt</t>
  </si>
  <si>
    <t>abs@onvol.net</t>
  </si>
  <si>
    <t>ajmotorsales@gmail.com</t>
  </si>
  <si>
    <t>info@alanmotors.com.mt</t>
  </si>
  <si>
    <t>attardautodealer@gmail.com</t>
  </si>
  <si>
    <t>taattardmotors@gmail.com</t>
  </si>
  <si>
    <t>autozoneautodealer@gmail.com</t>
  </si>
  <si>
    <t>info@aviscarsales.mt</t>
  </si>
  <si>
    <t>info@brincatautoimports.com</t>
  </si>
  <si>
    <t>btlautodealer@gmail.com</t>
  </si>
  <si>
    <t>canadisautodealer@gmail.com</t>
  </si>
  <si>
    <t>info@carhub.mt</t>
  </si>
  <si>
    <t>info@cam.com.mt</t>
  </si>
  <si>
    <t>info@carsunlimitedmalta.com</t>
  </si>
  <si>
    <t>sales@chevronautodealer.mt</t>
  </si>
  <si>
    <t>sales@fordsparesmalta.com</t>
  </si>
  <si>
    <t>dandsautodealer@hotmail.com</t>
  </si>
  <si>
    <t>dcmotorsbkara@gmail.com</t>
  </si>
  <si>
    <t>dinosreception@gmail.com</t>
  </si>
  <si>
    <t>info@drive.com.mt</t>
  </si>
  <si>
    <t>philmar87@hotmail.co.uk</t>
  </si>
  <si>
    <t>sales@emotionimports.com</t>
  </si>
  <si>
    <t>info@emauto.com.mt</t>
  </si>
  <si>
    <t>clivefava@gmail.com</t>
  </si>
  <si>
    <t>info@ggs.com.mt</t>
  </si>
  <si>
    <t>automotive@gasan.com</t>
  </si>
  <si>
    <t>sales@gauciautomobiles.com</t>
  </si>
  <si>
    <t>rocco@georgeandrocco.com</t>
  </si>
  <si>
    <t>georgeautodealer95@gmail.com</t>
  </si>
  <si>
    <t>highwayauto@onvol.net</t>
  </si>
  <si>
    <t>craigscicluna@gmail.com</t>
  </si>
  <si>
    <t>jautoimports@gmail.com</t>
  </si>
  <si>
    <t>jeanpazzopardi@gmail.com</t>
  </si>
  <si>
    <t>jfmotorsgozo@gmail.com</t>
  </si>
  <si>
    <t>info@jmmotorsmalta.com</t>
  </si>
  <si>
    <t>sales@jasoncarimports.com</t>
  </si>
  <si>
    <t>info@joeautodealer.com</t>
  </si>
  <si>
    <t>justinauto@hotmail.com</t>
  </si>
  <si>
    <t>kennethsch3mbri@gmail.com</t>
  </si>
  <si>
    <t>info@autosales.com.mt</t>
  </si>
  <si>
    <t>kurtsautosales@hotmail.com</t>
  </si>
  <si>
    <t>falzonluca@gmail.com</t>
  </si>
  <si>
    <t>mariogalea@msn.com</t>
  </si>
  <si>
    <t>pajsurebus74@gimel.com</t>
  </si>
  <si>
    <t>info@michaeldebonoused.mt</t>
  </si>
  <si>
    <t>gattsammy@yahoo.com</t>
  </si>
  <si>
    <t>rokkuautodealer@gmail.com</t>
  </si>
  <si>
    <t>venturmotors@gmail.com</t>
  </si>
  <si>
    <t>xautomobiles@gmail.com</t>
  </si>
  <si>
    <t>Monitor</t>
  </si>
  <si>
    <t>Dino's Motor Centre,
Mosta Road, Lija. LJA9012.</t>
  </si>
  <si>
    <t>aacarimports.com.mt/</t>
  </si>
  <si>
    <t>yellow.com.mt/a-1-auto-dealers_auto-dealers+mosta/</t>
  </si>
  <si>
    <t>facebook.com/p/ABS-Auto-Dealer-100057348224337/</t>
  </si>
  <si>
    <t>yellow.com.mt/aj-motors/auto-dealers/</t>
  </si>
  <si>
    <t>alanmotors.com.mt/</t>
  </si>
  <si>
    <t>facebook.com/p/Attard-Auto-Dealer-100057253586326/</t>
  </si>
  <si>
    <t>facebook.com/attardsmotors/</t>
  </si>
  <si>
    <t>facebook.com/autogamaimports/</t>
  </si>
  <si>
    <t>facebook.com/autozonemalta/</t>
  </si>
  <si>
    <t>facebook.com/AvisMaltaUsedCarSales/</t>
  </si>
  <si>
    <t>brincatautoimports.com/</t>
  </si>
  <si>
    <t>facebook.com/Btlautodeater/</t>
  </si>
  <si>
    <t>facebook.com/p/Canadis-Auto-Dealer-100063715533716/</t>
  </si>
  <si>
    <t>facebook.com/carhubmalta/</t>
  </si>
  <si>
    <t>facebook.com/Caromotors/</t>
  </si>
  <si>
    <t>facebook.com/carsandmoremalta</t>
  </si>
  <si>
    <t>carsunlimitedmalta.com/</t>
  </si>
  <si>
    <t>facebook.com/p/Charlie-Auto-Dealer-100054340519565/</t>
  </si>
  <si>
    <t>facebook.com/ChevronCarsAndmore/</t>
  </si>
  <si>
    <t>facebook.com/crcarsmalta/</t>
  </si>
  <si>
    <t>facebook.com/dandsautodealer/</t>
  </si>
  <si>
    <t>facebook.com/p/DC-motors-Auto-Sales-100057442128124/</t>
  </si>
  <si>
    <t>dinosmotors.com/contact-form/</t>
  </si>
  <si>
    <t>facebook.com/DriveAutomotiveCoLtd/</t>
  </si>
  <si>
    <t>facebook.com/p/DRM-Autosales-100054512857141/</t>
  </si>
  <si>
    <t>facebook.com/EmotionImports/</t>
  </si>
  <si>
    <t>facebook.com/emautoltd/</t>
  </si>
  <si>
    <t>facebook.com/favacardealers/</t>
  </si>
  <si>
    <t>facebook.com/GaleaGeneralServicesLtd/</t>
  </si>
  <si>
    <t>facebook.com/georgeandroccocarcentre/?locale=mt_MT</t>
  </si>
  <si>
    <t>jasoncarimports.com/</t>
  </si>
  <si>
    <t>joeautodealer.com/</t>
  </si>
  <si>
    <t>autosales.com.mt/</t>
  </si>
  <si>
    <t>facebook.com/p/Mario-Galea-New-Second-Hand-Cars-100050330211879/</t>
  </si>
  <si>
    <t>michaeldebonoused.mt/</t>
  </si>
  <si>
    <t>facebook.com/www.pajsudealer.com.mt/</t>
  </si>
  <si>
    <t>facebook.com/PremiereCarSales/</t>
  </si>
  <si>
    <t>facebook.com/rokkuautodealer/</t>
  </si>
  <si>
    <t>venturmotors.mt/</t>
  </si>
  <si>
    <t>facebook.com/xauto007/</t>
  </si>
  <si>
    <t>Ader Charlene</t>
  </si>
  <si>
    <t>Besancon Jeremy</t>
  </si>
  <si>
    <t>Bossini Samuela</t>
  </si>
  <si>
    <t>Borg Marlene</t>
  </si>
  <si>
    <t>Borg Daniel</t>
  </si>
  <si>
    <t>Busuttil Christopher</t>
  </si>
  <si>
    <t>Cachia Karl</t>
  </si>
  <si>
    <t>Calleja Joseph</t>
  </si>
  <si>
    <t>Cardona David</t>
  </si>
  <si>
    <t>Caruana Josef</t>
  </si>
  <si>
    <t>Cassar Chantal</t>
  </si>
  <si>
    <t>Cherubini Rossano</t>
  </si>
  <si>
    <t>Cherubini Vincenzo</t>
  </si>
  <si>
    <t>D’Amato Luisana</t>
  </si>
  <si>
    <t>Farrugia Glenn</t>
  </si>
  <si>
    <t>Fontanelli Francesco</t>
  </si>
  <si>
    <t>Grima Joseph</t>
  </si>
  <si>
    <t>Hallett Karl</t>
  </si>
  <si>
    <t>Jerkin Erak Ivana</t>
  </si>
  <si>
    <t>Jovicic Marija</t>
  </si>
  <si>
    <t>Kingswell Tamsin Marie</t>
  </si>
  <si>
    <t>Macchione Vincenzo Elio Jr.</t>
  </si>
  <si>
    <t>Micallef Nicole Faye</t>
  </si>
  <si>
    <t>Mintoff Christian</t>
  </si>
  <si>
    <t>Mion Marco</t>
  </si>
  <si>
    <t>Muscat Iona</t>
  </si>
  <si>
    <t>Muscat Kim</t>
  </si>
  <si>
    <t>O’Dea Balzan Kurt</t>
  </si>
  <si>
    <t>Padovani Michelle</t>
  </si>
  <si>
    <t>Pecoraro Patrizia</t>
  </si>
  <si>
    <t>Samuele Serini</t>
  </si>
  <si>
    <t>Theuma Kirsten</t>
  </si>
  <si>
    <t>Vella Ernest</t>
  </si>
  <si>
    <t>Zarb Martina</t>
  </si>
  <si>
    <t>arkeomalta@gmail.com</t>
  </si>
  <si>
    <t>jeremy@jbarchteam.com</t>
  </si>
  <si>
    <t>samuelabossini@gmail.com</t>
  </si>
  <si>
    <t>ascoopltdmalta@gmail.com</t>
  </si>
  <si>
    <t>chrisbu.su@gmail.com</t>
  </si>
  <si>
    <t>karloco621@gmail.com</t>
  </si>
  <si>
    <t>skavarc@digiarc.mt</t>
  </si>
  <si>
    <t>josefcaruana1@googlemail.com</t>
  </si>
  <si>
    <t>projects@aecmalta.com.mt</t>
  </si>
  <si>
    <t>rossano.cherubini@qpml.com</t>
  </si>
  <si>
    <t>vincenzo.cherubini@ais.com.mt</t>
  </si>
  <si>
    <t>luisana_damato@yahoo.co.uk</t>
  </si>
  <si>
    <t>farrugia.glenn@gmail.com</t>
  </si>
  <si>
    <t>joseph.grima.19@gmail.com</t>
  </si>
  <si>
    <t>karl@jbarchteam.com</t>
  </si>
  <si>
    <t>jerkinerak@gmail.com</t>
  </si>
  <si>
    <t>info@jbarchteam.com</t>
  </si>
  <si>
    <t>tamsin.kingswell@qpml.com</t>
  </si>
  <si>
    <t>nickybb777@gmail.com</t>
  </si>
  <si>
    <t>chrimint@gmail.com</t>
  </si>
  <si>
    <t>iona.muscat@hotmail.com</t>
  </si>
  <si>
    <t>kim.muscat@gmail.com</t>
  </si>
  <si>
    <t>patriziapec@gmail.com</t>
  </si>
  <si>
    <t>samuele.serini@ais.com.mt</t>
  </si>
  <si>
    <t>kirsten.theuma@qpml.com</t>
  </si>
  <si>
    <t>martinazarb@gmail.com</t>
  </si>
  <si>
    <t xml:space="preserve">Item </t>
  </si>
  <si>
    <t>Wall mounted Speakers</t>
  </si>
  <si>
    <t>Wall mounted speakers</t>
  </si>
  <si>
    <t>wall mounted sspakers</t>
  </si>
  <si>
    <t xml:space="preserve">Supplier </t>
  </si>
  <si>
    <t>Wall mouunted Speakers</t>
  </si>
  <si>
    <t>wall mounted speakers</t>
  </si>
  <si>
    <t>Scan</t>
  </si>
  <si>
    <t>Powerhouse Malta</t>
  </si>
  <si>
    <t>A to Z</t>
  </si>
  <si>
    <t>Digital Zone</t>
  </si>
  <si>
    <t>Olimpus</t>
  </si>
  <si>
    <t>Ultimate Malta</t>
  </si>
  <si>
    <t>DONEO CO LTD</t>
  </si>
  <si>
    <t>ASTRAL Enterprises LTD</t>
  </si>
  <si>
    <t>AUDIO Malta</t>
  </si>
  <si>
    <t>Audio Hub Malta</t>
  </si>
  <si>
    <t>Futuretech pro Malta</t>
  </si>
  <si>
    <t>Audiotech</t>
  </si>
  <si>
    <t>studio7</t>
  </si>
  <si>
    <t>Megatekk</t>
  </si>
  <si>
    <t>Genaudio Ltd</t>
  </si>
  <si>
    <t>The sound system Co Ltd</t>
  </si>
  <si>
    <t>Audiophonic</t>
  </si>
  <si>
    <t>Email</t>
  </si>
  <si>
    <t>nfo@powerhousemalta.com</t>
  </si>
  <si>
    <t>info@scanmalta.com</t>
  </si>
  <si>
    <t>marketing@atoz.com.mt</t>
  </si>
  <si>
    <t>info@digitalzone.com.mt</t>
  </si>
  <si>
    <t>info@olimpusmusic.com</t>
  </si>
  <si>
    <t>nfo@doneo.com.mt</t>
  </si>
  <si>
    <t>website@astral.com.mt</t>
  </si>
  <si>
    <t>info@audiomalta.com</t>
  </si>
  <si>
    <t>info@audiohub.mt</t>
  </si>
  <si>
    <t>info@futuretech-malta.com</t>
  </si>
  <si>
    <t>info@audiotech.mt</t>
  </si>
  <si>
    <t>sales@ultimate.com.mt</t>
  </si>
  <si>
    <t>info@studioseven.com.mt</t>
  </si>
  <si>
    <t>joe@genaudiomalta.com</t>
  </si>
  <si>
    <t>info@soundsystem.com.mt</t>
  </si>
  <si>
    <t>info@megatekk.mt</t>
  </si>
  <si>
    <t>jc.audiophonic@gmail.com</t>
  </si>
  <si>
    <t xml:space="preserve">Phone number </t>
  </si>
  <si>
    <t xml:space="preserve">Location </t>
  </si>
  <si>
    <t>Attard, Qormi, Swatar, Birkirkara</t>
  </si>
  <si>
    <t>Swieqi</t>
  </si>
  <si>
    <t>Hamrun</t>
  </si>
  <si>
    <t>Ta' Xbiex</t>
  </si>
  <si>
    <t>sales division of Lito’s Place</t>
  </si>
  <si>
    <t xml:space="preserve">Website </t>
  </si>
  <si>
    <t>San Gwann</t>
  </si>
  <si>
    <t>Xghara, Gozo</t>
  </si>
  <si>
    <t>San Gwann, Paola, Qormi</t>
  </si>
  <si>
    <t>Msida</t>
  </si>
  <si>
    <t>Powerhouse Malta – AV (Audiovisuals) and Events Malta</t>
  </si>
  <si>
    <t>AtoZ Electronics | Malta's Shop of Choice in 2026!</t>
  </si>
  <si>
    <t>Home page - Doneo</t>
  </si>
  <si>
    <t>ASTRAL Enterprises LTD | TV | Hifi | Custom Installations</t>
  </si>
  <si>
    <t>Audio Malta – Shop Smart, Rent Easy</t>
  </si>
  <si>
    <t>Audio Hub Malta – Acoustics &amp; Audio Equipment</t>
  </si>
  <si>
    <t>Futuretech Pro Malta – Audio/Visual Specialists</t>
  </si>
  <si>
    <t>Audiotech Malta - your local electronics shop for Malta and Gozo - we deliver</t>
  </si>
  <si>
    <t>Homepage - Ultimate | Electronics | Home Appliances | Deliveries in Malta &amp; Gozo</t>
  </si>
  <si>
    <t>Contact – Genaudio Ltd</t>
  </si>
  <si>
    <t>Studo7.com.mt</t>
  </si>
  <si>
    <t>The sound system you need | The Sound System Malta</t>
  </si>
  <si>
    <t xml:space="preserve">Physical store </t>
  </si>
  <si>
    <t xml:space="preserve">Installations </t>
  </si>
  <si>
    <t>yes</t>
  </si>
  <si>
    <t>no</t>
  </si>
  <si>
    <t>Compact monitor bracket</t>
  </si>
  <si>
    <t>SCAN</t>
  </si>
  <si>
    <t>Klikk</t>
  </si>
  <si>
    <t>Game Breaker</t>
  </si>
  <si>
    <t>AtoZ</t>
  </si>
  <si>
    <t>Xpert</t>
  </si>
  <si>
    <t>Computer Bargains</t>
  </si>
  <si>
    <t>HomeMate</t>
  </si>
  <si>
    <t>MaltaZon</t>
  </si>
  <si>
    <t>Forestals</t>
  </si>
  <si>
    <t>Top Choice</t>
  </si>
  <si>
    <t>Intercomp</t>
  </si>
  <si>
    <t>Astral</t>
  </si>
  <si>
    <t>Digiline</t>
  </si>
  <si>
    <t>Ultimate</t>
  </si>
  <si>
    <t>Tablets &amp; More</t>
  </si>
  <si>
    <t>The Notebook Center</t>
  </si>
  <si>
    <t>sales@klikk.com.mt</t>
  </si>
  <si>
    <t>info@gamebreakermalta.com</t>
  </si>
  <si>
    <t>sales@xpert.mt</t>
  </si>
  <si>
    <t>info@computerbargainsmalta.com</t>
  </si>
  <si>
    <t>customercare@homemate.com.mt</t>
  </si>
  <si>
    <t>info@maltazon.com</t>
  </si>
  <si>
    <t>info@forestals.com</t>
  </si>
  <si>
    <t>info@topchoice.com.mt</t>
  </si>
  <si>
    <t>infosales@intercomp.com.mt</t>
  </si>
  <si>
    <t>info@digiline.mt</t>
  </si>
  <si>
    <t>tabletsandmoreelectronics@yahoo.com</t>
  </si>
  <si>
    <t>info@thenotebookcentre.com.mt</t>
  </si>
  <si>
    <t>Https://noble.mt/moulding-and-wall-panelling/</t>
  </si>
  <si>
    <t xml:space="preserve">G </t>
  </si>
  <si>
    <t>laser</t>
  </si>
  <si>
    <t>WJA Distributor</t>
  </si>
  <si>
    <t>info@wjadistributors.com</t>
  </si>
  <si>
    <t>Dejma Road, Tarxien</t>
  </si>
  <si>
    <t xml:space="preserve">Import </t>
  </si>
  <si>
    <t>wjadistributors.com/product/bosch-cross-line-laser-advancedlevel-360/</t>
  </si>
  <si>
    <t>Intallation</t>
  </si>
  <si>
    <t>surveyor</t>
  </si>
  <si>
    <t>GeoMatix</t>
  </si>
  <si>
    <t>CM Surveying</t>
  </si>
  <si>
    <t>NC Surveying</t>
  </si>
  <si>
    <t>Matsurv &amp; Associates Ltd</t>
  </si>
  <si>
    <t>Alan Micallef Surveying Services</t>
  </si>
  <si>
    <t>AR Surveying</t>
  </si>
  <si>
    <t>Atlas Surveying</t>
  </si>
  <si>
    <t>Impact Design</t>
  </si>
  <si>
    <t>Peter P Caruana</t>
  </si>
  <si>
    <t>D&amp;A Surveying</t>
  </si>
  <si>
    <t>EllulSRV</t>
  </si>
  <si>
    <t>Malta Surveys (Shonnery Spiteri)</t>
  </si>
  <si>
    <t>PSS DNA (Christopher Cassar)</t>
  </si>
  <si>
    <t>info@surveyingmalta.com</t>
  </si>
  <si>
    <t>chris@cmsurveying.com.mt</t>
  </si>
  <si>
    <t>info@matsurv.eu</t>
  </si>
  <si>
    <t>ncsurveying23@gmail.com</t>
  </si>
  <si>
    <t>alan@micallefsurveying.com</t>
  </si>
  <si>
    <t>arsurveyingmalta@gmail.com</t>
  </si>
  <si>
    <t>info@atlas-surveying.com</t>
  </si>
  <si>
    <t>impact.design.18@gmail.com</t>
  </si>
  <si>
    <t>lms@onvol.net</t>
  </si>
  <si>
    <t>surveying.da@gmail.com</t>
  </si>
  <si>
    <t>ellulsrv@gmail.com</t>
  </si>
  <si>
    <t>maltasurveys.rs@gmail.com</t>
  </si>
  <si>
    <t>chris@pss-dna.com</t>
  </si>
  <si>
    <t>8, Triq il-Laring, Attard, ATD 2531 Malta</t>
  </si>
  <si>
    <t>No. 2, Triq Papa Piju XII, Birkirkara, Malta.</t>
  </si>
  <si>
    <t>89, Suite 1, ATL Business Centre, Triq Il-Kanun, Santa Venera, Malta</t>
  </si>
  <si>
    <t>NC Surveying
1 Joelle Triq Dun Guzepp Demicoli ,
Ghaxaq, Malta</t>
  </si>
  <si>
    <t>Alan Micallef Surveying Services
67 Flat 1 Triq Vince Dimech ,
Zurrieq, Malta ZRQ 2402</t>
  </si>
  <si>
    <t>AR Surveying
Triq it-Tahhan ,
B’Kara, Malta</t>
  </si>
  <si>
    <t>182 Triq Bormla
Paola, PLA 1905, MT,</t>
  </si>
  <si>
    <t>IMPACT design
56 Triq il-Vittmi tal-Gwerra Swatar ,
B’Kara, Malta</t>
  </si>
  <si>
    <t>Peter P Caruana
Shamrock Triq ta’ Giorni ,
San Giljan, Malta STJ 1615</t>
  </si>
  <si>
    <t>Geomatix Surveying</t>
  </si>
  <si>
    <t>Does land surveying, 3D scanning and drone surveying</t>
  </si>
  <si>
    <t>cmsurveying.com/</t>
  </si>
  <si>
    <t>facebook.com/matsurv/</t>
  </si>
  <si>
    <t>facebook.com/profile.php?id=100063536049877&amp;utm_source=Yellow&amp;utm_medium=Yellow-Website&amp;utm_campaign=Landing-Page</t>
  </si>
  <si>
    <t>atlas-surveying.com/?utm_source=Yellow&amp;utm_medium=Yellow-Website&amp;utm_campaign=Landing-Page</t>
  </si>
  <si>
    <t>checkyourtraders.com/listing/__trashed-19?fromCat=property-surveyor-surveying</t>
  </si>
  <si>
    <t>They also offer courses</t>
  </si>
  <si>
    <t>Topographic surveys, 3D laser scanning,...</t>
  </si>
  <si>
    <t>Car scrapping</t>
  </si>
  <si>
    <t>PROCEDURE WITH TM</t>
  </si>
  <si>
    <t>TM will only de-register and scrap a vehicle if the owner presents a certificate of desctruction issued by an approved desctruction facility.</t>
  </si>
  <si>
    <t>The authorised desctruction facility will issue a Certificate of Destruction. The certificate must be presented to TM during the scrapping process.</t>
  </si>
  <si>
    <t>AFTER the vehicle is taken to the treatment facility, the registered owner must call personally at the offices of TM and present the following documents:</t>
  </si>
  <si>
    <t>1. Logbook</t>
  </si>
  <si>
    <t>2. Registration number plate</t>
  </si>
  <si>
    <t>3. Circulation license disc</t>
  </si>
  <si>
    <t>4. Application form VEH13</t>
  </si>
  <si>
    <t>5. Vehicle desctruction certificate</t>
  </si>
  <si>
    <t>CALL THE ABOVE AND ASK THEM TO EXPLAIN WHAT THE PROCESS IS AND HOW IT WORKS SO WE GET MORE INFO</t>
  </si>
  <si>
    <t>Tar-Robba Recycling Centre Ltd.</t>
  </si>
  <si>
    <t>Fredu Auto Parts</t>
  </si>
  <si>
    <t>Gasparell Baling Plant Ltd.</t>
  </si>
  <si>
    <t>ELA Ltd.</t>
  </si>
  <si>
    <t>Auto Check Ltd.</t>
  </si>
  <si>
    <t>DDE Attard</t>
  </si>
  <si>
    <t>Roc-A-Go Services Ltd</t>
  </si>
  <si>
    <t>johnghigo53@gmail.com</t>
  </si>
  <si>
    <t>freduautoparts@melita.com</t>
  </si>
  <si>
    <t>gasparell.b@gmail.com</t>
  </si>
  <si>
    <t>criszu75@gmail.com</t>
  </si>
  <si>
    <t>repairs@mile-end.mt</t>
  </si>
  <si>
    <t>info@ddeattard.com</t>
  </si>
  <si>
    <t>rocagoltd@gmail.com</t>
  </si>
  <si>
    <t>Limits of Kirkop</t>
  </si>
  <si>
    <t>Plot, 6/7, Nassab Street, Qormi</t>
  </si>
  <si>
    <t>Ħal Far Ind Estate, Birzebbuga</t>
  </si>
  <si>
    <t>31, Wied Ghammieq Road
Kalkara</t>
  </si>
  <si>
    <t>19/20/47, Triq l-Inginerija ma’Triq
l-Iskola Teknika, Mriehel,
Birkirkara</t>
  </si>
  <si>
    <t>Scrap Lane, Valletta Road, Luqa,
LQA 1764</t>
  </si>
  <si>
    <t>design hub Store Malta</t>
  </si>
  <si>
    <t>Triq Tal-Barrani, Zejtun</t>
  </si>
  <si>
    <t>window sills</t>
  </si>
  <si>
    <t>Building Materials Supplies Ltd(BMS Malta )</t>
  </si>
  <si>
    <t>Soll Malta</t>
  </si>
  <si>
    <t>Rabat marbles</t>
  </si>
  <si>
    <t>Lawrence Fenech Ltd</t>
  </si>
  <si>
    <t>AM Projects Malta</t>
  </si>
  <si>
    <t>Finestral Malta</t>
  </si>
  <si>
    <t>Attard Bros</t>
  </si>
  <si>
    <t>Graham Aluminium &amp; Sons Ltd</t>
  </si>
  <si>
    <t>Meli Bugeja Ltd</t>
  </si>
  <si>
    <t>window World International</t>
  </si>
  <si>
    <t>Wilga Stores</t>
  </si>
  <si>
    <t>Nicholas aluminium</t>
  </si>
  <si>
    <t>Dingli Aluminium</t>
  </si>
  <si>
    <t>Schembri Marbles</t>
  </si>
  <si>
    <t>R Lautier</t>
  </si>
  <si>
    <t>Floors of Stone</t>
  </si>
  <si>
    <t>Desana Marbles</t>
  </si>
  <si>
    <t>Cini Marbles</t>
  </si>
  <si>
    <t>Seamless</t>
  </si>
  <si>
    <t>AMA Architectural Surfaces</t>
  </si>
  <si>
    <t>RGP Marbleware</t>
  </si>
  <si>
    <t>Tiles and Marble</t>
  </si>
  <si>
    <t>Helmann Vella</t>
  </si>
  <si>
    <t>Quality Stone Malta</t>
  </si>
  <si>
    <t>Marble Innovation</t>
  </si>
  <si>
    <t>C. Grech Marbles</t>
  </si>
  <si>
    <t>Show Tiles and More</t>
  </si>
  <si>
    <t>Keith Bugeja Marble Works</t>
  </si>
  <si>
    <t>info@designhubmalta.com.mt</t>
  </si>
  <si>
    <t>info@rabatmarbles.com</t>
  </si>
  <si>
    <t>info@soll.mt</t>
  </si>
  <si>
    <t>info@lawrencefenech.com</t>
  </si>
  <si>
    <t>info@pvc.com.mt</t>
  </si>
  <si>
    <t>info@finestralmalta.com</t>
  </si>
  <si>
    <t>bmsltdmalta@gmail.com</t>
  </si>
  <si>
    <t>info@grahamaluminium.com</t>
  </si>
  <si>
    <t>info@windowworldinternational.net</t>
  </si>
  <si>
    <t>info@melibugeja.com.mt</t>
  </si>
  <si>
    <t>info@nicholas.mt</t>
  </si>
  <si>
    <t>wilgastores@gmail.com</t>
  </si>
  <si>
    <t>info@dinglialuminium.com</t>
  </si>
  <si>
    <t>schembrimarbles@yahoo.com</t>
  </si>
  <si>
    <t>info@attardbros.com</t>
  </si>
  <si>
    <t>info@rlautier.com</t>
  </si>
  <si>
    <t>sales@floorsofstone.com.mt</t>
  </si>
  <si>
    <t>info@desanamarbles.com</t>
  </si>
  <si>
    <t>info@cinimarbles.com</t>
  </si>
  <si>
    <t>sales@seamless.com.mt</t>
  </si>
  <si>
    <t>info@amaasurfaces.com</t>
  </si>
  <si>
    <t>portellirennie@hotmail.com</t>
  </si>
  <si>
    <t>tilesandmarbleinfo@gmail.com</t>
  </si>
  <si>
    <t>info@halmannvella.com</t>
  </si>
  <si>
    <t>info@qualitystonemalta.com</t>
  </si>
  <si>
    <t>sales@marbleinnovation.com</t>
  </si>
  <si>
    <t>frankvassallo22@gmail.com</t>
  </si>
  <si>
    <t>keithbugeja@hotmail.com</t>
  </si>
  <si>
    <t>Triq il-Kostituzzjoni, Mosta, Malta</t>
  </si>
  <si>
    <t>59 triq Domenico Cachia ,Birkirkara BKR 4019 ,MALTA</t>
  </si>
  <si>
    <t>triq il-Kalkara , Marsa , Malta</t>
  </si>
  <si>
    <t>triq-il-Kbira , Rabat ,Malta</t>
  </si>
  <si>
    <t>triq il-Labour ,Birkirkara, Malta</t>
  </si>
  <si>
    <t>triq il-Ferrovija, Ħamrun, Malta</t>
  </si>
  <si>
    <t>Mdina Road, Qormi QRM 9011, Malta</t>
  </si>
  <si>
    <t>Zircon Suites, Triq ta' Zejfa, Mosta, Malta</t>
  </si>
  <si>
    <t>Triq il-Mithna,Qormi</t>
  </si>
  <si>
    <t>Wilga Street, Luqa LQA 1530, Malta</t>
  </si>
  <si>
    <t>designhubstores.com</t>
  </si>
  <si>
    <t>33,Angelo A,Melilli ,HAz Zebugg ZBG 2802</t>
  </si>
  <si>
    <t>triq Anthony John Coleiro , hAL Qormi</t>
  </si>
  <si>
    <t>Triq Dwardu Buttigieg ,Hal Ghaxaq,Malta  GXQ 1253</t>
  </si>
  <si>
    <t>rabatmarbles.com</t>
  </si>
  <si>
    <t>soll.mt</t>
  </si>
  <si>
    <t>lawrencefenech.com</t>
  </si>
  <si>
    <t>pvc.com.mt</t>
  </si>
  <si>
    <t>finestralmalta.com</t>
  </si>
  <si>
    <t>wilgastores.com</t>
  </si>
  <si>
    <t>bms-malta.com</t>
  </si>
  <si>
    <t>grahamaluminium.com</t>
  </si>
  <si>
    <t>meliobugeja.com.mt</t>
  </si>
  <si>
    <t>windowworld.eu</t>
  </si>
  <si>
    <t>nicholas.mt</t>
  </si>
  <si>
    <t>dinglialuminium.com</t>
  </si>
  <si>
    <t>findit.com.mt</t>
  </si>
  <si>
    <t>Waterproofing</t>
  </si>
  <si>
    <t>The Resin &amp; Membrane Centre</t>
  </si>
  <si>
    <t>Kenda Waterproofing</t>
  </si>
  <si>
    <t>AG Waterproofing Services</t>
  </si>
  <si>
    <t>CP Waterproofing</t>
  </si>
  <si>
    <t>Air Solutions</t>
  </si>
  <si>
    <t>TN Waterproofing Services Ltd</t>
  </si>
  <si>
    <t>Maximum Waterproofing</t>
  </si>
  <si>
    <t>De Valtech</t>
  </si>
  <si>
    <t>WP ltd</t>
  </si>
  <si>
    <t>389 co Ltd</t>
  </si>
  <si>
    <t>Mr Lee Waterproofing</t>
  </si>
  <si>
    <t>C &amp; Plastering</t>
  </si>
  <si>
    <t>Kibitec</t>
  </si>
  <si>
    <t>CHR Home Improvements</t>
  </si>
  <si>
    <t>Azzopardi Waterproofing</t>
  </si>
  <si>
    <t>Coverite Waterproofing</t>
  </si>
  <si>
    <t>D &amp; G Waterproofing Membrane</t>
  </si>
  <si>
    <t>JM Vassallo Vibro Steel Ltd</t>
  </si>
  <si>
    <t>Andew Vassallo</t>
  </si>
  <si>
    <t>Norob Installations</t>
  </si>
  <si>
    <t>Forever Waterproofing</t>
  </si>
  <si>
    <t>L.C Waterproofing</t>
  </si>
  <si>
    <t>Martin's Waterproofing</t>
  </si>
  <si>
    <t>Matuel Waterproofing</t>
  </si>
  <si>
    <t>MP Liquid Membrane</t>
  </si>
  <si>
    <t>Thermaseal</t>
  </si>
  <si>
    <t>Rosman Waterproofing</t>
  </si>
  <si>
    <t>Joseph Stivala</t>
  </si>
  <si>
    <t>BCF Solutions</t>
  </si>
  <si>
    <t>info@theresincentre.com</t>
  </si>
  <si>
    <t>OIJ - Leak Detection and Maintenance</t>
  </si>
  <si>
    <t>kwaterproofing@melita.com</t>
  </si>
  <si>
    <t>alexgrech.waterproofing@gmail.com</t>
  </si>
  <si>
    <t>colin@cpwaterproofing.com</t>
  </si>
  <si>
    <t>airsolutions@ezee.mt</t>
  </si>
  <si>
    <t>tnwaterproof@gmail.com</t>
  </si>
  <si>
    <t>danielschembri71@gmail.com</t>
  </si>
  <si>
    <t>info@devalier.com.mt</t>
  </si>
  <si>
    <t>wp.ltd123@gmail.com</t>
  </si>
  <si>
    <t>info@389.com.mt</t>
  </si>
  <si>
    <t>clintsaliba3@gmail.com</t>
  </si>
  <si>
    <t>mrleewaterproofing26@gmail.com</t>
  </si>
  <si>
    <t>contact@kibitec.com</t>
  </si>
  <si>
    <t>azzopardiwp@gmail.com</t>
  </si>
  <si>
    <t>caruana.chris@hotmail.com</t>
  </si>
  <si>
    <t>jasonmartin777@hotmail.com</t>
  </si>
  <si>
    <t>jurgendalli@gmail.com</t>
  </si>
  <si>
    <t>sales@jmvibro.com</t>
  </si>
  <si>
    <t>info@andrewvassallo.com</t>
  </si>
  <si>
    <t>norob@onvol.net</t>
  </si>
  <si>
    <t>forever.waterproofing@gmail.com</t>
  </si>
  <si>
    <t>ludvic1979@gmail.com</t>
  </si>
  <si>
    <t>vmhome@go.net.mt</t>
  </si>
  <si>
    <t>matuelwaterproofing@gmail.com</t>
  </si>
  <si>
    <t>michael.portelli81@gmail.com</t>
  </si>
  <si>
    <t>admin@thermasealmalta.com</t>
  </si>
  <si>
    <t>rosmanwaterproofing@hotmail.com</t>
  </si>
  <si>
    <t>jostiv@live.com</t>
  </si>
  <si>
    <t>bcf_solutions@outlook.com</t>
  </si>
  <si>
    <t>oijwatermaintenance@gmail.com</t>
  </si>
  <si>
    <t>264, Old Railway Track Santa Venera</t>
  </si>
  <si>
    <t>24, Triq Indri Micallef,Luqa, Malta</t>
  </si>
  <si>
    <t>2, Triq tal-Habaq, Luqa, Malta</t>
  </si>
  <si>
    <t>Garage No 3, Pjazza l-Eroj,Swatar B'Kara BKR 4250</t>
  </si>
  <si>
    <t>58, Donato del Piano Street, Zurrieq,ZRQ 2240</t>
  </si>
  <si>
    <t>Cherry Blossom Triq Lorenzo Manche’, Attard, ATD 2906</t>
  </si>
  <si>
    <t>102 Block A Flat 2 Triq Lapsi,
Siggiewi</t>
  </si>
  <si>
    <t>The Old Factory, San Gwakkin Str, Zone 3, Central Business District, Mriehel, B’kara, CBD 3030, Malta</t>
  </si>
  <si>
    <t>WP Ltd
Marcelle Triq ix-Xitwa ,
Qormi, Malta QRM 5234</t>
  </si>
  <si>
    <t>Three eight nine Co ltd (389 co Ltd)
22, 26 Triq Dun Xand Cortis ,
B’Kara, Malta BKR 1531</t>
  </si>
  <si>
    <t>C &amp; R Plastering
Trejqet il-Barrieri ,
Zurrieq, Malta ZRQ 3602</t>
  </si>
  <si>
    <t>Azzopardi Waterproofing Ltd
67 Triq il-Belt Valletta ,
Attard, Malta ATD 9056</t>
  </si>
  <si>
    <t>CHR home improvements
Triq Mikielang Sapiano ,
Luqa, Malta LQA 1803</t>
  </si>
  <si>
    <t>Coverite Waterproofing
3 Pretty Lodge Pjazza San Leonardu ,
Mosta, Malta MST 1061</t>
  </si>
  <si>
    <t>Phone number</t>
  </si>
  <si>
    <t>theresincentre.com/contact-us/</t>
  </si>
  <si>
    <t>kendawaterproofing.com/contactV3.html#</t>
  </si>
  <si>
    <t>agwaterproofingmalta.com/</t>
  </si>
  <si>
    <t>cpwaterproofing.com/</t>
  </si>
  <si>
    <t>airsolutionslimited.com/</t>
  </si>
  <si>
    <t>fb.com/maximumwaterproofingmalta/</t>
  </si>
  <si>
    <t>dv.mt/de-valtech-category/waterproofing/</t>
  </si>
  <si>
    <t>wpmalta.com/?utm_source=Yellow&amp;utm_medium=Yellow-Website&amp;utm_campaign=Landing-Page</t>
  </si>
  <si>
    <t>yellow.com.mt/c-r-plastering/waterproofing-contractors/</t>
  </si>
  <si>
    <t>facebook.com/mrleewaterproofing/</t>
  </si>
  <si>
    <t>kibitec.com/waterproof-membrane-malta/</t>
  </si>
  <si>
    <t>yellow.com.mt/azzopardi-waterproofing-ltd_waterproofing-contractors+attard/</t>
  </si>
  <si>
    <t>facebook.com/CHR.home.improvements/?utm_source=Yellow&amp;utm_medium=Yellow-Website&amp;utm_campaign=Landing-Page</t>
  </si>
  <si>
    <t>yellow.com.mt/coverite-waterproofing_waterproofing-contractors+mosta/</t>
  </si>
  <si>
    <t>Terrazzo Slab</t>
  </si>
  <si>
    <t>Terrazzo</t>
  </si>
  <si>
    <t>Carra.design</t>
  </si>
  <si>
    <t>Absolute</t>
  </si>
  <si>
    <t>Pitre Bathrooms</t>
  </si>
  <si>
    <t>Iperceramica</t>
  </si>
  <si>
    <t>Rado Flooring</t>
  </si>
  <si>
    <t>Cordina</t>
  </si>
  <si>
    <t>MRCD</t>
  </si>
  <si>
    <t>CP Marbles</t>
  </si>
  <si>
    <t>Seamless Surfaces</t>
  </si>
  <si>
    <t>c.demirkiran@carradesign.com</t>
  </si>
  <si>
    <t>info@absolute.com.mt</t>
  </si>
  <si>
    <t>info@jpitre.com</t>
  </si>
  <si>
    <t>msida@iperceramica.mt</t>
  </si>
  <si>
    <t>info@radosystems.eu</t>
  </si>
  <si>
    <t>steve@cordina.eu</t>
  </si>
  <si>
    <t>info@mrcd.com.mt</t>
  </si>
  <si>
    <t>cpcamilleripatrick@gmail.com</t>
  </si>
  <si>
    <t>info@cgaleamarble.com</t>
  </si>
  <si>
    <t>info@chicliving.com.mt</t>
  </si>
  <si>
    <t>info@distincthomes.com.mt</t>
  </si>
  <si>
    <t>info@bfmarbles.com</t>
  </si>
  <si>
    <t>Other</t>
  </si>
  <si>
    <t>facebook.com/p/Carradesign-100086413076922/</t>
  </si>
  <si>
    <t>absolute.com.mt/terrazzo/</t>
  </si>
  <si>
    <t>halmannvella.com/</t>
  </si>
  <si>
    <t>desanamarbles.com/materials/terrazzo</t>
  </si>
  <si>
    <t>marbleinnovation.com/contact</t>
  </si>
  <si>
    <t>pitrebathrooms.com/contact-us</t>
  </si>
  <si>
    <t>facebook.com/radoflooring/</t>
  </si>
  <si>
    <t>facebook.com/cordinamt/</t>
  </si>
  <si>
    <t>mrcd.com.mt/en/home.htm</t>
  </si>
  <si>
    <t>facebook.com/profile.php?id=100054506707941</t>
  </si>
  <si>
    <t>facebook.com/seamlessmalta/</t>
  </si>
  <si>
    <t>WashingMachinesMalta</t>
  </si>
  <si>
    <t>washing machines</t>
  </si>
  <si>
    <t>Flamingo malta</t>
  </si>
  <si>
    <t>Petroni Ltd.</t>
  </si>
  <si>
    <t>Teckline Discount Store</t>
  </si>
  <si>
    <t>. Sound Machine</t>
  </si>
  <si>
    <t>KCL Home Centre</t>
  </si>
  <si>
    <t>Hotpoint Malta</t>
  </si>
  <si>
    <t>JS Household</t>
  </si>
  <si>
    <t>Lava.mt (</t>
  </si>
  <si>
    <t>Crosscraft</t>
  </si>
  <si>
    <t>Audio Malta</t>
  </si>
  <si>
    <t>ElectroFix Malta</t>
  </si>
  <si>
    <t>Ventura General Gas Ltd</t>
  </si>
  <si>
    <t>AtoZ Electronics</t>
  </si>
  <si>
    <t>Borg Repairs</t>
  </si>
  <si>
    <t>Soundsmart</t>
  </si>
  <si>
    <t>Futura Home Appliances</t>
  </si>
  <si>
    <t>Appliances Repair Centre</t>
  </si>
  <si>
    <t>Freddie's Household</t>
  </si>
  <si>
    <t>info@washingmachinesmalta.com</t>
  </si>
  <si>
    <t>info@flamingo.com.mt</t>
  </si>
  <si>
    <t>info@petroni.com.mt</t>
  </si>
  <si>
    <t>info@teckline.com.mt</t>
  </si>
  <si>
    <t>info@soundmachine.com.mt</t>
  </si>
  <si>
    <t>info@kcl.com.mt</t>
  </si>
  <si>
    <t>info@jshousehold.com</t>
  </si>
  <si>
    <t>info@hotpointmalta.com</t>
  </si>
  <si>
    <t>info@lava.mt</t>
  </si>
  <si>
    <t>info@crosscraft.com.mt</t>
  </si>
  <si>
    <t>info@electrofix.com.mt</t>
  </si>
  <si>
    <t>info@atoz.com.mt</t>
  </si>
  <si>
    <t>adriangrech@venturamalta.com</t>
  </si>
  <si>
    <t>info@soundsmart.com.mt</t>
  </si>
  <si>
    <t>futurahomeappliances@gmail.com</t>
  </si>
  <si>
    <t>lorrainevassallofabri@gmail.com</t>
  </si>
  <si>
    <t>freddies@onvol.net</t>
  </si>
  <si>
    <t>Distribution Warehouse Center, Qormi, Malta</t>
  </si>
  <si>
    <t>Mrieħel, Malta</t>
  </si>
  <si>
    <t>Il-Ħamrun y San Pawl il-Baħar, Malta</t>
  </si>
  <si>
    <t>Msida, Malta</t>
  </si>
  <si>
    <t>Il-Ħamrun, Malta</t>
  </si>
  <si>
    <t>Psaila Street, Birkirkara, Malta</t>
  </si>
  <si>
    <t>22, Triq Sant' Elija, Birkirkara, Fleur-De-Lys, Malta BKR 4942</t>
  </si>
  <si>
    <t>71, Triq Il-Buqexrem, Il-Fgura, Malta</t>
  </si>
  <si>
    <t>Valley Road, Birkirkara BKR9010, Malta</t>
  </si>
  <si>
    <t>Zachary House, Marsa Industrial Estate, Marsa MRS 3000, Malta</t>
  </si>
  <si>
    <t>Mriehel Bypass, Qormi, Malta</t>
  </si>
  <si>
    <t>26C Triq Lispiera, Swieqi, Malta</t>
  </si>
  <si>
    <t>Triq il-Kanun, Qormi, Malta</t>
  </si>
  <si>
    <t>Mrieħel Bypass, Birkirkara, Malta</t>
  </si>
  <si>
    <t>Valley Road, Msida, Malta</t>
  </si>
  <si>
    <t>BLB 021 Qasam Industrijali, Bulebel ,
Zejtun, Malta ZTN 3000</t>
  </si>
  <si>
    <t>6 Triq Alessju Xuereb ,
San Gwann, Malta SGN 3057</t>
  </si>
  <si>
    <t>22, Triq Sant’ Elija ,
B’Kara, Malta BKR 2064</t>
  </si>
  <si>
    <t>12 Triq il-Hammieri ,
Qormi, Malta</t>
  </si>
  <si>
    <t>Triq il-Kostituzzjoni ,
Mosta, Malta MST 9050</t>
  </si>
  <si>
    <t>220 Triq in-Naxxar ,
San Gwann, Malta SGN 9030</t>
  </si>
  <si>
    <t>60, Triq Dun Filippo Calleja ,
Zebbug, Malta</t>
  </si>
  <si>
    <t>Eucharistic Congress Road, Mosta, Malta</t>
  </si>
  <si>
    <t>flamingo.com.mt</t>
  </si>
  <si>
    <t>washingmachinesmalta.com</t>
  </si>
  <si>
    <t>topchoice.com.mt</t>
  </si>
  <si>
    <t>petroni.com.mt</t>
  </si>
  <si>
    <t>teckline.com.mt</t>
  </si>
  <si>
    <t>soundmachine.com.mt</t>
  </si>
  <si>
    <t>jshousehold.com</t>
  </si>
  <si>
    <t>kcl.com.m</t>
  </si>
  <si>
    <t>hotpointmalta.com</t>
  </si>
  <si>
    <t>lava.mt</t>
  </si>
  <si>
    <t>crosscraft.com.mt</t>
  </si>
  <si>
    <t>audiomalta.com</t>
  </si>
  <si>
    <t>atoz.com.mt</t>
  </si>
  <si>
    <t>electrofixgroup.com/</t>
  </si>
  <si>
    <t>forestals.com</t>
  </si>
  <si>
    <t>Tumble Dryer</t>
  </si>
  <si>
    <t>venturamalta.com</t>
  </si>
  <si>
    <t>Homemate</t>
  </si>
  <si>
    <t>Sound Machine</t>
  </si>
  <si>
    <t>Vitel Home</t>
  </si>
  <si>
    <t>Triple A</t>
  </si>
  <si>
    <t>Paulson</t>
  </si>
  <si>
    <t>ProChimps</t>
  </si>
  <si>
    <t>Right Deal</t>
  </si>
  <si>
    <t>info@vitelmalta.com</t>
  </si>
  <si>
    <t>info@triplea.mt</t>
  </si>
  <si>
    <t>paulsonmalta@gmail.com</t>
  </si>
  <si>
    <t>info@prochimps.com</t>
  </si>
  <si>
    <t>Mriehel</t>
  </si>
  <si>
    <t>Triq R. Caruana Dingli San Gwann, SGN 1035 Malta.</t>
  </si>
  <si>
    <t>Triple A Luqa
1, St. Thomas Street,, Ħal Luqa LQA 9031</t>
  </si>
  <si>
    <t>Paulson Home &amp; Hi-Fi Centre,
Bir Deheb Road, Zejtun,
Malta</t>
  </si>
  <si>
    <t>Santa Venera, Canon Road, Malta</t>
  </si>
  <si>
    <t>gypsum</t>
  </si>
  <si>
    <t>homemate.com.mt/product/midea-free-standing-tumble-dryer-white-10kg-a-class</t>
  </si>
  <si>
    <t>vitelmalta.com/shop/domestic-appliances/laundry-appliances/tumble-dryers/keen-tumble-dryer-10kg-dhb1053ba/</t>
  </si>
  <si>
    <t>triplea.mt/contactus</t>
  </si>
  <si>
    <t>paulson.com.mt/en/shop/webshop/683/concorde-10kg-tumble-dryer---condenser</t>
  </si>
  <si>
    <t>prochimps.com/collections/tumble-dryer</t>
  </si>
  <si>
    <t>Gypsum</t>
  </si>
  <si>
    <t>Cement Boards</t>
  </si>
  <si>
    <t>Summit Importers &amp; Distributors</t>
  </si>
  <si>
    <t>CA Gypsum</t>
  </si>
  <si>
    <t>D Gypsum and Lights</t>
  </si>
  <si>
    <t>Grant's Gypsum Work</t>
  </si>
  <si>
    <t>Galea &amp; Tonna Gypsum Works</t>
  </si>
  <si>
    <t>Buffa Malta</t>
  </si>
  <si>
    <t>P J Gypsum Works</t>
  </si>
  <si>
    <t>Pierre Chircop Gypsum Works</t>
  </si>
  <si>
    <t>Grima Interiors</t>
  </si>
  <si>
    <t>Donovan Plastering</t>
  </si>
  <si>
    <t>Bitmac Ltd</t>
  </si>
  <si>
    <t>JCR Imports Ltd</t>
  </si>
  <si>
    <t>Ceilings &amp; Walls</t>
  </si>
  <si>
    <t>Mediterranean Building Finishes Ltd</t>
  </si>
  <si>
    <t>GRF Malta</t>
  </si>
  <si>
    <t>O&amp;M Gypsum</t>
  </si>
  <si>
    <t>Perfectum</t>
  </si>
  <si>
    <t>GAD Finishings</t>
  </si>
  <si>
    <t>JG Gypsum</t>
  </si>
  <si>
    <t>Xuereb Instalations Ltd</t>
  </si>
  <si>
    <t>Meli Bugeja</t>
  </si>
  <si>
    <t>Deo's Interiors</t>
  </si>
  <si>
    <t>sales@summit.com.mt</t>
  </si>
  <si>
    <t>cagypsum@onvol.net</t>
  </si>
  <si>
    <t>dgypsumandlights@gmail.com</t>
  </si>
  <si>
    <t>grantgypsumwork@gmail.com</t>
  </si>
  <si>
    <t>gplusgypsum@gmail.com</t>
  </si>
  <si>
    <t>buffamalta@t4bservices.com</t>
  </si>
  <si>
    <t>pjgypsumworks@gmail.com</t>
  </si>
  <si>
    <t>pchircop76@gmail.com</t>
  </si>
  <si>
    <t>grimainteriors@hotmail.com</t>
  </si>
  <si>
    <t>donovanplastermalta@gmail.com</t>
  </si>
  <si>
    <t>jattard@jcrimports.com.mt</t>
  </si>
  <si>
    <t>info@ceilingsandwalls.com.mt</t>
  </si>
  <si>
    <t>info@bitmacltd.com</t>
  </si>
  <si>
    <t>info@mbfmalta.com</t>
  </si>
  <si>
    <t>info@grfmalta.com</t>
  </si>
  <si>
    <t>oandmgypsum.com@gmail.com</t>
  </si>
  <si>
    <t>Info@perfectum.mt</t>
  </si>
  <si>
    <t>alex@gad.com.mt</t>
  </si>
  <si>
    <t>xil@xuerebinstall.com</t>
  </si>
  <si>
    <t>josephgiordano54@gmail.com</t>
  </si>
  <si>
    <t>lukeattard89@gmail.com</t>
  </si>
  <si>
    <t>Xwieki Road, Triq Tal-Balal, Tal-Balal, Iklin, IKL 9013, Malta</t>
  </si>
  <si>
    <t>107, Triq L-Istadju, Gzira, GZR 1301, Malta</t>
  </si>
  <si>
    <t>Triq Hal Tarxien, Il-Gudja, Malta</t>
  </si>
  <si>
    <t>13, Triq Ignazio Saverio Mifsud, Birkirkara, BKR1017, Malta</t>
  </si>
  <si>
    <t>43, Triq Qrajten, Tal-Pieta', Malta</t>
  </si>
  <si>
    <t>Valletta Road, Qormi (frente a Maltapost), Malta</t>
  </si>
  <si>
    <t>94, Emmant, Triq Salvu Aquilina, Mosta, MST 3162, Malta</t>
  </si>
  <si>
    <t>Marsaxlokk, Malta</t>
  </si>
  <si>
    <t>Triq Luret Cutajar, Ħaż-Żebbuġ ZBG 273, Malta</t>
  </si>
  <si>
    <t>49 Triq Spadaro, Ħaż-Żabbar, Malta</t>
  </si>
  <si>
    <t>Triq In-Negozju, Mrieħel, Birkirkara BKR 3000, Malta</t>
  </si>
  <si>
    <t>27 Triq Il-Vittmi Tax-Xogħol, Paola, Malta</t>
  </si>
  <si>
    <t>Triq Tal-Balal, San Ġwann, Malta</t>
  </si>
  <si>
    <t>Riviera Court/2, Triq Forrest, San Ġiljan, Malta</t>
  </si>
  <si>
    <t>117 Triq L-Assemblea Nazzjonali,
San Gwann SGN 3034, Malta</t>
  </si>
  <si>
    <t>69, Triq John Borg, Birkirkara, Malta BKR 1284</t>
  </si>
  <si>
    <t>Valletta, Malta</t>
  </si>
  <si>
    <t>Hal Mula Street, Garage number 5.</t>
  </si>
  <si>
    <t>21, Triq Gellewza Sewda,
Midland Park, D7
Burmarrad Road, Burmarrad LO Naxxar
Malta</t>
  </si>
  <si>
    <t>Xuereb Installations Ltd. Tal-Hlas Road, Qormi QRM 5011. Malta</t>
  </si>
  <si>
    <t>melibugeja.com.mt</t>
  </si>
  <si>
    <t>summit.com.mt</t>
  </si>
  <si>
    <t>cagypsummalta.com</t>
  </si>
  <si>
    <t>dgypsumworks.com</t>
  </si>
  <si>
    <t>grantsgypsumwork.com</t>
  </si>
  <si>
    <t>pjgypsumworks.com</t>
  </si>
  <si>
    <t>grimainteriors.com</t>
  </si>
  <si>
    <t>donovan-plastering.com</t>
  </si>
  <si>
    <t>jcrimports.com.mt</t>
  </si>
  <si>
    <t>ceilingsandwalls.com.mt</t>
  </si>
  <si>
    <t>bitmacltd.com/</t>
  </si>
  <si>
    <t>mbfmalta.com</t>
  </si>
  <si>
    <t>grfmalta.com/</t>
  </si>
  <si>
    <t>findit.com.mt/en/directory/listings/441/oandampm-gypsum-malta.htm</t>
  </si>
  <si>
    <t>facebook.com/perfectummt/</t>
  </si>
  <si>
    <t>gad.com.mt/</t>
  </si>
  <si>
    <t>xuerebinstall.com/</t>
  </si>
  <si>
    <t>josephgiordano54.wixsite.com/josephgiordano</t>
  </si>
  <si>
    <t>partition</t>
  </si>
  <si>
    <t>facebook.com/profile.php?id=61560664902130</t>
  </si>
  <si>
    <t>CRC Group</t>
  </si>
  <si>
    <t>Quality Postform</t>
  </si>
  <si>
    <t>ProBuild</t>
  </si>
  <si>
    <t>BSL Lifestyles</t>
  </si>
  <si>
    <t>Da Valier</t>
  </si>
  <si>
    <t>Xuereb Installations</t>
  </si>
  <si>
    <t>Trends</t>
  </si>
  <si>
    <t>Dimech Enterprises</t>
  </si>
  <si>
    <t>Sham Decorations</t>
  </si>
  <si>
    <t>Shaker</t>
  </si>
  <si>
    <t>Jialifu (CHINA)</t>
  </si>
  <si>
    <t>marketing@crcmalta.com</t>
  </si>
  <si>
    <t>qualitypostform@gmail.com</t>
  </si>
  <si>
    <t>sales@probuildmalta.com</t>
  </si>
  <si>
    <t>sales@bsl-lifestyles.com</t>
  </si>
  <si>
    <t>info@trendsltdmalta.com</t>
  </si>
  <si>
    <t>sales@shaker.com.mt</t>
  </si>
  <si>
    <t>sales@dimech-ent.com</t>
  </si>
  <si>
    <t>sales@jialifucn.com</t>
  </si>
  <si>
    <t>crcmalta.com/shop/category/partitions-cubicles-for-showers-or-w-cs-656</t>
  </si>
  <si>
    <t>qualitypostform.com/en/products/products/21/algonquin-anti-vandal-cubicles</t>
  </si>
  <si>
    <t>probuildmalta.com/</t>
  </si>
  <si>
    <t>bsl-lifestyles.com/product-category/partitions-panels/?offset=4</t>
  </si>
  <si>
    <t>dv.mt/showroom-category/office-partitions/</t>
  </si>
  <si>
    <t>xuerebinstall.com/our-service/demountable-partitions/</t>
  </si>
  <si>
    <t>trendsltdmalta.com/products/commercial-bathrooms/cubicles/</t>
  </si>
  <si>
    <t>dimech-ent.com/</t>
  </si>
  <si>
    <t>jialifucn.com/compact-laminate-toilet-partitions/</t>
  </si>
  <si>
    <t>Tile remover/torba, Carting away of materials</t>
  </si>
  <si>
    <t>Carting away</t>
  </si>
  <si>
    <t>Fardell Home Maintenance</t>
  </si>
  <si>
    <t>Vella Brothers &amp; Sons</t>
  </si>
  <si>
    <t>fardellhonda@gmail.com</t>
  </si>
  <si>
    <t>info@vellabrothersandsons.com</t>
  </si>
  <si>
    <t>111-113 Hompesch Road, Fgura</t>
  </si>
  <si>
    <t>TA' DMIEREK QUARRY
c/o Maghlaq Quarry - Panoramic Road,
Qrendi</t>
  </si>
  <si>
    <t>industrial shelving</t>
  </si>
  <si>
    <t>fardellhonda.wixsite.com/fardellmaintenance</t>
  </si>
  <si>
    <t>vellabrothersandsons.com/index.html</t>
  </si>
  <si>
    <t>Ennegi Enterprises Ltd</t>
  </si>
  <si>
    <t>Storage Systems Ltd</t>
  </si>
  <si>
    <t>Caravel Ltd</t>
  </si>
  <si>
    <t>AGP Systems Ltd</t>
  </si>
  <si>
    <t>T4B Services Ltd</t>
  </si>
  <si>
    <t>ALFEN Displays</t>
  </si>
  <si>
    <t>UDS Limited (Upward Door Systems Ltd)</t>
  </si>
  <si>
    <t>360 Retail Supplies Ltd</t>
  </si>
  <si>
    <t>deValtech Co Ltd</t>
  </si>
  <si>
    <t>de Valier</t>
  </si>
  <si>
    <t>Metalock Malta Ltd</t>
  </si>
  <si>
    <t>Ramilene Office Supplies Ltd</t>
  </si>
  <si>
    <t>Intervisions Ltd</t>
  </si>
  <si>
    <t>Petrolea Ltd</t>
  </si>
  <si>
    <t>SC Engineering</t>
  </si>
  <si>
    <t>sales@ennegiltd.com</t>
  </si>
  <si>
    <t>storagesys@vol.net.mt</t>
  </si>
  <si>
    <t>info@agps.com.mt</t>
  </si>
  <si>
    <t>dario@caravelmalta.com</t>
  </si>
  <si>
    <t>info@t4bservices.com</t>
  </si>
  <si>
    <t>alfen@maltanet.net</t>
  </si>
  <si>
    <t>uds@maltanet.net</t>
  </si>
  <si>
    <t>info@360rs.com.mt</t>
  </si>
  <si>
    <t>info@devaltech.com</t>
  </si>
  <si>
    <t>info@metalock.com.mt</t>
  </si>
  <si>
    <t>info@ramilenemalta.com</t>
  </si>
  <si>
    <t>info@intervisions.com.mt</t>
  </si>
  <si>
    <t>info@petroleamalta.com</t>
  </si>
  <si>
    <t>sales@scengineering.com.mt</t>
  </si>
  <si>
    <t>237, Triq Hal Qormi, Marsa, MRS 9045, Malta</t>
  </si>
  <si>
    <t>KW12, Zona Industrijali Ta' Kordin, Coradino, Paola, Malta</t>
  </si>
  <si>
    <t>‘Raycop’, Plot 13/15, Sqaq iz-Ziemel, Handaq, Qormi QRM-4003, Malta</t>
  </si>
  <si>
    <t>Zamco Buildings, Triq Il-Mithna, Hal Qormi, QRM 3103, Malta</t>
  </si>
  <si>
    <t>Canter Business Centre, Triq Patri Felicjan Bilocca, Il-Marsa, Malta</t>
  </si>
  <si>
    <t>96, Triq Il-Kbira San Guzepp, Il-Hamrun, Malta</t>
  </si>
  <si>
    <t>Factory C, Triq L-Industrija, Ix-Xewkija (Gozo) XWK 3000, Malta</t>
  </si>
  <si>
    <t>360 Business Center, Mdina Road, Ħaż-Żebbuġ, ZBG 9014, Malta</t>
  </si>
  <si>
    <t>de Valtech Building, San Gwakkin Street, Zone 3, Central Businees District, Mriehel CBD 3030 Birkirkara, Malta</t>
  </si>
  <si>
    <t>The Old Factory, San Gwakkin str, Mriehel,Central Business District Birkirkara CBD, 3030</t>
  </si>
  <si>
    <t>The Hillock - Block North C 8, Triq Il-Qolla S-Safra, Marsalforn, MFN 1405, Gozo</t>
  </si>
  <si>
    <t>50/51, Triq It-Torri, Birkirkara, Is-Swatar, Malta BKR 4011</t>
  </si>
  <si>
    <t>Hard Rocks Industrial Park, Triq Burmarrad, Naxxar, Malta NXR 6345</t>
  </si>
  <si>
    <t>322, Qasam Industrijali Ta' Hal Luqa Hal Luqa, Malta</t>
  </si>
  <si>
    <t>metalock.com.mt</t>
  </si>
  <si>
    <t>ennegiltd.com</t>
  </si>
  <si>
    <t>storagesystems.com.mt</t>
  </si>
  <si>
    <t>caravelmalta.com</t>
  </si>
  <si>
    <t>agps.com.mt</t>
  </si>
  <si>
    <t>t4bservices.com</t>
  </si>
  <si>
    <t>alfendisplays.com</t>
  </si>
  <si>
    <t>udsmalta.com</t>
  </si>
  <si>
    <t>360retailsupplies.com</t>
  </si>
  <si>
    <t>dv.mt/de-valtech/</t>
  </si>
  <si>
    <t>dv.mt/</t>
  </si>
  <si>
    <t>petroleamalta.com</t>
  </si>
  <si>
    <t>ramilenemalta.com/</t>
  </si>
  <si>
    <t>intervisions.com.mt</t>
  </si>
  <si>
    <t>Multisensory room</t>
  </si>
  <si>
    <t>scengineering.com.mt/</t>
  </si>
  <si>
    <t>Fiber Optic Lighting</t>
  </si>
  <si>
    <t>Sensory Cushions</t>
  </si>
  <si>
    <t>Unicare Ltd</t>
  </si>
  <si>
    <t>multi sensory equipment and furniture</t>
  </si>
  <si>
    <t>Edusell Malta</t>
  </si>
  <si>
    <t>noriva ltd</t>
  </si>
  <si>
    <t>AIM enterprises ltd</t>
  </si>
  <si>
    <t>info@unicare.com.mt</t>
  </si>
  <si>
    <t>TJ novelty</t>
  </si>
  <si>
    <t>info@edusell.com.mt</t>
  </si>
  <si>
    <t>info@noriva.com.mt</t>
  </si>
  <si>
    <t>info@aim.com.mt</t>
  </si>
  <si>
    <t>info@tjnovelty.com</t>
  </si>
  <si>
    <t>Birkirkara, Malta</t>
  </si>
  <si>
    <t>Hamrun, Malta</t>
  </si>
  <si>
    <t>mosta ,malta</t>
  </si>
  <si>
    <t>54 telghet rahal gdid,PAOLA,MALTA,PLA 1706</t>
  </si>
  <si>
    <t>triq Dun Karm Schembri,Mosta MST 2440-MALTA</t>
  </si>
  <si>
    <t># This is a comment</t>
  </si>
  <si>
    <t>unicare.com.mt</t>
  </si>
  <si>
    <t>edusell.com.mt</t>
  </si>
  <si>
    <t>noriva.com.mt</t>
  </si>
  <si>
    <t>tiles</t>
  </si>
  <si>
    <t>facebook.com/AimEnterprisesLtd</t>
  </si>
  <si>
    <t>tjnovelty.com</t>
  </si>
  <si>
    <t>sink</t>
  </si>
  <si>
    <t>bath</t>
  </si>
  <si>
    <t>toilet</t>
  </si>
  <si>
    <t>shower</t>
  </si>
  <si>
    <t>Accessories</t>
  </si>
  <si>
    <t>Satarino Tiles</t>
  </si>
  <si>
    <t>Deluxe Bathrooms</t>
  </si>
  <si>
    <t>Newline Living Concepts</t>
  </si>
  <si>
    <t>Newline Living Concept</t>
  </si>
  <si>
    <t>Pitre' Bathrooms</t>
  </si>
  <si>
    <t>Banju Boutique</t>
  </si>
  <si>
    <t>Bridgepoint Ltd</t>
  </si>
  <si>
    <t>Gozo Baths Ceramics</t>
  </si>
  <si>
    <t>Alex Mercieca Bathroom Centre Limited</t>
  </si>
  <si>
    <t>D Floorings Parquet and more</t>
  </si>
  <si>
    <t>Faenza</t>
  </si>
  <si>
    <t>SBM Marble &amp; Granite</t>
  </si>
  <si>
    <t>A F Ellis Ltd</t>
  </si>
  <si>
    <t>NSN TILES AND CERAMICS</t>
  </si>
  <si>
    <t>Vella Falzon</t>
  </si>
  <si>
    <t>Vellmann</t>
  </si>
  <si>
    <t>Magri Bathrooms</t>
  </si>
  <si>
    <t>JCR Imports Limited</t>
  </si>
  <si>
    <t>Falzon's Bathroom</t>
  </si>
  <si>
    <t>Malta DIY</t>
  </si>
  <si>
    <t>The Tile</t>
  </si>
  <si>
    <t>Bathroom Design</t>
  </si>
  <si>
    <t>Malta Tile Centre</t>
  </si>
  <si>
    <t>The Tub</t>
  </si>
  <si>
    <t>MRCD Ltd</t>
  </si>
  <si>
    <t>Carini Stores Ltd.</t>
  </si>
  <si>
    <t>Waterart Concepts</t>
  </si>
  <si>
    <t>JYSK</t>
  </si>
  <si>
    <t>BC Bathrooms</t>
  </si>
  <si>
    <t>Absolute bathrooms</t>
  </si>
  <si>
    <t>B&amp;M</t>
  </si>
  <si>
    <t>C. Fino + Sons</t>
  </si>
  <si>
    <t>IPERCEAMICA</t>
  </si>
  <si>
    <t>Golden House</t>
  </si>
  <si>
    <t>E.Grech Cristal Bath</t>
  </si>
  <si>
    <t>E Grech Cristal Bath Ltd</t>
  </si>
  <si>
    <t>Bugeja Marbles</t>
  </si>
  <si>
    <t>Custo Bathrooms</t>
  </si>
  <si>
    <t>Alfred Hili &amp; Co Ltd</t>
  </si>
  <si>
    <t>Avante Bathrooms</t>
  </si>
  <si>
    <t>Banju Boutique Ltd</t>
  </si>
  <si>
    <t>C Grech Marbles Ltd</t>
  </si>
  <si>
    <t>Bathroom Design Ltd</t>
  </si>
  <si>
    <t>Calbros Bathroom Ltd</t>
  </si>
  <si>
    <t>Chic Living</t>
  </si>
  <si>
    <t>Classic Bathrooms</t>
  </si>
  <si>
    <t>Farell bathrooms</t>
  </si>
  <si>
    <t>Josies Bathroom Centre</t>
  </si>
  <si>
    <t>Keramit Bathroom Centre</t>
  </si>
  <si>
    <t>M &amp; S Bathroom Centre</t>
  </si>
  <si>
    <t>Magri Bathroom Centre</t>
  </si>
  <si>
    <t>Moda Bagno</t>
  </si>
  <si>
    <t>Nuova Bagno</t>
  </si>
  <si>
    <t>Property Services Ltd</t>
  </si>
  <si>
    <t>S &amp; S Bathrooms Ltd</t>
  </si>
  <si>
    <t>Sogno Bagno Bathroom Centre</t>
  </si>
  <si>
    <t>Vellmann Ltd</t>
  </si>
  <si>
    <t>VIVO Bathrooms &amp; Ceramics Ltd</t>
  </si>
  <si>
    <t>Firm B Pullicino</t>
  </si>
  <si>
    <t>Ultra Taps</t>
  </si>
  <si>
    <t>Halmann Vella Ltd</t>
  </si>
  <si>
    <t>Bathline</t>
  </si>
  <si>
    <t>Bhome</t>
  </si>
  <si>
    <t>Blaugrana Ceramics</t>
  </si>
  <si>
    <t>Bubbles Bathrooms</t>
  </si>
  <si>
    <t>Casa Mia</t>
  </si>
  <si>
    <t>Creations The Ultimate In Bathroom Elegance</t>
  </si>
  <si>
    <t>Farell Bathrooms</t>
  </si>
  <si>
    <t>Hauz</t>
  </si>
  <si>
    <t>Vella Falzon Home</t>
  </si>
  <si>
    <t>Waterless WC</t>
  </si>
  <si>
    <t>F Zammit Glass Ltd</t>
  </si>
  <si>
    <t>Verre-De-Mic</t>
  </si>
  <si>
    <t>Ideal Bathrooms</t>
  </si>
  <si>
    <t>S&amp;S</t>
  </si>
  <si>
    <t>Float  Glass Limited</t>
  </si>
  <si>
    <t>KL Glass</t>
  </si>
  <si>
    <t>Glass Design Malta</t>
  </si>
  <si>
    <t>BridgePoint</t>
  </si>
  <si>
    <t>BMS</t>
  </si>
  <si>
    <t>info@satarino.com</t>
  </si>
  <si>
    <t>deluxebathroomsmanagement@gmail.com</t>
  </si>
  <si>
    <t>newlineliving@gmail.com</t>
  </si>
  <si>
    <t>info@banjuboutique.com</t>
  </si>
  <si>
    <t>sales@bridgepoint.com.mt</t>
  </si>
  <si>
    <t>gozobaths@gmail.com</t>
  </si>
  <si>
    <t>info@alexmercieca.com</t>
  </si>
  <si>
    <t>dfloorings@gmail.com</t>
  </si>
  <si>
    <t>faenzabathroomsmalta@gmail.com</t>
  </si>
  <si>
    <t>simonbonnicimarble@gmail.com</t>
  </si>
  <si>
    <t>mail@afellis.com.tm</t>
  </si>
  <si>
    <t>naasan.co@gmail.com</t>
  </si>
  <si>
    <t>info@vellafalzon.com / aaquilina@vellafalzon.com</t>
  </si>
  <si>
    <t>info@vellmann.com</t>
  </si>
  <si>
    <t>info@magribathrooms.com</t>
  </si>
  <si>
    <t>info@jcrimports</t>
  </si>
  <si>
    <t>info@falzons.com</t>
  </si>
  <si>
    <t>info@the-tile.com</t>
  </si>
  <si>
    <t>info@bathroomdesign.com.mt</t>
  </si>
  <si>
    <t>info@tilewarehousemalta.com</t>
  </si>
  <si>
    <t>sales@thetubmalta.com</t>
  </si>
  <si>
    <t>sales@carinibathrooms.com</t>
  </si>
  <si>
    <t>info@waterartconcepts.com</t>
  </si>
  <si>
    <t>jysk@jysk.com.mt</t>
  </si>
  <si>
    <t>bc.bathrooms@gmail.com</t>
  </si>
  <si>
    <t>info@bmsupplies.com</t>
  </si>
  <si>
    <t>info@fino.com.mt</t>
  </si>
  <si>
    <t>malta@iperceamica.it</t>
  </si>
  <si>
    <t>info@goldenhouse.com.mt</t>
  </si>
  <si>
    <t>cristalbath@onvol.net</t>
  </si>
  <si>
    <t>info@egrechcristalbath.com</t>
  </si>
  <si>
    <t>bugejamarbles@gmail.com</t>
  </si>
  <si>
    <t>custobathrooms@gmail.com</t>
  </si>
  <si>
    <t>sales@alfredhili.com</t>
  </si>
  <si>
    <t>meli@avantebathrooms.com</t>
  </si>
  <si>
    <t>cgrarbles@gmail.com</t>
  </si>
  <si>
    <t>calbrosltd@gmail.com</t>
  </si>
  <si>
    <t>classic-bathrooms@outlook.com</t>
  </si>
  <si>
    <t>info@farellbathrooms.com</t>
  </si>
  <si>
    <t>info@bayker.it</t>
  </si>
  <si>
    <t>josies@josies.com.mt</t>
  </si>
  <si>
    <t>jovanpisani@keramitbathrooms.com</t>
  </si>
  <si>
    <t>bugejamalcolm@gmail.com</t>
  </si>
  <si>
    <t>modabagnor@gmail.com</t>
  </si>
  <si>
    <t>michaelnuovobagno@gmail.com</t>
  </si>
  <si>
    <t>adrian@esclmalta.com</t>
  </si>
  <si>
    <t>info@ssbathrooms.com</t>
  </si>
  <si>
    <t>jg375@maltanet.net</t>
  </si>
  <si>
    <t>info@vivo.com.mt</t>
  </si>
  <si>
    <t>info@fbpmalta.com</t>
  </si>
  <si>
    <t>info@hallmannvella.com</t>
  </si>
  <si>
    <t>info@bathlinemalta.com</t>
  </si>
  <si>
    <t>purchases@bhome.com.mt</t>
  </si>
  <si>
    <t>info@blaugrana.com.mt</t>
  </si>
  <si>
    <t>bubblesbathrooms@gmail.com</t>
  </si>
  <si>
    <t>info@casamiamalta.com</t>
  </si>
  <si>
    <t>info@creationsomni.com</t>
  </si>
  <si>
    <t>info@hauz.mt</t>
  </si>
  <si>
    <t>info@vellafalzon.com</t>
  </si>
  <si>
    <t>sales@wc.mt</t>
  </si>
  <si>
    <t>info@fzammitglass.com</t>
  </si>
  <si>
    <t>verredemic@onvol.net</t>
  </si>
  <si>
    <t>info@idealbathrooms.com.mt</t>
  </si>
  <si>
    <t>sales@bmsupplies.com</t>
  </si>
  <si>
    <t>info@floatglassltd.com</t>
  </si>
  <si>
    <t>kl.glass@outlook.com</t>
  </si>
  <si>
    <t>info@glassdesignmalta.com ; glassdesignmalta@gmail.com</t>
  </si>
  <si>
    <t>122, Msida Valley Road, B'kara, BKR 9024</t>
  </si>
  <si>
    <t>Triq Benghazi, Ghajnsielem-Gozo, GSM 1624</t>
  </si>
  <si>
    <t>Triq Papa Gwanni Pawlu II, Victoria-Gozo, Gozo VCT 9046</t>
  </si>
  <si>
    <t>Triq Papa Gwanni Pawlu ll, Victoria-Gozo, Gozo VCT 9046</t>
  </si>
  <si>
    <t>Mdina Road, Qormi, QRM 9011, Malta</t>
  </si>
  <si>
    <t>Paola Outlet Arcade Street, Paola PLA1212</t>
  </si>
  <si>
    <t>No 3, Triq Ferdinand Inglott, Attard ATD 3134</t>
  </si>
  <si>
    <t>Triq Dun Karm, Birkirkara, Malta</t>
  </si>
  <si>
    <t>25th November Avenue, Zejtun, ZTN2019</t>
  </si>
  <si>
    <t>Vjal il-Helsen, Zebbug, Malta</t>
  </si>
  <si>
    <t>7 Triq I-Erba' Qaddisin</t>
  </si>
  <si>
    <t>5 Triq Profs Carmelo Coleiro Tal-Handaq, Qormi, Malta QRM 4000</t>
  </si>
  <si>
    <t>Triq il-Taflija Qasam Industrijali, Xewkija-Gozo, Gozo XWK 3000</t>
  </si>
  <si>
    <t>226, Triq Alfred Cachia Zammit, Zejtun, Malta</t>
  </si>
  <si>
    <t>13, Triq il-Furnar Qormi QRM 3504, Malta</t>
  </si>
  <si>
    <t>Pantar Road Hal Lija LJA, 2023</t>
  </si>
  <si>
    <t>Triq il-Kanun, al Qormi, Malta</t>
  </si>
  <si>
    <t>Zone 3, Triq In-Negozju Central Business District Birkirkara CBD 3010</t>
  </si>
  <si>
    <t>Falzon's Bathroom &amp; Ceramics, Triq il-Kummerc, Qormi, Malta</t>
  </si>
  <si>
    <t>160, Mdina Road, Zebbug ZBG9015</t>
  </si>
  <si>
    <t>Triq Bella Vista, San Gwann, Malta SGN 2690</t>
  </si>
  <si>
    <t>356 Naxxar Road, B'Kara, BKR 9040, Malta</t>
  </si>
  <si>
    <t>Triq iI-Qoton, Santa Lucija, Malta</t>
  </si>
  <si>
    <t>313A, Triq il-Barrieri, St Venera</t>
  </si>
  <si>
    <t>Karmenu Camilleri Street, Qormi, QRM46</t>
  </si>
  <si>
    <t>435 St. Joseph High Road, St. Venera, Malta</t>
  </si>
  <si>
    <t>Mill Street, Qormi QRM 3102, Malta</t>
  </si>
  <si>
    <t>Triq II-Mosta, Lija, Malta</t>
  </si>
  <si>
    <t>Triq Dun Karm, B'Kara Bypass, Birkirkara BKR 2940</t>
  </si>
  <si>
    <t>Triq Pantar, Hal Lija</t>
  </si>
  <si>
    <t>Triq Dun Karm, Kirkirkara, BKR 9035</t>
  </si>
  <si>
    <t>Triq I-Imdina, Zone 4, Meriehel/Central Business District CBD 2010, Malta</t>
  </si>
  <si>
    <t>Velley Road, Msida, MSD 9020, Malta</t>
  </si>
  <si>
    <t>Ħal Qormi, Malta</t>
  </si>
  <si>
    <t>E.Grech Cristal Bath, 
Psaila Street,
Birkirkara, BKR 9076, Malta.</t>
  </si>
  <si>
    <t>Triq Salvu Psaila, B'Kara, Matla BKR 9076</t>
  </si>
  <si>
    <t>Zone 3 Triq San Gwakkin Central Business District, B'kara, Malta CBD 3030</t>
  </si>
  <si>
    <t>Triq Joe Sciberras, Hamrun, Malta HMR 1550</t>
  </si>
  <si>
    <t>17 Triq Guze' Galea Qormi, Malta QRM 2106</t>
  </si>
  <si>
    <t>181 Triq Salvu Psaila, B'Kara, Malta BKR 9076</t>
  </si>
  <si>
    <t>Triq I-Arkata, Paola, Malta PLA 1212</t>
  </si>
  <si>
    <t>358 Triq in-Naxxar, B'Kara, Malta BKR 9040</t>
  </si>
  <si>
    <t>Triq Dun Karm B'Kara By Pass, B'Kara, Malta BKR 2940</t>
  </si>
  <si>
    <t>11 Triq I-Imdina, Attard, Malta ATD 9036</t>
  </si>
  <si>
    <t>1 Triq I-Isqof Labini, B'Kara, Malta BKR 1270</t>
  </si>
  <si>
    <t>Triq Durumblat, II-Mosta, MST 4816</t>
  </si>
  <si>
    <t>118 Triq iI-Kullegg, Rabat, Malta RBT 1408</t>
  </si>
  <si>
    <t>115 Vjal iI-Blue Grotto, Zurrieq, Malta ZRQ 4015</t>
  </si>
  <si>
    <t>Triq iI-Wied ta' I-Imsida, Msida, Malta</t>
  </si>
  <si>
    <t>Naxxar, Malta NXR 6345</t>
  </si>
  <si>
    <t>Triq in-Naxxar, Lija, Malta</t>
  </si>
  <si>
    <t>137 Triq Parades, San Pawl II-Bahar, Malta SPB 3430</t>
  </si>
  <si>
    <t>Triq iI-Kanun, Qormi, Malta QRM 9039</t>
  </si>
  <si>
    <t>Zone 3 Triq I-Intornjatur, Zona Industrjali, Mriehel, B'Kara, Malta BKR 3000</t>
  </si>
  <si>
    <t>M'Skala By Pass, Zabbar, Malta ZBR 9042</t>
  </si>
  <si>
    <t>Triq San Bartolomew, Qormi, Malta</t>
  </si>
  <si>
    <t>Triq il-Mosta, Lija, Malta LJA 9012</t>
  </si>
  <si>
    <t>120 Triq il-Kullegg, Rabat, Malta RBT 1408</t>
  </si>
  <si>
    <t>Pantar Estate Triq Pantar</t>
  </si>
  <si>
    <t>9 Triq Geronimo Abos, Iklin, Malta IKL 1022</t>
  </si>
  <si>
    <t>139, Bajada Street ZBR 3011 Zabbar, Malta</t>
  </si>
  <si>
    <t>The Factory Triq il-Mosta, Lija, Malta LJA 9016</t>
  </si>
  <si>
    <t>Triq Manwel Borg Qasam Indrustrijali, Tal-Handaq, Qormi, Malta QRM 4000</t>
  </si>
  <si>
    <t>Bilom T/G fi triq l-Imdina, Zebbug, Malta</t>
  </si>
  <si>
    <t>Triq il-Kbira, Mgarr, Malta MGR 1430</t>
  </si>
  <si>
    <t>Triq Fortunato Mizzi, Victoria-Gozo, Gozo VCT 2687</t>
  </si>
  <si>
    <t>Triq Ninu Ceremona, Victoria-Gozo, Gozo VCT 2563</t>
  </si>
  <si>
    <t>Liland Bldgs Triq l-Imdina, Attard, Malta ATD 9036</t>
  </si>
  <si>
    <t>123 Triq Dun Karm Sant, Tarxien, Malta</t>
  </si>
  <si>
    <t>Misrah il-Barrieri, Sta Venera, Malta</t>
  </si>
  <si>
    <t>Triq il-Wied ta'Imsida, Msida, Malta MSD 9022</t>
  </si>
  <si>
    <t>1 Lenger, Court A, Triq Mons Pawlu Mallia, Gudja, Malta</t>
  </si>
  <si>
    <t>Triq il-Kummerc, Qormi, Malta</t>
  </si>
  <si>
    <t>Building 46 Crafts Village Ta' Qali, Attard, Malta ATD 4000</t>
  </si>
  <si>
    <t>Constitution Street, Mosta, Malta</t>
  </si>
  <si>
    <t>Triq I-Imdina, Qormi QRM 9011</t>
  </si>
  <si>
    <t>Triq Dun Karm Birkirkara, BKR9035, Malta</t>
  </si>
  <si>
    <t>New Street, Vjal Il-Labour, Nax, Malta</t>
  </si>
  <si>
    <t>26B, Marsa Industrial Estate, Marsa MRS 3000</t>
  </si>
  <si>
    <t>Plot 34, Qasam Industrijali LQA 3000 Luqa MT</t>
  </si>
  <si>
    <t>12 Olt Trafford, Dun Filippu Borg, Birkirkara, Malta</t>
  </si>
  <si>
    <t>3, Triq Ferdinandu Inglott, Ħ'Attard</t>
  </si>
  <si>
    <t>MRCD Building,
Karmenu Camilleri Street,
Qormi, QRM4631</t>
  </si>
  <si>
    <t>wwwjcrimports.com.mt</t>
  </si>
  <si>
    <t>satariano.com</t>
  </si>
  <si>
    <t>deluxe-bathrooms.com</t>
  </si>
  <si>
    <t>newline.com.mt</t>
  </si>
  <si>
    <t>pitrebathrooms.com</t>
  </si>
  <si>
    <t>banjuboutique.com</t>
  </si>
  <si>
    <t>bridgepoint.com</t>
  </si>
  <si>
    <t>facebook.com/p/Gozo-Baths-Ceramics-100063540523723/</t>
  </si>
  <si>
    <t>alexmercieca.com</t>
  </si>
  <si>
    <t>dfloorings.com</t>
  </si>
  <si>
    <t>faenzabathrooms.com</t>
  </si>
  <si>
    <t>sbmmarble.com</t>
  </si>
  <si>
    <t>afellis.com.mt</t>
  </si>
  <si>
    <t>nsntilesandceramics.com</t>
  </si>
  <si>
    <t>wvellafalzon.com</t>
  </si>
  <si>
    <t>vellmann.com</t>
  </si>
  <si>
    <t>magribathrooms.com</t>
  </si>
  <si>
    <t>fbpmalta.com</t>
  </si>
  <si>
    <t>falzons.com</t>
  </si>
  <si>
    <t>maltadiy.com</t>
  </si>
  <si>
    <t>the-tile.com</t>
  </si>
  <si>
    <t>bathroomdesign.com.mt</t>
  </si>
  <si>
    <t>facebook.com/tilewarehousemalta/</t>
  </si>
  <si>
    <t>thetub.com</t>
  </si>
  <si>
    <t>mrcd.com.mt</t>
  </si>
  <si>
    <t>carinibathrooms.com</t>
  </si>
  <si>
    <t>waterartconcepts.com</t>
  </si>
  <si>
    <t>jysk.com.mt</t>
  </si>
  <si>
    <t>bc-bathrooms.com</t>
  </si>
  <si>
    <t>absolute.com.mt</t>
  </si>
  <si>
    <t>bmsupplies.com</t>
  </si>
  <si>
    <t>fino.com.mt</t>
  </si>
  <si>
    <t>iperceramica.it/en/ita</t>
  </si>
  <si>
    <t>goldenhouse.mt</t>
  </si>
  <si>
    <t>egrechcristalbath.com/en/home.htm</t>
  </si>
  <si>
    <t>egrechcristalbath.com</t>
  </si>
  <si>
    <t>bugeja-marbles.com</t>
  </si>
  <si>
    <t>custobathrooms.com</t>
  </si>
  <si>
    <t>alfredhili.com</t>
  </si>
  <si>
    <t>facebook.com/avantebathrooms/</t>
  </si>
  <si>
    <t>cgremarbles.com.mt</t>
  </si>
  <si>
    <t>facebook.com/Calbros-Bathrooms-Ltd</t>
  </si>
  <si>
    <t>chicliving.com.mt</t>
  </si>
  <si>
    <t>facebook.com/classicbathroom/</t>
  </si>
  <si>
    <t>farellbathrooms.com</t>
  </si>
  <si>
    <t>iperceramica.it</t>
  </si>
  <si>
    <t>facebook.com/Josies-Bathroom-Centre</t>
  </si>
  <si>
    <t>facebook.com/keramitbathrooms/</t>
  </si>
  <si>
    <t>facebook.com/ModaBagnoMalta</t>
  </si>
  <si>
    <t>facebook.com/Nuovo-Bagno</t>
  </si>
  <si>
    <t>propertyservicesltd.com</t>
  </si>
  <si>
    <t>ssbathrooms.com</t>
  </si>
  <si>
    <t>facebook.com/SognoBagno/</t>
  </si>
  <si>
    <t>facebook.com/Vellmann/</t>
  </si>
  <si>
    <t>vivo.com.mt</t>
  </si>
  <si>
    <t>Spa</t>
  </si>
  <si>
    <t>halmannvella.com</t>
  </si>
  <si>
    <t>facebook.com/bathlinemalta/</t>
  </si>
  <si>
    <t>bilomtilesanddecor.com</t>
  </si>
  <si>
    <t>blaugrana.com.mt</t>
  </si>
  <si>
    <t>facebook.com/bubblesbathroomsmalta/</t>
  </si>
  <si>
    <t>casamiamalta.com</t>
  </si>
  <si>
    <t>creationsomni.cpm</t>
  </si>
  <si>
    <t>hauz.mt</t>
  </si>
  <si>
    <t>thetubmalta.com</t>
  </si>
  <si>
    <t>vellafalzon.com</t>
  </si>
  <si>
    <t>wc.mt</t>
  </si>
  <si>
    <t>fzammitglass.com</t>
  </si>
  <si>
    <t>facebook.com/verredemic/</t>
  </si>
  <si>
    <t>idealbathrooms.com.mt</t>
  </si>
  <si>
    <t>floatglassltd.com</t>
  </si>
  <si>
    <t>klglassmalta.com</t>
  </si>
  <si>
    <t>glassdesignmalta.com</t>
  </si>
  <si>
    <t>bridgepointmalta.com/</t>
  </si>
  <si>
    <t>Dolphin Pools</t>
  </si>
  <si>
    <t>Home Decor</t>
  </si>
  <si>
    <t>Chris Imgarr Pools</t>
  </si>
  <si>
    <t>RC Pool Services</t>
  </si>
  <si>
    <t>Splash Store</t>
  </si>
  <si>
    <t>Crystal Pools</t>
  </si>
  <si>
    <t>HomeTrends</t>
  </si>
  <si>
    <t>Casafini</t>
  </si>
  <si>
    <t>BigMat</t>
  </si>
  <si>
    <t>Malta Hot Tub Store</t>
  </si>
  <si>
    <t>The Great Outdoors Malta</t>
  </si>
  <si>
    <t>sales@maltadiy.com</t>
  </si>
  <si>
    <t>info@dolphinpools.com.mt</t>
  </si>
  <si>
    <t>mail@afellis.com.mt</t>
  </si>
  <si>
    <t>pools@muscatpools.com</t>
  </si>
  <si>
    <t>rodneycolombo@gmail.com</t>
  </si>
  <si>
    <t>info@crystalpools.com.mt</t>
  </si>
  <si>
    <t>info@splashstoremalta.com</t>
  </si>
  <si>
    <t>shop@hometrends.com.mt</t>
  </si>
  <si>
    <t>sales@casafini.com.mt</t>
  </si>
  <si>
    <t>info@thegreatoutdoorsmalta.com</t>
  </si>
  <si>
    <t>info@bigmatmalta.com</t>
  </si>
  <si>
    <t>Bedroom</t>
  </si>
  <si>
    <t>bed</t>
  </si>
  <si>
    <t>closet</t>
  </si>
  <si>
    <t>nightstand</t>
  </si>
  <si>
    <t>dresser</t>
  </si>
  <si>
    <t>mattress</t>
  </si>
  <si>
    <t>EuroIm JSM</t>
  </si>
  <si>
    <t>style interni</t>
  </si>
  <si>
    <t>Homistic Homes</t>
  </si>
  <si>
    <t>Foam &amp; Leather Bedding &amp; Home</t>
  </si>
  <si>
    <t>C B R</t>
  </si>
  <si>
    <t>Furniture &amp; Hardware Gozo Ltd</t>
  </si>
  <si>
    <t>Hastens</t>
  </si>
  <si>
    <t>PoweHouse</t>
  </si>
  <si>
    <t>KREA</t>
  </si>
  <si>
    <t>Dino Fino Home &amp; Contract</t>
  </si>
  <si>
    <t>Mattres Collection</t>
  </si>
  <si>
    <t>Royalty Bedding</t>
  </si>
  <si>
    <t>Dreams Malta</t>
  </si>
  <si>
    <t>Morfeus Malta</t>
  </si>
  <si>
    <t>Oxford House</t>
  </si>
  <si>
    <t>OK Home</t>
  </si>
  <si>
    <t>The Atrium</t>
  </si>
  <si>
    <t>C. Fino &amp; Sons Ltd</t>
  </si>
  <si>
    <t>Vitafoam</t>
  </si>
  <si>
    <t>Sylvia Bazaar</t>
  </si>
  <si>
    <t>Omajco Bedding</t>
  </si>
  <si>
    <t>Boris Arcidicano</t>
  </si>
  <si>
    <t>Wellbeing Bedding Ltd</t>
  </si>
  <si>
    <t>Channel Trade Marketing</t>
  </si>
  <si>
    <t>Perer Camilleri &amp; Sons</t>
  </si>
  <si>
    <t>Malta Design</t>
  </si>
  <si>
    <t>ProMan Interiors</t>
  </si>
  <si>
    <t>DARI</t>
  </si>
  <si>
    <t>FairDeal Furniture</t>
  </si>
  <si>
    <t>Homes by BDI</t>
  </si>
  <si>
    <t>Bo Concept</t>
  </si>
  <si>
    <t>Brands International Ltd</t>
  </si>
  <si>
    <t>R Living</t>
  </si>
  <si>
    <t>Kubek</t>
  </si>
  <si>
    <t>Abela Norbert Joiners</t>
  </si>
  <si>
    <t>Bed And Sofa</t>
  </si>
  <si>
    <t>Bed&amp;Sofa</t>
  </si>
  <si>
    <t>Cascone Home</t>
  </si>
  <si>
    <t>Cieffe Joinery</t>
  </si>
  <si>
    <t>Construct Furniture Co Ltd</t>
  </si>
  <si>
    <t>Domal</t>
  </si>
  <si>
    <t>Eric Kuster</t>
  </si>
  <si>
    <t>Estea</t>
  </si>
  <si>
    <t>Fillmore Furniture</t>
  </si>
  <si>
    <t>Gozoarts Furnishings Ltd</t>
  </si>
  <si>
    <t>Form Ltd</t>
  </si>
  <si>
    <t>Immaginecasa Ltd</t>
  </si>
  <si>
    <t>JDS Furniture</t>
  </si>
  <si>
    <t>JTS Trading</t>
  </si>
  <si>
    <t>Marvin's Warehouse</t>
  </si>
  <si>
    <t>Muccio Mobili</t>
  </si>
  <si>
    <t>onepercent</t>
  </si>
  <si>
    <t>Real Woodworks</t>
  </si>
  <si>
    <t>Rustica Home</t>
  </si>
  <si>
    <t>Karrari</t>
  </si>
  <si>
    <t>Orienta</t>
  </si>
  <si>
    <t>Luxonas</t>
  </si>
  <si>
    <t>E' Casa Ltd</t>
  </si>
  <si>
    <t>GL Reclaim</t>
  </si>
  <si>
    <t>Objects</t>
  </si>
  <si>
    <t>Top Drawer Ltd</t>
  </si>
  <si>
    <t>Casaform Furniture</t>
  </si>
  <si>
    <t>Ciantar woodworks 3rd Generation Ltd</t>
  </si>
  <si>
    <t>Daniel Woodworks</t>
  </si>
  <si>
    <t>Farrugia Group</t>
  </si>
  <si>
    <t>Ferraracasa</t>
  </si>
  <si>
    <t>Flamant Malta</t>
  </si>
  <si>
    <t>Granny Smith Dine Furniture &amp; Home Interiors</t>
  </si>
  <si>
    <t>J C R Furniture</t>
  </si>
  <si>
    <t>James Agius Woodworks Ltd</t>
  </si>
  <si>
    <t>Rags And Riches Buy &amp; Sell</t>
  </si>
  <si>
    <t>Richard Furniture</t>
  </si>
  <si>
    <t>Rondor</t>
  </si>
  <si>
    <t>Spaces</t>
  </si>
  <si>
    <t>Shabby Chic</t>
  </si>
  <si>
    <t>Style Furniture Ltd</t>
  </si>
  <si>
    <t>Tal- Lira Home Styles</t>
  </si>
  <si>
    <t>Wood Creations</t>
  </si>
  <si>
    <t>Mattress Collection</t>
  </si>
  <si>
    <t>Bond's (Materassi)</t>
  </si>
  <si>
    <t>Form (Bed Boutique)</t>
  </si>
  <si>
    <t>Eurotex Enterprises</t>
  </si>
  <si>
    <t>Wellbeing Bedding</t>
  </si>
  <si>
    <t>Foam &amp; Leather</t>
  </si>
  <si>
    <t>Vitafoam Malta</t>
  </si>
  <si>
    <t>JYSK Malta</t>
  </si>
  <si>
    <t>sales@euroimjsm.com</t>
  </si>
  <si>
    <t>info@styleinterni.com</t>
  </si>
  <si>
    <t>homistic@yahoo.com</t>
  </si>
  <si>
    <t>foam.leather@gmail.com</t>
  </si>
  <si>
    <t>cbrltd1@go.net.mt</t>
  </si>
  <si>
    <t>lawrenceagalea@yahoo.com</t>
  </si>
  <si>
    <t>marketing@form.com.mt</t>
  </si>
  <si>
    <t>sales@powerhousemalta.eu</t>
  </si>
  <si>
    <t>info@krea.com.mt</t>
  </si>
  <si>
    <t>info@dinofino.com</t>
  </si>
  <si>
    <t>help@mattresscollection.com.mt</t>
  </si>
  <si>
    <t>info@royaltybedding.com</t>
  </si>
  <si>
    <t>info@dreamsmalta.com</t>
  </si>
  <si>
    <t>estevan@morfeus.com.mt</t>
  </si>
  <si>
    <t>info@oxfordhouse.com.mt</t>
  </si>
  <si>
    <t>info@okhome.com.mt</t>
  </si>
  <si>
    <t>contactus@theatrium.com.mt</t>
  </si>
  <si>
    <t>mosta@homemate.com.mt</t>
  </si>
  <si>
    <t>info@vitafoammalta.com</t>
  </si>
  <si>
    <t>sales@sylviabazaar.com</t>
  </si>
  <si>
    <t>sales@omajco.net</t>
  </si>
  <si>
    <t>help@wellbeingbedding.com</t>
  </si>
  <si>
    <t>info@ctmliving.com</t>
  </si>
  <si>
    <t>info@pcs.com.mt</t>
  </si>
  <si>
    <t>sales@malta-design.com</t>
  </si>
  <si>
    <t>info@promaninteriors.com</t>
  </si>
  <si>
    <t>info@dari.mt</t>
  </si>
  <si>
    <t>info@fairdealfurniture.com.mt</t>
  </si>
  <si>
    <t>info@bdi.com.mt</t>
  </si>
  <si>
    <t>info@boconcept.com.mt</t>
  </si>
  <si>
    <t>info@brands.com.mt</t>
  </si>
  <si>
    <t>stephen@rliving.com.mt</t>
  </si>
  <si>
    <t>info@kubekgroup.com</t>
  </si>
  <si>
    <t>abelanorbertjoiners@gmail.com</t>
  </si>
  <si>
    <t>info@antoniocaruso.it</t>
  </si>
  <si>
    <t>bedandsofamalta@gmail.com</t>
  </si>
  <si>
    <t>info@casconehome.com</t>
  </si>
  <si>
    <t>cieffejoinery@fsh.com.mt</t>
  </si>
  <si>
    <t>info@constructfurniture.com.mt</t>
  </si>
  <si>
    <t>sales@domal.mt</t>
  </si>
  <si>
    <t>rachel@erickuster.com</t>
  </si>
  <si>
    <t>gaspare@esteamt.com</t>
  </si>
  <si>
    <t>agius65@hotmail.com</t>
  </si>
  <si>
    <t>info@gozoarts.com.mt</t>
  </si>
  <si>
    <t>info@formltd.com</t>
  </si>
  <si>
    <t>info@immaginecasamalta.com</t>
  </si>
  <si>
    <t>info@jdsfurniture.com</t>
  </si>
  <si>
    <t>jurgen@jtstrading.com</t>
  </si>
  <si>
    <t>marvinfurniture@gmail.com</t>
  </si>
  <si>
    <t>info@mucciomobili.it</t>
  </si>
  <si>
    <t>info@onepercent.com.mt</t>
  </si>
  <si>
    <t>realwoodworks1@gmail.com</t>
  </si>
  <si>
    <t>info@rusticahome.com.mt</t>
  </si>
  <si>
    <t>sales@karrari.shop</t>
  </si>
  <si>
    <t>info@luxonas.com</t>
  </si>
  <si>
    <t>info@ecasa.com.mt</t>
  </si>
  <si>
    <t>restorer@glreclaim.com</t>
  </si>
  <si>
    <t>sales@objects.mt</t>
  </si>
  <si>
    <t>topdrawer@topdrawermalta.com</t>
  </si>
  <si>
    <t>casaform@onvol.net</t>
  </si>
  <si>
    <t>jasoakwalnut@yahoo.com</t>
  </si>
  <si>
    <t>danwoodworks@yahoo.co.uk</t>
  </si>
  <si>
    <t>info@farrugiagroup.com</t>
  </si>
  <si>
    <t>info@ferraramalta.com</t>
  </si>
  <si>
    <t>sales@flamant.com.mt</t>
  </si>
  <si>
    <t>info@grannysmithshop.com</t>
  </si>
  <si>
    <t>info@jcrfurniture.com</t>
  </si>
  <si>
    <t>info@jagiuswoodworks.com</t>
  </si>
  <si>
    <t>ragsandrichesbuyandsell@gmail.com</t>
  </si>
  <si>
    <t>seguna@onvol.net</t>
  </si>
  <si>
    <t>ronaldmarmara@gmail.com</t>
  </si>
  <si>
    <t>info@spaces.com.mt</t>
  </si>
  <si>
    <t>deals@shabbychicmalta.com</t>
  </si>
  <si>
    <t>info@stylefurnituremalta.com</t>
  </si>
  <si>
    <t>marketing@tal-lira.com</t>
  </si>
  <si>
    <t>lcwoodcreations@gmail.com</t>
  </si>
  <si>
    <t>info@bondsmalta.com</t>
  </si>
  <si>
    <t>info@form.com.mt</t>
  </si>
  <si>
    <t>eurotexmalta@gmail.com</t>
  </si>
  <si>
    <t>2, Industrial Estate
Mdina Road
Attard, ATD3000</t>
  </si>
  <si>
    <t>260 Old Railway Track, Santa Venera SVR 9019</t>
  </si>
  <si>
    <t>22/23 Triq hal mula Haz-zebbug ZBG</t>
  </si>
  <si>
    <t>836, 838 Triq il-Kbira San Guzepp, Hamrun, Malta HMR 1018</t>
  </si>
  <si>
    <t>Triq Hal Tarxien, Luqa, Malta LQA 1814</t>
  </si>
  <si>
    <t>City Pearl Shopping Arcades Triq Fortunato Mizzi, Victoria-Gozo, Gozo VCT 2571</t>
  </si>
  <si>
    <t>Triq il-Wied ta' I-Imsida, Msida, Malta MSD 9023</t>
  </si>
  <si>
    <t>13 Censu Bugeja, L-Iklin BZN 1170</t>
  </si>
  <si>
    <t>Triq I-Imdina, Qormi, Malta QRM 9011</t>
  </si>
  <si>
    <t>Triq il-Mosta, Lija, Malta LIJA 9012</t>
  </si>
  <si>
    <t>Triq il-Wied Ta' L-Imsida, B'Kara, Malta BKR 9025</t>
  </si>
  <si>
    <t>Mdina Road Zebbug, Malta</t>
  </si>
  <si>
    <t>Zone 5, Central Business District Triq il-Kummerc Qormi, CBD 5050</t>
  </si>
  <si>
    <t>3, Triq il Dibjun, San Gwann, SGN 052, Malta</t>
  </si>
  <si>
    <t>GB Building Triq il-Watar, Ta' Xbiex XBX1301 Malta</t>
  </si>
  <si>
    <t>Triq San Pawl tal-Qliegha, MST9096 Mosta, Malta</t>
  </si>
  <si>
    <t>Triq L-mdina, Zone 2, Central Business District, Birkirkara CBD 2010, Malta</t>
  </si>
  <si>
    <t>Pantar Road, Lija, Malta</t>
  </si>
  <si>
    <t>Giovanni Felice Street, Zone 3, Central Business District, Birkirkara CBD 3120</t>
  </si>
  <si>
    <t>Triq I-Imdina, Zone 4, Mriehel/Central Business District CBD 4010, Malta</t>
  </si>
  <si>
    <t>Vjal 25 ta' Novembru, Tal-Barrani, Zejtun</t>
  </si>
  <si>
    <t>Galeas, San Gwann</t>
  </si>
  <si>
    <t>Triq A Caligari Zabbar Malta ZBR 2806</t>
  </si>
  <si>
    <t>San Gwann Nexxar Road</t>
  </si>
  <si>
    <t>233 Tower Road, Sliema SLM 1601</t>
  </si>
  <si>
    <t>5/6 Msida Valley Road Birkirkara BKR 9022 Malta</t>
  </si>
  <si>
    <t>5/7 Triq Censu Bugeja, L-Iklin</t>
  </si>
  <si>
    <t>31, Cross Road, Marsa MRS 1548, Malta</t>
  </si>
  <si>
    <t>Malta Design
33 Triq l-Oleandru ,
San Giljan, Malta</t>
  </si>
  <si>
    <t>Proman Interiors,
115, Valley Road,
B'Kara. BKR 9022.
Malta.</t>
  </si>
  <si>
    <t>Triq tal-Balal, San Gwann, Malta SGN 9016</t>
  </si>
  <si>
    <t>Dawert I-Imriehel, Qormi, Malta QRM 9052</t>
  </si>
  <si>
    <t>HF 5A Qasam Industrijali, Hal Far, B'Bugia, Malta BBG 3000</t>
  </si>
  <si>
    <t>59 Triq in-Nahal, Mellieha, Malta MLH 2166</t>
  </si>
  <si>
    <t>119 Triq il-Kappillan Mifsud, Sta Venera, Malta</t>
  </si>
  <si>
    <t>57 Naxxar road, San Gwann sgn 9032, Malta</t>
  </si>
  <si>
    <t>146, Balzan Valley, Hal Balzan, Malta</t>
  </si>
  <si>
    <t>Triq il-Wied Ta' L-Imsida, B'Kara, Malta BKR 9022</t>
  </si>
  <si>
    <t>Triq Hal Far, B'Budia, Malta</t>
  </si>
  <si>
    <t>40 Qasam Industrijali, Luqa, Malta LQA 3000</t>
  </si>
  <si>
    <t>192 Triq in-Naxxar, B'Kara, Malta BKR 9044</t>
  </si>
  <si>
    <t>Triq Wied Ghomor, San Giljan, Malta STJ 2040</t>
  </si>
  <si>
    <t>Monpalau Building Triq it-Torri, Msida, Malta</t>
  </si>
  <si>
    <t>69 Triq Hal Qormi, Hamrun, Malta HMR 2183</t>
  </si>
  <si>
    <t>Triq il-Wied ta'lmsida, Msida, Malta MSD 9023</t>
  </si>
  <si>
    <t>Triq Gorg Borg Olivier, Vicotria-Gozo, Gozo VCT 2515</t>
  </si>
  <si>
    <t>Triq il-Wied Ta' L'lmsida, B'Kara, Malta BKR 3000</t>
  </si>
  <si>
    <t>Triq il-Kbira, Mellieha, Malta MLH 2317</t>
  </si>
  <si>
    <t>Zone 5 Triq ll-Kummerc Central Business District, Qormi, Malta</t>
  </si>
  <si>
    <t>Triq il-Qoton, Sta Lucija, Malta SLC 1010</t>
  </si>
  <si>
    <t>154 Triq il-Kappilan Mifsud, Sta Venera, Malta</t>
  </si>
  <si>
    <t>Triq il-Wied ta' I-Imsida, Msida, Malta MSD 9022</t>
  </si>
  <si>
    <t>Binja San Guzepp Haddiem Triq Indri Psaila, Qormi Malta</t>
  </si>
  <si>
    <t>32 II-Moll tal-Hatab, Marsa, Malta MRS 1440</t>
  </si>
  <si>
    <t>77 Commerce St, Birkirkara, CBD3010</t>
  </si>
  <si>
    <t>Triq L-Imdina, Zone 2, Central Business District, Birkirkara</t>
  </si>
  <si>
    <t>Triq L-Mdina, Haz-Zebbug, ZBG09018</t>
  </si>
  <si>
    <t>San Gwakkin Building Triq Gwakkin Central Business District, B'Kara, Malta CBD 4020</t>
  </si>
  <si>
    <t>Blk A No 7, Upper Level, Midland Mico Enterprise Park, Burmarrad Road, Naxxar</t>
  </si>
  <si>
    <t>25, Triq San Gorg, Naxxar, Malta</t>
  </si>
  <si>
    <t>Triq il-Kappar, Mosta, Malta MST 4003</t>
  </si>
  <si>
    <t>T/G fi triq l-Imdina, Zebbug, Malta ZBG 5011</t>
  </si>
  <si>
    <t>Triq I-Isqof Buhagiar, Paola, Malta PLA 1111</t>
  </si>
  <si>
    <t>86 Triq Valletta Hal Luqa, Malta LQA 1762</t>
  </si>
  <si>
    <t>61 St Liberata Triq Santa Liberata, Kalkara, Malta KKR 1612</t>
  </si>
  <si>
    <t>Triq il-Wied, B'Kara, Malta</t>
  </si>
  <si>
    <t>Pjazza Tigne' Tigne' Point, Slimea, Malta</t>
  </si>
  <si>
    <t>Triq Gorg Borg Olivier, Victoria-Gozo, Gozo VCT 2515</t>
  </si>
  <si>
    <t>Triq San Pawl, Naxxar, Malta NXR 4016</t>
  </si>
  <si>
    <t>Triq il-Labour, Marsa, Malta MRS 9030</t>
  </si>
  <si>
    <t>28 Qasam Industrijali, Luqa, Malta LQA 3000</t>
  </si>
  <si>
    <t>Triq il-Kbita, Mellieha, Malta</t>
  </si>
  <si>
    <t>154 Triq il-Kappillan Mifsud, Sta Venera, Malta</t>
  </si>
  <si>
    <t>Flat 9, Harmony Court Triq tal-Gardiel, M'Skala, Malta MSK 3807</t>
  </si>
  <si>
    <t>91 Triq il-Kbira San Guzepp, Hamrun, Malta HMR 1017</t>
  </si>
  <si>
    <t>210 Triq il-Ferrovija, Sta Venera, Malta SVR 9019</t>
  </si>
  <si>
    <t>Triq il-Wied, B'Kara, Malta BKR 9021</t>
  </si>
  <si>
    <t>17 Triq Ganu, B'Kara</t>
  </si>
  <si>
    <t>Triq il-Ferrovija, Sta Venera, Malta SVR 9019</t>
  </si>
  <si>
    <t>Triq Ponosonby, Mosta, Malta MST 4039</t>
  </si>
  <si>
    <t>Triq il-Kungress Ewkaristiku</t>
  </si>
  <si>
    <t>Mdina Road, Zebbug</t>
  </si>
  <si>
    <t>Mdina Road, Attard</t>
  </si>
  <si>
    <t>Triq il-Wied ta' (multiple)</t>
  </si>
  <si>
    <t>163 Triq il-Ferrovija, Santa Venera</t>
  </si>
  <si>
    <t>Abate Rigord St, Ta' Xbiex</t>
  </si>
  <si>
    <t>5/6 Msida Valley Road, Birkirkara</t>
  </si>
  <si>
    <t>Triq il-Kummerc, Qormi</t>
  </si>
  <si>
    <t>836/838 High Street, Hamrun</t>
  </si>
  <si>
    <t>Triq A Caligari, Zabbar</t>
  </si>
  <si>
    <t>Triq San Pawl, Mosta</t>
  </si>
  <si>
    <t>Lija / Qormi stores</t>
  </si>
  <si>
    <t>Https://dari.mt/</t>
  </si>
  <si>
    <t>euroimjsm.com/</t>
  </si>
  <si>
    <t>styleinterni.com/</t>
  </si>
  <si>
    <t>homisticrooms.com/</t>
  </si>
  <si>
    <t>foamandleather.com</t>
  </si>
  <si>
    <t>cbrltd.com</t>
  </si>
  <si>
    <t>facebook.com/4mHome</t>
  </si>
  <si>
    <t>powerhousemalta.eu</t>
  </si>
  <si>
    <t>krea.com.mt</t>
  </si>
  <si>
    <t>dinofino.com</t>
  </si>
  <si>
    <t>mattresscollection.com.mt</t>
  </si>
  <si>
    <t>royaltybedding.com</t>
  </si>
  <si>
    <t>shaker.com.mt</t>
  </si>
  <si>
    <t>dreamsmalta.com</t>
  </si>
  <si>
    <t>morfeus.com.mt</t>
  </si>
  <si>
    <t>oxfordhouse.com.mt</t>
  </si>
  <si>
    <t>okhome.com.mt</t>
  </si>
  <si>
    <t>theatrium.com.mt</t>
  </si>
  <si>
    <t>homemate.com.mt</t>
  </si>
  <si>
    <t>vitafoammalta.com</t>
  </si>
  <si>
    <t>sylviabazaar.com</t>
  </si>
  <si>
    <t>omajcobedding.com</t>
  </si>
  <si>
    <t>borisarcidiacono.com</t>
  </si>
  <si>
    <t>wellbeingbedding.com</t>
  </si>
  <si>
    <t>ctmliving.com</t>
  </si>
  <si>
    <t>pcs.com.mt</t>
  </si>
  <si>
    <t>malta-design.com</t>
  </si>
  <si>
    <t>promaninteriors.com/</t>
  </si>
  <si>
    <t>brands.com.mt</t>
  </si>
  <si>
    <t>rliving.com.mt</t>
  </si>
  <si>
    <t>kubekgroup.com</t>
  </si>
  <si>
    <t>facebook.com/people/Abela-Norbert-Joiners/100057636902110/</t>
  </si>
  <si>
    <t>facebook.com/photo/?fbid=518605750070651&amp;set=a.518605710070655</t>
  </si>
  <si>
    <t>bedsofa.mypos.site/en</t>
  </si>
  <si>
    <t>instagram.com/casafini_malta/?hl=en</t>
  </si>
  <si>
    <t>casconehome.com</t>
  </si>
  <si>
    <t>cieffeprojects.com.mt</t>
  </si>
  <si>
    <t>constructfurniture.com.mt</t>
  </si>
  <si>
    <t>domal.com.mt</t>
  </si>
  <si>
    <t>erickuster.com</t>
  </si>
  <si>
    <t>esteamt.com</t>
  </si>
  <si>
    <t>gozoarts.com.mt</t>
  </si>
  <si>
    <t>form.com.mt</t>
  </si>
  <si>
    <t>imaginecasamalta.com</t>
  </si>
  <si>
    <t>jdsfurniture.com</t>
  </si>
  <si>
    <t>jtstrading.com</t>
  </si>
  <si>
    <t>facebook.com/MarvinsWarehouse</t>
  </si>
  <si>
    <t>mucciomobili.it</t>
  </si>
  <si>
    <t>onepercent.com.mt</t>
  </si>
  <si>
    <t>facebook.com/people/Real-woodworks/100057415459586/</t>
  </si>
  <si>
    <t>rusticahome.com.mt</t>
  </si>
  <si>
    <t>karrari.shop</t>
  </si>
  <si>
    <t>orienta.mt</t>
  </si>
  <si>
    <t>luxonas.com</t>
  </si>
  <si>
    <t>ecasa.com.mt</t>
  </si>
  <si>
    <t>glreclaim.com</t>
  </si>
  <si>
    <t>objects.mt</t>
  </si>
  <si>
    <t>facebook.com/people/Top-Drawer-Ltd/100057222588942/</t>
  </si>
  <si>
    <t>casaformfurniture.com</t>
  </si>
  <si>
    <t>ciantarwoodworks.com</t>
  </si>
  <si>
    <t>danielwoodworksmalta.com</t>
  </si>
  <si>
    <t>fg.com.mt</t>
  </si>
  <si>
    <t>ferraracasa.com.mt</t>
  </si>
  <si>
    <t>facebook.com/grannysmithfurnitureandinteriors</t>
  </si>
  <si>
    <t>jcrfurniture.com</t>
  </si>
  <si>
    <t>jagiuswoodworks.com</t>
  </si>
  <si>
    <t>facebook.com/p/Rags-and-Riches-Buy-and-Sell-100041339592117/</t>
  </si>
  <si>
    <t>lepseg.wix.com/richard-furniture</t>
  </si>
  <si>
    <t>spaces.com.mt</t>
  </si>
  <si>
    <t>shabbychic.world/</t>
  </si>
  <si>
    <t>stylefurnituremalta.com</t>
  </si>
  <si>
    <t>tal-lira.com</t>
  </si>
  <si>
    <t>woodcreationsmalta.com</t>
  </si>
  <si>
    <t>bondsmalta.com</t>
  </si>
  <si>
    <t>eurotexmalta.com</t>
  </si>
  <si>
    <t>Kitchen counter</t>
  </si>
  <si>
    <t>Kitchen cabinets</t>
  </si>
  <si>
    <t>Kitchen islands</t>
  </si>
  <si>
    <t>Dining chair</t>
  </si>
  <si>
    <t>Kitchen storage</t>
  </si>
  <si>
    <t>Dining table</t>
  </si>
  <si>
    <t>Fridge</t>
  </si>
  <si>
    <t>Freezer</t>
  </si>
  <si>
    <t>Dishwasher</t>
  </si>
  <si>
    <t>Oven</t>
  </si>
  <si>
    <t>Kitchen Sink</t>
  </si>
  <si>
    <t>Kitchen</t>
  </si>
  <si>
    <t>Sghendo Woodworks</t>
  </si>
  <si>
    <t>Fairdeal Furniture</t>
  </si>
  <si>
    <t>Art At Home</t>
  </si>
  <si>
    <t>Low Cost Furniture by Fairdeal</t>
  </si>
  <si>
    <t>Domestica Ltd</t>
  </si>
  <si>
    <t>Core</t>
  </si>
  <si>
    <t>Distinct Homes</t>
  </si>
  <si>
    <t>Grixti Mobili Ltd</t>
  </si>
  <si>
    <t>JDS Manufacturing Ltd</t>
  </si>
  <si>
    <t>Paul B Furniture</t>
  </si>
  <si>
    <t>Petroni Ltd</t>
  </si>
  <si>
    <t>S G Woodworks</t>
  </si>
  <si>
    <t>Well Made Woodworks</t>
  </si>
  <si>
    <t>Tree D (Jonathan Grech)</t>
  </si>
  <si>
    <t>Ciantar Woodworks 3rd Generation Ltd</t>
  </si>
  <si>
    <t>Renova Co Ltd</t>
  </si>
  <si>
    <t>Mercieca Chairs &amp; Tables Hire</t>
  </si>
  <si>
    <t>Silvio's Chairs</t>
  </si>
  <si>
    <t>M F Company Ltd</t>
  </si>
  <si>
    <t>Home by BDI</t>
  </si>
  <si>
    <t>Maltashopper</t>
  </si>
  <si>
    <t>ABRA</t>
  </si>
  <si>
    <t>Fino</t>
  </si>
  <si>
    <t>Petrolea</t>
  </si>
  <si>
    <t>BoConcept</t>
  </si>
  <si>
    <t>Index Furniture</t>
  </si>
  <si>
    <t>Fava Woodworks Co Ltd</t>
  </si>
  <si>
    <t>ACF Furniture</t>
  </si>
  <si>
    <t>Epcak International Ltd</t>
  </si>
  <si>
    <t>FXB Ltd</t>
  </si>
  <si>
    <t>JDS</t>
  </si>
  <si>
    <t>Mobilia Penza Ltd</t>
  </si>
  <si>
    <t>Queen's Furniture Ltd</t>
  </si>
  <si>
    <t>Tornello Arredamenti</t>
  </si>
  <si>
    <t>Akkwist</t>
  </si>
  <si>
    <t>Ta' Gulinu</t>
  </si>
  <si>
    <t>Right Deal Ltd</t>
  </si>
  <si>
    <t>Centro Casalinga</t>
  </si>
  <si>
    <t>Consiglio</t>
  </si>
  <si>
    <t>Bakers Point</t>
  </si>
  <si>
    <t>Cutajar Hi-Fi Video Centre</t>
  </si>
  <si>
    <t>Flamingo</t>
  </si>
  <si>
    <t>Forestals Group of Companies</t>
  </si>
  <si>
    <t>Freddie's Household Co Ltd</t>
  </si>
  <si>
    <t>General Domestic Appliances</t>
  </si>
  <si>
    <t>Hotpoint</t>
  </si>
  <si>
    <t>ITC Ltd</t>
  </si>
  <si>
    <t>Oxford House Ltd</t>
  </si>
  <si>
    <t>Rotunda Ltd</t>
  </si>
  <si>
    <t>Divine Appliances</t>
  </si>
  <si>
    <t>X-Treme Technologies</t>
  </si>
  <si>
    <t>Refcold</t>
  </si>
  <si>
    <t>Fair Deal</t>
  </si>
  <si>
    <t>Joinwell</t>
  </si>
  <si>
    <t>Form</t>
  </si>
  <si>
    <t>C. Fino &amp; Sons</t>
  </si>
  <si>
    <t>Scavolini</t>
  </si>
  <si>
    <t>Carmelo Delia</t>
  </si>
  <si>
    <t>info@sghendowoodworks.com</t>
  </si>
  <si>
    <t>artathomeltd@gmail.com</t>
  </si>
  <si>
    <t>arnold@lowcostfurniture.com.mt</t>
  </si>
  <si>
    <t>igor@domestica.com.mt</t>
  </si>
  <si>
    <t>info@core.com.mt</t>
  </si>
  <si>
    <t>sales@grixtimobili.com</t>
  </si>
  <si>
    <t>snfgrima@maltanet.net</t>
  </si>
  <si>
    <t>bjorn@wellmadewoodworks.com.mt</t>
  </si>
  <si>
    <t>info@treedfurniture.com</t>
  </si>
  <si>
    <t>info@renovamalta.com ; bjornzammit@gmail.com</t>
  </si>
  <si>
    <t>mchire4@gmail.com</t>
  </si>
  <si>
    <t>silviochairs@gmail.com</t>
  </si>
  <si>
    <t>office.mfcoltd@gmail.com</t>
  </si>
  <si>
    <t>sales@maltashopper.com</t>
  </si>
  <si>
    <t>info@abra.com.mt</t>
  </si>
  <si>
    <t>info@petroleamalta.com ; sales@petroleamalta.com</t>
  </si>
  <si>
    <t>info@indexmalta.com</t>
  </si>
  <si>
    <t>fava@maltanet.net</t>
  </si>
  <si>
    <t>acf1@melita.com</t>
  </si>
  <si>
    <t>epack@onvol.net</t>
  </si>
  <si>
    <t>sales@fxb.com.mt</t>
  </si>
  <si>
    <t>info@mobiliapenza.com</t>
  </si>
  <si>
    <t>info@orienta.com.mt</t>
  </si>
  <si>
    <t>info@queensfurniture.com</t>
  </si>
  <si>
    <t>info@tornelli.net</t>
  </si>
  <si>
    <t>www.vanturamalta.com</t>
  </si>
  <si>
    <t>camrugun@hotmail.com</t>
  </si>
  <si>
    <t>tagulinu@onvol.net</t>
  </si>
  <si>
    <t>etv@etvhomeline.com</t>
  </si>
  <si>
    <t>rightdealcosp@onvol.net</t>
  </si>
  <si>
    <t>sales@jjscerri.com</t>
  </si>
  <si>
    <t>consigliohomeappliances@gmail.com</t>
  </si>
  <si>
    <t>bakerspoint1@gmail.com</t>
  </si>
  <si>
    <t>cutajarhifivideocentre@outlook.com</t>
  </si>
  <si>
    <t>sales@flamingo.com.mt</t>
  </si>
  <si>
    <t>gdatrade@waldonet.net.mt</t>
  </si>
  <si>
    <t>showroom@itc-malta.com</t>
  </si>
  <si>
    <t>rotunda@maltanet.net</t>
  </si>
  <si>
    <t>info@ultimate.com.mt</t>
  </si>
  <si>
    <t>info@divine.com.mt</t>
  </si>
  <si>
    <t>x.treme@onvol.net</t>
  </si>
  <si>
    <t>refcold@maltanet.net</t>
  </si>
  <si>
    <t>info@joinwellfxb.com</t>
  </si>
  <si>
    <t>infodesk@form.com.mt</t>
  </si>
  <si>
    <t>info@scavolini.mt</t>
  </si>
  <si>
    <t>info@carmelodelia.com</t>
  </si>
  <si>
    <t>Ferraracasa Warehouse
Triq is-Salib ta l-Mriehel
CBD3020 Birkirkara
Malta</t>
  </si>
  <si>
    <t>Triq Mastru Gorg Cachia Tal-Handaq, Qormi, Malta WRM 4000</t>
  </si>
  <si>
    <t>Triq il-Buskett, Dingli, Malta DGL 2709</t>
  </si>
  <si>
    <t>Triq I-Imdina, Zebbug, Malta ZBG 4351</t>
  </si>
  <si>
    <t>Triq I-Imdina, Attard, Malta ATD 9037</t>
  </si>
  <si>
    <t>42 Triq ix-Xwieni Albert Town, Marsa, Malta</t>
  </si>
  <si>
    <t>Triq I-Imdina, Zebbug, Malta</t>
  </si>
  <si>
    <t>Triq il-Wied ta' I-Imsida, Msida, Malta MSD 9091</t>
  </si>
  <si>
    <t>Triq Mannarino, B'Kara, Malta BKR 9085</t>
  </si>
  <si>
    <t>1 Triq il-Kanun, Qormi, Malta QRM 9036</t>
  </si>
  <si>
    <t>A 23 Triq Giuseppe Garibaldi, Marsa, Malta MRS 9082</t>
  </si>
  <si>
    <t>135 Triq il-Kuncizzjoni, Qala-Gozo, Gozo QLA 1701</t>
  </si>
  <si>
    <t>G G X 0053 Qasam Industrijali, Xewkija-Gozo, Gozo XWK 3000</t>
  </si>
  <si>
    <t>Triq Valletta Mosta Technopark, Mosta, Malta MST 3000</t>
  </si>
  <si>
    <t>Triq L-Imdina, Zone 2, Central Business District, Birkirkara CBD 2010, Malta</t>
  </si>
  <si>
    <t>Triq l-Isqof Buhagiar, Paola, Malta PLA 1111</t>
  </si>
  <si>
    <t>86 Triq Vallettaa, Luqa, Malta LQA 1762</t>
  </si>
  <si>
    <t>32 ll-Moll tal-Hatab, Marsa, Malta MRS 1440</t>
  </si>
  <si>
    <t>Proman Interiors,
115, Valley Road,
B'Kara. BKR 9022.
Malta</t>
  </si>
  <si>
    <t>Factory M 10, Zone 4 Triq ll-Furnara Central Business District</t>
  </si>
  <si>
    <t>Casa Santa Rita Triq Santa Marta, Victoria-Gozo, Gozo VCT 2552</t>
  </si>
  <si>
    <t>25 Triq il-Kataniz, Zebbug, Malta ZBG 2831</t>
  </si>
  <si>
    <t>184, 186 Triq Qormi, Marsa, Malta MRS 9044</t>
  </si>
  <si>
    <t>1, Triq Pietru Felici, Qormi, Malta</t>
  </si>
  <si>
    <t>162 Cannon Road, Santa Venera, SVR 9034, Malta</t>
  </si>
  <si>
    <t>ABRA, Triq L-Imdina ATTARD, ATD 9037</t>
  </si>
  <si>
    <t>Fino Buildings,
Triq l-Imdina, Zone 4,
Mriehel/Central Business District
CBD 4010, Malta</t>
  </si>
  <si>
    <t>Triq I-Isof Labini, B'Kara, Malta BKR 1275</t>
  </si>
  <si>
    <t>Tip Top Bldgs Triq Haz-Zabbar</t>
  </si>
  <si>
    <t>33 Triq l-Oleandru, San Giljan, Malta</t>
  </si>
  <si>
    <t>KW 17b Qasam Industrijali, Kordin, Paola, Malta PLA 3000</t>
  </si>
  <si>
    <t>117 Dalli Yard Triq Hal Tarxien, Gudja, Malta</t>
  </si>
  <si>
    <t>Triq il-Pitkali, Attard, Malta</t>
  </si>
  <si>
    <t>346 Triq I-Imdina, Qormi, Malta QRM 9014</t>
  </si>
  <si>
    <t>Qasam Industrijali, Luqa Malta LQA 3000</t>
  </si>
  <si>
    <t>Qasam Industrijali Ta' Qali, Attard, Malta ATD 4000</t>
  </si>
  <si>
    <t>Kw 19D Qasam Industrijali, Kordin, Paola, Malta PLA 3000</t>
  </si>
  <si>
    <t>197 Triq I-Imdina, Qormi, Malta QRM 9012</t>
  </si>
  <si>
    <t>BLB 021 Qasam Industrijali, Bulebel, Zejtun, Malta ZTN 3000</t>
  </si>
  <si>
    <t>Triq il-Kostituzzjoni, Mosta, Malta MST 9050</t>
  </si>
  <si>
    <t>22, Triq Sant' Elija, B'Kara, Malta BKR 2064</t>
  </si>
  <si>
    <t>12 Triq il-Hammieri, Qormi, Malta</t>
  </si>
  <si>
    <t>18 Wesghat il-Knisja tan-Nattivita, Bormla, Malta BML 1650</t>
  </si>
  <si>
    <t>10 Misrah I' Isle Adam, Rabat, Malta RBT 1169</t>
  </si>
  <si>
    <t>Triq San Tumas, Luqa, Malta LQA 9031</t>
  </si>
  <si>
    <t>Misrah Gavino Gulia, Bormla</t>
  </si>
  <si>
    <t>280 Triq il-Kbira San Guzepp, Hamrun</t>
  </si>
  <si>
    <t>220 Triq in-Naxxar, San Gwann, Malta SGN 9030</t>
  </si>
  <si>
    <t>Triq il-Kappillan Mifsud, Sta Venera</t>
  </si>
  <si>
    <t>Vjal I-Infiprndenza, Mosta</t>
  </si>
  <si>
    <t>Triq Valetta, Mosta, Malta</t>
  </si>
  <si>
    <t>Triq it-Tabib Nikol Zammit, Siggiewi, Malta SHW 3075</t>
  </si>
  <si>
    <t>91 Triq is-Santwarju, Zabbar</t>
  </si>
  <si>
    <t>Zone 5 Triq ll-Kanun Central Business District, Qormi, Malta CBD 5060</t>
  </si>
  <si>
    <t>Zone 3 Triq L-Intornjatur Central Business District, B'Kara, Malta CBD 3050</t>
  </si>
  <si>
    <t>Triq il-Kungress Ewkaristiku, Mosta</t>
  </si>
  <si>
    <t>146 Triq Sant' Orsla Victoria-Gozo</t>
  </si>
  <si>
    <t>Triq il-Wied, B'Kara</t>
  </si>
  <si>
    <t>Triq Nazzjonali Blata L-Blajda, Hamrun, Malta HMR 9012</t>
  </si>
  <si>
    <t>Zone 2 Triq L-Imdina Central Business District, B'Kara, Malta CBD 2010</t>
  </si>
  <si>
    <t>7, 9 Rotunda Dept Stores Triq il-Kungress Ewkaristiku, Mosta</t>
  </si>
  <si>
    <t>Triq Salvu Busuttil, San Gwann</t>
  </si>
  <si>
    <t>71 Triq il-Buqexrem, Fgura</t>
  </si>
  <si>
    <t>Triq Gorg Borg Olivier, Victoria-Gozo, Gozo VCT 2514</t>
  </si>
  <si>
    <t>Triq Fortunato Mizzi, Victoria-Gozo</t>
  </si>
  <si>
    <t>3, Triq il Gibjun, San Gwann, SGN 052, Malta</t>
  </si>
  <si>
    <t>Fairdeal Furniture Malta LTD
Mdina Road
Zebbug, Malta</t>
  </si>
  <si>
    <t>JoinwellFXB,
Triq il-Mithna, Central Business District,
Qormi, CBD 5090</t>
  </si>
  <si>
    <t>Triq Il-Wied Ta’ L-Imsida, L-Imsida</t>
  </si>
  <si>
    <t>Birkirkara by-pass, Birkirkara, Malta, BKR 9037
Links</t>
  </si>
  <si>
    <t>Valley Road, Birkirkara</t>
  </si>
  <si>
    <t xml:space="preserve">Pohone number </t>
  </si>
  <si>
    <t>ferraramalta.com/</t>
  </si>
  <si>
    <t>sghendo.com</t>
  </si>
  <si>
    <t>desanamarbles.com</t>
  </si>
  <si>
    <t>fairdealfurniture.com.mt</t>
  </si>
  <si>
    <t>artathomemalta.com</t>
  </si>
  <si>
    <t>lowcostfurniture.com.mt</t>
  </si>
  <si>
    <t>core.com.mt</t>
  </si>
  <si>
    <t>distincthomes.com.mt</t>
  </si>
  <si>
    <t>grixtimobili.com</t>
  </si>
  <si>
    <t>sgwoodworks.com</t>
  </si>
  <si>
    <t>wellmadewoodworks.com.mt</t>
  </si>
  <si>
    <t>facebook.com/treedfurnituremalta?locale=nn_NO</t>
  </si>
  <si>
    <t>rusticahome.com.mt/site/</t>
  </si>
  <si>
    <t>renovamalta.com</t>
  </si>
  <si>
    <t>merciecaeventsuppliers.com</t>
  </si>
  <si>
    <t>silvioschairs.com</t>
  </si>
  <si>
    <t>facebook.com/mfcompanyltd</t>
  </si>
  <si>
    <t>homesbybdi.com</t>
  </si>
  <si>
    <t>maltashopper.com</t>
  </si>
  <si>
    <t>abra.com.mt</t>
  </si>
  <si>
    <t>fino.com.mt/</t>
  </si>
  <si>
    <t>patroleamalta.com</t>
  </si>
  <si>
    <t>boconcept.com/en-mt/</t>
  </si>
  <si>
    <t>indexmalta.com</t>
  </si>
  <si>
    <t>facebook.com/woodworksfava/</t>
  </si>
  <si>
    <t>fxb.com.mt</t>
  </si>
  <si>
    <t>mobiliapenza.com</t>
  </si>
  <si>
    <t>facebook.com/Orienta.mt/</t>
  </si>
  <si>
    <t>facebook.com/queensfurnitureltd/</t>
  </si>
  <si>
    <t>tornelloarredamenti.it</t>
  </si>
  <si>
    <t>soundsmart.com.mt</t>
  </si>
  <si>
    <t>kcl.com.mt</t>
  </si>
  <si>
    <t>tabletsandmoreelectronics.com</t>
  </si>
  <si>
    <t>facebook.com/akkwist</t>
  </si>
  <si>
    <t>facebook.com/TaGulinu/info?tab=page%5Cuinfo</t>
  </si>
  <si>
    <t>triplealuqa.com</t>
  </si>
  <si>
    <t>rightdealmalta.com</t>
  </si>
  <si>
    <t>facebook.com/futurahomeappliances/</t>
  </si>
  <si>
    <t>centrocasalinga.com</t>
  </si>
  <si>
    <t>fb.com/ComfortekMalta</t>
  </si>
  <si>
    <t>consiglio.com.mt</t>
  </si>
  <si>
    <t>cutajarhifi.com</t>
  </si>
  <si>
    <t>forestalsgroup.com</t>
  </si>
  <si>
    <t>facebook.com/people/Freddies-Household/100063498252557/?utm_source=Yellow&amp;utm_medium=Yellow-Website&amp;utm_campaign=Landing-Page#</t>
  </si>
  <si>
    <t>gda.com.mt</t>
  </si>
  <si>
    <t>itc-malta.com</t>
  </si>
  <si>
    <t>ultimate.com.mt</t>
  </si>
  <si>
    <t>foresaksgroup.com</t>
  </si>
  <si>
    <t>facebook.com/p/JS-Household-100063545924453/</t>
  </si>
  <si>
    <t>divine.com.mt</t>
  </si>
  <si>
    <t>xtmalta.com</t>
  </si>
  <si>
    <t>refcold.com.mt</t>
  </si>
  <si>
    <t>shaker.com.mt/</t>
  </si>
  <si>
    <t>fairdealfurniture.com.mt/contact-us/</t>
  </si>
  <si>
    <t>joinwell.com.mt/contact-us/</t>
  </si>
  <si>
    <t>theatrium.com.mt/contact-us</t>
  </si>
  <si>
    <t>form.com.mt/contact-us/</t>
  </si>
  <si>
    <t>scavolini.mt/</t>
  </si>
  <si>
    <t>carmelodelia.com/contact</t>
  </si>
  <si>
    <t>Wall Panels</t>
  </si>
  <si>
    <t>3D Wall Panels</t>
  </si>
  <si>
    <t>Corrugated Sheet</t>
  </si>
  <si>
    <t>Nine Yards</t>
  </si>
  <si>
    <t>Mega Home</t>
  </si>
  <si>
    <t>BF Marbles</t>
  </si>
  <si>
    <t>Quality Wall Panels</t>
  </si>
  <si>
    <t>Vicali Interiors</t>
  </si>
  <si>
    <t>Big Mat</t>
  </si>
  <si>
    <t>Gypsum Works Malta</t>
  </si>
  <si>
    <t>Panels Hub Malta</t>
  </si>
  <si>
    <t>AP Homes Malta</t>
  </si>
  <si>
    <t>Evolve</t>
  </si>
  <si>
    <t>MultiTrade</t>
  </si>
  <si>
    <t>KS Projects</t>
  </si>
  <si>
    <t>info@nineyards.com.mt</t>
  </si>
  <si>
    <t>info@megahome.mt</t>
  </si>
  <si>
    <t>info@vicalinteriors.com</t>
  </si>
  <si>
    <t>info@aptc.com.mt</t>
  </si>
  <si>
    <t>sales@panelshubmalta.com</t>
  </si>
  <si>
    <t>info@aphomes.com.mt</t>
  </si>
  <si>
    <t>info@rsgroup.com.mt</t>
  </si>
  <si>
    <t>sales@multitrademalta.com</t>
  </si>
  <si>
    <t>info@ksprojects.mt</t>
  </si>
  <si>
    <t>No.1, Triq Daniel Sammut, Lija, c/w Triq l-Gherusija, Balzan</t>
  </si>
  <si>
    <t>Triq Il-Vitorja, Ħal Qormi QRM 2504</t>
  </si>
  <si>
    <t>40, Balzan Valley Road, Balzan BZN 1407 - Malta</t>
  </si>
  <si>
    <t>84, Qormi Road, Hamrun</t>
  </si>
  <si>
    <t>Mdina Road,
Zebbug, Malta,
ZBG 9019</t>
  </si>
  <si>
    <t>Industrial Zone, ATD 4000 Ta' Qali</t>
  </si>
  <si>
    <t>Office Furniture</t>
  </si>
  <si>
    <t>nineyards.com.mt/</t>
  </si>
  <si>
    <t>megahome.mt/product/3d-wall-panels/</t>
  </si>
  <si>
    <t>bfmarbles.com/#</t>
  </si>
  <si>
    <t>facebook.com/profile.php?id=61561349402968</t>
  </si>
  <si>
    <t>vicalinteriors.com/</t>
  </si>
  <si>
    <t>maltadiy.com/product-category/floors-walls/walls/3d-wall-panels/?utm_source=chatgpt.com</t>
  </si>
  <si>
    <t>bigmatmalta.com/collections/wall-panels?utm_source=chatgpt.com</t>
  </si>
  <si>
    <t>dv.mt/showroom-category/3d-panels/</t>
  </si>
  <si>
    <t>gypsumworksmalta.com/store/c14/Panels</t>
  </si>
  <si>
    <t>panelshubmalta.com/flexible-panels/</t>
  </si>
  <si>
    <t>aphomesmalta.com/store/c3/PVC_panels.html#/</t>
  </si>
  <si>
    <t>homemate.com.mt/product-category/feature-wall-planks</t>
  </si>
  <si>
    <t>evolve.com.mt/products/wall-decor-malta/#3dwalls</t>
  </si>
  <si>
    <t>multitrademalta.com/product-tag/corrugated-sheet/?utm_source=chatgpt.com</t>
  </si>
  <si>
    <t>facebook.com/profile.php?id=100091956755959</t>
  </si>
  <si>
    <t>theatrium.com.mt/search-site-results?nostock=0&amp;search=panel</t>
  </si>
  <si>
    <t>Round Table</t>
  </si>
  <si>
    <t>Tables</t>
  </si>
  <si>
    <t>Round Table, GLASS</t>
  </si>
  <si>
    <t>Brands International</t>
  </si>
  <si>
    <t>MaltaDIY</t>
  </si>
  <si>
    <t>Ferrara Casa</t>
  </si>
  <si>
    <t>Office Line Malta</t>
  </si>
  <si>
    <t>Link Projects</t>
  </si>
  <si>
    <t>Vivendo</t>
  </si>
  <si>
    <t>IKEA</t>
  </si>
  <si>
    <t>SATARIANO</t>
  </si>
  <si>
    <t>Mega Store</t>
  </si>
  <si>
    <t>info@officelinemalta.com</t>
  </si>
  <si>
    <t>info@linkprojects.com.mt</t>
  </si>
  <si>
    <t>info@vivendo.mt</t>
  </si>
  <si>
    <t>info@satariano.com</t>
  </si>
  <si>
    <t>Ramilene Office Supplies Ltd
50/51 Ramilene Building
Triq it-Torri, Swatar – B’Kara
BKR 4011, Malta</t>
  </si>
  <si>
    <t>Triq tal-Balal, San Gwann, Malta</t>
  </si>
  <si>
    <t>Baldacchino Building B, Triq Il-Belt Valletta, Zurrieq</t>
  </si>
  <si>
    <t>Anthony Valletta Street, Swatar</t>
  </si>
  <si>
    <t>70, Ta' Xbiex Seafront , Msida, Malta</t>
  </si>
  <si>
    <t>122, Valley Road Birkirkara, BKR 9024</t>
  </si>
  <si>
    <t>Central Business District, Giovanni Felice Street - Zone 3, Birkirkara CBD 3120, Malta</t>
  </si>
  <si>
    <t>sales@ramilenemalta.com</t>
  </si>
  <si>
    <t>dv.mt</t>
  </si>
  <si>
    <t>brands.com.mt/</t>
  </si>
  <si>
    <t>maltadiy.com/product-category/lights-and-tech/lights/</t>
  </si>
  <si>
    <t>officelinemalta.com/</t>
  </si>
  <si>
    <t>linkprojects.com.mt/</t>
  </si>
  <si>
    <t>vivendo.mt/</t>
  </si>
  <si>
    <t>ikea.com/it/it/p/mariedamm-tavolo-grigio-scuro-50441510/</t>
  </si>
  <si>
    <t>satariano.com/products/room/tables/</t>
  </si>
  <si>
    <t>megastore.com.mt/en_MT/p/MITTZON-Conference-table%2C-round-walnut-veneerblack%2C-120x75-cm/2145800</t>
  </si>
  <si>
    <t>theatrium.com.mt/dining/dining-tables/atmosphera-ostras-dining-table-diameter-120cm-glass/Item?c=528741</t>
  </si>
  <si>
    <t>theatrium.com.mt/dining/dining-tables/roxby-dining-table-black-oak-105cm/Item?c=267474</t>
  </si>
  <si>
    <t>theatrium.com.mt/dining/dining-tables/heaven-round-dining-table-with-clear-tempered-glass-top-and-thick-black-metal-legs/Item?c=512388</t>
  </si>
  <si>
    <t>megastore.com.mt/en_MT/p/VIHALS-Table%2C-whitewhite%2C-107-cm/2237008</t>
  </si>
  <si>
    <t>105cm Diameter</t>
  </si>
  <si>
    <t>120cm Diameter</t>
  </si>
  <si>
    <t>107cm Diameter</t>
  </si>
  <si>
    <t>Price</t>
  </si>
  <si>
    <t>200EUR</t>
  </si>
  <si>
    <t>Up on Reqquest</t>
  </si>
  <si>
    <t>240EUR</t>
  </si>
  <si>
    <t>202EUR</t>
  </si>
  <si>
    <t>275EUR</t>
  </si>
  <si>
    <t>365EUR</t>
  </si>
  <si>
    <t>101EUR</t>
  </si>
  <si>
    <t>Supplier</t>
  </si>
  <si>
    <t>Kave Home</t>
  </si>
  <si>
    <t>Type</t>
  </si>
  <si>
    <t>Round, 4 Legs</t>
  </si>
  <si>
    <t>Round, 1 Leg</t>
  </si>
  <si>
    <t>Description</t>
  </si>
  <si>
    <t>120cm Diameter, Glass Top</t>
  </si>
  <si>
    <t>105cm Diameter, Black Vinyl</t>
  </si>
  <si>
    <t>107cm Diameter, White Vinyl</t>
  </si>
  <si>
    <t>120cm Diameter, Walnut Veneer</t>
  </si>
  <si>
    <t>105cm Diameter, Light Oak Veneer</t>
  </si>
  <si>
    <t>110cm Diameter, White Plastic</t>
  </si>
  <si>
    <t>110cm Diameter, Black Veneer</t>
  </si>
  <si>
    <t>120cm Diameter, White Vinyl</t>
  </si>
  <si>
    <t>375EUR</t>
  </si>
  <si>
    <t>237EUR</t>
  </si>
  <si>
    <t>280EUR</t>
  </si>
  <si>
    <t>260EUR</t>
  </si>
  <si>
    <t>390EUR</t>
  </si>
  <si>
    <t>440EUR</t>
  </si>
  <si>
    <t>Link</t>
  </si>
  <si>
    <t>https://www.theatrium.com.mt/dining/dining-tables/atmosphera-ostras-dining-table-diameter-120cm-glass/Item?c=528741</t>
  </si>
  <si>
    <t>https://www.theatrium.com.mt/dining/dining-tables/heaven-round-dining-table-with-clear-tempered-glass-top-and-thick-black-metal-legs/Item?c=512388</t>
  </si>
  <si>
    <t>https://www.theatrium.com.mt/dining/dining-tables/roxby-dining-table-black-oak-105cm/Item?c=267474</t>
  </si>
  <si>
    <t>https://www.megastore.com.mt/en_MT/p/VIHALS-Table%2C-whitewhite%2C-107-cm/2237008</t>
  </si>
  <si>
    <t>https://www.megastore.com.mt/en_MT/p/MITTZON-Conference-table%2C-round-walnut-veneerblack%2C-120x75-cm/2145800</t>
  </si>
  <si>
    <t>https://www.theatrium.com.mt/dining/dining-tables/roxby-dining-table-light-oak-top-black-legs-105cm/Item?c=267475</t>
  </si>
  <si>
    <t>https://www.theatrium.com.mt/dining/dining-tables/ibiza-round-table-110cm-diameter-white/Item?c=510667</t>
  </si>
  <si>
    <t>https://www.okhome.com.mt/products/matt+table/</t>
  </si>
  <si>
    <t>https://kavehome.mt/products/argo-round-table-in-white-melamine-and-steel-legs-with-black-finish-o-120-cm?variant=48354606219497</t>
  </si>
  <si>
    <t>Living Room</t>
  </si>
  <si>
    <t>Power House</t>
  </si>
  <si>
    <t>Domesica</t>
  </si>
  <si>
    <t>OnePercent</t>
  </si>
  <si>
    <t>form</t>
  </si>
  <si>
    <t>Dari</t>
  </si>
  <si>
    <t>Satariano</t>
  </si>
  <si>
    <t>Dino Fino</t>
  </si>
  <si>
    <t>Borge Group</t>
  </si>
  <si>
    <t>Bond's</t>
  </si>
  <si>
    <t>Immagine Casa</t>
  </si>
  <si>
    <t>FerraraCasa</t>
  </si>
  <si>
    <t>Construct Furniture</t>
  </si>
  <si>
    <t>MaltaShopper.com</t>
  </si>
  <si>
    <t>Azeta</t>
  </si>
  <si>
    <t>Arko</t>
  </si>
  <si>
    <t>Luks Furniture</t>
  </si>
  <si>
    <t>Lingonberries</t>
  </si>
  <si>
    <t>Loft</t>
  </si>
  <si>
    <t>Gauci Woods</t>
  </si>
  <si>
    <t>info@joinwell.com.mt</t>
  </si>
  <si>
    <t>service@oxfordhouse.com.mt</t>
  </si>
  <si>
    <t>info@borgegroup.com</t>
  </si>
  <si>
    <t>info@azeta.com.mt</t>
  </si>
  <si>
    <t>info@arkomalta.com</t>
  </si>
  <si>
    <t>info@luksfurniture.com</t>
  </si>
  <si>
    <t>sales@lingonberries.eu</t>
  </si>
  <si>
    <t>info@loft.com.mt</t>
  </si>
  <si>
    <t>Power House, 13,
Censu Bugeja Street,
Birkirkara, Malta</t>
  </si>
  <si>
    <t>Domestica Complex, Level 1, Valley Road
Msida, MSD 9091, Malta</t>
  </si>
  <si>
    <t>Valley Road
Msida MSD 9022</t>
  </si>
  <si>
    <t>159, Tip Top Buildings,
St Thomas Street, Fgura,  FGR1605</t>
  </si>
  <si>
    <t>The Atrium, Giovanni Felice Street, Zone 3, Central Business District, Birkirkara CBD 3120</t>
  </si>
  <si>
    <t>OK Home, Pantar Road,
Lija, Malta</t>
  </si>
  <si>
    <t>Homemate Mriehel</t>
  </si>
  <si>
    <t>Triq il-Wied Ta' L-Imsida, L-Imsida</t>
  </si>
  <si>
    <t>Triq L-Imdina,
Zone 2, Central Business District,
Birkirkara CBD 2010, Malta</t>
  </si>
  <si>
    <t>Triq-Il Mosta, Lija, Malta</t>
  </si>
  <si>
    <t>BDI, 1, Triq Pietru Felici, Qormi, Malta</t>
  </si>
  <si>
    <t>122, Msida Valley Road B’kara BKR 9024</t>
  </si>
  <si>
    <t>Industrial Estate
Ħandaq Qormi,
QRM 4000, Malta</t>
  </si>
  <si>
    <t>Karrari (Showroom), Avenue 77, Commerce Street, Central Business District, , Birkirkara, Malta</t>
  </si>
  <si>
    <t>Dino Fino Home + Contract, Msida, Valley Road, Birkirkara, Birkirkara, Malta</t>
  </si>
  <si>
    <t>Bond’s Limited Mdina Road, Attard, ATD 9039</t>
  </si>
  <si>
    <t>Valley Road, Birkirkara, Malta.</t>
  </si>
  <si>
    <t>40, Industrial Estate, Luqa
LQA 3000, Malta</t>
  </si>
  <si>
    <t>162 Cannon Road, Santa Venera,
SVR 9034, Malta</t>
  </si>
  <si>
    <t>Triq L-Imdina, Zone 2 Central Business District, Birkirkara CBD 2010, Malta</t>
  </si>
  <si>
    <t>Azeta Limited
354 Cannon Road,
St Venera
SVR9033
Malta</t>
  </si>
  <si>
    <t>86
Triq Valletta
Hal Luqa
Malta  LQA 1762</t>
  </si>
  <si>
    <t>Triq is-Salib Ta' l-Imriehel
Business District
Mriehel</t>
  </si>
  <si>
    <t>Luks Furniture, Triq L-Imdina, Attard</t>
  </si>
  <si>
    <t>27 Triq Wignacourt, Birkirkara</t>
  </si>
  <si>
    <t>Custom Furniture/Storage Unit</t>
  </si>
  <si>
    <t>joinwell.com.mt/</t>
  </si>
  <si>
    <t>powerhousemalta.eu/</t>
  </si>
  <si>
    <t>fairdealfurniture.com.mt/</t>
  </si>
  <si>
    <t>domestica.com.mt/</t>
  </si>
  <si>
    <t>onepercent.com.mt/</t>
  </si>
  <si>
    <t>distincthomes.com.mt/</t>
  </si>
  <si>
    <t>indexmalta.com/</t>
  </si>
  <si>
    <t>okhome.com.mt/</t>
  </si>
  <si>
    <t>theatrium.com.mt/living</t>
  </si>
  <si>
    <t>homemate.com.mt/</t>
  </si>
  <si>
    <t>form.com.mt/living/</t>
  </si>
  <si>
    <t>oxfordhouse.com.mt/</t>
  </si>
  <si>
    <t>jysk.com.mt/</t>
  </si>
  <si>
    <t>homesbybdi.com/en/home</t>
  </si>
  <si>
    <t>dari.mt/living-rooms/</t>
  </si>
  <si>
    <t>satariano.com/</t>
  </si>
  <si>
    <t>karrari.shop/</t>
  </si>
  <si>
    <t>dinofino.com/</t>
  </si>
  <si>
    <t>borgegroup.com/</t>
  </si>
  <si>
    <t>bondsmalta.com/</t>
  </si>
  <si>
    <t>immaginecasamalta.com/living-2/</t>
  </si>
  <si>
    <t>constructfurniture.com.mt/contact-us/</t>
  </si>
  <si>
    <t>maltashopper.com/</t>
  </si>
  <si>
    <t>orienta.mt/</t>
  </si>
  <si>
    <t>azeta.com.mt/pages/contact</t>
  </si>
  <si>
    <t>danielwoodworksmalta.com/en/home.htm</t>
  </si>
  <si>
    <t>arkomalta.com/</t>
  </si>
  <si>
    <t>luksfurniture.com/</t>
  </si>
  <si>
    <t>luxonas.com/</t>
  </si>
  <si>
    <t>lingonberries.mt/</t>
  </si>
  <si>
    <t>Also: dorianne@azeta.com.mt OR 77043376</t>
  </si>
  <si>
    <t>PM Hobby</t>
  </si>
  <si>
    <t>Design Hub</t>
  </si>
  <si>
    <t>De Valier</t>
  </si>
  <si>
    <t>Def Furniture</t>
  </si>
  <si>
    <t>JCR Furniture</t>
  </si>
  <si>
    <t>Custom Workshop Malta</t>
  </si>
  <si>
    <t>Amets Furniture</t>
  </si>
  <si>
    <t>Turnkey Services Malta</t>
  </si>
  <si>
    <t>Ciantar Woodworks</t>
  </si>
  <si>
    <t>C&amp;M Woodworks</t>
  </si>
  <si>
    <t>Kasarreda</t>
  </si>
  <si>
    <t>Lupa</t>
  </si>
  <si>
    <t>Saliba Woodworks</t>
  </si>
  <si>
    <t>Paul Target</t>
  </si>
  <si>
    <t>Mon Lung Woodworks</t>
  </si>
  <si>
    <t>sales@pmhobby.com.mt</t>
  </si>
  <si>
    <t>customer@devalier.com.mt</t>
  </si>
  <si>
    <t>info@deffurniture.com</t>
  </si>
  <si>
    <t>thecustomworkshop@gmail.com</t>
  </si>
  <si>
    <t>info@ametsfurniture.com</t>
  </si>
  <si>
    <t>info@ts-malta.com</t>
  </si>
  <si>
    <t>candmww@gmail.com</t>
  </si>
  <si>
    <t>kasa.arreda@gmail.com</t>
  </si>
  <si>
    <t>info@lupa.mt</t>
  </si>
  <si>
    <t>chrissaliba295@gmail.com</t>
  </si>
  <si>
    <t>info@paultarget.com</t>
  </si>
  <si>
    <t>monlung@onvol.net</t>
  </si>
  <si>
    <t>Suppliers</t>
  </si>
  <si>
    <t>Garden</t>
  </si>
  <si>
    <t>Garden chair</t>
  </si>
  <si>
    <t>Garden table</t>
  </si>
  <si>
    <t>Hanging chair</t>
  </si>
  <si>
    <t>Garden umbrellas</t>
  </si>
  <si>
    <t>Plants</t>
  </si>
  <si>
    <t>Landscaping</t>
  </si>
  <si>
    <t>Protrade Decor</t>
  </si>
  <si>
    <t>camilleriparismode</t>
  </si>
  <si>
    <t>Patrolea</t>
  </si>
  <si>
    <t>G D L Trading &amp; Services Ltd</t>
  </si>
  <si>
    <t>Piscopo Gardens Ltd</t>
  </si>
  <si>
    <t>Pitre Home</t>
  </si>
  <si>
    <t>CHL Ltd</t>
  </si>
  <si>
    <t>Rattatan</t>
  </si>
  <si>
    <t>Garden House</t>
  </si>
  <si>
    <t>HomeTrends Home &amp; Garden</t>
  </si>
  <si>
    <t>Sherries Estates</t>
  </si>
  <si>
    <t>Kenneth Hardware Stores</t>
  </si>
  <si>
    <t>Peter Camilleri &amp; Sons</t>
  </si>
  <si>
    <t>Butlers</t>
  </si>
  <si>
    <t>Rennie Scicluna</t>
  </si>
  <si>
    <t>Calypso Mfg Ltd</t>
  </si>
  <si>
    <t>de Valier Co Ltd</t>
  </si>
  <si>
    <t>Zet Ltd</t>
  </si>
  <si>
    <t>Flowe Zone</t>
  </si>
  <si>
    <t>Parisio Nursery &amp; Garden Centre</t>
  </si>
  <si>
    <t>F M Agius Nurseries</t>
  </si>
  <si>
    <t>Innovative Green Ltd</t>
  </si>
  <si>
    <t>Jardinland</t>
  </si>
  <si>
    <t>Secret Garden</t>
  </si>
  <si>
    <t>The Gaia Foundation</t>
  </si>
  <si>
    <t>Green Scapes</t>
  </si>
  <si>
    <t>Callus Garden Centre</t>
  </si>
  <si>
    <t>BSS Ltd</t>
  </si>
  <si>
    <t>Derek Garden Centre</t>
  </si>
  <si>
    <t>Garland Malta</t>
  </si>
  <si>
    <t>All Seasons Home and Garden</t>
  </si>
  <si>
    <t>protrade@protrademalta.com</t>
  </si>
  <si>
    <t>you@camilleriparismode.com</t>
  </si>
  <si>
    <t>sales@patroleamalta.com</t>
  </si>
  <si>
    <t>peter@gdl.com.mt</t>
  </si>
  <si>
    <t>info@piscopogardens.com</t>
  </si>
  <si>
    <t>https://www.malta-design.com/en/1652-chairs-and-tables</t>
  </si>
  <si>
    <t>home@jpitre.com</t>
  </si>
  <si>
    <t>info@chlmalta.com</t>
  </si>
  <si>
    <t>info@rattatanshop.mt</t>
  </si>
  <si>
    <t>dicalgroup@gmail.com</t>
  </si>
  <si>
    <t>info@sherriesestates.com</t>
  </si>
  <si>
    <t>info@khsmalta.com</t>
  </si>
  <si>
    <t>customercare@butlers.com.mt</t>
  </si>
  <si>
    <t>sciclunarennie@gmail.com</t>
  </si>
  <si>
    <t>on website</t>
  </si>
  <si>
    <t>info@calypsomfg.com</t>
  </si>
  <si>
    <t>suzanne@zetltd</t>
  </si>
  <si>
    <t>info@flowerzonemalta.com</t>
  </si>
  <si>
    <t>parisio@maltanet.net</t>
  </si>
  <si>
    <t>samoaattard14@gmail.com</t>
  </si>
  <si>
    <t>info@innogreens.com</t>
  </si>
  <si>
    <t>info@jardinland.com.mt</t>
  </si>
  <si>
    <t>alanmifsudmt@gmail.com</t>
  </si>
  <si>
    <t>admin@projectgaia.org</t>
  </si>
  <si>
    <t>info@greenscapes.com.mt</t>
  </si>
  <si>
    <t>info@callusgardencentre.com</t>
  </si>
  <si>
    <t>info@bssagri.com</t>
  </si>
  <si>
    <t>sales@derekmalta.com / flowershop@derekmalta.com</t>
  </si>
  <si>
    <t>projects@garlandmalta.com</t>
  </si>
  <si>
    <t>customercare@allseasons.mt</t>
  </si>
  <si>
    <t>Triq tal-Balal, San Gwann</t>
  </si>
  <si>
    <t>Triq Pantar, Lija</t>
  </si>
  <si>
    <t>Zone 5 Triq Is-Sebh Central Business District, Qormi</t>
  </si>
  <si>
    <t>54 Triq Santa Katerina, Rabat</t>
  </si>
  <si>
    <t>Triq il-Wied ta' I-Imsida, Msida</t>
  </si>
  <si>
    <t>70 Triq is-Salib tal-Marsa</t>
  </si>
  <si>
    <t>Triq Toni Camilleri, Burmarrad</t>
  </si>
  <si>
    <t>Mdina Road, Qormi</t>
  </si>
  <si>
    <t>Kampanja Triq in-Nigret, Rabat</t>
  </si>
  <si>
    <t>Sliema, Malta</t>
  </si>
  <si>
    <t>Triq Sant' Anton Abbati, Mosta</t>
  </si>
  <si>
    <t>Ta Ghadajma l/o Mqabba</t>
  </si>
  <si>
    <t>JPR Bldgs Qasam Industrijali, San Gwann</t>
  </si>
  <si>
    <t>Burmarrad Road, Burmarrad</t>
  </si>
  <si>
    <t>Triq L-Imprendituri, Industrial Zone 3, Central business district, Birkirkara, CBD 3090</t>
  </si>
  <si>
    <t>54, Castaldi Street, Zabbar</t>
  </si>
  <si>
    <t>31, Cross Road, Marsa</t>
  </si>
  <si>
    <t>Triq is-Salib Ta' I-Imriehel Business District Mriehel</t>
  </si>
  <si>
    <t>210 Old Railway Track, Santa Venera</t>
  </si>
  <si>
    <t>Pjazza A De Paule Rahal Gdid, PLA 1269</t>
  </si>
  <si>
    <t>139, Bajada Street, Zabbar, Malta</t>
  </si>
  <si>
    <t>Triq Hal Resqun, Gudja</t>
  </si>
  <si>
    <t>5 Triq Cospicua, Fgura</t>
  </si>
  <si>
    <t>The Old Factory, Zone 3 Triq San Gwakkin Central Business District, B'Kara</t>
  </si>
  <si>
    <t>UB 19 Qasam Industrijali, San Gwann</t>
  </si>
  <si>
    <t>Triq ta' Dun Luqa, Sannat-Gozo</t>
  </si>
  <si>
    <t>73 Triq Sir Ugo Mifsud, Lija</t>
  </si>
  <si>
    <t>Redentur Triq San Gilijan, B'Kara</t>
  </si>
  <si>
    <t>22 Triq il-Belt Valletta, Qormi</t>
  </si>
  <si>
    <t>Triq Ghajn Tuffieha, San Pawl ll-Bahar</t>
  </si>
  <si>
    <t>153 Triq il-Kappilan Mifsud, Sta Venera</t>
  </si>
  <si>
    <t>The Elysium Tree Nursery And Visitors Centre Triq in-Nahhalija Ghajn Tuffieha, Mellieha</t>
  </si>
  <si>
    <t>Zebbug Road Attard</t>
  </si>
  <si>
    <t>Triq L-Imqabba, Is-Siggiewi</t>
  </si>
  <si>
    <t>Triq L-Imdina, Zebbug</t>
  </si>
  <si>
    <t>71 Canon Road, Qormi</t>
  </si>
  <si>
    <t>Furniture</t>
  </si>
  <si>
    <t>facebook.com/@protrademalta/</t>
  </si>
  <si>
    <t>camilleriparismode.com</t>
  </si>
  <si>
    <t>facebook.com/maltawarehousesale/</t>
  </si>
  <si>
    <t>piscopogardens.com</t>
  </si>
  <si>
    <t>pitreonline.com</t>
  </si>
  <si>
    <t>chlmalta.com</t>
  </si>
  <si>
    <t>rattatanshop.mt</t>
  </si>
  <si>
    <t>facebook.com/p/Garden-House-100066818242898/</t>
  </si>
  <si>
    <t>hometrends.com.mt</t>
  </si>
  <si>
    <t>sherriesestates.com</t>
  </si>
  <si>
    <t>tabonedirect.com</t>
  </si>
  <si>
    <t>khsmalta.com</t>
  </si>
  <si>
    <t>arkomalta.com</t>
  </si>
  <si>
    <t>facebook.com/gejtumarmara/</t>
  </si>
  <si>
    <t>bigmatmalta.com</t>
  </si>
  <si>
    <t>butlers.com.mt</t>
  </si>
  <si>
    <t>fbpmalta.com/index.php/products/household/chairs-tables</t>
  </si>
  <si>
    <t>sciclunarennie.com</t>
  </si>
  <si>
    <t>calypsomfg.com</t>
  </si>
  <si>
    <t>devalier.com.mt</t>
  </si>
  <si>
    <t>facebook.com/people/Zet-Ltd/61555689586816/</t>
  </si>
  <si>
    <t>flowerzonemalta.com</t>
  </si>
  <si>
    <t>facebook.com/p/Parisio-Nursery-Garden-Centre-100057061346114/</t>
  </si>
  <si>
    <t>facebook.com/fmagius/?utm_source=Yellow&amp;utm_medium=Yellow-Website&amp;utm_campaign=Landing-Page</t>
  </si>
  <si>
    <t>innogreens.com</t>
  </si>
  <si>
    <t>jardinland.com.mt</t>
  </si>
  <si>
    <t>facebook.com/secretgardenmalta?utm_source=Yellow&amp;utm_medium=Yellow-Website&amp;utm_campaign=Landing-Page</t>
  </si>
  <si>
    <t>projectgaia.org</t>
  </si>
  <si>
    <t>greenscapes.com.mt</t>
  </si>
  <si>
    <t>callusgardencentre.com</t>
  </si>
  <si>
    <t>bssagri.com</t>
  </si>
  <si>
    <t>derekmalta.com</t>
  </si>
  <si>
    <t>garlandmalta.com/</t>
  </si>
  <si>
    <t>allseasons.mt/</t>
  </si>
  <si>
    <t>NOTE: Look up items which are permitted in the Outdoor Catering Area such as tables, chairs, heaters, planters, and serving stations. Excluding shading equipment/structures</t>
  </si>
  <si>
    <t>Style Interni</t>
  </si>
  <si>
    <t>Pitre Home Ltd, Mdina Road, Qormi</t>
  </si>
  <si>
    <t>Wallpaper</t>
  </si>
  <si>
    <t>pitreonline.com/</t>
  </si>
  <si>
    <t>Wallpapers</t>
  </si>
  <si>
    <t>Spot On Lighting</t>
  </si>
  <si>
    <t>Big Ben Interiors</t>
  </si>
  <si>
    <t>info@spotonmalta.com</t>
  </si>
  <si>
    <t>info@bigbeninteriors.com.mt</t>
  </si>
  <si>
    <t>2149 6473</t>
  </si>
  <si>
    <t>2166 8880</t>
  </si>
  <si>
    <t>9997 5737</t>
  </si>
  <si>
    <t>7724 4377</t>
  </si>
  <si>
    <t>2788 3788</t>
  </si>
  <si>
    <t>2144 7347</t>
  </si>
  <si>
    <t>102 Palm Street,
PLA1414 Paola MALTA.</t>
  </si>
  <si>
    <t>Naxxar Road, Birkirkara,
Malta, BKR 9045</t>
  </si>
  <si>
    <t>Mouldings</t>
  </si>
  <si>
    <t>spotonmalta.com/</t>
  </si>
  <si>
    <t>megahome.mt/</t>
  </si>
  <si>
    <t>bigbeninteriors.com.mt/</t>
  </si>
  <si>
    <t>Skirting</t>
  </si>
  <si>
    <t>SOLL</t>
  </si>
  <si>
    <t>79628055</t>
  </si>
  <si>
    <t>7903 0403</t>
  </si>
  <si>
    <t>B1, Midland Enterprise Park
Burmarrad Road,
Naxxar, Malta</t>
  </si>
  <si>
    <t>ADD</t>
  </si>
  <si>
    <t>soll.mt/</t>
  </si>
  <si>
    <t>Phone</t>
  </si>
  <si>
    <t>Decor</t>
  </si>
  <si>
    <t>Artistic and Creative Finishes</t>
  </si>
  <si>
    <t>Clocks</t>
  </si>
  <si>
    <t>Frames and Pictures</t>
  </si>
  <si>
    <t>venezianocreazioni@gmail.com</t>
  </si>
  <si>
    <t>Veneziano Creazioni</t>
  </si>
  <si>
    <t>Mosta, Malta</t>
  </si>
  <si>
    <t>Business Cards</t>
  </si>
  <si>
    <t>facebook.com/venezianocreazioni/?locale=it_IT</t>
  </si>
  <si>
    <t>Turbo Signs</t>
  </si>
  <si>
    <t>turbosigns@outlook.com</t>
  </si>
  <si>
    <t>Parades Street, St Paul's Bay</t>
  </si>
  <si>
    <t>Laundry room</t>
  </si>
  <si>
    <t>turbosignsmalta.com/</t>
  </si>
  <si>
    <t>Washing machine</t>
  </si>
  <si>
    <t>Dryer machine</t>
  </si>
  <si>
    <t>Cath's Home</t>
  </si>
  <si>
    <t>Gorg TV &amp; Hi Fi Centre</t>
  </si>
  <si>
    <t>Stop Shop Melita St Paul's Bay</t>
  </si>
  <si>
    <t>caths@melita.com</t>
  </si>
  <si>
    <t>georgetvhifi@gmail.com</t>
  </si>
  <si>
    <t>admin@stopshopmt.com</t>
  </si>
  <si>
    <t>Triq il-Gzira, Malta GZR 1312</t>
  </si>
  <si>
    <t>191 Triq Hal Qormi, Marsa</t>
  </si>
  <si>
    <t>Triq il-Lampuki, San Pawl ll-Bahar</t>
  </si>
  <si>
    <t>UV Films</t>
  </si>
  <si>
    <t>facebook.com/cathshome</t>
  </si>
  <si>
    <t>Custom Frosted Window Film</t>
  </si>
  <si>
    <t>SolarTech</t>
  </si>
  <si>
    <t>Recowatt</t>
  </si>
  <si>
    <t>Sign World Malta</t>
  </si>
  <si>
    <t>Polidano Press</t>
  </si>
  <si>
    <t>Just LTD Malta</t>
  </si>
  <si>
    <t>Zaffarese</t>
  </si>
  <si>
    <t>GRF Contractor Studio</t>
  </si>
  <si>
    <t>Opaque</t>
  </si>
  <si>
    <t>info@recowatt.com</t>
  </si>
  <si>
    <t>solartechmalta@gmail.com</t>
  </si>
  <si>
    <t>info@signworldmalta.com</t>
  </si>
  <si>
    <t>ppl@pplmalta.com</t>
  </si>
  <si>
    <t>info@justltdmalta.com</t>
  </si>
  <si>
    <t>admin@zaffarese.com</t>
  </si>
  <si>
    <t>contact@opaque.mt</t>
  </si>
  <si>
    <t>12, SolarTech, Triq il-Masgar
Qormi, QRM 3217, Malta</t>
  </si>
  <si>
    <t>Triq L-Imdina, Ħaż-Żebbuġ ZBG 9019, Malta</t>
  </si>
  <si>
    <t>Triq il-Frangiskani, L-Imsida
MSD 1120, Malta</t>
  </si>
  <si>
    <t>112 Industrial Estate , Ħal Luqa, Malta</t>
  </si>
  <si>
    <t>194, Luqa Briffa Street, Gzira GZR1504, Malta</t>
  </si>
  <si>
    <t>CCG Building, Triq 3 Ta’ Settembru 1798
Zone 3, Central Business District, Birkirkara
CBD 3100 Malta</t>
  </si>
  <si>
    <t>blinds</t>
  </si>
  <si>
    <t>solartech.com.mt/</t>
  </si>
  <si>
    <t>recowatt.com/</t>
  </si>
  <si>
    <t>signworldmalta.com/</t>
  </si>
  <si>
    <t>pplmalta.com/</t>
  </si>
  <si>
    <t>justltdmalta.com/home.html</t>
  </si>
  <si>
    <t>zaffarese.com/</t>
  </si>
  <si>
    <t>opaquemalta.com/</t>
  </si>
  <si>
    <t>Sunlock Window Blinds</t>
  </si>
  <si>
    <t>Blinds &amp; More</t>
  </si>
  <si>
    <t>Gozo Vertical Blinds &amp; Shades Ltd</t>
  </si>
  <si>
    <t>MG Home Interiors</t>
  </si>
  <si>
    <t>Nigel Dimech</t>
  </si>
  <si>
    <t>Blinds4All</t>
  </si>
  <si>
    <t>Kuluri Malta</t>
  </si>
  <si>
    <t>BD blinds</t>
  </si>
  <si>
    <t>latenda</t>
  </si>
  <si>
    <t>yourblinds</t>
  </si>
  <si>
    <t>HML Workshop</t>
  </si>
  <si>
    <t>NBlinds</t>
  </si>
  <si>
    <t>Mi Casa Solutions</t>
  </si>
  <si>
    <t>David Interiors</t>
  </si>
  <si>
    <t>Zebra Blinds Malta</t>
  </si>
  <si>
    <t>Direct Developments</t>
  </si>
  <si>
    <t>JB Stores</t>
  </si>
  <si>
    <t>Budget Blinds</t>
  </si>
  <si>
    <t>Royalty Screen and Blinds</t>
  </si>
  <si>
    <t>sales@blindsandmore.com.mt</t>
  </si>
  <si>
    <t>info@sunlockblinds.com</t>
  </si>
  <si>
    <t>info@gozoverticals.com</t>
  </si>
  <si>
    <t>mghomeinteriorsltd@gmail.com</t>
  </si>
  <si>
    <t>info@nigeldimech.com</t>
  </si>
  <si>
    <t>sales@blinds4all.mt</t>
  </si>
  <si>
    <t>kulurimalta@gmail.com</t>
  </si>
  <si>
    <t>info@bdblinds.mt</t>
  </si>
  <si>
    <t>hello@latenda.com.mt</t>
  </si>
  <si>
    <t>info@yourblindsmalta.com</t>
  </si>
  <si>
    <t>shop@megastore.com.mt</t>
  </si>
  <si>
    <t>info@hml.com.mt</t>
  </si>
  <si>
    <t>nblindsmalta@gmail.com</t>
  </si>
  <si>
    <t>micasasolutions3@gmail.com</t>
  </si>
  <si>
    <t>info@davidinteriors.com</t>
  </si>
  <si>
    <t>sales@pvcmalta.com</t>
  </si>
  <si>
    <t>zebrablindsmalta@gmail.com</t>
  </si>
  <si>
    <t>info@jbstores.com</t>
  </si>
  <si>
    <t>infobudgetblindsmalta@gmail.com</t>
  </si>
  <si>
    <t>info@royaltyscreens.com</t>
  </si>
  <si>
    <t>41 Triq in-Naxxar, San Ġwann, Malta SGN 9030</t>
  </si>
  <si>
    <t>Triq l-Imdina, Żebbuġ, ZBG 9016, Malta</t>
  </si>
  <si>
    <t>MG Home Interiors Ltd, 2 Triq San Tumas, Ħal Luqa</t>
  </si>
  <si>
    <t>KKW 721, Corradino 
Industrial Estate
Paola, PLA 3000, Malta</t>
  </si>
  <si>
    <t>Mriehel, Malta</t>
  </si>
  <si>
    <t>Industrial Estate 
Bulebel, Zejtun
ZTN 3000
Malta</t>
  </si>
  <si>
    <t>58, Daddy’s Court Flat 1, Triq Il-Pitkali, Attard</t>
  </si>
  <si>
    <t>Warehouse No. 25, Hard Rocks Industrial Park, Burmarrad Road, Naxxar, Malta</t>
  </si>
  <si>
    <t>HML Workshop, Cannon Road Qormi</t>
  </si>
  <si>
    <t>Dimech Enterprises Ltd
Centre Point, Triq Valletta
Luqa 
Malta LQA 1762</t>
  </si>
  <si>
    <t>219, Sanctuary Street, Zabbar, Malta</t>
  </si>
  <si>
    <t>156 Triq Ganu, Birkirkara, Malta</t>
  </si>
  <si>
    <t>David Interiors, 161, St. Edwards Street, Qormi</t>
  </si>
  <si>
    <t>L, 52 Triq Il- Muzika, Iklin IKL 1091</t>
  </si>
  <si>
    <t>JB Stores, JB House, Iklin Road, Iklin</t>
  </si>
  <si>
    <t>Triq-il Bufura l-Hamra, Mosta</t>
  </si>
  <si>
    <t>Zircon Suites Triq ta' Zejfa,Mosta, Malta.</t>
  </si>
  <si>
    <t>blindsandmore.com.mt</t>
  </si>
  <si>
    <t>sunlockblinds.com</t>
  </si>
  <si>
    <t>Systems</t>
  </si>
  <si>
    <t>gozoverticals.com/</t>
  </si>
  <si>
    <t>mghomeinteriors.com/#services</t>
  </si>
  <si>
    <t>nigeldimech.com/</t>
  </si>
  <si>
    <t>facebook.com/blinds4allmalta</t>
  </si>
  <si>
    <t>kulurimalta.com/</t>
  </si>
  <si>
    <t>bdblinds.mt/</t>
  </si>
  <si>
    <t>latenda.com.mt/</t>
  </si>
  <si>
    <t>yourblindsmalta.com/</t>
  </si>
  <si>
    <t>megastore.com.mt/</t>
  </si>
  <si>
    <t>hml.com.mt/</t>
  </si>
  <si>
    <t>facebook.com/nblindsmalta/?utm_source=chatgpt.com</t>
  </si>
  <si>
    <t>micasasolutions.eu/</t>
  </si>
  <si>
    <t>davidinteriors.com/en/home.htm</t>
  </si>
  <si>
    <t>pvcmalta.com/en/home.htm</t>
  </si>
  <si>
    <t>zebrablindsmalta.com/</t>
  </si>
  <si>
    <t>maltadiy.com/</t>
  </si>
  <si>
    <t>jbstoresonline.com/</t>
  </si>
  <si>
    <t>budgetblinds.mt/</t>
  </si>
  <si>
    <t>royaltyscreens.com/contact-us</t>
  </si>
  <si>
    <t>Fire alarms</t>
  </si>
  <si>
    <t>CCTV</t>
  </si>
  <si>
    <t>Pv panels</t>
  </si>
  <si>
    <t>J Grima &amp; Co Ltd</t>
  </si>
  <si>
    <t>Antifire Safety &amp; Security Ltd</t>
  </si>
  <si>
    <t>A E C O Telecom &amp; Security Systems</t>
  </si>
  <si>
    <t>Soteria Ltd</t>
  </si>
  <si>
    <t>P D Security Installations</t>
  </si>
  <si>
    <t>Elektro Services</t>
  </si>
  <si>
    <t>Securtek Limited</t>
  </si>
  <si>
    <t>Alarm Tech</t>
  </si>
  <si>
    <t>CB Security</t>
  </si>
  <si>
    <t>CCTV Solutions</t>
  </si>
  <si>
    <t>Correct Terminations Ltd</t>
  </si>
  <si>
    <t>Craud Security</t>
  </si>
  <si>
    <t>Dedicated Micros Ltd</t>
  </si>
  <si>
    <t>Dar Services Ltd</t>
  </si>
  <si>
    <t>DL Techs</t>
  </si>
  <si>
    <t>Eagle Security Systems</t>
  </si>
  <si>
    <t>ECOM Communication &amp; Security</t>
  </si>
  <si>
    <t>Fire &amp; Theft</t>
  </si>
  <si>
    <t>H&amp;C Installations Ltd</t>
  </si>
  <si>
    <t>HiSec</t>
  </si>
  <si>
    <t>IJ Solutions</t>
  </si>
  <si>
    <t>Integrated Electronics Ltd</t>
  </si>
  <si>
    <t>ISPY Projects</t>
  </si>
  <si>
    <t>M I Systems</t>
  </si>
  <si>
    <t>Mediterranean Protection Solutions</t>
  </si>
  <si>
    <t>Secom Ltd</t>
  </si>
  <si>
    <t>Tech Advance Security Systems</t>
  </si>
  <si>
    <t>Universal Micro Security</t>
  </si>
  <si>
    <t>SML</t>
  </si>
  <si>
    <t>Alberta</t>
  </si>
  <si>
    <t>Focal Tech Malta</t>
  </si>
  <si>
    <t>Masco</t>
  </si>
  <si>
    <t>SecureVision</t>
  </si>
  <si>
    <t>Firetech</t>
  </si>
  <si>
    <t>SecuRich</t>
  </si>
  <si>
    <t>Cobra</t>
  </si>
  <si>
    <t>CZ SmartTech</t>
  </si>
  <si>
    <t>AQS ENERGY</t>
  </si>
  <si>
    <t>Alternative Technologies Ltd</t>
  </si>
  <si>
    <t>Solar Solutions Ltd</t>
  </si>
  <si>
    <t>CallejaFormosa Energy Saving</t>
  </si>
  <si>
    <t>CD Power Solutions Co Ltd</t>
  </si>
  <si>
    <t>CFL Group Engineering Malta Ltd</t>
  </si>
  <si>
    <t>CS Technical Services</t>
  </si>
  <si>
    <t>Electrofix Group</t>
  </si>
  <si>
    <t>Gozo Solar Energy</t>
  </si>
  <si>
    <t>JLC energy - home</t>
  </si>
  <si>
    <t>Luxury Living Technologies Limited</t>
  </si>
  <si>
    <t>Power Plus Trading Limited</t>
  </si>
  <si>
    <t>Unit Energy Solar</t>
  </si>
  <si>
    <t>Virtue Solaris</t>
  </si>
  <si>
    <t>info@jgrima.com</t>
  </si>
  <si>
    <t>info@antifire.com.mt</t>
  </si>
  <si>
    <t>info@aeco.com.mt</t>
  </si>
  <si>
    <t>info@pdsecuritymalta.com</t>
  </si>
  <si>
    <t>info@soteria.com.mt</t>
  </si>
  <si>
    <t>info@elektroservices.com.mt</t>
  </si>
  <si>
    <t>info@security.com.mt</t>
  </si>
  <si>
    <t>info@alarmtechmalta.com</t>
  </si>
  <si>
    <t>info@cbsecuritymalta.com</t>
  </si>
  <si>
    <t>darren@d-tech.mt</t>
  </si>
  <si>
    <t>jmallia@vol.net.mt</t>
  </si>
  <si>
    <t>craudsecurity@gmail.com</t>
  </si>
  <si>
    <t>sales@dmicros.com.mt</t>
  </si>
  <si>
    <t>info@darservicesmalta.com</t>
  </si>
  <si>
    <t>dlc.cachia@gmail.com</t>
  </si>
  <si>
    <t>info@eaglesecurity.com.mt</t>
  </si>
  <si>
    <t>ecom@ecommalta.com</t>
  </si>
  <si>
    <t>alarms@maltanet.net</t>
  </si>
  <si>
    <t>sales@hc.com.mt</t>
  </si>
  <si>
    <t>info@hisecurity.com</t>
  </si>
  <si>
    <t>info@ijsolutions.net</t>
  </si>
  <si>
    <t>info@ielmalta.com</t>
  </si>
  <si>
    <t>info@ispyprojects.com</t>
  </si>
  <si>
    <t>info@misystemsmalta.com</t>
  </si>
  <si>
    <t>info@prosolutions.com.mt</t>
  </si>
  <si>
    <t>secom@onvol.net</t>
  </si>
  <si>
    <t>techadvance.security@gmail.com</t>
  </si>
  <si>
    <t>umsmalta@gmail.com</t>
  </si>
  <si>
    <t>info@sml.com.mt</t>
  </si>
  <si>
    <t>info@alberta.com.mt</t>
  </si>
  <si>
    <t>info@focaltechmalta.com</t>
  </si>
  <si>
    <t>info@masco.com.mt</t>
  </si>
  <si>
    <t>info@securevision.com.mt</t>
  </si>
  <si>
    <t>info@firetech.com.mt</t>
  </si>
  <si>
    <t>info@securichmalta.com</t>
  </si>
  <si>
    <t>kevin@cobrainstallations.com</t>
  </si>
  <si>
    <t>info@czsmarttech.com</t>
  </si>
  <si>
    <t>sales@aqsmed.com</t>
  </si>
  <si>
    <t>info@alternativetechnologies.com.mt</t>
  </si>
  <si>
    <t>info@solarsolutions.com.mt</t>
  </si>
  <si>
    <t>info@callejaformosaenergysaving.com</t>
  </si>
  <si>
    <t>info@powersolutions.com.mt</t>
  </si>
  <si>
    <t>cflgroupmalta@gmail.com</t>
  </si>
  <si>
    <t>josephspiteri.cs@gmail.com</t>
  </si>
  <si>
    <t>sales@electrofixgroup.com</t>
  </si>
  <si>
    <t>gozo.solar@gmail.com</t>
  </si>
  <si>
    <t>jlcenergyhome@gmail.com</t>
  </si>
  <si>
    <t>info@llt.com.mt</t>
  </si>
  <si>
    <t>info@powerplusltd.com</t>
  </si>
  <si>
    <t>info@unitenergysolar.com</t>
  </si>
  <si>
    <t>info@virtuesolaris.com</t>
  </si>
  <si>
    <t>130, Triq Salvu Psaila, B'Kara</t>
  </si>
  <si>
    <t>Triq il-Belt Valetta, Qormi</t>
  </si>
  <si>
    <t>10 Triq Amabile Sisner, Fgura</t>
  </si>
  <si>
    <t>25 Triq il-Bennej, Mosta</t>
  </si>
  <si>
    <t>Dawert Hal Ghaxaq</t>
  </si>
  <si>
    <t>347 Triq D’Argens, Il-Gżira</t>
  </si>
  <si>
    <t>9 Triq in-Narcis, San Gwann</t>
  </si>
  <si>
    <t>Sub 901 Triq F S Caruana Qasam Industrijali, San Gwann</t>
  </si>
  <si>
    <t>40 Triq il-Konvoj Ta' Santa Marija, Mqabba</t>
  </si>
  <si>
    <t>258 Triq is-Sur, Fgura</t>
  </si>
  <si>
    <t>Triq Felicia Abela, Zejtun</t>
  </si>
  <si>
    <t>168 Triq Bajada, Zabbar</t>
  </si>
  <si>
    <t>BLB 017 Qasam Industijali, Bulebel, Zejtun</t>
  </si>
  <si>
    <t>Triq il-Belt Valletta, Luqa</t>
  </si>
  <si>
    <t>Triq in-Nafra, Naxxar</t>
  </si>
  <si>
    <t>38 Triq I-Ixprunara, Ghajnsielem-Gozo</t>
  </si>
  <si>
    <t>Triq Adeodato Gatt, Zebbug</t>
  </si>
  <si>
    <t>22 Triq il-Fieres, Tarxien</t>
  </si>
  <si>
    <t>34, flat 1 Triq I-Egrett Isfar, Luqa</t>
  </si>
  <si>
    <t>25 Triq il-Kullegg, Rabat</t>
  </si>
  <si>
    <t>Triq ir-Raghaj, Qormi</t>
  </si>
  <si>
    <t>28 Triq Gemma Portelli, Msida</t>
  </si>
  <si>
    <t>Triq Geronimo Abos, Iklin</t>
  </si>
  <si>
    <t>24 Triq il-Kissier, Mosta</t>
  </si>
  <si>
    <t>127 l-etoile Triq il-Garni, Mellieha</t>
  </si>
  <si>
    <t>84 Triq Stiefnu Zefafa, Marsa</t>
  </si>
  <si>
    <t>Triq il-Kbira, Lija</t>
  </si>
  <si>
    <t>Garage 4 Triq Edgar Ferro, Pieta'</t>
  </si>
  <si>
    <t>Blu Building, Qormi Road, Luqa</t>
  </si>
  <si>
    <t>Triq San Gwakkin, Zone 3,
Central Business District, Birkirkara,
CBD 3030, Malta</t>
  </si>
  <si>
    <t>Masco House, Valletta Road, Mosta</t>
  </si>
  <si>
    <t>Focal Tech Malta
Triq Alfredo Cachia Zammit.
Zejtun, Malta</t>
  </si>
  <si>
    <t>Securevision,
W.S Gauci Limited,
Wignacourt Street,
Birkirkara, BKR 4714,
Malta</t>
  </si>
  <si>
    <t>Zone 5, Central Business District,
99 Triq il-Mitħna, Qormi CBD 5090</t>
  </si>
  <si>
    <t>Securich Co Ltd
121, Mdina Road, Zebbug</t>
  </si>
  <si>
    <t>9 Triq F S Caruana, B'Kara</t>
  </si>
  <si>
    <t>1 triq Dun Guzepp Xerri, San Giljan</t>
  </si>
  <si>
    <t>2, 3 Triq tal-Balal Tax-Xwieki, Gharghur</t>
  </si>
  <si>
    <t>Paradise Triq Fra Baskal, Zebbug-Gozo</t>
  </si>
  <si>
    <t>Ciancio House, Zone 5 Triq ll-Kanun Central Business District, Qormi</t>
  </si>
  <si>
    <t>39 Triq il-Kwartin, Swieqi</t>
  </si>
  <si>
    <t>133 CSTS Ltd Triq il-Koppla, Fgura</t>
  </si>
  <si>
    <t>Triq il-Burdnara, Qormi</t>
  </si>
  <si>
    <t>Summer Set House Triq Dun Karlu Zimech Nadur-Gozo</t>
  </si>
  <si>
    <t>220 Triq Alfredo Cachia Zammit, Zejtun</t>
  </si>
  <si>
    <t>Green Business Comples Triq il-Hofor, Qormi</t>
  </si>
  <si>
    <t>20, Triq Pietru Xuereb, Pieta'</t>
  </si>
  <si>
    <t>231 Triq il-Kungress Ewkaristiku, Mosta</t>
  </si>
  <si>
    <t>Sagra Famiglia Building Triq Mro Giorgio Zarb, Qormi</t>
  </si>
  <si>
    <t>water tank</t>
  </si>
  <si>
    <t>jgrima.com</t>
  </si>
  <si>
    <t>antifire.com.mt</t>
  </si>
  <si>
    <t>aeco.com.mt</t>
  </si>
  <si>
    <t>facebook.com/pdsec.malta?utm_source=Yellow&amp;utm_medium=Yellow-Website&amp;utm_campaign=Landing-Page#</t>
  </si>
  <si>
    <t>soteria.com.mt</t>
  </si>
  <si>
    <t>elektroservices.com.mt/</t>
  </si>
  <si>
    <t>securtek.com/home</t>
  </si>
  <si>
    <t>alarmtechmalta.com</t>
  </si>
  <si>
    <t>cbsecuritymalta.com</t>
  </si>
  <si>
    <t>facebook.com/p/Craud-Security-100083313423806/</t>
  </si>
  <si>
    <t>dedicatedmicros.com</t>
  </si>
  <si>
    <t>darservicesmalta.com</t>
  </si>
  <si>
    <t>eaglesecurity.com.mt</t>
  </si>
  <si>
    <t>ecommalta.com</t>
  </si>
  <si>
    <t>facebook.com/hcinstallationsltd/</t>
  </si>
  <si>
    <t>facebook.com/hisecmalta/</t>
  </si>
  <si>
    <t>ijsolutions.net</t>
  </si>
  <si>
    <t>ielsecuritymalta.com</t>
  </si>
  <si>
    <t>ispyprojects.com</t>
  </si>
  <si>
    <t>facebook.com/misystemsmalta/</t>
  </si>
  <si>
    <t>prosolutions.com.mt</t>
  </si>
  <si>
    <t>facebook.com/p/Tech-Advance-100063610688391/</t>
  </si>
  <si>
    <t>universalmicrosecurity.com</t>
  </si>
  <si>
    <t>intercoms.com.mt/</t>
  </si>
  <si>
    <t>alberta.com.mt/products-and-services/cctv-systems-for-your-home/</t>
  </si>
  <si>
    <t>focaltechmalta.com/solutions/safire-smart-cctv/</t>
  </si>
  <si>
    <t>masco.com.mt/contact-us/</t>
  </si>
  <si>
    <t>securevision.com.mt/sv/product-category/security/cctv/</t>
  </si>
  <si>
    <t>firetech.com.mt/about-us</t>
  </si>
  <si>
    <t>securichmalta.com/en/services/services/5/cctv-cameras.htm</t>
  </si>
  <si>
    <t>cobrainstallations.com/</t>
  </si>
  <si>
    <t>czsmarttech.com/</t>
  </si>
  <si>
    <t>aqsmed.com</t>
  </si>
  <si>
    <t>alternativetechnologies.com.mt</t>
  </si>
  <si>
    <t>solarsolutions.com.mt</t>
  </si>
  <si>
    <t>callejaformosaenergysaving.com</t>
  </si>
  <si>
    <t>powersolutions.com.mt</t>
  </si>
  <si>
    <t>cflgroupmalta.com</t>
  </si>
  <si>
    <t>csts-malta.com</t>
  </si>
  <si>
    <t>electrofixgroup.com</t>
  </si>
  <si>
    <t>facebook.com/p/Gozo-Solar-Energy-Solar-Panels-and-Solar-Water-Heaters-100057213680113/</t>
  </si>
  <si>
    <t>facebook.com/people/JLC-energy-home/100063454366944/?fref=ts%3Futm_source%3DYellow&amp;utm_medium=Yellow-Website&amp;utm_campaign=Landing-Page#</t>
  </si>
  <si>
    <t>llt.com.mt</t>
  </si>
  <si>
    <t>powerplus.com</t>
  </si>
  <si>
    <t>unitenergysolar.com</t>
  </si>
  <si>
    <t>virtuesolaris.com</t>
  </si>
  <si>
    <t>Idroplast Manufacturing Ltd</t>
  </si>
  <si>
    <t>KHS Malta</t>
  </si>
  <si>
    <t>Micallef Fibreglass Works</t>
  </si>
  <si>
    <t>Framegrip Ltd</t>
  </si>
  <si>
    <t>JWT Caruana</t>
  </si>
  <si>
    <t>The Hardware Store</t>
  </si>
  <si>
    <t>Richie's Ironmongery</t>
  </si>
  <si>
    <t>Old Key Ironmongery</t>
  </si>
  <si>
    <t>W Cardona Trading</t>
  </si>
  <si>
    <t>Cauchi Joseph Ironmongery</t>
  </si>
  <si>
    <t>Alldecor Hardware Supplies</t>
  </si>
  <si>
    <t>The Ironmonger</t>
  </si>
  <si>
    <t>AFS</t>
  </si>
  <si>
    <t>Midea</t>
  </si>
  <si>
    <t>Tesy</t>
  </si>
  <si>
    <t>Zenith</t>
  </si>
  <si>
    <t>Atlantic</t>
  </si>
  <si>
    <t>Thermex</t>
  </si>
  <si>
    <t>BT Commerical</t>
  </si>
  <si>
    <t>Carini</t>
  </si>
  <si>
    <t>ProChimp</t>
  </si>
  <si>
    <t>Tarcisio Caruana</t>
  </si>
  <si>
    <t>Attard's Household Goods and Appliances</t>
  </si>
  <si>
    <t>info@idroplastmalta.com</t>
  </si>
  <si>
    <t>james@framegrip.com</t>
  </si>
  <si>
    <t>thehardwarestoremalta@gmail.com</t>
  </si>
  <si>
    <t>info@jwtcaruana.com</t>
  </si>
  <si>
    <t>rironmongomery@onvol.net</t>
  </si>
  <si>
    <t>deguara24@gmail.com</t>
  </si>
  <si>
    <t>wcardonatrading@gmail.com</t>
  </si>
  <si>
    <t>jcironmongomery@mail.com</t>
  </si>
  <si>
    <t>alldecor@maltanet.net</t>
  </si>
  <si>
    <t>info@afs.com.mt</t>
  </si>
  <si>
    <t>kevinbartololtd@gmail.com</t>
  </si>
  <si>
    <t>office@tesy.com</t>
  </si>
  <si>
    <t>info@atlanticwaterheaters.com.mt</t>
  </si>
  <si>
    <t>info@thermex.com.mt</t>
  </si>
  <si>
    <t>sales@flamingo.mt</t>
  </si>
  <si>
    <t>info@btmalta.com</t>
  </si>
  <si>
    <t>team-b2b@atoz.com.mt</t>
  </si>
  <si>
    <t>info@tarcisiocaruana.com</t>
  </si>
  <si>
    <t>info@attardsmalta.com</t>
  </si>
  <si>
    <t>Factory MRA014, Qasam Industrijali, Marsa, Malta</t>
  </si>
  <si>
    <t>54, Castaldi Street, Żabbar ZBR1453, Malta</t>
  </si>
  <si>
    <t>7, Sun Down Yard, Triq il-Burmarrad, Naxxar, Malta NXR 6345</t>
  </si>
  <si>
    <t>Triq Il-Mosta, Hal Lija, Malta LJA 9010</t>
  </si>
  <si>
    <t>Caruana Farm, Triq it-Tnax Ta' Mejju, Żebbuġ, ZBG 1281, Malta</t>
  </si>
  <si>
    <t>31 Triq il-Witja ,
Tarxien, Malta TXN 2296</t>
  </si>
  <si>
    <t>222, 224 Vjal il-Wiehed U Ghoxrin Ta’ Settembru ,
Naxxar, Malta NXR 1012</t>
  </si>
  <si>
    <t>Triq il-Klin ,
Iklin, Malta IKL 1032</t>
  </si>
  <si>
    <t>242 Triq l-Imdina ,
Qormi, Malta QRM 9014</t>
  </si>
  <si>
    <t>9 Triq Dun Nerik Cordina Perez ,
Hamrun, Malta HMR 2101</t>
  </si>
  <si>
    <t>166 Triq il-Kullegg L-Antik ,
Sliema, Malta SLM 1373</t>
  </si>
  <si>
    <t>16 Triq Sant’ Antnin ,
M’Skala, Malta MSK 9058</t>
  </si>
  <si>
    <t>Triq L-Imdina, Ħ'Attard, Malta</t>
  </si>
  <si>
    <t>thehardwarestoremalta.com/</t>
  </si>
  <si>
    <t>idroplastmalta.com</t>
  </si>
  <si>
    <t>micalleffibreglassworks.com</t>
  </si>
  <si>
    <t>framegrip.com</t>
  </si>
  <si>
    <t>jwtcaruana.com</t>
  </si>
  <si>
    <t>MAKS Engineering</t>
  </si>
  <si>
    <t>richiesironmongerymalta.com</t>
  </si>
  <si>
    <t>facebook.com/1675915686031114</t>
  </si>
  <si>
    <t>wcardonatrading.com/</t>
  </si>
  <si>
    <t>jcironmongery.com</t>
  </si>
  <si>
    <t>facebook.com/afsmalta/</t>
  </si>
  <si>
    <t>fbpmalta.com/</t>
  </si>
  <si>
    <t>STO Services</t>
  </si>
  <si>
    <t>Marlon Mercieca</t>
  </si>
  <si>
    <t>Retrofit</t>
  </si>
  <si>
    <t>Architworks</t>
  </si>
  <si>
    <t>RDC Consultants</t>
  </si>
  <si>
    <t>STO Services Malta</t>
  </si>
  <si>
    <t>Perit Daniel Portelli</t>
  </si>
  <si>
    <t>AI Engineering Solutions</t>
  </si>
  <si>
    <t>Aaron Abela</t>
  </si>
  <si>
    <t>Adrian Formosa</t>
  </si>
  <si>
    <t>Adam Pace</t>
  </si>
  <si>
    <t>Alexander Sammut</t>
  </si>
  <si>
    <t>Antoine Brincat</t>
  </si>
  <si>
    <t>Anthony Micallef</t>
  </si>
  <si>
    <t>Catherine Galea</t>
  </si>
  <si>
    <t>Christian Attard</t>
  </si>
  <si>
    <t>Christian Fenech</t>
  </si>
  <si>
    <t>Claire Ghigo</t>
  </si>
  <si>
    <t>Clayton Zammit</t>
  </si>
  <si>
    <t>Dario Esposito</t>
  </si>
  <si>
    <t>ENWAR OULAIWI</t>
  </si>
  <si>
    <t>George Cauchi</t>
  </si>
  <si>
    <t>George Xuereb</t>
  </si>
  <si>
    <t>info@maksengmalta.com</t>
  </si>
  <si>
    <t>marlon1790@hotmail.com</t>
  </si>
  <si>
    <t>info@retrofit.com.mt</t>
  </si>
  <si>
    <t>info@architworks.com</t>
  </si>
  <si>
    <t>rdcmalta@gmail.com</t>
  </si>
  <si>
    <t>sitetechnicalofficermalta@gmail.com</t>
  </si>
  <si>
    <t>info@stoservicesltd.com</t>
  </si>
  <si>
    <t>daniel@dpa.com.mt</t>
  </si>
  <si>
    <t>iagius@aiesltd.com</t>
  </si>
  <si>
    <t>akarchistudio@gmail.com</t>
  </si>
  <si>
    <t>adrian180690@gmail.com</t>
  </si>
  <si>
    <t>ap@paceadam.com</t>
  </si>
  <si>
    <t>alexander.sammut.16@gmail.com</t>
  </si>
  <si>
    <t>antoinebrincat.mlt@gmail.com</t>
  </si>
  <si>
    <t>antdormic@gmail.com</t>
  </si>
  <si>
    <t>cg@techman.com.mt</t>
  </si>
  <si>
    <t>christian.attard@gmail.com</t>
  </si>
  <si>
    <t>cfperit@gmail.com</t>
  </si>
  <si>
    <t>claireghigo@gmail.com</t>
  </si>
  <si>
    <t>clayton.zammit@yahoo.com</t>
  </si>
  <si>
    <t>ingdarioespo@gmail.com</t>
  </si>
  <si>
    <t>enwar27699@gmail.com</t>
  </si>
  <si>
    <t>gorgcauchi@gmail.com</t>
  </si>
  <si>
    <t>xuereb.george@gmail.com</t>
  </si>
  <si>
    <t>Consultancy</t>
  </si>
  <si>
    <t>A+ MEP Consultancy Services</t>
  </si>
  <si>
    <t>aplusmep.ce@gmail.com</t>
  </si>
  <si>
    <t>lift inspection &amp; certification</t>
  </si>
  <si>
    <t>facebook.com/profile.php?id=61571161208722</t>
  </si>
  <si>
    <t>lift</t>
  </si>
  <si>
    <t>D&amp;S Lifts (Maintenance) Ltd</t>
  </si>
  <si>
    <t>Groffe Elevator Services Ltd</t>
  </si>
  <si>
    <t>Apex Lifts</t>
  </si>
  <si>
    <t>Etralia Limited</t>
  </si>
  <si>
    <t>Titan International Limited</t>
  </si>
  <si>
    <t>Eni Lift Malta</t>
  </si>
  <si>
    <t>Air‑tro Services</t>
  </si>
  <si>
    <t>Bertu Lifting Service</t>
  </si>
  <si>
    <t>High Rise Co Ltd</t>
  </si>
  <si>
    <t>Panta Lesco Ltd</t>
  </si>
  <si>
    <t>Schindler Malta Ltd</t>
  </si>
  <si>
    <t>Eleva Lifts Co Ltd</t>
  </si>
  <si>
    <t>S.S Lifts Orona</t>
  </si>
  <si>
    <t>Vertibus</t>
  </si>
  <si>
    <t>IGM Lifts</t>
  </si>
  <si>
    <t>Lift Services</t>
  </si>
  <si>
    <t>Elevation</t>
  </si>
  <si>
    <t>S&amp;A Quality Assurance Ltd</t>
  </si>
  <si>
    <t>info@dslifts.com</t>
  </si>
  <si>
    <t>groffelifts@gmail.com</t>
  </si>
  <si>
    <t>info@etralia.com</t>
  </si>
  <si>
    <t>info@apexlifts.com.mt</t>
  </si>
  <si>
    <t>info@titan.mizzi.com.mt</t>
  </si>
  <si>
    <t>eniliftmalta@gmail.com</t>
  </si>
  <si>
    <t>air‑tro_service@outlook.com</t>
  </si>
  <si>
    <t>bertulifting@gmail.com</t>
  </si>
  <si>
    <t>info@highriselifts.com</t>
  </si>
  <si>
    <t>enquiries@pantalesco.com</t>
  </si>
  <si>
    <t>info_malta@schindler.com</t>
  </si>
  <si>
    <t>sales@elevaliftsmalta.com</t>
  </si>
  <si>
    <t>info.mt@otis.com</t>
  </si>
  <si>
    <t>info@sslifts.com</t>
  </si>
  <si>
    <t>info@igmlifts.com</t>
  </si>
  <si>
    <t>info@liftservices.com.mt</t>
  </si>
  <si>
    <t>info@elevation.mt</t>
  </si>
  <si>
    <t>info@qualitymalta.com</t>
  </si>
  <si>
    <t>Vjal il‑Wieħed u Għoxrin ta' Settembru, Naxxar</t>
  </si>
  <si>
    <t>5/3, Triq l‑Imsida, Gżira GZR 1401</t>
  </si>
  <si>
    <t>14, Triq San Mikiel, Rabat RBT 2440</t>
  </si>
  <si>
    <t>39, Triq San Ġakmu, Luqa LQA 1892</t>
  </si>
  <si>
    <t>The Lyric, Triq Antonio Bosio, L‑Imsida</t>
  </si>
  <si>
    <t>Triq San Filippu, Mġarr/M’najdra?</t>
  </si>
  <si>
    <t>Triq Piscopo Macedonia, San Pawl il‑Baħar</t>
  </si>
  <si>
    <t>Triq il‑Gudja, Ħal Għaxaq</t>
  </si>
  <si>
    <t>Factory LQA 5/6/7, Luqa Industrial Estate</t>
  </si>
  <si>
    <t>Panta House, Triq il‑Wied ta' l‑Imsida</t>
  </si>
  <si>
    <t>2, Triq Roger Debattista, Hamrun HMR 1271</t>
  </si>
  <si>
    <t>Mdina Bastions Block A, Triq Michael Bonnici, Żebbuġ</t>
  </si>
  <si>
    <t>S.S. Lifts Orona,
13, Triq it-Turisti
Qawra, SPB1028
Malta</t>
  </si>
  <si>
    <t>MRA048D, Industrial Estate,
Marsa, MRS3000, Malta</t>
  </si>
  <si>
    <t>I G M Lift Supplies &amp; Services
Triq Moroni ,
Sliema Malta SLM 1210</t>
  </si>
  <si>
    <t>Factory A25F,
Marsa Industrial Estate, Malta</t>
  </si>
  <si>
    <t>Elevation Ltd
Upper A12 Midland Industrial Estate
Triq Burmarrad Naxxar, NXR 6345
Malta</t>
  </si>
  <si>
    <t>Joedi Graziella Apartments, Triq l‑Iskola, Imśida</t>
  </si>
  <si>
    <t>Installers</t>
  </si>
  <si>
    <t>dslifts.com</t>
  </si>
  <si>
    <t>apexlifts.com.mt</t>
  </si>
  <si>
    <t>etralia.com</t>
  </si>
  <si>
    <t>titan.com.mt</t>
  </si>
  <si>
    <t>eni-lift.com</t>
  </si>
  <si>
    <t>bertulifting.com.mt</t>
  </si>
  <si>
    <t>highriselifts.com</t>
  </si>
  <si>
    <t>pantalesco.com</t>
  </si>
  <si>
    <t>sslifts.com/</t>
  </si>
  <si>
    <t>vertibus.com/</t>
  </si>
  <si>
    <t>igmlifts.com/</t>
  </si>
  <si>
    <t>liftservices.com.mt/</t>
  </si>
  <si>
    <t>elevation.mt/</t>
  </si>
  <si>
    <t>Flooring</t>
  </si>
  <si>
    <t>Maduma Home Interiors</t>
  </si>
  <si>
    <t>Tutto Parquet</t>
  </si>
  <si>
    <t>Rubber Flooring - 389 Co Ltd</t>
  </si>
  <si>
    <t>info@madumahomeinteriors.com</t>
  </si>
  <si>
    <t>tuttoparquetmalta@gmail.com</t>
  </si>
  <si>
    <t>Physical store</t>
  </si>
  <si>
    <t>12, Triq il-Parroċċa 
SVR 1262
Santa Venera</t>
  </si>
  <si>
    <t>10, Triq Dun Karm
Birkirkara, Malta</t>
  </si>
  <si>
    <t>ITEM</t>
  </si>
  <si>
    <t>madumahomeinteriors.com/</t>
  </si>
  <si>
    <t>tuttoparquetmalta.com/index.html</t>
  </si>
  <si>
    <t>SUPPLIERS</t>
  </si>
  <si>
    <t>TILERS</t>
  </si>
  <si>
    <t>Tiles</t>
  </si>
  <si>
    <t>To send also to:</t>
  </si>
  <si>
    <t>Japap@geblanaturali.com</t>
  </si>
  <si>
    <t>tilesandmore89@gmail.com</t>
  </si>
  <si>
    <t>zltcontractor@gmail.com</t>
  </si>
  <si>
    <t>info@rainbowlimited.com</t>
  </si>
  <si>
    <t>vitalityprimebuilders@gmail.com</t>
  </si>
  <si>
    <t>chris@compassfloorcare.com</t>
  </si>
  <si>
    <t>wayne_7489@msn.com</t>
  </si>
  <si>
    <t xml:space="preserve">SUPPLIER </t>
  </si>
  <si>
    <t>Brian Tile Cutting and Skirting</t>
  </si>
  <si>
    <t>C M K A (Chris Zammit)</t>
  </si>
  <si>
    <t>Ceramic Cutting Services Ltd</t>
  </si>
  <si>
    <t>Edward Debono</t>
  </si>
  <si>
    <t>Aljanid GROUP</t>
  </si>
  <si>
    <t>Azzopardi Bros</t>
  </si>
  <si>
    <t>Busuttil Ivan Tile Layer</t>
  </si>
  <si>
    <t>Charles Grech (Ic-Cippi)</t>
  </si>
  <si>
    <t>Damir Sujak</t>
  </si>
  <si>
    <t>Etienne Mamo</t>
  </si>
  <si>
    <t>FJ Tile Laying</t>
  </si>
  <si>
    <t>George Galea</t>
  </si>
  <si>
    <t>Saliba Tile Layer</t>
  </si>
  <si>
    <t>Camilleri Tile Layer</t>
  </si>
  <si>
    <t>Malta Tiling</t>
  </si>
  <si>
    <t>Kibitec Ltd</t>
  </si>
  <si>
    <t>R/O Finishing Work</t>
  </si>
  <si>
    <t>Stephen DeBattista</t>
  </si>
  <si>
    <t>ZLT Marble and Tiling Services</t>
  </si>
  <si>
    <t>ED Finishings Ltd</t>
  </si>
  <si>
    <t>CS Tile &amp; Gypsum Works</t>
  </si>
  <si>
    <t>AGF Turnkey Contractors</t>
  </si>
  <si>
    <t>Vesko Merkov</t>
  </si>
  <si>
    <t>Norbert Genovese</t>
  </si>
  <si>
    <t>DWarehouse</t>
  </si>
  <si>
    <t>Showtiles &amp; MORE</t>
  </si>
  <si>
    <t>R Group Finishing Ltd</t>
  </si>
  <si>
    <t>EMAIL</t>
  </si>
  <si>
    <t>bgalea11@gmail.com</t>
  </si>
  <si>
    <t>cmkazammit@gmail.com</t>
  </si>
  <si>
    <t>info@skirting.com.mt</t>
  </si>
  <si>
    <t>gabjean@gmail.com</t>
  </si>
  <si>
    <t>jamal82aljanid82@gmail.com</t>
  </si>
  <si>
    <t>tonytilelayer@hotmail.com</t>
  </si>
  <si>
    <t>ivan.busu@hotmail.com</t>
  </si>
  <si>
    <t>charliegrech65@gmail.com</t>
  </si>
  <si>
    <t>fjtiles@gmail.com</t>
  </si>
  <si>
    <t>damirsujak77@gmail.com</t>
  </si>
  <si>
    <t>leldor@onvol.net</t>
  </si>
  <si>
    <t>info@floorsofstone.com.mt</t>
  </si>
  <si>
    <t>gorggalea@gmail.com</t>
  </si>
  <si>
    <t>salibatilelayer@gmail.com</t>
  </si>
  <si>
    <t>frankiec029@gmail.com</t>
  </si>
  <si>
    <t>malta.tiling@gmail.com</t>
  </si>
  <si>
    <t>siamnd1985@gmail.com</t>
  </si>
  <si>
    <t>stephentilelayer@gmail.com</t>
  </si>
  <si>
    <t>edfinishings1@gmail.com</t>
  </si>
  <si>
    <t>clifton_tilelaying@hotmail.com</t>
  </si>
  <si>
    <t>jevgatt@maltanet.net</t>
  </si>
  <si>
    <t>tilingforfuture@gmail.com</t>
  </si>
  <si>
    <t>chantellemizzi@hotmail.com</t>
  </si>
  <si>
    <t>tresortradingltd@gmail.com</t>
  </si>
  <si>
    <t>showtiles@gmail.com</t>
  </si>
  <si>
    <t>info@rgroupmt.com</t>
  </si>
  <si>
    <t xml:space="preserve">PHONE NUMBER </t>
  </si>
  <si>
    <t>C</t>
  </si>
  <si>
    <t>LOCATION</t>
  </si>
  <si>
    <t>Triq John Michael Testa Tal-Handaq ,
Qormi, Malta QRM 4000</t>
  </si>
  <si>
    <t>19 Garage Katarina Triq Santa Klementina ,
Zurrieq, Malta ZRQ 2510</t>
  </si>
  <si>
    <t>Private Road, Garage 4, 5 &amp; 6 Triq l-Irham ,
Qormi, Malta</t>
  </si>
  <si>
    <t>6 Montana Triq il-Qamh ,
Mellieha, Malta MLH 1761</t>
  </si>
  <si>
    <t>13 Helen Flat 3 Triq Joe Sciberras ,
Hamrun, Malta HMR 1550</t>
  </si>
  <si>
    <t>12 Windrush T/G fi triq it-Turretta ,
Dingli, Malta DGL 1731</t>
  </si>
  <si>
    <t>Trejqet il-Beatu Dun Gorg Preca ,
Pembroke, Malta PBK 1460</t>
  </si>
  <si>
    <t>22 April May Triq Gorg Borg ,
Qormi, Malta QRM 1943</t>
  </si>
  <si>
    <t>35 Trilogy, Flt 1 Triq Ganni Bonnici ,
Zebbug, Malta ZBG 2507</t>
  </si>
  <si>
    <t>Divine Mercy Triq Pawlu Balzan ,
Zebbug, Malta ZBG 1490</t>
  </si>
  <si>
    <t>Triq il-Bronja ,
Zurrieq, Malta</t>
  </si>
  <si>
    <t>115 Triq il-Wied Ta’ L-Imsida ,
B’Kara, Malta BKR 9021</t>
  </si>
  <si>
    <t>58 Triq Dun Gwann Pullicino ,
Mosta, Malta MST 2703</t>
  </si>
  <si>
    <t>Żejtun, Malta</t>
  </si>
  <si>
    <t>Kerċem, Gozo</t>
  </si>
  <si>
    <t>Triq Domenico Cachia 54, Birkirkara, Malta</t>
  </si>
  <si>
    <t>Marsascala, Malta</t>
  </si>
  <si>
    <t>Triq Giovanni Maria Borg, Zurrieq, Malta</t>
  </si>
  <si>
    <t>115, Triq Il-Bwieraq, Birkirkara, Malta</t>
  </si>
  <si>
    <t>Galine, Josmar Complex, Triq Id-Difiza Civili, Il-Mosta, Malta</t>
  </si>
  <si>
    <t>ºClimarkei, Triq Il-Gizi, Il-Fgura, Malta FGR 1040</t>
  </si>
  <si>
    <t>Fisheye, Triq Mons. A. Buhagiar, Ir-Rabat, Malta</t>
  </si>
  <si>
    <t>J.Micallef BOATYARD and WAREHOUSE Ta ghadajma l/o Mqabba (Near STMicro Eletronics) Malta, Mqabba, Malta</t>
  </si>
  <si>
    <t>78, Triq San Pawl NXR 4016 Naxxar, Malta</t>
  </si>
  <si>
    <t>WEBSITE</t>
  </si>
  <si>
    <t>facebook.com/865035916866720
Suggest update</t>
  </si>
  <si>
    <t>Ceramic Tiles</t>
  </si>
  <si>
    <t>absolute.com.mt/</t>
  </si>
  <si>
    <t>facebook.com/Dwarehouse23/</t>
  </si>
  <si>
    <t>facebook.com/showtilesnaxxar/</t>
  </si>
  <si>
    <t>facebook.com/RGroupMalta</t>
  </si>
  <si>
    <t>Tiles &amp; Marble</t>
  </si>
  <si>
    <t>Tiles At Wholesale Prices</t>
  </si>
  <si>
    <t>Floors Of Stone</t>
  </si>
  <si>
    <t>A&amp;A Tiles and Bathrooms</t>
  </si>
  <si>
    <t>Malta Tiles</t>
  </si>
  <si>
    <t>Tile Warehouse Malta</t>
  </si>
  <si>
    <t>IPERCERAMICA Malta</t>
  </si>
  <si>
    <t>D Warehouse Malta</t>
  </si>
  <si>
    <t>Centro Bagno</t>
  </si>
  <si>
    <t>UNIQ Tiles &amp; Ceramic Boutique</t>
  </si>
  <si>
    <t>Vellmann Tiles &amp; Bathrooms</t>
  </si>
  <si>
    <t>Carini Stores Ltd</t>
  </si>
  <si>
    <t>MRCD Ltd - Bathrooms &amp; Ceramics</t>
  </si>
  <si>
    <t>Faenza DIY Outlet</t>
  </si>
  <si>
    <t>SOLL - Natural Stone Warehouse</t>
  </si>
  <si>
    <t>Keramit Warehouse</t>
  </si>
  <si>
    <t>ABSOLUTE: Bathrooms - Tiles</t>
  </si>
  <si>
    <t>Ideal Bathrooms Ltd</t>
  </si>
  <si>
    <t>Valour Bathrooms Malta</t>
  </si>
  <si>
    <t>S&amp;S Bathrooms Warehouse</t>
  </si>
  <si>
    <t>Vivo Bathrooms &amp; Ceramics</t>
  </si>
  <si>
    <t>Banju Boutique Ltd.</t>
  </si>
  <si>
    <t>Lux Quartz &amp; more</t>
  </si>
  <si>
    <t>Avante Bathrooms HQ</t>
  </si>
  <si>
    <t>Pitre’ Bathrooms Store</t>
  </si>
  <si>
    <t>Calcatta bathrooms and tiles</t>
  </si>
  <si>
    <t>Project point</t>
  </si>
  <si>
    <t>Design Hub Store Refined Finishes</t>
  </si>
  <si>
    <t>E. Grech Cristal Bath Ltd.</t>
  </si>
  <si>
    <t>Andrew Vassallo General Trading</t>
  </si>
  <si>
    <t>Classic Bathrooms - Malta</t>
  </si>
  <si>
    <t>Sogno Bagno</t>
  </si>
  <si>
    <t>tilesatwholesaleprices@gmail.com</t>
  </si>
  <si>
    <t>sales@fos.mt</t>
  </si>
  <si>
    <t>showroom@vellafalzon.com</t>
  </si>
  <si>
    <t>info@aandatiles.com</t>
  </si>
  <si>
    <t>info@maltatiles.com</t>
  </si>
  <si>
    <t>malta@iperceramica.it</t>
  </si>
  <si>
    <t>j.centrobagno@gmail.com</t>
  </si>
  <si>
    <t>patrick@uniq.mt</t>
  </si>
  <si>
    <t>faenzadiybathroom@gmail.com</t>
  </si>
  <si>
    <t>info@soll.mt / Japap@geblanaturali.com</t>
  </si>
  <si>
    <t>info@valour.mt</t>
  </si>
  <si>
    <t>anthony@lqmco.com</t>
  </si>
  <si>
    <t>mireille@jpitre.com</t>
  </si>
  <si>
    <t>info@calcatta-ceramica.com</t>
  </si>
  <si>
    <t>Giorgiprojectpointltd@gmail.com</t>
  </si>
  <si>
    <t>neil.galea698@gmail.com</t>
  </si>
  <si>
    <t>seamless floor</t>
  </si>
  <si>
    <t>Advanced Safety Solutions</t>
  </si>
  <si>
    <t>MBM</t>
  </si>
  <si>
    <t>kibitec</t>
  </si>
  <si>
    <t>Borg &amp; Sons</t>
  </si>
  <si>
    <t>JM Vibro</t>
  </si>
  <si>
    <t>Microcement Malta</t>
  </si>
  <si>
    <t>info@itpmalta.com</t>
  </si>
  <si>
    <t>Giorgi Project Point</t>
  </si>
  <si>
    <t>info@advancedsafety.com.mt</t>
  </si>
  <si>
    <t>tcj@mbm.com.mt</t>
  </si>
  <si>
    <t>borgconstructionworks@gmail.com</t>
  </si>
  <si>
    <t>Pronesti@mail.com</t>
  </si>
  <si>
    <t>giorgiprojectpointltd@gmail.com</t>
  </si>
  <si>
    <t>San Pawl il‑Baħar / Bugibba, Malta</t>
  </si>
  <si>
    <t>M4 Shopping Complex, Triq il-Linja, Attard</t>
  </si>
  <si>
    <t>San Giljan, Malta</t>
  </si>
  <si>
    <t>Resin flooring</t>
  </si>
  <si>
    <t>Triq Domenico Cachia 54
Birkirkara, BKR1017, Malta</t>
  </si>
  <si>
    <t>seamless.com.mt/</t>
  </si>
  <si>
    <t>mbm.com.mt/</t>
  </si>
  <si>
    <t>malta-design.com/en/?brid=OdwV4IO9rLodP231ucwrAg</t>
  </si>
  <si>
    <t>kibitec.com/</t>
  </si>
  <si>
    <t>grfmalta.com/contact/</t>
  </si>
  <si>
    <t>facebook.com/Dwarehouse23</t>
  </si>
  <si>
    <t>facebook.com/profile.php?id=61574532256025</t>
  </si>
  <si>
    <t>the-tile.com/concrete-effect-tiles.html</t>
  </si>
  <si>
    <t>Epoxy Flooring</t>
  </si>
  <si>
    <t>Resin Decor Design</t>
  </si>
  <si>
    <t>The Resin Centre</t>
  </si>
  <si>
    <t>Coleiro</t>
  </si>
  <si>
    <t>Flock Image</t>
  </si>
  <si>
    <t>JMV Building Solutions</t>
  </si>
  <si>
    <t>J. Zerafa Ltd</t>
  </si>
  <si>
    <t>JV Turnkey (Gozo)</t>
  </si>
  <si>
    <t>Epoxy Malta</t>
  </si>
  <si>
    <t>Fodha Building Solutions</t>
  </si>
  <si>
    <t>resindecordesign@gmail.com</t>
  </si>
  <si>
    <t>info@coleiro.com</t>
  </si>
  <si>
    <t>info@flockimage.com</t>
  </si>
  <si>
    <t>zerafa.john@gmail.com</t>
  </si>
  <si>
    <t>jvturnkey.gozo@gmail.com</t>
  </si>
  <si>
    <t>sakhr.turnkeyjob@gmail.com</t>
  </si>
  <si>
    <t>info@Fodha.mt</t>
  </si>
  <si>
    <t>The Resin &amp; Membrane Centre
264, Old Railway Track Santa Venera</t>
  </si>
  <si>
    <t>Msida Valley,
B’Kara</t>
  </si>
  <si>
    <t>278, Triq il-Baltiku,, Saint Julian's, Malta</t>
  </si>
  <si>
    <t>Bugibba, Malta</t>
  </si>
  <si>
    <t>Flock Image, 5, Sir Luigi Preziosi Str, Mosta, MST 1521, MALTA</t>
  </si>
  <si>
    <t>OneOneO, Triq il-Pitkali, Attard ATD 2214, Malta</t>
  </si>
  <si>
    <t>58, Donato del Piano Street, Zurrieq, ZRQ 2240, Malta</t>
  </si>
  <si>
    <t>Flock Image Co Ltd</t>
  </si>
  <si>
    <t>resindecordesign.com/</t>
  </si>
  <si>
    <t>theresincentre.com/</t>
  </si>
  <si>
    <t>coleiro.com/floor-coatings/</t>
  </si>
  <si>
    <t>flockimage.com/</t>
  </si>
  <si>
    <t>jmvibro.com/</t>
  </si>
  <si>
    <t>checkyourtraders.com/listing/j-zerafa-ltd?fromCat=resin-flooring</t>
  </si>
  <si>
    <t>checkyourtraders.com/listing/jv-turnkey-gozo?fromCat=resin-flooring</t>
  </si>
  <si>
    <t>facebook.com/p/Epoxy-Malta-100067612150590/</t>
  </si>
  <si>
    <t>fodha.mt/</t>
  </si>
  <si>
    <t>Mosta</t>
  </si>
  <si>
    <t>Vinyl Flooring</t>
  </si>
  <si>
    <t>Vical Interiors</t>
  </si>
  <si>
    <t>Beta</t>
  </si>
  <si>
    <t>Vinyl Tiles</t>
  </si>
  <si>
    <t>info@betacentre.com.mt</t>
  </si>
  <si>
    <t>Zabbar Road, Fgura</t>
  </si>
  <si>
    <t>Underfloor heating</t>
  </si>
  <si>
    <t>Fairline Centre, Santa Marta Str, Victoria Gozo, VCT 2552, Malta</t>
  </si>
  <si>
    <t>beta.com.mt/</t>
  </si>
  <si>
    <t>megastore.com.mt/en_MT/c/Vinyl/160976/2/default/5</t>
  </si>
  <si>
    <t>Ecomaxx</t>
  </si>
  <si>
    <t>Panta</t>
  </si>
  <si>
    <t>Solar Solutions</t>
  </si>
  <si>
    <t>Klimaflo</t>
  </si>
  <si>
    <t>Alternative Technologies</t>
  </si>
  <si>
    <t>ecomaxxltd@gmail.com</t>
  </si>
  <si>
    <t>enquiries@panta.mt</t>
  </si>
  <si>
    <t>Info@klimaflo.com</t>
  </si>
  <si>
    <t>info@smarteffects.com.mt</t>
  </si>
  <si>
    <t>44, Triq Dun Karm,
BKR9030,
Birkirkara, 
Malta</t>
  </si>
  <si>
    <t>Valley Road, L-Imsida MSD 9024, Malta</t>
  </si>
  <si>
    <t>Triq tal-Balal, In-Naxxar</t>
  </si>
  <si>
    <t>Tower Rd, Birkirkara BKR 4016, Malta</t>
  </si>
  <si>
    <t>Triq Dun Guzepp Scerri, San Ġiljan, Malta</t>
  </si>
  <si>
    <t>SMART EFFECTS LTD, MTP Business Centre, Level 3, Triq Dun Karm, Birkirkara, Malta</t>
  </si>
  <si>
    <t>Mdina Road, Haż-Żebbuġ, ZBG 9019 Malta</t>
  </si>
  <si>
    <t>Installers?</t>
  </si>
  <si>
    <t>ecomaxxmalta.com</t>
  </si>
  <si>
    <t>panta.mt/</t>
  </si>
  <si>
    <t>solarsolutions.com.mt/underfloor-heating/</t>
  </si>
  <si>
    <t>klimaflo.com/</t>
  </si>
  <si>
    <t>alternativetechnologies.com.mt/underfloor-heating</t>
  </si>
  <si>
    <t>smarteffects.com.mt/hvac-needs-contact/</t>
  </si>
  <si>
    <t>recowatt.com/services/underfloor-heating/</t>
  </si>
  <si>
    <t>Not installers</t>
  </si>
  <si>
    <t>Unsure</t>
  </si>
  <si>
    <t>Levelling</t>
  </si>
  <si>
    <t>SP Building Materials</t>
  </si>
  <si>
    <t>Bitmac</t>
  </si>
  <si>
    <t>JMV</t>
  </si>
  <si>
    <t>Borg Construction Works</t>
  </si>
  <si>
    <t>Attard Bros Construction Materials</t>
  </si>
  <si>
    <t>Shaw Contractors</t>
  </si>
  <si>
    <t>MS Concrete Works</t>
  </si>
  <si>
    <t>The Professionals Malta</t>
  </si>
  <si>
    <t>Liquid Screed</t>
  </si>
  <si>
    <t>Mediterranean Building Finishes</t>
  </si>
  <si>
    <t>ZJ Tile Laying</t>
  </si>
  <si>
    <t>Screed Casts</t>
  </si>
  <si>
    <t>MBI Group</t>
  </si>
  <si>
    <t>Flow Screed Malta</t>
  </si>
  <si>
    <t>R&amp;A Sons</t>
  </si>
  <si>
    <t>Project Technik</t>
  </si>
  <si>
    <t>sebastianpolitano@gmail.com</t>
  </si>
  <si>
    <t>sales@bitmac.mt</t>
  </si>
  <si>
    <t>antoine.scicluna@attardbros.com</t>
  </si>
  <si>
    <t>shawcontractors@gmail.com</t>
  </si>
  <si>
    <t>mscworks24@gmail.com</t>
  </si>
  <si>
    <t>info@kibitec.com</t>
  </si>
  <si>
    <t>sales@theprofessionalsmalta.com</t>
  </si>
  <si>
    <t>info@liquidscreed.mt</t>
  </si>
  <si>
    <t>zammitjonathan.87@gmail.com</t>
  </si>
  <si>
    <t>screedcasts@gmail.com</t>
  </si>
  <si>
    <t>info@mbigroupmalta.com</t>
  </si>
  <si>
    <t>flowscreedmalta@outlook.com</t>
  </si>
  <si>
    <t>info@rasonsltd.com</t>
  </si>
  <si>
    <t>quotes@ptk.mt</t>
  </si>
  <si>
    <t>sales@rsgroup.com.mt</t>
  </si>
  <si>
    <t>garage doors</t>
  </si>
  <si>
    <t>MBL Garage Door Solutions</t>
  </si>
  <si>
    <t>Pd Gates &amp; Garage Doors</t>
  </si>
  <si>
    <t>FGP Limited</t>
  </si>
  <si>
    <t>Brand Imports Ltd</t>
  </si>
  <si>
    <t>BEN Malta Limited</t>
  </si>
  <si>
    <t>Tree D</t>
  </si>
  <si>
    <t>General Automation Services LTD</t>
  </si>
  <si>
    <t>mblmalta.com</t>
  </si>
  <si>
    <t>pdmalta.com</t>
  </si>
  <si>
    <t>sales@fgp.com.mt</t>
  </si>
  <si>
    <t>sales@brandimports.com.mt</t>
  </si>
  <si>
    <t>benmaltalimited@gmail.com</t>
  </si>
  <si>
    <t>info@automationmalta.com</t>
  </si>
  <si>
    <t>2137 3603</t>
  </si>
  <si>
    <t>2141 9275</t>
  </si>
  <si>
    <t>2166 7107 /</t>
  </si>
  <si>
    <t>7925 9207</t>
  </si>
  <si>
    <t>7908 1928</t>
  </si>
  <si>
    <t>7944 5674</t>
  </si>
  <si>
    <t>9944 7194</t>
  </si>
  <si>
    <t>81, Triq tal-Mensija, San Ġwann SGN 1604</t>
  </si>
  <si>
    <t>Midland Micro Enterprise Park, Block D, Triq Burmarrad, Naxxar NXR 6345</t>
  </si>
  <si>
    <t>Showroom 26, Triq Haz-Zabbar, Paola</t>
  </si>
  <si>
    <t>109, Triq Valletta, Ħal Luqa LQA 1762</t>
  </si>
  <si>
    <t>KKW 019G Qasam Industrijali, Kordin, Paola</t>
  </si>
  <si>
    <t>Ben Malta Limited
Triq Dun Mikiel Xerri
Attard ATD 2020
Malta</t>
  </si>
  <si>
    <t>Paola</t>
  </si>
  <si>
    <t>BBQ area</t>
  </si>
  <si>
    <t>brandimports.com.mt/en/</t>
  </si>
  <si>
    <t>benmaltalimited.com.mt/garage-doors</t>
  </si>
  <si>
    <t>automationmalta.com/</t>
  </si>
  <si>
    <t>No. 7971 0020 Store Address: BEN Malta Limited Stores
No 32
Triq in-Nissieġ
Zabbar</t>
  </si>
  <si>
    <t>Barbecue Grill</t>
  </si>
  <si>
    <t>SBL Lighting Solutions</t>
  </si>
  <si>
    <t>soundsmart</t>
  </si>
  <si>
    <t>ortis ltd</t>
  </si>
  <si>
    <t>bull europe limited</t>
  </si>
  <si>
    <t>stone creations</t>
  </si>
  <si>
    <t>bbq store malta</t>
  </si>
  <si>
    <t>bbq world malta</t>
  </si>
  <si>
    <t>crosscraft</t>
  </si>
  <si>
    <t>big mat malta</t>
  </si>
  <si>
    <t>KHSmalta</t>
  </si>
  <si>
    <t>livelifeoutdoor</t>
  </si>
  <si>
    <t>chrisbltd1@gmail.com</t>
  </si>
  <si>
    <t>info@ortis.biz</t>
  </si>
  <si>
    <t>info@zamco.com.mt</t>
  </si>
  <si>
    <t>info@stonecreations.com.mt</t>
  </si>
  <si>
    <t>info@bbqstoremalta.com</t>
  </si>
  <si>
    <t>info@sbl.com.mt</t>
  </si>
  <si>
    <t>info@know-howsystems.net</t>
  </si>
  <si>
    <t>info@livelifeoutdoor.com.mt</t>
  </si>
  <si>
    <t>Triq Oscar Zammit, Hamrun</t>
  </si>
  <si>
    <t>5 triq L-Industrija Central business district,qormi Malta CBD 5030</t>
  </si>
  <si>
    <t>TRIQ IL-Kostituzzjoni,Mosta, Malta  MST 9050</t>
  </si>
  <si>
    <t>zamco building  Triq il-Mithna, Qormi, Malta</t>
  </si>
  <si>
    <t>triq il-kanun ,Qormi,Malta</t>
  </si>
  <si>
    <t>triq id -difiza Civili, Mosta ,Malta</t>
  </si>
  <si>
    <t>10 triq Oscar Zammit , HMR 1281 , MALTA</t>
  </si>
  <si>
    <t>Bypass Mriehel, Qormi, QRM 9052</t>
  </si>
  <si>
    <t>Susan Flats B, Flat 05, Triq Il-Prinjolata, Ta' Xbiex, XBX1130, Malta.</t>
  </si>
  <si>
    <t>Zona Industrial, ATD 4000 Ta' Qali, Malta.</t>
  </si>
  <si>
    <t>St. Paul Street, Naxxar, Malta, NXR 4010</t>
  </si>
  <si>
    <t>Triq L-Imprendituri, Birkirkara BKR 3000</t>
  </si>
  <si>
    <t>Apertures</t>
  </si>
  <si>
    <t>bbqworldmalta.mt/?utm_source=Yellow&amp;utm_medium=Yellow-Website&amp;utm_campaign=Landing-Page</t>
  </si>
  <si>
    <t>ortismalta.com</t>
  </si>
  <si>
    <t>bullbbq.eu/en/home.htm</t>
  </si>
  <si>
    <t>stonecreations.com.mt</t>
  </si>
  <si>
    <t>bbqstoremalta.com</t>
  </si>
  <si>
    <t>bbqworldmalta.mt</t>
  </si>
  <si>
    <t>livelifemalta.com.mt/</t>
  </si>
  <si>
    <t>fbpmalta.com/index.php/products/household/bbqs</t>
  </si>
  <si>
    <t>Window</t>
  </si>
  <si>
    <t>Door</t>
  </si>
  <si>
    <t>A M Projects Ltd</t>
  </si>
  <si>
    <t>KB Structures</t>
  </si>
  <si>
    <t>St Anthony Woodworks Ltd</t>
  </si>
  <si>
    <t>Framegrip Industires Ltd</t>
  </si>
  <si>
    <t>J Lautier Co Ltd</t>
  </si>
  <si>
    <t>Styles Apertures Ltd</t>
  </si>
  <si>
    <t>Grima Furniture (1960) Ltd</t>
  </si>
  <si>
    <t>Amabile Galea &amp; Sons Ltd Iron &amp; Aluminium Works</t>
  </si>
  <si>
    <t>Gozo Aluminium Ltd</t>
  </si>
  <si>
    <t>A1 Finishes Limited</t>
  </si>
  <si>
    <t>John Spiteri Aluminium (II-Parus)</t>
  </si>
  <si>
    <t>Afda Aluminium</t>
  </si>
  <si>
    <t>Brand Imports/Aluminium</t>
  </si>
  <si>
    <t>J 3 Alumiunium &amp; Iron Works</t>
  </si>
  <si>
    <t>Nu Aluminium</t>
  </si>
  <si>
    <t>ihomes</t>
  </si>
  <si>
    <t>Nicholas Industries</t>
  </si>
  <si>
    <t>Melvin Aluminium Works</t>
  </si>
  <si>
    <t>Josef Aluminium &amp; Metal Works</t>
  </si>
  <si>
    <t>Abela Woodworks</t>
  </si>
  <si>
    <t>North Aluminium Works</t>
  </si>
  <si>
    <t>A. Goodchild Installations</t>
  </si>
  <si>
    <t>Godwin Cristina Aluminium</t>
  </si>
  <si>
    <t>JBS Aluminium</t>
  </si>
  <si>
    <t>A + Aluminium Gozo</t>
  </si>
  <si>
    <t>A &amp; C Aluminium Ltd</t>
  </si>
  <si>
    <t>A P Aluminium Works</t>
  </si>
  <si>
    <t>Adore More Ltd</t>
  </si>
  <si>
    <t>Alfred Aluminium</t>
  </si>
  <si>
    <t>Almal Aluminium &amp; Stained Glass Works</t>
  </si>
  <si>
    <t>Alukey Aluminium</t>
  </si>
  <si>
    <t>Aluminium Ltd</t>
  </si>
  <si>
    <t>Aluwood Co Ltd</t>
  </si>
  <si>
    <t>Andrew Vella Aluminium Works</t>
  </si>
  <si>
    <t>Azzopardi Aluminium &amp; Metal Works</t>
  </si>
  <si>
    <t>Bason Aluminium</t>
  </si>
  <si>
    <t>Borg Aluminium</t>
  </si>
  <si>
    <t>BP Apertures</t>
  </si>
  <si>
    <t>C D S Aluminium Works Ltd</t>
  </si>
  <si>
    <t>CA Group</t>
  </si>
  <si>
    <t>Charles Grech Isolcasa</t>
  </si>
  <si>
    <t>Choco Aluminium Works</t>
  </si>
  <si>
    <t>Comforabita Ltd</t>
  </si>
  <si>
    <t>Cuschieri Group</t>
  </si>
  <si>
    <t>Danio Barbara</t>
  </si>
  <si>
    <t>Dimech Aluminium Works</t>
  </si>
  <si>
    <t>Direct Developments Ltd</t>
  </si>
  <si>
    <t>DX Aluminium Works</t>
  </si>
  <si>
    <t>Express Aluminium Ltd</t>
  </si>
  <si>
    <t>F &amp; S Aluminium</t>
  </si>
  <si>
    <t>Finestral</t>
  </si>
  <si>
    <t>Friends Aluminium Works</t>
  </si>
  <si>
    <t>George Aluminium</t>
  </si>
  <si>
    <t>Giorgio Aluminium Co Ltd</t>
  </si>
  <si>
    <t>Guys Gypsum Installations, Soffits &amp; Aluminium</t>
  </si>
  <si>
    <t>Horvin Alum Ltd</t>
  </si>
  <si>
    <t>I C S Aluminium</t>
  </si>
  <si>
    <t>J &amp; B Aluminium Ltd</t>
  </si>
  <si>
    <t>J C D Aluminium Works &amp; Woodworks</t>
  </si>
  <si>
    <t>J &amp; K Aluminium</t>
  </si>
  <si>
    <t>Jamar Malta Ltd</t>
  </si>
  <si>
    <t>Jason Aluminium Co Ltd</t>
  </si>
  <si>
    <t>K K Aluminium - Matthew</t>
  </si>
  <si>
    <t>Munita Aluminium</t>
  </si>
  <si>
    <t>Muscat George Aluminium</t>
  </si>
  <si>
    <t>N D Aluminium</t>
  </si>
  <si>
    <t>Perfectum.mt</t>
  </si>
  <si>
    <t>Pisani Aluminium</t>
  </si>
  <si>
    <t>Qormi Aluminium Holdings</t>
  </si>
  <si>
    <t>R C Aluminium</t>
  </si>
  <si>
    <t>Rapa Aluminium</t>
  </si>
  <si>
    <t>Ray Aluminium</t>
  </si>
  <si>
    <t>Refined Aluminium And Metal Works</t>
  </si>
  <si>
    <t>Servgroup Ltd</t>
  </si>
  <si>
    <t>Simon Aluminium</t>
  </si>
  <si>
    <t>SP Techniques</t>
  </si>
  <si>
    <t>Sun Aluminium</t>
  </si>
  <si>
    <t>TC Aluminium Works</t>
  </si>
  <si>
    <t>Tower Aluminium Ltd</t>
  </si>
  <si>
    <t>Trends Manufacturing Ltd</t>
  </si>
  <si>
    <t>Windmill Services Ltd</t>
  </si>
  <si>
    <t>Woodpecker Carpenter</t>
  </si>
  <si>
    <t>Woodware Ltd</t>
  </si>
  <si>
    <t>Zammit Aluminium Ltd</t>
  </si>
  <si>
    <t>Solid Furniture Ltd</t>
  </si>
  <si>
    <t>Doors &amp; More</t>
  </si>
  <si>
    <t>A C M A Inox &amp; Metal Ltd</t>
  </si>
  <si>
    <t>Cauchi T C Aluminium Works</t>
  </si>
  <si>
    <t>Deckor</t>
  </si>
  <si>
    <t>Tonna Aluminium</t>
  </si>
  <si>
    <t>Valor Malta</t>
  </si>
  <si>
    <t>info@pvc.com.mt / sales@ampmalta.com</t>
  </si>
  <si>
    <t>stakterinacons@outlook.com</t>
  </si>
  <si>
    <t>info@stanthonyww.com</t>
  </si>
  <si>
    <t>info@framegrip.com</t>
  </si>
  <si>
    <t>sales@jlautier.com</t>
  </si>
  <si>
    <t>sales@newstylesmalta.com</t>
  </si>
  <si>
    <t>info@grimafurniture.com</t>
  </si>
  <si>
    <t>info@amabilegalea.com</t>
  </si>
  <si>
    <t>info@gozoaluminium.com</t>
  </si>
  <si>
    <t>info@a1finishesltd.com</t>
  </si>
  <si>
    <t>parus984@gmail.com</t>
  </si>
  <si>
    <t>info@afdaaluminium.com</t>
  </si>
  <si>
    <t>info@brandimports.com.mt</t>
  </si>
  <si>
    <t>j3aluminium@gmail.com</t>
  </si>
  <si>
    <t>nu-aluminium@outlook.com</t>
  </si>
  <si>
    <t>info@ihomes.com.mt</t>
  </si>
  <si>
    <t>chayron186@gmail.com</t>
  </si>
  <si>
    <t>josefvella72@gmail.com</t>
  </si>
  <si>
    <t>abelawoodworks@gmail.com</t>
  </si>
  <si>
    <t>northalu@gmail.com</t>
  </si>
  <si>
    <t>agood.installations@yahoo.com</t>
  </si>
  <si>
    <t>gsf-1200@hotmail.com</t>
  </si>
  <si>
    <t>jsbaluminiumworks@gmail.com</t>
  </si>
  <si>
    <t>mario.camilleri9@gmail.com</t>
  </si>
  <si>
    <t>info@acaluminium.com</t>
  </si>
  <si>
    <t>lexport@go.com.mt</t>
  </si>
  <si>
    <t>sales@adoremore.eu</t>
  </si>
  <si>
    <t>alfalu@melita.com</t>
  </si>
  <si>
    <t>xandrumallia@gmail.com</t>
  </si>
  <si>
    <t>info@alukey.com.mt</t>
  </si>
  <si>
    <t>info@aluminiumltd.com</t>
  </si>
  <si>
    <t>info@aluwoodmalta.com</t>
  </si>
  <si>
    <t>andrewvella66@gmail.com</t>
  </si>
  <si>
    <t>azzopardialuminiumworks@gmail.com</t>
  </si>
  <si>
    <t>info@basonaluminium.com</t>
  </si>
  <si>
    <t>borgaluminiummalta@gmail.com</t>
  </si>
  <si>
    <t>cdsaluminium@gmail.com</t>
  </si>
  <si>
    <t>henry@bpapertures.com</t>
  </si>
  <si>
    <t>info@cagroup.com.mt</t>
  </si>
  <si>
    <t>mrgmv@onvol.net</t>
  </si>
  <si>
    <t>chocoaluminium@gmail.com</t>
  </si>
  <si>
    <t>info@comforabita.com</t>
  </si>
  <si>
    <t>cba@cba.com.mt</t>
  </si>
  <si>
    <t>daniobarbara1977@gmail.com</t>
  </si>
  <si>
    <t>savdim65@gmail.com</t>
  </si>
  <si>
    <t>dxaluworks@gmail.com</t>
  </si>
  <si>
    <t>info@expressaluminium.com</t>
  </si>
  <si>
    <t>simdebwebb@hotmail.com</t>
  </si>
  <si>
    <t>sales@finestralmalta.com</t>
  </si>
  <si>
    <t>faworks123@gmail.com</t>
  </si>
  <si>
    <t>azzopardimark8@gmail.com</t>
  </si>
  <si>
    <t>info@alugiorgio.com</t>
  </si>
  <si>
    <t>guysmalta@gmail.com</t>
  </si>
  <si>
    <t>horvinltd@gmail.com</t>
  </si>
  <si>
    <t>charliecalleja@hotmail.com / icsaluminium@gmail.com</t>
  </si>
  <si>
    <t>johnjandb@gmail.com</t>
  </si>
  <si>
    <t>info@jcdaluminium.com</t>
  </si>
  <si>
    <t>jk.aluminium@yahoo.com</t>
  </si>
  <si>
    <t>admin@jamarmalta.com</t>
  </si>
  <si>
    <t>info@jasonaluminium.com</t>
  </si>
  <si>
    <t>kkalworks@gmail.com</t>
  </si>
  <si>
    <t>bjorn.vassallo@gmail.com</t>
  </si>
  <si>
    <t>gmuscat@live.com</t>
  </si>
  <si>
    <t>nicdimech@gmail.com</t>
  </si>
  <si>
    <t>matteo.pisani40@gmail.com</t>
  </si>
  <si>
    <t>qormialum@gmail.com</t>
  </si>
  <si>
    <t>rcalworks@gmail.com</t>
  </si>
  <si>
    <t>rapa.aluminium@gmail.com</t>
  </si>
  <si>
    <t>raymondfarrugia74@gmail.com</t>
  </si>
  <si>
    <t>refinedaluworks@gmail.com</t>
  </si>
  <si>
    <t>info@servgroupmalta.com</t>
  </si>
  <si>
    <t>info@sptechniques.com</t>
  </si>
  <si>
    <t>sunaluminium@hotmail.com</t>
  </si>
  <si>
    <t>t.camillerialuminium@hotmail.com</t>
  </si>
  <si>
    <t>info@towergroupmalta.com</t>
  </si>
  <si>
    <t>mario@windmillmalta.com</t>
  </si>
  <si>
    <t>luke@woodware.com.mt</t>
  </si>
  <si>
    <t>zammitalu@gmail.com</t>
  </si>
  <si>
    <t>info@sfdoorstyles.com.mt</t>
  </si>
  <si>
    <t>sales@doorsandmore.in</t>
  </si>
  <si>
    <t>info@acmamalta.com</t>
  </si>
  <si>
    <t>azzopardialumworks@gmail.com</t>
  </si>
  <si>
    <t>tc@aluminium.mt</t>
  </si>
  <si>
    <t>info@deckor.com.mt</t>
  </si>
  <si>
    <t>info@jamarmalta.com</t>
  </si>
  <si>
    <t>gormialum@gmail.com</t>
  </si>
  <si>
    <t>tonnalum@yahoo.com</t>
  </si>
  <si>
    <t>valormalta@gmail.com</t>
  </si>
  <si>
    <t>luke@woodware.mt</t>
  </si>
  <si>
    <t>8 Triq il-Garra Victoria Gardens L-Ibrag, Swieqi</t>
  </si>
  <si>
    <t>Triq il-Kappella ta' Santa Marija, Naxxar</t>
  </si>
  <si>
    <t>Triq il-Fortizza, Mosta</t>
  </si>
  <si>
    <t>Triq il-Mosta, Lija</t>
  </si>
  <si>
    <t>Triq it-Torri, Msida</t>
  </si>
  <si>
    <t>SUB 030A Qasam Industrijali, San Gwann</t>
  </si>
  <si>
    <t>Zone 2 Triq L-Ghadam Central Business District, B'Kara</t>
  </si>
  <si>
    <t>34 Triq it-Torri San Gwann, Birgu</t>
  </si>
  <si>
    <t>Factory GZB 2 Qasam Industrijali, Xewkija-Gozo</t>
  </si>
  <si>
    <t>2 Triq Lorenzo Gafa, Zebbug</t>
  </si>
  <si>
    <t>31 Triq il-Furnar, Qormi</t>
  </si>
  <si>
    <t>Garage 10, Level -2 Sqaq il-Mithna Triq I-Imqabba, Qrendi</t>
  </si>
  <si>
    <t>26 Triq Haz-Zabbar, Paola</t>
  </si>
  <si>
    <t>Triq Mro Giorgio Zarb Tal-Handaq, Qormi</t>
  </si>
  <si>
    <t>GGX 0021 Qasam Industrijali, Xewkija-Gozo</t>
  </si>
  <si>
    <t>No5 Triq Mons Alfred Mifsud, B'Kara</t>
  </si>
  <si>
    <t>33 Triq Angelo Melilli, Zebbug</t>
  </si>
  <si>
    <t>Emmarie Triq id-Dahla Ta' San Tumas, M'Skala</t>
  </si>
  <si>
    <t>Garage 25 Tal-Barrani Industrial Estate Triq il-Belt Valletta, Ghaxaq</t>
  </si>
  <si>
    <t>34 Triq Indri Psaila, Qormi</t>
  </si>
  <si>
    <t>Scorpio Triq Garcia De Toledo Qawra, San Pawl ll-Bahar</t>
  </si>
  <si>
    <t>Triq San Pawl ll-Bahar</t>
  </si>
  <si>
    <t>197 Telgha tal-Gizwiti, Marsa</t>
  </si>
  <si>
    <t>Triq Pawlu Mifsud, Zebbug</t>
  </si>
  <si>
    <t>10 Triq Bingemma, Nadur-Gozo</t>
  </si>
  <si>
    <t>18 Triq Salvinu Spiteri, Sta Venera</t>
  </si>
  <si>
    <t>124 Triq San Gejtanu, Hamrun</t>
  </si>
  <si>
    <t>Triq id-Difiza Civili, Mosta</t>
  </si>
  <si>
    <t>45 Stella Maris Triq James Smith Qawra, San Pawl ll-Bahar</t>
  </si>
  <si>
    <t>4 Triq il-Lvant, Zejtun</t>
  </si>
  <si>
    <t>57 Triq il-Qasam Sperimentali Hal Farrug, Luqa</t>
  </si>
  <si>
    <t>4, 11 Triq Valletta Qasam Industrijali, Marsa</t>
  </si>
  <si>
    <t>Plot 121, Aluwood Bldg Triq Ha; Qormi Qasam Industrijali, Luqa</t>
  </si>
  <si>
    <t>Triq in-Naggar, Mosta</t>
  </si>
  <si>
    <t>Garage 7, Drive In Triq Lydda, Qormi</t>
  </si>
  <si>
    <t>Zone 3 Triq San Gwakkin Central Business District, B'Kara</t>
  </si>
  <si>
    <t>13, Triq Luretu Cutajar, Zebbug, Haz-Zebbug</t>
  </si>
  <si>
    <t>Garage No 2 Triq tas-Sejba, Mqabba</t>
  </si>
  <si>
    <t>52, Triq Pinto, Qormi</t>
  </si>
  <si>
    <t>16-17 Waterside Place, Flt 9 Ix-Xatt ta' Qui Si-Sana, Sliema</t>
  </si>
  <si>
    <t>10c Midland Park Triq Burmarrad, Naxxar</t>
  </si>
  <si>
    <t>Triq it-Territorji, B'Kara</t>
  </si>
  <si>
    <t>Sub 029A Qasam Industrijali, San Gwann</t>
  </si>
  <si>
    <t>Landscape Triq Gnien Fieres, Rabat</t>
  </si>
  <si>
    <t>3 Triq iz-Znuber, Mosta</t>
  </si>
  <si>
    <t>Qasam Industrijali, Tal-Handaq, Qormi</t>
  </si>
  <si>
    <t>52 Triq il-Muzika, Iklin</t>
  </si>
  <si>
    <t>Five Star Business Park Triq il-Belt Valetta, Ghaxaq</t>
  </si>
  <si>
    <t>Express Bldg Triq Gharram, Zebbug</t>
  </si>
  <si>
    <t>Oliand Triq Anthony John Coleiro Tal-Handaq, Qormi</t>
  </si>
  <si>
    <t>SUB 029B Qasam Industrijali, San Gwann</t>
  </si>
  <si>
    <t>Garage 144 Triq San Xmun, Fgura</t>
  </si>
  <si>
    <t>263 Triq il-Merhba, Fgura</t>
  </si>
  <si>
    <t>Triq Mro Giuseppe Camilleri Tal-Hanhaq, Qormi</t>
  </si>
  <si>
    <t>23 Graham Aluminium Triq John Michael Testa Tal-Handaq, Qormi</t>
  </si>
  <si>
    <t>Drive in fi triq il-Belt Valletta, Qormi</t>
  </si>
  <si>
    <t>A 42 Qasam Industrijali, Marsa</t>
  </si>
  <si>
    <t>Qart D'Orange Garage Trejqet il-Wied, Qormi</t>
  </si>
  <si>
    <t>Triq I-Imdina, Zebbug</t>
  </si>
  <si>
    <t>13 Triq Mro Giorgio Zarb Tal-Handaq, Qormi</t>
  </si>
  <si>
    <t>John Garage Triq Haz-Zebbug, Attard</t>
  </si>
  <si>
    <t>110, Triq Dun Bartilmew Attard, Zebbug</t>
  </si>
  <si>
    <t>KW 19J Qasam Industrijali, Kordin, Paola</t>
  </si>
  <si>
    <t>Oceanis Triq tas-Sliema, Gzira</t>
  </si>
  <si>
    <t>82 Triq il-Hareb, Ghaxaq</t>
  </si>
  <si>
    <t>12 Triq Wenzu Despott, Tarxien</t>
  </si>
  <si>
    <t>Garage 23 Triq il-Bizzilla, Ghaxaq</t>
  </si>
  <si>
    <t>Malta, Valletta</t>
  </si>
  <si>
    <t>Casa Pisani Triq Pisoniano, Sannat-Gozo</t>
  </si>
  <si>
    <t>Triq il-Palazz L-Ahmar, Sta Venera</t>
  </si>
  <si>
    <t>43 Triq Dun Bartilmew Attard, Zebbug</t>
  </si>
  <si>
    <t>New Building Triq id-Dawwara, Victoria-Gozo</t>
  </si>
  <si>
    <t>Triq Pietru D' Armenia, Pembroke</t>
  </si>
  <si>
    <t>KW36 Qasam Indrustrijali Kordin Paola</t>
  </si>
  <si>
    <t>Zone 2 Triq ll-Ghain Central Business District, B'Kara</t>
  </si>
  <si>
    <t>F18, Lower Level Midland Industrial Oark Triq Burmarrad, Naxxar</t>
  </si>
  <si>
    <t>23 Triq Angelo Melilli, Zebbug</t>
  </si>
  <si>
    <t>8 Triq ll-Madonna Ta' Pompej, B'Kara</t>
  </si>
  <si>
    <t>Towe Buildings Triq Graham, Zebbug</t>
  </si>
  <si>
    <t>KK 011 Qasam Industrijali, Kordin, Paola</t>
  </si>
  <si>
    <t>MRA 053 Qasam Industrijali, Marsa</t>
  </si>
  <si>
    <t>77 Triq il-Ballut Qasam Industrijali, Mosta</t>
  </si>
  <si>
    <t>A8 Qasam Industrijali, Marsa</t>
  </si>
  <si>
    <t>Sqaq Privat Triq tal-Ghajn, Fontana-Gozo</t>
  </si>
  <si>
    <t>Unit 1 &amp; 2 Qasam Industrijali, Luqa</t>
  </si>
  <si>
    <t>217 Triq Salvu Psaila, B'Kara</t>
  </si>
  <si>
    <t>BLB 010C Qasam Industrijali, Bulebel, Zejtun</t>
  </si>
  <si>
    <t>3 Triq Manwel Borg Gauci, Qormi</t>
  </si>
  <si>
    <t>114 Triq il-Wied, B'Kara</t>
  </si>
  <si>
    <t>29 Triq E Attard Bezzina, Zejtun</t>
  </si>
  <si>
    <t>Triq l-isturnell Roza, Hal Luqa, Malta</t>
  </si>
  <si>
    <t>2138 2595</t>
  </si>
  <si>
    <t>kbstructuresltd.com</t>
  </si>
  <si>
    <t>stanthonyww.com</t>
  </si>
  <si>
    <t>jlautier.com</t>
  </si>
  <si>
    <t>newstylesmalta.com</t>
  </si>
  <si>
    <t>grimafurniture.com</t>
  </si>
  <si>
    <t>amabilegalea.com</t>
  </si>
  <si>
    <t>facebook.com/GozoAluminium/</t>
  </si>
  <si>
    <t>afdaaluminium.com</t>
  </si>
  <si>
    <t>brandimports.com.mt</t>
  </si>
  <si>
    <t>j3alumiuniumworks.com</t>
  </si>
  <si>
    <t>facebook.com/p/Nu-Aluminium-100064044373074/</t>
  </si>
  <si>
    <t>facebook.com/ihomes</t>
  </si>
  <si>
    <t>facebook.com/p/Melvin-Aluminium-works-100057483907699/</t>
  </si>
  <si>
    <t>facebook.com/p/Josef-Aluminium-Metal-Works-100054319188613/</t>
  </si>
  <si>
    <t>abelawoodworks.wixsite.com/abelawoodworks</t>
  </si>
  <si>
    <t>facebook.com/people/Northalu/100055070154471/?utm_source=Yellow&amp;utm_medium=Yellow-Website&amp;utm_campaign=Landing-Page#</t>
  </si>
  <si>
    <t>agoodchildinstallations.com</t>
  </si>
  <si>
    <t>facebook.com/jsbaluminium.works</t>
  </si>
  <si>
    <t>adoremore.com.mt</t>
  </si>
  <si>
    <t>facebook.com/alukeyaluminium</t>
  </si>
  <si>
    <t>aluminium-ltd.business.site</t>
  </si>
  <si>
    <t>facebook.com/AluwoodCoLtd</t>
  </si>
  <si>
    <t>facebook.com/people/Andrew-vella-aluminium/100064883072627/</t>
  </si>
  <si>
    <t>facebook.com/azzopardialum</t>
  </si>
  <si>
    <t>basonaluminium.com</t>
  </si>
  <si>
    <t>facebook.com/borgalum/</t>
  </si>
  <si>
    <t>bpapertures.com/</t>
  </si>
  <si>
    <t>facebook.com/people/CDS-Aluminium-work/100064086582054/</t>
  </si>
  <si>
    <t>cagroup.com.mt</t>
  </si>
  <si>
    <t>salamander-windows.com/?utm_source=Yellow&amp;utm_medium=Yellow-Website&amp;utm_campaign=Landing-Page</t>
  </si>
  <si>
    <t>facebook.com/p/Choco-aluminium-works-100064574387617/</t>
  </si>
  <si>
    <t>comfortabita.com</t>
  </si>
  <si>
    <t>cuschierigroup.com</t>
  </si>
  <si>
    <t>dimechapertures.com/</t>
  </si>
  <si>
    <t>pvcmalta.com</t>
  </si>
  <si>
    <t>EMAIL NOT DELIVERED</t>
  </si>
  <si>
    <t>facebook.com/p/DX-Aluminium-Works-100064182690832/</t>
  </si>
  <si>
    <t>expressaluminium.com</t>
  </si>
  <si>
    <t>aluminiumworks.in</t>
  </si>
  <si>
    <t>facebook.com/p/Giorgio-Aluminium-Co-Ltd-100065044507710/</t>
  </si>
  <si>
    <t>facebook.com/Guys21485785/</t>
  </si>
  <si>
    <t>horvinltd.com</t>
  </si>
  <si>
    <t>icsaluminium.yolasite.com</t>
  </si>
  <si>
    <t>jcdaluminium.com</t>
  </si>
  <si>
    <t>jk-aluminium.com</t>
  </si>
  <si>
    <t>jamarmalta.com</t>
  </si>
  <si>
    <t>jasonaluminium.com</t>
  </si>
  <si>
    <t>facebook.com/KKAluWorks/</t>
  </si>
  <si>
    <t>facebook.com/p/Munita-Aluminium-100063476861515/</t>
  </si>
  <si>
    <t>facebook.com/QormiAluminium</t>
  </si>
  <si>
    <t>facebook.com/people/Rapa-Aluminium-Victoria-Gozo/100063473081953/?utm_source=Yellow&amp;utm_medium=Yellow-Website&amp;utm_campaign=Landing-Page#</t>
  </si>
  <si>
    <t>facebook.com/RayAluWorks/</t>
  </si>
  <si>
    <t>facebook.com/people/Refined-Aluminium-Metal-Works/100063567219937/?utm_source=Yellow&amp;utm_medium=Yellow-Website&amp;utm_campaign=Landing-Page#</t>
  </si>
  <si>
    <t>servgroupmalta.com</t>
  </si>
  <si>
    <t>sptechniques.com</t>
  </si>
  <si>
    <t>aluminium.mt/</t>
  </si>
  <si>
    <t>towergroupmalta.com</t>
  </si>
  <si>
    <t>trendsltdmalta.com</t>
  </si>
  <si>
    <t>facebook.com/windmillltd/</t>
  </si>
  <si>
    <t>facebook.com/bespokelocalfurniture</t>
  </si>
  <si>
    <t>facebook.com/zammitaluminum/</t>
  </si>
  <si>
    <t>a1finishesltd.com/</t>
  </si>
  <si>
    <t>yellow.com.mt/nu-aluminium/aluminium-apertures-fixtures/</t>
  </si>
  <si>
    <t>sfdoorstyles.com.mt/</t>
  </si>
  <si>
    <t>j3aluminiumworks.com/</t>
  </si>
  <si>
    <t>facebook.com/doorsand.more.3</t>
  </si>
  <si>
    <t>acmamalta.com</t>
  </si>
  <si>
    <t>facebook.com/p/TC-Aluminium-Works-100064147390058/</t>
  </si>
  <si>
    <t>deckor.com.mt/?brid=bHHAtQj_YIbnOwlfb4l7Qw</t>
  </si>
  <si>
    <t>valormalta.wixsite.com/valor</t>
  </si>
  <si>
    <t>Aluminum</t>
  </si>
  <si>
    <t>ICS Aluminium</t>
  </si>
  <si>
    <t>Philip Said Aluminium Works</t>
  </si>
  <si>
    <t>Framegrip Industries Ltd</t>
  </si>
  <si>
    <t>Aluminum Maintance by Paul</t>
  </si>
  <si>
    <t>D.T Aluminium</t>
  </si>
  <si>
    <t>Amato Home Improvements</t>
  </si>
  <si>
    <t>charliecalleja@hotmail.com</t>
  </si>
  <si>
    <t>pmll.said@gmail.com</t>
  </si>
  <si>
    <t>sales@ampmalta.com</t>
  </si>
  <si>
    <t>structures@portofino.mt</t>
  </si>
  <si>
    <t>carmelspiteri2010@gmail.com</t>
  </si>
  <si>
    <t>aluminiumbypaul@gmail.com</t>
  </si>
  <si>
    <t>dt.aluminium@outlook.com</t>
  </si>
  <si>
    <t>amatohomeimprovements@gmail.com</t>
  </si>
  <si>
    <t>WILL CHECK LATER - 23/04/2026</t>
  </si>
  <si>
    <t>yellow.com.mt/i-c-s-aluminium_aluminium-apertures-fixtures%2Bqormi/?utm_source=chatgpt.com</t>
  </si>
  <si>
    <t>triedandtested.mt/listing/philip-said-aluminium-works</t>
  </si>
  <si>
    <t>facebook.com/alultd/</t>
  </si>
  <si>
    <t>checkyourtraders.com/listing/azzopardi-aluminium-metalworks?utm_source=chatgpt.com</t>
  </si>
  <si>
    <t>SENT TO WRONG EMAIL - RESENT</t>
  </si>
  <si>
    <t>CANNOT</t>
  </si>
  <si>
    <t>They dont work on Alum</t>
  </si>
  <si>
    <t>Will reply back.</t>
  </si>
  <si>
    <t>Will confirm with the design department that they are working on the quote</t>
  </si>
  <si>
    <t>Number doesnt exist</t>
  </si>
  <si>
    <t>No reply</t>
  </si>
  <si>
    <t>Will call back Monday</t>
  </si>
  <si>
    <t>Will call later.</t>
  </si>
  <si>
    <t>Needs more details on the structure, more dims, glass type, etc.</t>
  </si>
  <si>
    <t>Skylight</t>
  </si>
  <si>
    <t>Woodwork</t>
  </si>
  <si>
    <t>Wooden apertures</t>
  </si>
  <si>
    <t>Doors</t>
  </si>
  <si>
    <t>Joseph Mifsud Woodworks Ltd.</t>
  </si>
  <si>
    <t>Grima Furniture</t>
  </si>
  <si>
    <t>AM Projects</t>
  </si>
  <si>
    <t>adoremore</t>
  </si>
  <si>
    <t>Direct Developments Malta</t>
  </si>
  <si>
    <t>Cassar Woodworks</t>
  </si>
  <si>
    <t>St Anthony Woodworks</t>
  </si>
  <si>
    <t>C and M Woodworks</t>
  </si>
  <si>
    <t>Pisani Woodworks</t>
  </si>
  <si>
    <t>MasterWoodMalta</t>
  </si>
  <si>
    <t>Gilbert Micallef Woodwork</t>
  </si>
  <si>
    <t>Classic Design Woodworks</t>
  </si>
  <si>
    <t>Kubek Furniture Works</t>
  </si>
  <si>
    <t>Briffa &amp; Axiaq Woodworks</t>
  </si>
  <si>
    <t>Delia Woodworks</t>
  </si>
  <si>
    <t>DDoor Company</t>
  </si>
  <si>
    <t>Confort House</t>
  </si>
  <si>
    <t>Baldacchino Woodworks</t>
  </si>
  <si>
    <t>Woodware</t>
  </si>
  <si>
    <t>Gatt Woodworks</t>
  </si>
  <si>
    <t>Master Carpenter</t>
  </si>
  <si>
    <t>Trends Ltd</t>
  </si>
  <si>
    <t>ProjektDar</t>
  </si>
  <si>
    <t>info@josephmifsud.com</t>
  </si>
  <si>
    <t>Cieffe Joinery Ltd.</t>
  </si>
  <si>
    <t>info@cassarwoodworks.com</t>
  </si>
  <si>
    <t>info@pisaniwoodworks.com</t>
  </si>
  <si>
    <t>masterwoodmalta@gmail.com</t>
  </si>
  <si>
    <t>gilbertmicallef1@gmail.com</t>
  </si>
  <si>
    <t>info@classicdesign.mt</t>
  </si>
  <si>
    <t>info@deliaww.net</t>
  </si>
  <si>
    <t>info@ddoorcompany.com</t>
  </si>
  <si>
    <t>info@conforthouse.mt</t>
  </si>
  <si>
    <t>joelgattcarpentry@gmail.com</t>
  </si>
  <si>
    <t>mastercarpentermalta@outlook.com</t>
  </si>
  <si>
    <t>Projectdarmalta@gmail.com</t>
  </si>
  <si>
    <t>Joseph Mifsud Woodworks Ltd 48, Triq Dun Luret Callus Zebbug ZBG 2495 Malta</t>
  </si>
  <si>
    <t>Zone 2, Triq L-Ghadam, Central Business District
B’Kara - Malta
CBD 2060</t>
  </si>
  <si>
    <t>8 Garra, Is-Swieqi</t>
  </si>
  <si>
    <t>Adore More
Triq Id-Difiza Civili.
Mosta, MST 1743
Malta</t>
  </si>
  <si>
    <t>George Cassar Woodworks
Plot TQL027, Crafts Village,
Ta’ Qali,</t>
  </si>
  <si>
    <t>St. Anthony Woodworks
Triq il-Fortizza,
Mosta MST 4000</t>
  </si>
  <si>
    <t>C &amp; M Woodworks, Indri Psaila Street, Handaq Industrial Estate, Qormi</t>
  </si>
  <si>
    <t>Pisani Woodworks Co. Ltd.
GGX 002B,
Industrial Estate,
Xewkija XWK3000,
Gozo</t>
  </si>
  <si>
    <t>106, Ind Estate, Luqa, LQA 3000, Malta</t>
  </si>
  <si>
    <t>Pearl Court, Flat 1, Vjal Il-Helsien, Haz-Zebbug, Malta</t>
  </si>
  <si>
    <t>Entrance 4 No:1 Triq Valletta Il-Marsa Marsa, Malta</t>
  </si>
  <si>
    <t>Kubek Showroom,
Mdina Road, Qormi</t>
  </si>
  <si>
    <t>Triq Mastru Karmenu Mallia, Hal Qormi, Malta</t>
  </si>
  <si>
    <t>Triq Il-Kappar, Il-Mosta, Malta MST 03</t>
  </si>
  <si>
    <t>Factory A5a, Qasam Industrijali, Il-Marsa, Malta</t>
  </si>
  <si>
    <t>128 Old Railway Track, Santa Venera</t>
  </si>
  <si>
    <t>71, Triq L-Imdina Qormi – Malta</t>
  </si>
  <si>
    <t>Baldacchino Builldings, Valletta road, Iz-Zurrieq, Malta</t>
  </si>
  <si>
    <t>A8, Industrial Estate, Marsa, Malta, MRS3000</t>
  </si>
  <si>
    <t>Ħal Għaxaq, Malta</t>
  </si>
  <si>
    <t>KKW011, Corradino Industrial Estate, Paola, PLA 3000, Malta</t>
  </si>
  <si>
    <t>Naxxar, Malta</t>
  </si>
  <si>
    <t>Triq Valletta Il-Marsa, Marsa, Malta</t>
  </si>
  <si>
    <t>Hal Far Road, Birzebbugia, Malta</t>
  </si>
  <si>
    <t>PVC Window</t>
  </si>
  <si>
    <t>josephmifsud.com/en/home.htm</t>
  </si>
  <si>
    <t>grimafurniture.com/</t>
  </si>
  <si>
    <t>pvc.com.mt/</t>
  </si>
  <si>
    <t>adoremore.com.mt/</t>
  </si>
  <si>
    <t>cassarwoodworks.com/</t>
  </si>
  <si>
    <t>stanthonyww.com/</t>
  </si>
  <si>
    <t>candmwoodworks.com/</t>
  </si>
  <si>
    <t>pisaniwoodworks.com/</t>
  </si>
  <si>
    <t>masterwoodmalta.net/</t>
  </si>
  <si>
    <t>findit.com.mt/en/directory/listings/9529/gilbert-micallef-woodwork-malta.htm?utm_source=chatgpt.com</t>
  </si>
  <si>
    <t>classicdesign.mt/</t>
  </si>
  <si>
    <t>findit.com.mt/en/directory/listings/5261/kubek-furniture-works.htm</t>
  </si>
  <si>
    <t>findit.com.mt/en/directory/listings/10200/joseph-briffa-woodworks.htm</t>
  </si>
  <si>
    <t>findit.com.mt/en/directory/listings/3681/gauci-woodworks.htm</t>
  </si>
  <si>
    <t>findit.com.mt/en/directory/listings/9171/delia-woodworks-ltd.htm</t>
  </si>
  <si>
    <t>ddoorcompany.com/</t>
  </si>
  <si>
    <t>conforthouse.mt/</t>
  </si>
  <si>
    <t>baldacchinogroup.com/menu/home.html</t>
  </si>
  <si>
    <t>facebook.com/bespokelocalfurniture/?utm_source=Yellow&amp;utm_medium=Yellow-Website&amp;utm_campaign=Landing-Page</t>
  </si>
  <si>
    <t>facebook.com/MasterCarpenter84/</t>
  </si>
  <si>
    <t>trendsltdmalta.com/</t>
  </si>
  <si>
    <t>facebook.com/profile.php?id=61577138676789</t>
  </si>
  <si>
    <t>facebook.com/profile.php?id=100063608976880</t>
  </si>
  <si>
    <t>PVC Doors and Windows</t>
  </si>
  <si>
    <t>Doors and More</t>
  </si>
  <si>
    <t>JCD Aluminium</t>
  </si>
  <si>
    <t>Window World</t>
  </si>
  <si>
    <t>ProDoor</t>
  </si>
  <si>
    <t>CASCONE Home</t>
  </si>
  <si>
    <t>iHomes</t>
  </si>
  <si>
    <t>Confort</t>
  </si>
  <si>
    <t>Direct Development</t>
  </si>
  <si>
    <t>sales@prodoormalta.com</t>
  </si>
  <si>
    <t>info@casconeporteefinestre.it</t>
  </si>
  <si>
    <t>quotes@ihomes.com.mt</t>
  </si>
  <si>
    <t>info@fourwalls.com.mt</t>
  </si>
  <si>
    <t>office@ecoplast.com.mt</t>
  </si>
  <si>
    <t>217, Doors and More
Triq Salvo Psaila
B'Kara BKR 9078
Malta</t>
  </si>
  <si>
    <t>Block  F 18, 
Midland Industrial Park, 
Burmarrd Street,
Naxxar, NXR 6345</t>
  </si>
  <si>
    <t>Triq MRU Giorgio Zarb, Ħal Qormi</t>
  </si>
  <si>
    <t>San Gwann Industrial Estate, SGN3000, Malta</t>
  </si>
  <si>
    <t>Plot 35 Triq Mastru George Cachia
Hal Qormi, Malta</t>
  </si>
  <si>
    <t>Zircon Suites Triq ta' Zejfa,
Mosta, Malta</t>
  </si>
  <si>
    <t>Msida Valley Road, BKR9022 Birkirkara - Malta</t>
  </si>
  <si>
    <t>uPVC Apertures</t>
  </si>
  <si>
    <t>facebook.com/doorsand.more.3/</t>
  </si>
  <si>
    <t>sptechniques.com/</t>
  </si>
  <si>
    <t>jcdaluminium.com/upvc-aluminium-doors-and-windows</t>
  </si>
  <si>
    <t>finestralmalta.com/</t>
  </si>
  <si>
    <t>windowworld.eu/</t>
  </si>
  <si>
    <t>prodoormalta.com/</t>
  </si>
  <si>
    <t>casconehome.com/en/index.php</t>
  </si>
  <si>
    <t>info@perfectum.mt</t>
  </si>
  <si>
    <t>Pocket doors / sliding doors</t>
  </si>
  <si>
    <t>MegaStore</t>
  </si>
  <si>
    <t>Apertures and more</t>
  </si>
  <si>
    <t>Doors and more</t>
  </si>
  <si>
    <t>Deckor LTD</t>
  </si>
  <si>
    <t>Elena's Doors and More</t>
  </si>
  <si>
    <t>RGroup</t>
  </si>
  <si>
    <t>viorel.limited@gmail.com</t>
  </si>
  <si>
    <t>Building alterations and restorations</t>
  </si>
  <si>
    <t>Facade restorations</t>
  </si>
  <si>
    <t>Restorations</t>
  </si>
  <si>
    <t>Building alterations</t>
  </si>
  <si>
    <t>Building restoration</t>
  </si>
  <si>
    <t>Building restoration and conservation</t>
  </si>
  <si>
    <t>Building Restoration</t>
  </si>
  <si>
    <t>Restoring heritage buildings</t>
  </si>
  <si>
    <t>Restoration</t>
  </si>
  <si>
    <t>Four VC</t>
  </si>
  <si>
    <t>NM Restorations</t>
  </si>
  <si>
    <t>Kiton Contractors</t>
  </si>
  <si>
    <t>Casa Completa</t>
  </si>
  <si>
    <t>Abela Restoration</t>
  </si>
  <si>
    <t>ReCoop</t>
  </si>
  <si>
    <t>Restoration Now</t>
  </si>
  <si>
    <t>Targe Restoration Limited</t>
  </si>
  <si>
    <t>PS. Buhagiar Building Contractors</t>
  </si>
  <si>
    <t>AX Construction</t>
  </si>
  <si>
    <t>VJ Restoration</t>
  </si>
  <si>
    <t>A.S. Restoration and Conservation</t>
  </si>
  <si>
    <t>BMD Solutions</t>
  </si>
  <si>
    <t>RGI Malta Restoration and Building Conservation Works</t>
  </si>
  <si>
    <t>A &amp; A Blasting Services</t>
  </si>
  <si>
    <t>Hi-Care Services</t>
  </si>
  <si>
    <t>Pisani Restoration</t>
  </si>
  <si>
    <t>Farstone Construction &amp; Restoration Ltd</t>
  </si>
  <si>
    <t>Opaq</t>
  </si>
  <si>
    <t>Brian Ellul Stone Restoration</t>
  </si>
  <si>
    <t>DG Restoration</t>
  </si>
  <si>
    <t>Cavett Home Renovations</t>
  </si>
  <si>
    <t>RM Restoration</t>
  </si>
  <si>
    <t>C Camilleri Services</t>
  </si>
  <si>
    <t>H&amp;M resotration</t>
  </si>
  <si>
    <t>All-Round Services</t>
  </si>
  <si>
    <t>Cece &amp; Friends Gypsum &amp; Plastering Works</t>
  </si>
  <si>
    <t>Trident Group Solutions</t>
  </si>
  <si>
    <t>KM Home Finishes</t>
  </si>
  <si>
    <t>A&amp;M Stone Resotration</t>
  </si>
  <si>
    <t>TM Home Improvements</t>
  </si>
  <si>
    <t>MB Multiservice</t>
  </si>
  <si>
    <t>TDM Restoration Works</t>
  </si>
  <si>
    <t>fourvcltd@gmail.com</t>
  </si>
  <si>
    <t>schembriw45@gmail.com</t>
  </si>
  <si>
    <t>neilborg9@gmail.com</t>
  </si>
  <si>
    <t>norobturnkey@gmail.com</t>
  </si>
  <si>
    <t>kitonkeith@gmail.com</t>
  </si>
  <si>
    <t>info@casacompleta.net</t>
  </si>
  <si>
    <t>abela.restoration@gmail.com</t>
  </si>
  <si>
    <t>info@recoop.com.mt</t>
  </si>
  <si>
    <t>lizabologna@restoration-now.com</t>
  </si>
  <si>
    <t>info@targe.mt</t>
  </si>
  <si>
    <t>psbcontractors@gmail.com</t>
  </si>
  <si>
    <t>info@axconstruction.mt</t>
  </si>
  <si>
    <t>silvio.tonna@gmail.com</t>
  </si>
  <si>
    <t>info@asbusiness.art</t>
  </si>
  <si>
    <t>info@rgimalta.com</t>
  </si>
  <si>
    <t>bmdsolutions2018@gmail.com</t>
  </si>
  <si>
    <t>a_ablast@live.com</t>
  </si>
  <si>
    <t>info@hicareservices.mt</t>
  </si>
  <si>
    <t>info@pisanirestoration.com</t>
  </si>
  <si>
    <t>info@farstoneconstruction.com</t>
  </si>
  <si>
    <t>info@opaq.mt</t>
  </si>
  <si>
    <t>marbrian01@gmail.com</t>
  </si>
  <si>
    <t>dgrestorations21@gmail.com</t>
  </si>
  <si>
    <t>clivelee1986@gmail.com</t>
  </si>
  <si>
    <t>rmrestoration80@gmail.com</t>
  </si>
  <si>
    <t>cody-camilleri@outlook.com</t>
  </si>
  <si>
    <t>Hubert.mifsud@icloud.com</t>
  </si>
  <si>
    <t>rachellegaldes@gmail.com</t>
  </si>
  <si>
    <t>allroundservices9@gmail.com</t>
  </si>
  <si>
    <t>Tridentrockscapesolutions@gmail.com</t>
  </si>
  <si>
    <t>kevinmallia85@gmail.com</t>
  </si>
  <si>
    <t>am.stonerestoration@gmail.com</t>
  </si>
  <si>
    <t>ton.micallef@hotmail.com</t>
  </si>
  <si>
    <t>marcellomultiservice@gmail.com</t>
  </si>
  <si>
    <t>To ask sean (TJ)</t>
  </si>
  <si>
    <t>8 Triq Salvu Cacciattolo , Zejtun</t>
  </si>
  <si>
    <t>Triq San Edwardu, Qormi, Malta</t>
  </si>
  <si>
    <t>23 Nightingale Triq Dun Salvatore Zarb ,
Gharghur, Malta GHR 1620</t>
  </si>
  <si>
    <t>Triq John Borg Zejtun ZTN 2077</t>
  </si>
  <si>
    <t>Santa Marija Flats, Flt 3 Triq tal-Wej , Mosta Malta MST 2462</t>
  </si>
  <si>
    <t>Triq l-Imdina Attard</t>
  </si>
  <si>
    <t>Abela Restoration
55 Tal-Grazzja Triq Bugharbiel ,
Zejtun, Malta ZTN 3435</t>
  </si>
  <si>
    <t>ReCoop
Zone 2 Triq L-Esportaturi Central Business District ,
B’Kara, Malta CBD 2040</t>
  </si>
  <si>
    <t>Restoration Now
Triq il-Baltiku ,
San Giljan, Malta</t>
  </si>
  <si>
    <t>PS Buhagiar Building Contractors
55, Anfield,
Triq Raddet ir-Roti,
Mosta, Malta.</t>
  </si>
  <si>
    <t>Targe Restoration Ltd., 12 Alley, 4 Castro Street Naxxar NXR2440, Malta</t>
  </si>
  <si>
    <t>Hardrocks Industrial Park,
L/O Burmarrad, Malta</t>
  </si>
  <si>
    <t>triq San Guzepp 28, Mosta, Malta</t>
  </si>
  <si>
    <t>30 Triq L-Imradd, Ta' Xbiex</t>
  </si>
  <si>
    <t>90, Valley Road Birkirkara, BKR 9014</t>
  </si>
  <si>
    <t>KW 09B Qasam Industrijali, Kordin
Paola
PLA 3000</t>
  </si>
  <si>
    <t>2, Triq il-Qamh, Zebbug, Ħaz-Zebbug, Malta</t>
  </si>
  <si>
    <t>The Peak Exclusive Residences 14, Triq D'Amato, Attard</t>
  </si>
  <si>
    <t>19, springvale, Triq it-Tabib Nikola Zammit</t>
  </si>
  <si>
    <t>Cherry picker</t>
  </si>
  <si>
    <t>fourvcmalta.com/</t>
  </si>
  <si>
    <t>yellow.com.mt/nm-restoration/building-restoration-conservation/</t>
  </si>
  <si>
    <t>norobinstallations.com/?utm_source=Yellow&amp;utm_medium=Yellow-Website&amp;utm_campaign=Landing-Page</t>
  </si>
  <si>
    <t>kitonkeith.wixsite.com/kitoncontractors</t>
  </si>
  <si>
    <t>casacompletamalta.com/</t>
  </si>
  <si>
    <t>yellow.com.mt/abela-restoration_building-restoration-conservation+zejtun/</t>
  </si>
  <si>
    <t>recoop.mt/</t>
  </si>
  <si>
    <t>targe.mt/</t>
  </si>
  <si>
    <t>psbuhagiarconstructionltd.com/en/home.htm?utm_source=chatgpt.com</t>
  </si>
  <si>
    <t>axconstruction.com.mt/</t>
  </si>
  <si>
    <t>facebook.com/RGImalta/</t>
  </si>
  <si>
    <t>alexblasting.com/</t>
  </si>
  <si>
    <t>hicareservices.mt/</t>
  </si>
  <si>
    <t>pisanirestoration.com/</t>
  </si>
  <si>
    <t>facebook.com/p/Farstone-Construction-Restoration-Ltd-100042529226772/</t>
  </si>
  <si>
    <t>opaq.mt/restoration/</t>
  </si>
  <si>
    <t>Pigeon spikes</t>
  </si>
  <si>
    <t>Mark-High Up Service</t>
  </si>
  <si>
    <t>Ben's Hire Service</t>
  </si>
  <si>
    <t>Ramon Cherry Picker Hire</t>
  </si>
  <si>
    <t>Joseph Camilleri Cherry Picker Hire Malta</t>
  </si>
  <si>
    <t>Renergy Rentals</t>
  </si>
  <si>
    <t>Mark TLS Group</t>
  </si>
  <si>
    <t>Malcolm Lifting Services</t>
  </si>
  <si>
    <t>A &amp; E Borg Bros</t>
  </si>
  <si>
    <t>Burda Crane Hire by Raymond</t>
  </si>
  <si>
    <t>Chris Tower Ladders &amp; Crane Services</t>
  </si>
  <si>
    <t>Johnson Crane Hire</t>
  </si>
  <si>
    <t>Kevin Gauci (Il-Kajsu)</t>
  </si>
  <si>
    <t>Najju Towing &amp; High Up Service</t>
  </si>
  <si>
    <t>Ta’ Nuzzi &amp; Sons</t>
  </si>
  <si>
    <t>Mose’s Crane Hire</t>
  </si>
  <si>
    <t>Brian Crane Hire</t>
  </si>
  <si>
    <t>Edward Micallef Cherry Picker Hire</t>
  </si>
  <si>
    <t>Daryl High-Up Service</t>
  </si>
  <si>
    <t>Fabian Schembri Tas-Sapuna</t>
  </si>
  <si>
    <t>GRC Equipment Hire &amp; Service</t>
  </si>
  <si>
    <t>Ir-Reggae</t>
  </si>
  <si>
    <t>Jonathan Lia</t>
  </si>
  <si>
    <t>Lino’s 10 Ton Crane Hire</t>
  </si>
  <si>
    <t>Cherry Picker Malta</t>
  </si>
  <si>
    <t>Swaey Bros Ltd</t>
  </si>
  <si>
    <t>Godwin’s Garage Ranger Ltd</t>
  </si>
  <si>
    <t>Harry's Home Repairs and Maintenance</t>
  </si>
  <si>
    <t>Francis</t>
  </si>
  <si>
    <t>The exterminator</t>
  </si>
  <si>
    <t>H&amp;C Installations</t>
  </si>
  <si>
    <t>Fort Pest Control</t>
  </si>
  <si>
    <t>markanthonymicallef@gmail.com</t>
  </si>
  <si>
    <t>benjamin.cilia@gmail.com</t>
  </si>
  <si>
    <t>ramonbartolo1472@gmail.com</t>
  </si>
  <si>
    <t>jlcamilleri@mail.com</t>
  </si>
  <si>
    <t>info@renergy.com.mt</t>
  </si>
  <si>
    <t>info@marktls.com</t>
  </si>
  <si>
    <t>mannicranehire@hotmail.com</t>
  </si>
  <si>
    <t>abtowerladderservice@hotmail.com</t>
  </si>
  <si>
    <t>svet_mifsud@hotmail.com</t>
  </si>
  <si>
    <t>chris.tl.cranes@gmail.com</t>
  </si>
  <si>
    <t>johnsoncranehire@onvol.net</t>
  </si>
  <si>
    <t>gaucikevin1@gmail.com</t>
  </si>
  <si>
    <t>vanessa_caruana@hotmail.com</t>
  </si>
  <si>
    <t>tanuzzisons@gmail.com</t>
  </si>
  <si>
    <t>bch@onvol.net</t>
  </si>
  <si>
    <t>dwardu1988@melita.com</t>
  </si>
  <si>
    <t>dborg383@gmail.com</t>
  </si>
  <si>
    <t>fabianschembri@hotmail.com</t>
  </si>
  <si>
    <t>rg.ciantar@gmail.com</t>
  </si>
  <si>
    <t>irreggaegatt@gmail.com</t>
  </si>
  <si>
    <t>jona.lia185@gmail.com</t>
  </si>
  <si>
    <t>swaey@swaey.com</t>
  </si>
  <si>
    <t>info@godwinsgarage.com</t>
  </si>
  <si>
    <t>harryc1@go.net.mt</t>
  </si>
  <si>
    <t>info@exterminatormalta.com</t>
  </si>
  <si>
    <t>Turnkey</t>
  </si>
  <si>
    <t>Together Turnkey Contractors</t>
  </si>
  <si>
    <t>AA Construction Works</t>
  </si>
  <si>
    <t>Xuereb Installations Ltd.</t>
  </si>
  <si>
    <t>Trust Projects</t>
  </si>
  <si>
    <t>Aura Projects</t>
  </si>
  <si>
    <t>AAG Turnkey</t>
  </si>
  <si>
    <t>Mark Falzon Construction</t>
  </si>
  <si>
    <t>ITP Malta</t>
  </si>
  <si>
    <t>APTC</t>
  </si>
  <si>
    <t>A.C Contractors</t>
  </si>
  <si>
    <t>Key Contractors</t>
  </si>
  <si>
    <t>CS Group Limited</t>
  </si>
  <si>
    <t>Kibitech</t>
  </si>
  <si>
    <t>MBM Malta</t>
  </si>
  <si>
    <t>GC Turnkey Projects</t>
  </si>
  <si>
    <t>Tanti Interiors</t>
  </si>
  <si>
    <t>Delta Projects</t>
  </si>
  <si>
    <t>IM Contractors</t>
  </si>
  <si>
    <t>ARP Properties</t>
  </si>
  <si>
    <t>info@togetherturnkey.com</t>
  </si>
  <si>
    <t>admin@aaconstructionworks.com</t>
  </si>
  <si>
    <t>info@trustprojects.com.mt</t>
  </si>
  <si>
    <t>aurelia@auraprojects.eu</t>
  </si>
  <si>
    <t>info@aagturnkey.com</t>
  </si>
  <si>
    <t>marcofalzon@gmail.com</t>
  </si>
  <si>
    <t>info@agfmalta.com</t>
  </si>
  <si>
    <t>ac@accontractors.eu</t>
  </si>
  <si>
    <t>info@keycontractors.com.mt</t>
  </si>
  <si>
    <t>info@csprojects.com.mt</t>
  </si>
  <si>
    <t>info@gcturnkeyprojects.com</t>
  </si>
  <si>
    <t>kenneth@tanti-interiors.com</t>
  </si>
  <si>
    <t>delta_projects@hotmail.com</t>
  </si>
  <si>
    <t>imturnkeycontractors@gmail.com</t>
  </si>
  <si>
    <t>nickybon84@gmail.com</t>
  </si>
  <si>
    <t>charlesturnkey35@gmail.com</t>
  </si>
  <si>
    <t>joshua@joshuaturnkey.com</t>
  </si>
  <si>
    <t>mercieca.installations@gmail.com</t>
  </si>
  <si>
    <t>info.proactiveinterior@gmail.com</t>
  </si>
  <si>
    <t>mccoloursltd@gmail.com</t>
  </si>
  <si>
    <t>kbgprojects@hotmail.com</t>
  </si>
  <si>
    <t>hamody.zedan00@gmail.com</t>
  </si>
  <si>
    <t>46 The Cottage Triq Hal Dwin ,
Zebbug, ZBG 3064, MT</t>
  </si>
  <si>
    <t>St. Helen, Triq Caravaggio, Ħal Għargħur, GHR 1606</t>
  </si>
  <si>
    <t>Xuereb Installations Ltd. Tal-Hlas Road, Qormi QRM 5011. Malt</t>
  </si>
  <si>
    <t>Trust Projects
Triq it-Torri ,
Mosta, Malta</t>
  </si>
  <si>
    <t>64A, Level 6, Recency House
Bisazza Street, Sliema, SLM 1640</t>
  </si>
  <si>
    <t>Fl 2, Palm Street 3, Paola, Malta</t>
  </si>
  <si>
    <t>Country View, Triq Tas-Sriedek, Mosta</t>
  </si>
  <si>
    <t>21a Triq il-Principessa Margerita ,
Msida, Malta MSD 1331</t>
  </si>
  <si>
    <t>Galine’, Josmar Complex Triq id-Difiza Civili,
Mosta, Malta
MST 1743</t>
  </si>
  <si>
    <t>APTC LTD No. 3 app 1 MRO Frank Galea Street 
Zebbug, Malta</t>
  </si>
  <si>
    <t>A.C. Contractors Ltd
37, Triq L-Imghazel, Swieqi
SWQ 3141, Malta</t>
  </si>
  <si>
    <t>Trejqet Isouard
Marsa MRS 2020
Malta</t>
  </si>
  <si>
    <t>CS Group Limited
25, Triq il-MuzikaIklin, IKL 1091
Malta</t>
  </si>
  <si>
    <t>MBM Smart-Depot, Upper Cross Road Marsa, MRS 1042</t>
  </si>
  <si>
    <t>Triq L-Imdina,
Haz-Zebbug, ZBG 9018</t>
  </si>
  <si>
    <t>55, Triq Is-Soll, Santa Venera</t>
  </si>
  <si>
    <t>Valley Road, Msida MSD 9022, Malta</t>
  </si>
  <si>
    <t>Delta Projects
Triq Santa Marija ,
Tarxien, Malta</t>
  </si>
  <si>
    <t>Triq Is-Sejba, L-Imqabba, Malta</t>
  </si>
  <si>
    <t>Civil Eng, Project Management, Turnkey</t>
  </si>
  <si>
    <t>togetherturnkey.com/</t>
  </si>
  <si>
    <t>aaconstructionworks.com/</t>
  </si>
  <si>
    <t>yellow.com.mt/trust-projects/turnkey-contractors/</t>
  </si>
  <si>
    <t>auraprojects.eu/</t>
  </si>
  <si>
    <t>aagturnkey.com/</t>
  </si>
  <si>
    <t>ts-malta.com/</t>
  </si>
  <si>
    <t>maltabusinessbook.com/en/directory/listings/4409/concrete-repairs/mark-falzon-construction-malta.htm?utm_source=chatgpt.com</t>
  </si>
  <si>
    <t>itpmalta.com/</t>
  </si>
  <si>
    <t>jslholdingsltd.com/</t>
  </si>
  <si>
    <t>gypsumworksmalta.com/</t>
  </si>
  <si>
    <t>accontractors.eu/</t>
  </si>
  <si>
    <t>keycontractors.com.mt/</t>
  </si>
  <si>
    <t>csgrouplimited.com/</t>
  </si>
  <si>
    <t>mbm.com.mt/turnkey-contractor-malta</t>
  </si>
  <si>
    <t>evolve.com.mt/</t>
  </si>
  <si>
    <t>gcturnkeyprojects.com/</t>
  </si>
  <si>
    <t>tanti-interiors.com/</t>
  </si>
  <si>
    <t>yellow.com.mt/delta-projects/turnkey-contractors/</t>
  </si>
  <si>
    <t>facebook.com/IMTurnkeyContractors/</t>
  </si>
  <si>
    <t>facebook.com/p/ARP-Properties-100030921566866/</t>
  </si>
  <si>
    <t>Contracting (Civil Eng, Finishes, etc)</t>
  </si>
  <si>
    <t>Construction</t>
  </si>
  <si>
    <t>Contractors</t>
  </si>
  <si>
    <t>Contractors (Excavation and demolition)</t>
  </si>
  <si>
    <t>Attard Bros Group</t>
  </si>
  <si>
    <t>B&amp;B Construction</t>
  </si>
  <si>
    <t>Vassallo Builders Limited</t>
  </si>
  <si>
    <t>Bonnici Bros</t>
  </si>
  <si>
    <t>ELBROS</t>
  </si>
  <si>
    <t>Tal-Maghtab Construction</t>
  </si>
  <si>
    <t>Polidano Group</t>
  </si>
  <si>
    <t>Galea Mario tal-Bidnija</t>
  </si>
  <si>
    <t>Owen Galea Civil Works</t>
  </si>
  <si>
    <t>Four VC Malta</t>
  </si>
  <si>
    <t>Mifsud Brothers</t>
  </si>
  <si>
    <t>A.Aquilina Building Contractors</t>
  </si>
  <si>
    <t>Tal-Karmnu Constructions</t>
  </si>
  <si>
    <t>RS Construction</t>
  </si>
  <si>
    <t>C&amp;S Services</t>
  </si>
  <si>
    <t>Philip Bongailas</t>
  </si>
  <si>
    <t>Noel Mizzi Construction &amp; Development</t>
  </si>
  <si>
    <t>E.Ciantar Construction</t>
  </si>
  <si>
    <t>Thomas Azzopardi Construction</t>
  </si>
  <si>
    <t>Lea Contractors</t>
  </si>
  <si>
    <t>MTF Bonanno LTD</t>
  </si>
  <si>
    <t>API Contractors</t>
  </si>
  <si>
    <t>Barbros Group</t>
  </si>
  <si>
    <t>SA Developments Ltd</t>
  </si>
  <si>
    <t>Zahra Group</t>
  </si>
  <si>
    <t>Optima Projects</t>
  </si>
  <si>
    <t>BRAND Projects</t>
  </si>
  <si>
    <t>C &amp; F Building Contractors</t>
  </si>
  <si>
    <t>B Grima &amp; Sons Ltd</t>
  </si>
  <si>
    <t>AJF Attard Contractors</t>
  </si>
  <si>
    <t>Curmi Construction Ltd</t>
  </si>
  <si>
    <t>Executive Projects Ltd</t>
  </si>
  <si>
    <t>Farstone Construction</t>
  </si>
  <si>
    <t>JMS Construction Ltd</t>
  </si>
  <si>
    <t>JP Pisani Operations Ltd</t>
  </si>
  <si>
    <t>Grima &amp; Zammit Ltd</t>
  </si>
  <si>
    <t>Gizwit &amp; Sons</t>
  </si>
  <si>
    <t>CVBR Group Ltd</t>
  </si>
  <si>
    <t>C &amp; G Sant Construction</t>
  </si>
  <si>
    <t>ColBex Building Services</t>
  </si>
  <si>
    <t>Tal Karmnu Construction Company Limited</t>
  </si>
  <si>
    <t>Just Construction Ltd</t>
  </si>
  <si>
    <t>MNA Properties Enterprise</t>
  </si>
  <si>
    <t>Schranz</t>
  </si>
  <si>
    <t>S&amp;P Construction and Alterations</t>
  </si>
  <si>
    <t>Marozz</t>
  </si>
  <si>
    <t>MV Xuereb</t>
  </si>
  <si>
    <t>Tabone Construction Works</t>
  </si>
  <si>
    <t>Construction and Plastering</t>
  </si>
  <si>
    <t>Camilleri Constructions &amp; Alterations</t>
  </si>
  <si>
    <t>KGB</t>
  </si>
  <si>
    <t>Pisani Construction</t>
  </si>
  <si>
    <t>Joshua Turnkey</t>
  </si>
  <si>
    <t>info@bbconstruction.mt</t>
  </si>
  <si>
    <t>info@vassallogroupmalta.com</t>
  </si>
  <si>
    <t>info@bbg.com.mt</t>
  </si>
  <si>
    <t>info@elbros.com.mt</t>
  </si>
  <si>
    <t>info@tmc.com.mt</t>
  </si>
  <si>
    <t>info@polidano-group.com</t>
  </si>
  <si>
    <t>mariogalea@hotmail.co.uk</t>
  </si>
  <si>
    <t>info@ogcw.mt</t>
  </si>
  <si>
    <t>mifsudbros@hotmail.com</t>
  </si>
  <si>
    <t>info@talkarmnu.com.mt</t>
  </si>
  <si>
    <t>reu_sacco@hotmail.com</t>
  </si>
  <si>
    <t>Clintonspiteri94@gmail.com</t>
  </si>
  <si>
    <t>bobli2@hotmail.com</t>
  </si>
  <si>
    <t>noelmizzi1976@gmail.com</t>
  </si>
  <si>
    <t>eman.ciantar98@gmail.com</t>
  </si>
  <si>
    <t>thomasazzopardiconstruction@gmail.com</t>
  </si>
  <si>
    <t>info@leacontractors.com</t>
  </si>
  <si>
    <t>info@mtfbonannoltd.com</t>
  </si>
  <si>
    <t>apicontractors@gmail.com</t>
  </si>
  <si>
    <t>info@barbrosgroup.com</t>
  </si>
  <si>
    <t>sadevelopmentsltd@gmail.com</t>
  </si>
  <si>
    <t>joseph@zahraltd.com</t>
  </si>
  <si>
    <t>info@optimaprojects.mt</t>
  </si>
  <si>
    <t>info@brandprojectsltd.com</t>
  </si>
  <si>
    <t>info@fsh.com.mt</t>
  </si>
  <si>
    <t>info@bgs.com.mt</t>
  </si>
  <si>
    <t>info@ajfattard.com</t>
  </si>
  <si>
    <t>curmijonathan@gmail.com</t>
  </si>
  <si>
    <t>executiveprojectsltd@gmail.com</t>
  </si>
  <si>
    <t>jmsconstructionlimited@gmail.com</t>
  </si>
  <si>
    <t>info@jpisanioperationsltd.com</t>
  </si>
  <si>
    <t>rubengrima@hotmail.com</t>
  </si>
  <si>
    <t>ndbalzan@gmail.com</t>
  </si>
  <si>
    <t>cvbrgroup@gmail.com</t>
  </si>
  <si>
    <t>c.and.g.sant.cont@gmail.com</t>
  </si>
  <si>
    <t>becky@colbex.my</t>
  </si>
  <si>
    <t>properties@mna.com.mt</t>
  </si>
  <si>
    <t>justconstructionworks@gmail.com</t>
  </si>
  <si>
    <t>info@schranzltd.com</t>
  </si>
  <si>
    <t>loganblakepace@yahoo.com</t>
  </si>
  <si>
    <t>marozzmifsud12@gmail.com</t>
  </si>
  <si>
    <t>mvxuereb@gmail.com</t>
  </si>
  <si>
    <t>info@taboneconstructionworks.com</t>
  </si>
  <si>
    <t>camilleri.services@gmail.com</t>
  </si>
  <si>
    <t>info@pisaniconstruction.com</t>
  </si>
  <si>
    <t>Joshua@joshuaturnkey.com</t>
  </si>
  <si>
    <t>Attard Bros. Group, Industrial Zone,
Ta’ Qali, ATD 4000, Malta</t>
  </si>
  <si>
    <t>B&amp;B Construction Ltd.
Triq il-Kappella ta’ Santa Marija, Magħtab L/O Naxxar,
NXR6510, Malta</t>
  </si>
  <si>
    <t>The Three Arches
Valletta Road
Mosta. MST 9016</t>
  </si>
  <si>
    <t>Bonnici House Sardine Street, Burmarrad SPB 6073 Malta</t>
  </si>
  <si>
    <t>ELBROS GROUP
ELBROS’, TRIQ L-INDUSTRIJA, KKP 9042 MALTA</t>
  </si>
  <si>
    <t>Tal-Maghtab Construction Co. Ltd.,
Ramla Road,
Maghtab l/o Naxxar</t>
  </si>
  <si>
    <t>Hal-Farrug Road, Luqa, LQA 3078</t>
  </si>
  <si>
    <t>AGF Turnkey Contractors,
Galine’, Josmar Complex Triq id-Difiza Civili,
Mosta, Malta,  MST 1743</t>
  </si>
  <si>
    <t>Swietenia Triq il-Bdiewa Bidnija
Mosta
MST 5073</t>
  </si>
  <si>
    <t>81-83, Triq Baskal Buhagiar ,
Mosta</t>
  </si>
  <si>
    <t>AA Construction Works
St. Helen, Triq Caravaggion, Ħal Għargħur</t>
  </si>
  <si>
    <t>578, The Four Seasons, Triq Il-Qaliet, Marsaskala</t>
  </si>
  <si>
    <t>RS Construction
Clover, Apt 4 Triq Dun Karm Psaila,
Zebbug, Malta</t>
  </si>
  <si>
    <t>C &amp; S Services
The Orchid Triq il-Faqqus ,
Zejtun, Malta ZTN 4420</t>
  </si>
  <si>
    <t>Philip Bongailas
Farmhouse Triq tal-Handaq Tal-Handaq ,
Qormi, Malta QRM 4001</t>
  </si>
  <si>
    <t>E.Ciantar Construction
Triq Guzeppi Busuttil ,
Siggiewi, Malta</t>
  </si>
  <si>
    <t>Noel Mizzi
Construction &amp; Development
117, St Joseph Street,
Paola</t>
  </si>
  <si>
    <t>Azzopardi Thomas Construction Ltd
Ta’ Menz Cottage Triq il-Gnien ,
Gharghur, Malta</t>
  </si>
  <si>
    <t>St. Paul's Bay, Malta</t>
  </si>
  <si>
    <t>Triq Mons. Mikielang Mifsud</t>
  </si>
  <si>
    <t>API CONTRACTORS
91 Triq Hal Qormi ,
Hamrun HMR 2183</t>
  </si>
  <si>
    <t>Barbros Group, Tal-Barrani Road, Żejtun, ŻTN 9022, Malta</t>
  </si>
  <si>
    <t>Zahra Group, Siggiewi Road MQB 1630 Ta' Kandja, Malta</t>
  </si>
  <si>
    <t>Gzira, Malta</t>
  </si>
  <si>
    <t>Send for Isla</t>
  </si>
  <si>
    <t xml:space="preserve">ITEM </t>
  </si>
  <si>
    <t>attardbros.com/</t>
  </si>
  <si>
    <t>bbconstruction.mt/</t>
  </si>
  <si>
    <t>vassallogroupmalta.com/construction/</t>
  </si>
  <si>
    <t>elbros.com.mt/</t>
  </si>
  <si>
    <t>tmc.com.mt/</t>
  </si>
  <si>
    <t>polidano-group.com/home.html</t>
  </si>
  <si>
    <t>talbidnijademolitions.com/</t>
  </si>
  <si>
    <t>ogcivilworks.com/</t>
  </si>
  <si>
    <t>fourvcmalta.com/?utm_source=Yellow&amp;utm_medium=Yellow-Website&amp;utm_campaign=Landing-Page</t>
  </si>
  <si>
    <t>yellow.com.mt/mifsud-brothers/building-contractors/</t>
  </si>
  <si>
    <t>aaconstructionworks.com/?utm_source=Yellow&amp;utm_medium=Yellow-Website&amp;utm_campaign=Landing-Page</t>
  </si>
  <si>
    <t>talkarmnu.com.mt/</t>
  </si>
  <si>
    <t>yellow.com.mt/rs-construction/building-contractors/</t>
  </si>
  <si>
    <t>yellow.com.mt/c-s-services/building-contractors/</t>
  </si>
  <si>
    <t>yellow.com.mt/philip-bongailas/building-contractors/</t>
  </si>
  <si>
    <t>noelmizzi.com/?utm_source=Yellow&amp;utm_medium=Yellow-Website&amp;utm_campaign=Landing-Page</t>
  </si>
  <si>
    <t>yellow.com.mt/e-ciantar-construction_building-contractors+siggiewi/</t>
  </si>
  <si>
    <t>taclimited.net/?utm_source=Yellow&amp;utm_medium=Yellow-Website&amp;utm_campaign=Landing-Page</t>
  </si>
  <si>
    <t>leacontractors.com/?utm_source=chatgpt.com</t>
  </si>
  <si>
    <t>mtfbonannoltd.com/</t>
  </si>
  <si>
    <t>facebook.com/profile.php?id=100064105449582&amp;utm_source=Yellow&amp;utm_medium=Yellow-Website&amp;utm_campaign=Landing-Page</t>
  </si>
  <si>
    <t>barbrosgroup.com/</t>
  </si>
  <si>
    <t>facebook.com/sadevelopments/</t>
  </si>
  <si>
    <t>zahragroup.com.mt/</t>
  </si>
  <si>
    <t>facebook.com/optimaprojectsmalta/</t>
  </si>
  <si>
    <t>facebook.com/profile.php?id=100083372109614</t>
  </si>
  <si>
    <t>INSTALLATIONS</t>
  </si>
  <si>
    <t>SUPPLIER</t>
  </si>
  <si>
    <t>PLUMBING</t>
  </si>
  <si>
    <t>E &amp; M</t>
  </si>
  <si>
    <t>MEP</t>
  </si>
  <si>
    <t>E</t>
  </si>
  <si>
    <t>E &amp; P</t>
  </si>
  <si>
    <t>P</t>
  </si>
  <si>
    <t>J D Skip Services &amp; Maintenance</t>
  </si>
  <si>
    <t>MCI - Electrical &amp; Plumbing Contractors</t>
  </si>
  <si>
    <t>Melcro Installations</t>
  </si>
  <si>
    <t>Engenuity Ltd</t>
  </si>
  <si>
    <t>Bonnici Installations Ltd</t>
  </si>
  <si>
    <t>Jason Tabone</t>
  </si>
  <si>
    <t>Raymond Vella &amp; Co Ltd</t>
  </si>
  <si>
    <t>Colin Farrugia - Electrician</t>
  </si>
  <si>
    <t>Cobra Installations Ltd.</t>
  </si>
  <si>
    <t>MCE Ltd</t>
  </si>
  <si>
    <t>Aaron Zammit - Electrical and Plumbing Services,</t>
  </si>
  <si>
    <t>Jonathan falzon electrical and plumbing</t>
  </si>
  <si>
    <t>The FITTER</t>
  </si>
  <si>
    <t>E. GRECH Cristal Bath Ltd</t>
  </si>
  <si>
    <t>Central Power Installations</t>
  </si>
  <si>
    <t>JT Installations Ltd</t>
  </si>
  <si>
    <t>AG Group</t>
  </si>
  <si>
    <t>A1 Installations</t>
  </si>
  <si>
    <t>AASK Enterprises Ltd</t>
  </si>
  <si>
    <t>B D Installations</t>
  </si>
  <si>
    <t>RC Installations</t>
  </si>
  <si>
    <t>SAYCA Ltd</t>
  </si>
  <si>
    <t>ADM Property Works Ltd</t>
  </si>
  <si>
    <t>Prime Electrical Contractors</t>
  </si>
  <si>
    <t>Massimo Aquilina</t>
  </si>
  <si>
    <t>JPC Electrical &amp; Automation Services</t>
  </si>
  <si>
    <t>Sebastian Mizzi</t>
  </si>
  <si>
    <t>Cobra Installations</t>
  </si>
  <si>
    <t>A B Installations By Formosa</t>
  </si>
  <si>
    <t>A &amp; S Degiorgio Earth Electrodes</t>
  </si>
  <si>
    <t>AC Electric</t>
  </si>
  <si>
    <t>DB Installation Services Ltd</t>
  </si>
  <si>
    <t>Electrosecurity</t>
  </si>
  <si>
    <t>J &amp; F Installations</t>
  </si>
  <si>
    <t>JM Installations</t>
  </si>
  <si>
    <t>M&amp;D Home Finishings</t>
  </si>
  <si>
    <t>Oliverio Electrical &amp; Plumbing</t>
  </si>
  <si>
    <t>Syphase Services.com</t>
  </si>
  <si>
    <t>Felix Services and Installations</t>
  </si>
  <si>
    <t>Yellow Phase Ltd</t>
  </si>
  <si>
    <t>KMZ Installations</t>
  </si>
  <si>
    <t>Aaron Azzopardi Electrical &amp; Plumbing</t>
  </si>
  <si>
    <t>MICOR Installations</t>
  </si>
  <si>
    <t>James Manicolo</t>
  </si>
  <si>
    <t>Plum-Eng Installations</t>
  </si>
  <si>
    <t>Lexlex Installations</t>
  </si>
  <si>
    <t>CC ELECTRICAL &amp; PLUMBING SOLUTIONS</t>
  </si>
  <si>
    <t>NT Installations</t>
  </si>
  <si>
    <t>Bonnici installation ltd</t>
  </si>
  <si>
    <t>Jonathan Deguara</t>
  </si>
  <si>
    <t>E&amp;M Projects</t>
  </si>
  <si>
    <t>Handyman Solutions Ltd Growth</t>
  </si>
  <si>
    <t>CHI Consultants Ltd</t>
  </si>
  <si>
    <t>J D Maintenance &amp; High-Up Services</t>
  </si>
  <si>
    <t>Alex Pisani</t>
  </si>
  <si>
    <t>Professional Rope Access Work</t>
  </si>
  <si>
    <t>KV Installations</t>
  </si>
  <si>
    <t>Charles Cauchi</t>
  </si>
  <si>
    <t>About Pipes</t>
  </si>
  <si>
    <t>John's Plumbing Services</t>
  </si>
  <si>
    <t>Matthew Farrugia Installations</t>
  </si>
  <si>
    <t>KuBu Turnkey Services</t>
  </si>
  <si>
    <t>EA Solutions</t>
  </si>
  <si>
    <t>GLE Installations</t>
  </si>
  <si>
    <t>KS</t>
  </si>
  <si>
    <t>Harry's Home Repairs</t>
  </si>
  <si>
    <t>CLV Plumbing</t>
  </si>
  <si>
    <t>ABS</t>
  </si>
  <si>
    <t>Frank Amore Plumbing &amp; Maintenance</t>
  </si>
  <si>
    <t>Toolbox Solutions</t>
  </si>
  <si>
    <t>louvassallo@onvol.net</t>
  </si>
  <si>
    <t>info@mcimalta.com</t>
  </si>
  <si>
    <t>gfaenza@gmail.com/Facebook</t>
  </si>
  <si>
    <t>info@melcromalta.com</t>
  </si>
  <si>
    <t>info@engenuity.com.mt</t>
  </si>
  <si>
    <t>info@bonicci.com</t>
  </si>
  <si>
    <t>colinfarrugia.eps@gmail.com</t>
  </si>
  <si>
    <t>jasontabone@hotmail.com/Facebook</t>
  </si>
  <si>
    <t>info@rvcltd.com.mt/</t>
  </si>
  <si>
    <t>info@mcemalta.com</t>
  </si>
  <si>
    <t>aaron.sil.zammit@gmail.com</t>
  </si>
  <si>
    <t>falzonjonathan17@gmail.com</t>
  </si>
  <si>
    <t>clint22@live.com</t>
  </si>
  <si>
    <t>info@centralpower.com.mt</t>
  </si>
  <si>
    <t>jtabone@jti.com.mt</t>
  </si>
  <si>
    <t>info@aggroup.com.mt</t>
  </si>
  <si>
    <t>stefan@a1holdings.eu</t>
  </si>
  <si>
    <t>info@aask.com.mt</t>
  </si>
  <si>
    <t>bdi@contractor.net</t>
  </si>
  <si>
    <t>caruanareuben@hotmail.co.uk</t>
  </si>
  <si>
    <t>sayca.malta@gmail.com</t>
  </si>
  <si>
    <t>mltproworks@gmail.com</t>
  </si>
  <si>
    <t>Info@PrimeSolutionsMalta.com</t>
  </si>
  <si>
    <t>massimo.aquilina28@gmail.com</t>
  </si>
  <si>
    <t>jpc590@hotmail.com</t>
  </si>
  <si>
    <t>info@smeagroup.com</t>
  </si>
  <si>
    <t>taddeobonnici@gmail.com</t>
  </si>
  <si>
    <t>simonelectrodes@yahoo.com</t>
  </si>
  <si>
    <t>acelectric79@gmail.com</t>
  </si>
  <si>
    <t>db.installationsltd@outlook.com</t>
  </si>
  <si>
    <t>noel.psaila@gmail.com</t>
  </si>
  <si>
    <t>jasontabone@hotmail.com</t>
  </si>
  <si>
    <t>mkmicallef@gmail.com</t>
  </si>
  <si>
    <t>falzon9903@gmail.com</t>
  </si>
  <si>
    <t>massimo_oliverio@hotmail.co.uk</t>
  </si>
  <si>
    <t>syphase@gmail.com</t>
  </si>
  <si>
    <t>felixservices@gmail.com</t>
  </si>
  <si>
    <t>yellowphase@gmail.com</t>
  </si>
  <si>
    <t>kevinzammit1@hotmail.com</t>
  </si>
  <si>
    <t>azzopaaron@gmail.com</t>
  </si>
  <si>
    <t>micor.installations@gmail.com</t>
  </si>
  <si>
    <t>jamesmanicolo87@gmail.com</t>
  </si>
  <si>
    <t>plum.eng.pz@gmail.com</t>
  </si>
  <si>
    <t>lexlexinstallation@gmail.com</t>
  </si>
  <si>
    <t>clifford.callus@gmail.com</t>
  </si>
  <si>
    <t>neiltaboneinstallations@gmail.com</t>
  </si>
  <si>
    <t>deguarajonathan@gmail.com</t>
  </si>
  <si>
    <t>info@emprojectsmalta.com</t>
  </si>
  <si>
    <t>marco@marcovella.com</t>
  </si>
  <si>
    <t>info@chi.com.mt</t>
  </si>
  <si>
    <t>ropeaccess77@gmail.com</t>
  </si>
  <si>
    <t>api101069@gmail.com</t>
  </si>
  <si>
    <t>anda@maltanet.net</t>
  </si>
  <si>
    <t>aboutpipes@hotmail.com</t>
  </si>
  <si>
    <t>plumber.malta@gmail.com</t>
  </si>
  <si>
    <t>jevgatt@gmail.com</t>
  </si>
  <si>
    <t>keithvella90@gmail.com</t>
  </si>
  <si>
    <t>matthewfarrugiainstallations@gmail.com</t>
  </si>
  <si>
    <t>kurtbservices@gmail.com</t>
  </si>
  <si>
    <t>ea.solutions@hotmail.com</t>
  </si>
  <si>
    <t>gleinstallations@gmail.com</t>
  </si>
  <si>
    <t>kspiteri197@gmail.com</t>
  </si>
  <si>
    <t>claudioventa27@gmail.com</t>
  </si>
  <si>
    <t>info@abs.mt</t>
  </si>
  <si>
    <t>frankamore.plumber@gmail.com</t>
  </si>
  <si>
    <t>toolboxsolutionss@gmail.com</t>
  </si>
  <si>
    <t>PHONE NUMBER</t>
  </si>
  <si>
    <t>45, Mirage HSE, Triq Santu Rokku, Il-Mosta</t>
  </si>
  <si>
    <t>64, Triq Is-Sajjied, Qawra</t>
  </si>
  <si>
    <t>41, Triq Anglu Mallia, Birkirkara</t>
  </si>
  <si>
    <t>Moonshadow, Triq Santa Margerita, Is-Siggiewi</t>
  </si>
  <si>
    <t>Triq Tal-Hlas, Hal Qormi</t>
  </si>
  <si>
    <t>Creta', Dawret Hal Ghaxaq, Hal Ghaxaq</t>
  </si>
  <si>
    <t>118, Crystal Heart, Triq Ignazio Saverio Mifsud, Birkirkara</t>
  </si>
  <si>
    <t>65, Villa Vellas, Triq Dun Gorg Preca, Il-Hamrun</t>
  </si>
  <si>
    <t>Pergola, Triq Salvu Buhagiar, Bella Vista, Marsaskala, Malta</t>
  </si>
  <si>
    <t>13, St Helen House, Triq Il-Kapuccini, San Gwann, Malta</t>
  </si>
  <si>
    <t>MCE House, Triq L-Industrija, Qormi, Malta</t>
  </si>
  <si>
    <t>Cawsli Court, Flt 4, Triq L-Imdina, Hal Qormi, Malta</t>
  </si>
  <si>
    <t>32, Triq il-Battaljun, Mosta, Malta MST 2721</t>
  </si>
  <si>
    <t>Triq Tommaso Dingli ,
B’Kara, Malta</t>
  </si>
  <si>
    <t>/</t>
  </si>
  <si>
    <t>E. Grech Cristal Bath Ltd.
Psaila Street,
Birkirkara, BKR9076 Malta</t>
  </si>
  <si>
    <t>melcromalta.com</t>
  </si>
  <si>
    <t>GAD Finishings
21, Triq Gellewza Sewda,
Midland Park, D7
Burmarrad Road, Burmarrad LO Naxxar
Malta</t>
  </si>
  <si>
    <t>/ engenuity.com.mt</t>
  </si>
  <si>
    <t>Lights</t>
  </si>
  <si>
    <t>Solea</t>
  </si>
  <si>
    <t>Lightshop malta</t>
  </si>
  <si>
    <t>AJ Electric</t>
  </si>
  <si>
    <t>VCT</t>
  </si>
  <si>
    <t>Light Design Solutions</t>
  </si>
  <si>
    <t>P&amp;J Electrical Supplies</t>
  </si>
  <si>
    <t>GLS Lighting Solutions</t>
  </si>
  <si>
    <t>GLOW</t>
  </si>
  <si>
    <t>Transient Light &amp; Sound</t>
  </si>
  <si>
    <t>RG Alternatives</t>
  </si>
  <si>
    <t>Calleja</t>
  </si>
  <si>
    <t>ESS</t>
  </si>
  <si>
    <t>LED Lights Malta</t>
  </si>
  <si>
    <t>Brighter Solutions</t>
  </si>
  <si>
    <t>Illumitech Malta</t>
  </si>
  <si>
    <t>Elektra</t>
  </si>
  <si>
    <t>Farrugia Lighting &amp; Interiors</t>
  </si>
  <si>
    <t>HydroElectric</t>
  </si>
  <si>
    <t>IML Electrical Supplies LTD</t>
  </si>
  <si>
    <t>info@solealighting.com</t>
  </si>
  <si>
    <t>sales@lightshopmalta.com</t>
  </si>
  <si>
    <t>info@ajelectric.com.mt</t>
  </si>
  <si>
    <t>info@vct.com.mt</t>
  </si>
  <si>
    <t>info@lds.com.mt</t>
  </si>
  <si>
    <t>pjelectricalandhardware@gmail.com</t>
  </si>
  <si>
    <t>info@glsmalta.com</t>
  </si>
  <si>
    <t>projects@glow.com.mt</t>
  </si>
  <si>
    <t>info@transientmalta.com</t>
  </si>
  <si>
    <t>info@rgalternatives.com</t>
  </si>
  <si>
    <t>contactus@ess.com.mt</t>
  </si>
  <si>
    <t>orders@ledlightsmalta.com</t>
  </si>
  <si>
    <t>info@brightersolutions.com.mt</t>
  </si>
  <si>
    <t>info@illumitechmalta.com</t>
  </si>
  <si>
    <t>info@elektra.com.mt</t>
  </si>
  <si>
    <t>info@farrugia.com.mt</t>
  </si>
  <si>
    <t>info@hydrolectric.com.mt</t>
  </si>
  <si>
    <t>sales@imlelectric.com</t>
  </si>
  <si>
    <t>2034 1569</t>
  </si>
  <si>
    <t>7938 7690 / 2138 7686</t>
  </si>
  <si>
    <t>7956 6715</t>
  </si>
  <si>
    <t>2144 7581</t>
  </si>
  <si>
    <t>21451718</t>
  </si>
  <si>
    <t>21432571</t>
  </si>
  <si>
    <t>21496843</t>
  </si>
  <si>
    <t>79 328 082</t>
  </si>
  <si>
    <t>2097 3669</t>
  </si>
  <si>
    <t>2733 3788</t>
  </si>
  <si>
    <t>2143 8918</t>
  </si>
  <si>
    <t>2141 4137</t>
  </si>
  <si>
    <t>21440341</t>
  </si>
  <si>
    <t>2125 5777</t>
  </si>
  <si>
    <t>9942 6625</t>
  </si>
  <si>
    <t>2143 7445</t>
  </si>
  <si>
    <t>2718 1941</t>
  </si>
  <si>
    <t>2546 3000</t>
  </si>
  <si>
    <t>2141 9111</t>
  </si>
  <si>
    <t>2124 1111</t>
  </si>
  <si>
    <t>2123 0349</t>
  </si>
  <si>
    <t>2141 5642</t>
  </si>
  <si>
    <t>The Lightshop,
68, Naxxar Road, Birkirkara,
BKR 9048, Malta</t>
  </si>
  <si>
    <t>Salvu Psaila Street, Birkirkara</t>
  </si>
  <si>
    <t>Triq Dun Gorg Fiteni
Naxxar, NXR 1122, Malta</t>
  </si>
  <si>
    <t>235, Burmarrad Rd, Burmarrad, SPB 9062-Malta</t>
  </si>
  <si>
    <t>179, Marina Street, Pietà, Malta</t>
  </si>
  <si>
    <t>LTC LED Lighting 
St Paul Street,
Naxxar, NXR 4016
Malta</t>
  </si>
  <si>
    <t>31, Bishop Labini Street, B'Kara BKR 1270 Malta</t>
  </si>
  <si>
    <t>Matrix Scaffolding Ltd</t>
  </si>
  <si>
    <t>Zone 4, Central Business District, Triq San Gwakkin, Birkirkara CBD 4030</t>
  </si>
  <si>
    <t>Escoupe Court,
Basement Garage No. 8,
Triq Anton Inglott,
Msida
MSD1180</t>
  </si>
  <si>
    <t>facebook.com/solealighting</t>
  </si>
  <si>
    <t>lightshopmalta.com/en/shop/webshop/bycategory/937/name/asc/9/1/lighting.htm</t>
  </si>
  <si>
    <t>vct.com.mt/</t>
  </si>
  <si>
    <t>lds.com.mt/#services</t>
  </si>
  <si>
    <t>pjelectricmalta.com/</t>
  </si>
  <si>
    <t>glsmalta.com/?page_id=78</t>
  </si>
  <si>
    <t>glow.com.mt/</t>
  </si>
  <si>
    <t>transientmalta.com/contact-us/</t>
  </si>
  <si>
    <t>rgalternatives.com/en/contact/index.html</t>
  </si>
  <si>
    <t>ess.com.mt/home/contact</t>
  </si>
  <si>
    <t>ledlightsmalta.com/index.php?route=information/contact</t>
  </si>
  <si>
    <t>brightersolutions.com.mt/contact/</t>
  </si>
  <si>
    <t>illumitechmalta.com/pages/contact</t>
  </si>
  <si>
    <t>elektra.com.mt/contact-us/</t>
  </si>
  <si>
    <t>findit.com.mt/en/directory/listings/8817/farrugia-lighting-andamp-interiors-malta.htm?utm_source=chatgpt.com</t>
  </si>
  <si>
    <t>hydrolectric.com.mt/contact/</t>
  </si>
  <si>
    <t>yellow.com.mt/sbl-lighting-solutions/light-shops/</t>
  </si>
  <si>
    <t>yellow.com.mt/i-m-l-electrical-supplies-ltd/light-shops/</t>
  </si>
  <si>
    <t>scaffolding</t>
  </si>
  <si>
    <t>Makaw Scaffolding Ltd</t>
  </si>
  <si>
    <t>GSC Trading Ltd</t>
  </si>
  <si>
    <t>Scaffolding Solutions (Vassallo Builders)</t>
  </si>
  <si>
    <t>Mediterranean Scaffolding Ltd (MBF Malta)</t>
  </si>
  <si>
    <t>SSL Scaffolding Ltd</t>
  </si>
  <si>
    <t>PTR Machinery Rentals</t>
  </si>
  <si>
    <t>Multitrade Malta</t>
  </si>
  <si>
    <t>Rig Scaffolding Ltd</t>
  </si>
  <si>
    <t>Superior Construction Malta</t>
  </si>
  <si>
    <t>Scaffolding Service</t>
  </si>
  <si>
    <t>MAE Scaffolding</t>
  </si>
  <si>
    <t>info@matrixscaffolding.com</t>
  </si>
  <si>
    <t>George Bonello Trading</t>
  </si>
  <si>
    <t>BTY Scaffolding</t>
  </si>
  <si>
    <t>Araw Constructions</t>
  </si>
  <si>
    <t>Acces equipment</t>
  </si>
  <si>
    <t>A+Building Products Ltd</t>
  </si>
  <si>
    <t>info@makaw.com.mt</t>
  </si>
  <si>
    <t>reucal01@gmail.com</t>
  </si>
  <si>
    <t>sslscaffolding@gmail.com</t>
  </si>
  <si>
    <t>info@ptrmachinery.com</t>
  </si>
  <si>
    <t>info@multitrademalta.com</t>
  </si>
  <si>
    <t>sales@rigscaffolding.com.mt</t>
  </si>
  <si>
    <t>superior.malta@gmail.com</t>
  </si>
  <si>
    <t>josephcutajar8@gmail.com</t>
  </si>
  <si>
    <t>maescaffolding@gmail.com</t>
  </si>
  <si>
    <t>gbt@onvol.net</t>
  </si>
  <si>
    <t>bty@go.net.mt</t>
  </si>
  <si>
    <t>arawconstructions@gmail.com</t>
  </si>
  <si>
    <t>nfo@access.com.mt</t>
  </si>
  <si>
    <t>2144 4222</t>
  </si>
  <si>
    <t>info@agius.com.mt</t>
  </si>
  <si>
    <t>2144 8678 /</t>
  </si>
  <si>
    <t>2148 7043</t>
  </si>
  <si>
    <t>2143 2333</t>
  </si>
  <si>
    <t>2137 4454</t>
  </si>
  <si>
    <t>7944 5749</t>
  </si>
  <si>
    <t>2145 3160 /</t>
  </si>
  <si>
    <t>2146 0195 /</t>
  </si>
  <si>
    <t>7926 4190</t>
  </si>
  <si>
    <t>9940 8444</t>
  </si>
  <si>
    <t>99405525</t>
  </si>
  <si>
    <t>79818816</t>
  </si>
  <si>
    <t>99 490 348</t>
  </si>
  <si>
    <t>21 242 526</t>
  </si>
  <si>
    <t>99 425 934</t>
  </si>
  <si>
    <t>99493628</t>
  </si>
  <si>
    <t>99447305</t>
  </si>
  <si>
    <t>Young Vella Estates, Plot 4-5, Triq Tal-Handaq, Handaq, Qormi, QRM4000</t>
  </si>
  <si>
    <t>: The Warehouse, Triq Hal-Gharghur, Birkirkara, BKR 2903</t>
  </si>
  <si>
    <t>Zone 1, Central Business District, Triq l-Imdina, Birkirkara, CBD 1010</t>
  </si>
  <si>
    <t>159, Triq Annibale Preca, Ħal Lija</t>
  </si>
  <si>
    <t>70, Riviera Court/2, Triq Forrest, San Ġiljan, STJ 2032</t>
  </si>
  <si>
    <t>riq il-Gargir, Rabat, RBT 4638</t>
  </si>
  <si>
    <t>Siggiewi Road, Żebbuġ, ZBG 2301</t>
  </si>
  <si>
    <t>Malta</t>
  </si>
  <si>
    <t>61, Triq Santa Liberata, Il-Kalkara, Malta</t>
  </si>
  <si>
    <t>Merhba Triq I-Istefanotis,Sta Lucija,Malta SLC 1810</t>
  </si>
  <si>
    <t>Triq tal-Gallu ,Fgura,Malta FGR 1114</t>
  </si>
  <si>
    <t>Our Dream Triq in-Nutar Zarb ,
Attard, Malta ATD 9041</t>
  </si>
  <si>
    <t>c/o M Space Triq Oscar Zammit ,
Msida, Malta MSD 1280</t>
  </si>
  <si>
    <t>15a Triq Tonin Mallia Vernon ,
Xewkija-Gozo, Gozo XWK 2502</t>
  </si>
  <si>
    <t>M4 Shopping Complex Triq il-Linja ,
Attard, Malta ATD 1234</t>
  </si>
  <si>
    <t>Triq il-Belt Valletta ,
Mqabba, Malta MQB 9019</t>
  </si>
  <si>
    <t>matrixscaffolding.com</t>
  </si>
  <si>
    <t>makawscaffolding.com</t>
  </si>
  <si>
    <t>: gscmalta.com</t>
  </si>
  <si>
    <t>vassallogroupmalta.com</t>
  </si>
  <si>
    <t>scaffoldingsystemltd.com</t>
  </si>
  <si>
    <t>ptrmachinery.com</t>
  </si>
  <si>
    <t>multitrademalta.com</t>
  </si>
  <si>
    <t>Rig Scaffolding Ltd - Malta</t>
  </si>
  <si>
    <t>farrugiagroup.com</t>
  </si>
  <si>
    <t>facebook.com/people/MAE-scaffolding/100054415933841/
Suggest update</t>
  </si>
  <si>
    <t>facebook.com/GBTMalta/
Suggest update</t>
  </si>
  <si>
    <t>Awning</t>
  </si>
  <si>
    <t>btytrading.com</t>
  </si>
  <si>
    <t>Pergola</t>
  </si>
  <si>
    <t>Triq Valletta, Luqa, Malta</t>
  </si>
  <si>
    <t>sliding doors</t>
  </si>
  <si>
    <t>malta-design.com/en/57007-pergolas</t>
  </si>
  <si>
    <t>Pocket door</t>
  </si>
  <si>
    <t>internal doors</t>
  </si>
  <si>
    <t>Aluscreens</t>
  </si>
  <si>
    <t>Brand imports</t>
  </si>
  <si>
    <t>Styles Apertures ltd</t>
  </si>
  <si>
    <t>Dimech Enterprises Ltd</t>
  </si>
  <si>
    <t>Aluage Aluminium &amp; Insect Screens</t>
  </si>
  <si>
    <t>MT Refurbishing</t>
  </si>
  <si>
    <t>Proman Interiors</t>
  </si>
  <si>
    <t>d door company</t>
  </si>
  <si>
    <t>Dimech Enterprises ltd</t>
  </si>
  <si>
    <t>Fourwalls</t>
  </si>
  <si>
    <t>SF Door Styles</t>
  </si>
  <si>
    <t>Am Projects</t>
  </si>
  <si>
    <t>Italtrade Malta</t>
  </si>
  <si>
    <t>Star Furniture</t>
  </si>
  <si>
    <t>Power House Malta</t>
  </si>
  <si>
    <t>Direct Developments ltd</t>
  </si>
  <si>
    <t>Framegrip industries Ltd</t>
  </si>
  <si>
    <t>Marco Vassallo Woodworks</t>
  </si>
  <si>
    <t>imperial Furniture</t>
  </si>
  <si>
    <t>Alfred Baldacchino ltd</t>
  </si>
  <si>
    <t>NK WoodWorks</t>
  </si>
  <si>
    <t>Master Wood</t>
  </si>
  <si>
    <t>MaltaShopper</t>
  </si>
  <si>
    <t>SGT 1183 Woodworks</t>
  </si>
  <si>
    <t>Classic Designs Woodworks</t>
  </si>
  <si>
    <t>Cachia Woodturning &amp; Furniture</t>
  </si>
  <si>
    <t>George Cassar Woodworks</t>
  </si>
  <si>
    <t>J M Borg Woodworks</t>
  </si>
  <si>
    <t>R Aluminium Works</t>
  </si>
  <si>
    <t>info@aluscreens.com</t>
  </si>
  <si>
    <t>info@aluagemalta.com</t>
  </si>
  <si>
    <t>info@hirisegroup.com.mt</t>
  </si>
  <si>
    <t>hello@starfurniture.com.mt</t>
  </si>
  <si>
    <t>info@italtrade.com.mt</t>
  </si>
  <si>
    <t>clients@framegrip.com</t>
  </si>
  <si>
    <t>sales@powerhousemalta.com.eu</t>
  </si>
  <si>
    <t>facebook: Marco Vasallo Woodworks (Hasnt email)</t>
  </si>
  <si>
    <t>pdgl@go.net.mt</t>
  </si>
  <si>
    <t>clydeaquil@gmail.com</t>
  </si>
  <si>
    <t>info@nkwoodworks.com</t>
  </si>
  <si>
    <t>info@alfredbaldacchinoltd.net</t>
  </si>
  <si>
    <t>occas2@gmail.com</t>
  </si>
  <si>
    <t>info@cassarwordworks.com</t>
  </si>
  <si>
    <t>j3alumiunium@gmail.com</t>
  </si>
  <si>
    <t>sgt1183@gmail.com</t>
  </si>
  <si>
    <t>classicdesignwoodworks@gmail.com</t>
  </si>
  <si>
    <t>alultd@go.net.mt</t>
  </si>
  <si>
    <t>cachiapatrick68@gmail.com</t>
  </si>
  <si>
    <t>sales@tcalu.com</t>
  </si>
  <si>
    <t>info@cda.com.mt</t>
  </si>
  <si>
    <t>jborg0408@gmail.com</t>
  </si>
  <si>
    <t>raluminiumworks@hotmail.com</t>
  </si>
  <si>
    <t>tonnaalum@yahoo.com</t>
  </si>
  <si>
    <t>Showroom 26, Triq Haz-Zabbar, Paola, Malta</t>
  </si>
  <si>
    <t>SUB 030A, Qasam Industrijali, San Ġwann, SGN 3000, Malta</t>
  </si>
  <si>
    <t>Mdina Road, Żebbuġ, ZBG 01, Malta</t>
  </si>
  <si>
    <t>: Triq id-Dejma, Tarxien, Malta</t>
  </si>
  <si>
    <t>Centre Point, Triq Valletta, Ħal Luqa, LQA 1762, Malta</t>
  </si>
  <si>
    <t>Handaq, Malta</t>
  </si>
  <si>
    <t>Centre point , Triq Valleta , Luqa  LQA 1762 , Malta</t>
  </si>
  <si>
    <t>128 old Railway Track , Santa venera , Malta</t>
  </si>
  <si>
    <t>Unit 1&amp;2, Industrial Estate Luqa MT LQA 3000, Ħal Luqa</t>
  </si>
  <si>
    <t>Triq il-Kappillan Mifsud , Santa venera , Malta</t>
  </si>
  <si>
    <t>Domestica Complex, Level 1 ,Valley road , Msida  MSD 9091 ,Malta</t>
  </si>
  <si>
    <t>WC4R+335, Triq il-mosta, Lija LJA 9010</t>
  </si>
  <si>
    <t>73 Sir Arthur Burton Street, Mosta MST 1883, Malta</t>
  </si>
  <si>
    <t>Triq Mastru Gorg Cachia, Tal-Ħandaq, Ħal Qormi, Malta QRM 4000</t>
  </si>
  <si>
    <t>13 Censu Bugeja Street , Birkirkara , Malta</t>
  </si>
  <si>
    <t>52,Triq ll-Muzika , L-Lkin , Malta IKL 1091</t>
  </si>
  <si>
    <t>triq -il kappar , ll-Mosta , Malta MST 03</t>
  </si>
  <si>
    <t>166-167, Qasam Industrijali Ta' Hal Luqa, Hal Luqa, Malta</t>
  </si>
  <si>
    <t>Triq Valletta Triq Gdida Fi, Hal Luqa, Malta</t>
  </si>
  <si>
    <t>No 7, Triq Il-Ballut, Il-Mosta, Malta</t>
  </si>
  <si>
    <t>106, Qasam Industrijali Ta' Hal-Farrug, Hal Luqa, Hal Farrug, Malta</t>
  </si>
  <si>
    <t>Plot TQL027, Crafts Village, Ta'Qali, ATD 4000, Malta</t>
  </si>
  <si>
    <t>Bitmac Ltd.
Tal-Balal Road,
Iklin, IKL 9013
Malta</t>
  </si>
  <si>
    <t>162 Cannon Road, Santa Venera, Malta</t>
  </si>
  <si>
    <t>Triq il-Parsott, Mosta</t>
  </si>
  <si>
    <t>Entrance 4, Showroom No 6 Triq Valletta, Marsa</t>
  </si>
  <si>
    <t>Garage No 1 Triq Anthony John Coleiro Tal-Handaq, Qormi</t>
  </si>
  <si>
    <t>TQL 027 Crafts Village Ta' Qali, Attard</t>
  </si>
  <si>
    <t>Sqaq 11, Nru 2 Triq Santa Lucija, Naxxar</t>
  </si>
  <si>
    <t>12 Triq il-Parsott, Mosta</t>
  </si>
  <si>
    <t>dimech-ent.com</t>
  </si>
  <si>
    <t>aluscreens.com</t>
  </si>
  <si>
    <t>sfdoorstyles.com.mt</t>
  </si>
  <si>
    <t>aluage.com</t>
  </si>
  <si>
    <t>facebook.com/mtrefurbishing/</t>
  </si>
  <si>
    <t>ddoorcompany.com</t>
  </si>
  <si>
    <t>fourwalls.com.mt</t>
  </si>
  <si>
    <t>italtrade.com.mt</t>
  </si>
  <si>
    <t>gauciwoodsmalta.com</t>
  </si>
  <si>
    <t>starfurniture.com.mt</t>
  </si>
  <si>
    <t>powerhousemalta.eu.com.mt</t>
  </si>
  <si>
    <t>nkwoodworks.com</t>
  </si>
  <si>
    <t>alfredbaldacchinoltd.net</t>
  </si>
  <si>
    <t>masterwoodmalta.net</t>
  </si>
  <si>
    <t>marble</t>
  </si>
  <si>
    <t>maltadiy.com/product-category/doors-windows/internal-door/pocket-doors/</t>
  </si>
  <si>
    <t>cassarwoodworks.com/opening-solutions-by-george-cassar-woodworks/</t>
  </si>
  <si>
    <t>sfdoorstyle.com.mt</t>
  </si>
  <si>
    <t>sgt1183woodworks.com</t>
  </si>
  <si>
    <t>abelawoodworks.wixsite.com/abelawoodworks?utm_source=Yellow&amp;utm_medium=Yellow-Website&amp;utm_campaign=Landing-Page</t>
  </si>
  <si>
    <t>classicdesignwoodworksmalta.com</t>
  </si>
  <si>
    <t>facebook.com/deckor.mt/</t>
  </si>
  <si>
    <t>cassarwoodworks.com</t>
  </si>
  <si>
    <t>Anthony Muscat Marble &amp; Granite Works Ltd</t>
  </si>
  <si>
    <t>Marble Innovation ltd</t>
  </si>
  <si>
    <t>RGP Marble Works</t>
  </si>
  <si>
    <t>rgpmarblemalta@gmail.com</t>
  </si>
  <si>
    <t>Cini Marbles Co. Ltd</t>
  </si>
  <si>
    <t>Halman Vella ltd</t>
  </si>
  <si>
    <t>Rabat Marbles</t>
  </si>
  <si>
    <t>Julian's Marble Works Co ltd</t>
  </si>
  <si>
    <t>C.Grench Marbles</t>
  </si>
  <si>
    <t>AF Ellis Marble Works</t>
  </si>
  <si>
    <t>Bugeja Marbles Ltd</t>
  </si>
  <si>
    <t>Camilleri Marble Works Limited</t>
  </si>
  <si>
    <t>Chic Living Ltd</t>
  </si>
  <si>
    <t>amuscatmarble@gmail.com</t>
  </si>
  <si>
    <t>info@hmvella.com</t>
  </si>
  <si>
    <t>info@juliansmarble.com</t>
  </si>
  <si>
    <t>afellismarbleworks@gmail.com</t>
  </si>
  <si>
    <t>grechmarbles@onvol.net</t>
  </si>
  <si>
    <t>icamill52@gmail.com</t>
  </si>
  <si>
    <t>Buskett Road, Dingli, DGL 2709, Malta</t>
  </si>
  <si>
    <t>KKW601, Triq Kordin, Paola, Malta</t>
  </si>
  <si>
    <t>Ħaż-Żebbuġ, Malta</t>
  </si>
  <si>
    <t>355, Triq l-Imdina, Ħal Qormi, Malta QRM 9012</t>
  </si>
  <si>
    <t>Handaq Road, Qormi, QRM 4000, Malta</t>
  </si>
  <si>
    <t>Triq L-Mdina , H Attard , Malta ATD 9037</t>
  </si>
  <si>
    <t>Labour Avenue, Rabat RBT 1769 , Malta</t>
  </si>
  <si>
    <t>Marsalforn Road , xaghra , Gozo ,Malta</t>
  </si>
  <si>
    <t>Il-Pressa, Triq Il-Biccerija, Ix-Xewkija, Gozo, Malta XWK 3000</t>
  </si>
  <si>
    <t>Zone 3, Central Business District, Triq San Gwakkin, Birkirkara, Mriehel, Malta</t>
  </si>
  <si>
    <t>Triq Hal Tarxien, Il-Gudja, Malta ZTN 14</t>
  </si>
  <si>
    <t>triq Durumblat, Il-Mosta, Malta MST 4816</t>
  </si>
  <si>
    <t>marbleinnovation.com</t>
  </si>
  <si>
    <t>rgpmarblemalta.com</t>
  </si>
  <si>
    <t>halmanvella.com</t>
  </si>
  <si>
    <t>muscarmarbleworks.com</t>
  </si>
  <si>
    <t>cinimarbles.com</t>
  </si>
  <si>
    <t>cgrechmarbles.com</t>
  </si>
  <si>
    <t>juliansmarble.com</t>
  </si>
  <si>
    <t>afellismarbleworks.com</t>
  </si>
  <si>
    <t xml:space="preserve"> </t>
  </si>
  <si>
    <t>air conditioners</t>
  </si>
  <si>
    <t>M.A.A</t>
  </si>
  <si>
    <t>able co ltd</t>
  </si>
  <si>
    <t>Peter Micallef Air Conditioning</t>
  </si>
  <si>
    <t>BT Commercial ltd</t>
  </si>
  <si>
    <t>cutrico ltd</t>
  </si>
  <si>
    <t>Air solutions ltd</t>
  </si>
  <si>
    <t>Cassar Airconditionating Systems ltd</t>
  </si>
  <si>
    <t>RG Air Conditioning</t>
  </si>
  <si>
    <t>Shead air Conditioning</t>
  </si>
  <si>
    <t>Maintain lt</t>
  </si>
  <si>
    <t>Kencar Co ltd</t>
  </si>
  <si>
    <t>Attards</t>
  </si>
  <si>
    <t>Smart effects Ltd</t>
  </si>
  <si>
    <t>Econetique</t>
  </si>
  <si>
    <t>KBL Services</t>
  </si>
  <si>
    <t>HVAC supplies</t>
  </si>
  <si>
    <t>AC Malta</t>
  </si>
  <si>
    <t>Cool For You</t>
  </si>
  <si>
    <t>Tekno</t>
  </si>
  <si>
    <t>Mekanika</t>
  </si>
  <si>
    <t>Clima755</t>
  </si>
  <si>
    <t>CoolTek</t>
  </si>
  <si>
    <t>Arjakon Co Ltd</t>
  </si>
  <si>
    <t>Vairni Services</t>
  </si>
  <si>
    <t>A.C Installations by Josef Bugeja</t>
  </si>
  <si>
    <t>Nova Trading</t>
  </si>
  <si>
    <t>Ac's by Stefan</t>
  </si>
  <si>
    <t>Ventura</t>
  </si>
  <si>
    <t>info@maa.com.mt</t>
  </si>
  <si>
    <t>jethro@able.com.mnt</t>
  </si>
  <si>
    <t>sales@btmalta.com</t>
  </si>
  <si>
    <t>sales@cutrico.com</t>
  </si>
  <si>
    <t>info@casmalta.com</t>
  </si>
  <si>
    <t>reniergrima.com@gmail.com</t>
  </si>
  <si>
    <t>info@shead.com.mt</t>
  </si>
  <si>
    <t>bamburas583@gmail.com</t>
  </si>
  <si>
    <t>maintainit.mt@gmail.com</t>
  </si>
  <si>
    <t>info@knlservice.com</t>
  </si>
  <si>
    <t>info@econetique.com</t>
  </si>
  <si>
    <t>info@ac-malta.com</t>
  </si>
  <si>
    <t>gyorgymihalka@gmail.com</t>
  </si>
  <si>
    <t>sales@tekno.com.mt</t>
  </si>
  <si>
    <t>mekanika@gasan.com</t>
  </si>
  <si>
    <t>info@clima755.com</t>
  </si>
  <si>
    <t>sales@arjakon.com</t>
  </si>
  <si>
    <t>sales@vairni.com</t>
  </si>
  <si>
    <t>Stefandebono90@gmail.com</t>
  </si>
  <si>
    <t>info@novatrading.com.mt</t>
  </si>
  <si>
    <t>sales@venturamalta.com</t>
  </si>
  <si>
    <t>mark_nova@hotmail.com</t>
  </si>
  <si>
    <t>baxa buildings, Triq Valleta , II-Mosta MST 9010</t>
  </si>
  <si>
    <t>B.T. Buildings, 300, Triq San Tumas, Hal Tarxien TXN 1602</t>
  </si>
  <si>
    <t>Daikin Showroom, Triq Il-Belt Valletta, Hal Qormi QRM 3619</t>
  </si>
  <si>
    <t>Cutrico Building, Triq L-Imriehel, Mriehel, Birkirkara BKR 3000</t>
  </si>
  <si>
    <t>Triq Il-Blata L-Kahla, Santa Venera</t>
  </si>
  <si>
    <t>307, Triq Misrah Il-Barrieri, Santa Venera SVR 1758</t>
  </si>
  <si>
    <t>Triq Guzeppi Agius, Is-Siggiewi</t>
  </si>
  <si>
    <t>Triq Tal-Mensija, San Gwann</t>
  </si>
  <si>
    <t>Flat 4, Hinxman Court, Trejqet Il-Gewz, Ir-Rabat, Il-Bahrija</t>
  </si>
  <si>
    <t>Phoenix Apartments, No 5, Triq Tas-Sisla, Birkirkara, Is-Swatar</t>
  </si>
  <si>
    <t>220, Triq In-Naxxar, San Ġwann, Malta SGN 9030</t>
  </si>
  <si>
    <t>125, Triq Il-Kbira San Ġużepp, Ħamrun, Malta</t>
  </si>
  <si>
    <t>MPT Business Centre, Level 3, Triq Dun Karm, Birkirkara, Malta</t>
  </si>
  <si>
    <t>The Lyric, Triq Antonio Bosio, Msida, Malta</t>
  </si>
  <si>
    <t>Triq Nazzjonali, Ħamrun, Malta</t>
  </si>
  <si>
    <t>Triq L-Industrija, Xewkija, Gozo</t>
  </si>
  <si>
    <t>Triq Tal-Hlas ,Hal Qormi , Malta</t>
  </si>
  <si>
    <t>9D, Midland Micro Enterprise Park, Triq Il-Burmarrad, Burmarrad, Malta</t>
  </si>
  <si>
    <t>Triq Ħal Luqa, Qormi, QRM 9070</t>
  </si>
  <si>
    <t>168, Luqa Industrial Estate, Luqa</t>
  </si>
  <si>
    <t>Air Conditioners Malta , San Giljan</t>
  </si>
  <si>
    <t>Triq Is-Salib ta L-Imriehel, Birkirkara</t>
  </si>
  <si>
    <t>GPL Business Centre,
Triq l-Esportaturi Zone 1,
Central Business District,
L-Imriehel CBD 1040</t>
  </si>
  <si>
    <t>Valley Road Msida</t>
  </si>
  <si>
    <t>18, Guzeppi Licari, Birkirkara, Malta</t>
  </si>
  <si>
    <t>Vairni Services Ltd
5 Triq Titu Brandsma ,
Fgura, Malta FGR 2131</t>
  </si>
  <si>
    <t>29 Maggie Moran Street, Paola</t>
  </si>
  <si>
    <t>able.com.mt</t>
  </si>
  <si>
    <t>engenuity.com.mt</t>
  </si>
  <si>
    <t>daikin.com.mt</t>
  </si>
  <si>
    <t>btmalta.com</t>
  </si>
  <si>
    <t>cutrico.com</t>
  </si>
  <si>
    <t>airsolutions.com.mt</t>
  </si>
  <si>
    <t>casmalta.com</t>
  </si>
  <si>
    <t>attardsmalta.com</t>
  </si>
  <si>
    <t>smarteffects.com.mt</t>
  </si>
  <si>
    <t>M Demajo (Timbers( Ltd</t>
  </si>
  <si>
    <t>econetique.com</t>
  </si>
  <si>
    <t>ac-malta.com/en/contacts.html</t>
  </si>
  <si>
    <t>coolforyoumalta.com/?brid=ZrlreT6d_V10djmjAX8k5Q</t>
  </si>
  <si>
    <t>tekno.com.mt/contact/</t>
  </si>
  <si>
    <t>mekanika.com.mt/?brid=yOf5xAjx5Rj8r2210S_NJg</t>
  </si>
  <si>
    <t>clima755.com/</t>
  </si>
  <si>
    <t>cooltekservices.com.mt/</t>
  </si>
  <si>
    <t>yellow.com.mt/arjakon-co-ltd/air-conditioners/</t>
  </si>
  <si>
    <t>vairni.com/wp/?utm_source=Yellow&amp;utm_medium=Yellow-Website&amp;utm_campaign=Landing-Page</t>
  </si>
  <si>
    <t>facebook.com/steffannnn/</t>
  </si>
  <si>
    <t>novatrading.com.mt/contact/</t>
  </si>
  <si>
    <t>outdoor decking</t>
  </si>
  <si>
    <t>Dimech enterprises ltd</t>
  </si>
  <si>
    <t>Calypso Manufacturing ltd</t>
  </si>
  <si>
    <t>BMS Malta (Building Materials Supplies ltd )</t>
  </si>
  <si>
    <t>Malta shopper</t>
  </si>
  <si>
    <t>Direct development Malta</t>
  </si>
  <si>
    <t>Marine Services ltd(Distribuidor de Deckfab )</t>
  </si>
  <si>
    <t>Ga Home &amp; Sports</t>
  </si>
  <si>
    <t>The professionals Malta (Westwood Co Ltd )</t>
  </si>
  <si>
    <t>Adrew Vassallo General Trading</t>
  </si>
  <si>
    <t>deckab marine</t>
  </si>
  <si>
    <t>Link projects</t>
  </si>
  <si>
    <t>Protrade ltd</t>
  </si>
  <si>
    <t>timbers@demajo.com</t>
  </si>
  <si>
    <t>Sales@pmhobby.com.mt</t>
  </si>
  <si>
    <t>info@galtd.com</t>
  </si>
  <si>
    <t>info@marineservicesmalta.com</t>
  </si>
  <si>
    <t>info@adrewvassallo.com</t>
  </si>
  <si>
    <t>info@theprofessionalsmalta.com</t>
  </si>
  <si>
    <t>info@protrade.com.mt</t>
  </si>
  <si>
    <t>info@salibawoodworks.com</t>
  </si>
  <si>
    <t>sales@deckfab.co.uk</t>
  </si>
  <si>
    <t>Centre Point, Triq Valletta, Luqa, Malta LQA 1762</t>
  </si>
  <si>
    <t>Zone 1, Central Business District, Bone Street, Mriehel Bypass – Birkirkara, CBD1060 Malta</t>
  </si>
  <si>
    <t>Olive Square, Qormi, QRM 11, Malta</t>
  </si>
  <si>
    <t>5, Cospicua Road, Fgura FGR 1261, Malta</t>
  </si>
  <si>
    <t>162, Cannon Road, Santa Venera, Malta</t>
  </si>
  <si>
    <t>52 Triq il-Mużika, Iklin, IKL 1091, Malta</t>
  </si>
  <si>
    <t>Triq Tumas Galea, Birkirkara, BKR 4519, Malta</t>
  </si>
  <si>
    <t>MSL Boat Yard, Triq il-Kappella ta’ Santa Marija, Magħtab, Naxxar, NXR 6511, Malta</t>
  </si>
  <si>
    <t>triq Ħal Tarxien, Il-Gudja, Malta</t>
  </si>
  <si>
    <t>Qormi, Malta</t>
  </si>
  <si>
    <t>Zone 5, Triq Is-Sebħ, Central Business District, Qormi, Malta</t>
  </si>
  <si>
    <t>VFWV+V77, ix-Xatt, Ta' Xbiex</t>
  </si>
  <si>
    <t>St Mary Garage, Triq Ħal Tarxien, Gudja, Malta</t>
  </si>
  <si>
    <t>malta</t>
  </si>
  <si>
    <t>demajotimbers.com</t>
  </si>
  <si>
    <t>dimech-ent.com/outdoors</t>
  </si>
  <si>
    <t>pmhobby.com.mt</t>
  </si>
  <si>
    <t>theprofessionalsmalta.com</t>
  </si>
  <si>
    <t>marineservicesmalta.com</t>
  </si>
  <si>
    <t>andrewvassallo.com</t>
  </si>
  <si>
    <t>linkprojects.com.mt</t>
  </si>
  <si>
    <t>protrade.com.mt</t>
  </si>
  <si>
    <t>salibawoodworks.com</t>
  </si>
  <si>
    <t>deckfabmarine.com</t>
  </si>
  <si>
    <t>Modern Building Methods (MBM)</t>
  </si>
  <si>
    <t>raised floor</t>
  </si>
  <si>
    <t>Andrew Vassallo General Trading ltd</t>
  </si>
  <si>
    <t>HMK Limited</t>
  </si>
  <si>
    <t>Carini Stories Ltd</t>
  </si>
  <si>
    <t>vivendo</t>
  </si>
  <si>
    <t>C Fino &amp; Sons ltd</t>
  </si>
  <si>
    <t>de Valier Malta &amp; Gozo</t>
  </si>
  <si>
    <t>Handy Man Services</t>
  </si>
  <si>
    <t>Trends Manufacturing Malta</t>
  </si>
  <si>
    <t>Four Seasons Pools</t>
  </si>
  <si>
    <t>Med Projects</t>
  </si>
  <si>
    <t>info@hmkint.com</t>
  </si>
  <si>
    <t>info@dv.mt</t>
  </si>
  <si>
    <t>info@fourseasonspools.com.mt</t>
  </si>
  <si>
    <t>info@ptk.mt</t>
  </si>
  <si>
    <t>info@medprojects.com.mt</t>
  </si>
  <si>
    <t>Tarxien Road, Gudja, GDJ 1905, Malta</t>
  </si>
  <si>
    <t>M4 Shopping Complex, Triq il-Linja, Attard, ATD1234, Malta</t>
  </si>
  <si>
    <t>The Factory, Mosta Road, Lija, LJA9016, Malta</t>
  </si>
  <si>
    <t>435,St. Joseph High Road , St Venera , Malta</t>
  </si>
  <si>
    <t>Fino Buildings, Triq l-Imdina, Zone 4, Central Business District, Birkirkara, Malta</t>
  </si>
  <si>
    <t>117 Triq L-Assemblea Nazzjonali, San Ġwann SGN 3034</t>
  </si>
  <si>
    <t>Mdina, road Qormi,Malta</t>
  </si>
  <si>
    <t>Triq il-Karmnu, Luqa, Malta</t>
  </si>
  <si>
    <t>mbm.com.mt</t>
  </si>
  <si>
    <t>hmkint.com</t>
  </si>
  <si>
    <t>grfmalta.com</t>
  </si>
  <si>
    <t>vivendo.com</t>
  </si>
  <si>
    <t>The Old Factory,
San Gwakkin Str, Zone 3, 
Central Business District,
Mriehel, B’kara,
CBD 3030, Malta</t>
  </si>
  <si>
    <t>https://www.facebook.com/profile.php?id=61586954757485</t>
  </si>
  <si>
    <t>https://www.facebook.com/Handyman.Service.Malta/</t>
  </si>
  <si>
    <t>https://www.facebook.com/FourSeasonsPoolSpaMalta</t>
  </si>
  <si>
    <t>https://www.facebook.com/linkprojectsltd</t>
  </si>
  <si>
    <t>https://ptk.mt/</t>
  </si>
  <si>
    <t>https://medprojectsmalta.com/contact-us.html</t>
  </si>
  <si>
    <t>iglu</t>
  </si>
  <si>
    <t>de Valtech</t>
  </si>
  <si>
    <t>Best insulation ltd</t>
  </si>
  <si>
    <t>Phillip Pace &amp; Sons ltd</t>
  </si>
  <si>
    <t>BT Commercial</t>
  </si>
  <si>
    <t>GS Turnkey Projects Malta</t>
  </si>
  <si>
    <t>bestinsulationltd@gmail.com</t>
  </si>
  <si>
    <t>pacesons@gmail.com</t>
  </si>
  <si>
    <t>gsturnkeyprojects@gmail.com</t>
  </si>
  <si>
    <t>info@bitmac.mt</t>
  </si>
  <si>
    <t>Triq il-Mdina ,Attard ,Malta ATD 9039</t>
  </si>
  <si>
    <t>95, triq Sajd , Haz-Zebbug , ZBG 3047,Malta</t>
  </si>
  <si>
    <t>BT Commercial LTD. The Watercourse, Triq L-Imdina, Zone 2 Central Business District, Birkirkara, Malta, CBD2010</t>
  </si>
  <si>
    <t>Tal-Balal Road , Lklin ,IKL 9013 , Malta</t>
  </si>
  <si>
    <t>facebook.com/iglumalta</t>
  </si>
  <si>
    <t>Attard Bros Group, Industrial Zone, 
Ta’ Qali, ATD 4000, Malta</t>
  </si>
  <si>
    <t>yellow.com.mt</t>
  </si>
  <si>
    <t>T Beams</t>
  </si>
  <si>
    <t>bitmacltd.com</t>
  </si>
  <si>
    <t>facebook.com/BTCommercialMalta/</t>
  </si>
  <si>
    <t>Blokrete</t>
  </si>
  <si>
    <t>Ballut Blocks</t>
  </si>
  <si>
    <t>GPC</t>
  </si>
  <si>
    <t>Polidano</t>
  </si>
  <si>
    <t>JP Baldacchino</t>
  </si>
  <si>
    <t>B &amp; B Construction Ltd</t>
  </si>
  <si>
    <t>Elbros PreCast Ltd</t>
  </si>
  <si>
    <t>Michael Caruana &amp; Co Ltd</t>
  </si>
  <si>
    <t>RA &amp; Sons Manufacturing Ltd</t>
  </si>
  <si>
    <t>KPT Trading</t>
  </si>
  <si>
    <t>info@blokrete.com.mt</t>
  </si>
  <si>
    <t>info@generalprecastconcrete.com</t>
  </si>
  <si>
    <t>ballut@ballutblocks.com</t>
  </si>
  <si>
    <t>info@jpbaldacchino.com</t>
  </si>
  <si>
    <t>info@michaelcaruanaltd.com</t>
  </si>
  <si>
    <t>kpt.kpttradingmalta@gmail.com</t>
  </si>
  <si>
    <t>plotters</t>
  </si>
  <si>
    <t>blokrete.com.mt/contact/</t>
  </si>
  <si>
    <t>ballutblocks.com/contact-us/</t>
  </si>
  <si>
    <t>facebook.com/attardbros</t>
  </si>
  <si>
    <t>generalprecastconcrete.com/downloads/</t>
  </si>
  <si>
    <t>jmvibro.com/structural-steel</t>
  </si>
  <si>
    <t>polidano-group.com/content_id_260158.html</t>
  </si>
  <si>
    <t>jpbaldacchino.com/</t>
  </si>
  <si>
    <t>forestals</t>
  </si>
  <si>
    <t>image systems Ltd.</t>
  </si>
  <si>
    <t>strand Electronics</t>
  </si>
  <si>
    <t>Ramilene office Supplies Ltd</t>
  </si>
  <si>
    <t>Bits &amp; Bits</t>
  </si>
  <si>
    <t>info@bitsandbytesmalta.com</t>
  </si>
  <si>
    <t>info@imagesystems.com.mt</t>
  </si>
  <si>
    <t>info@strandelectronics</t>
  </si>
  <si>
    <t>Lead Business Centre, Triq L-Intrapriza, Zone 4, Central Business District, Birkirkara CBD 4080, Malta</t>
  </si>
  <si>
    <t>19, Vincenti Buildings, 11 Strait Street, Valletta VLT 1432, Malta</t>
  </si>
  <si>
    <t>50/51, Ramilene Building, Triq It-Torri, Swatar, BKR 4011, Malta</t>
  </si>
  <si>
    <t>Triq Il-Wied Ta' L-Imsida, L-Imsida, Malta</t>
  </si>
  <si>
    <t>St. Aloysius Square, Birkirkara BKR 1474, Malta</t>
  </si>
  <si>
    <t>3D Rendering</t>
  </si>
  <si>
    <t>imagesystems.com.mt</t>
  </si>
  <si>
    <t>ramilenemalta.com</t>
  </si>
  <si>
    <t>strandelectronics.com</t>
  </si>
  <si>
    <t>bitsandbytesmalta.com</t>
  </si>
  <si>
    <t>DPRO</t>
  </si>
  <si>
    <t>Vizwali</t>
  </si>
  <si>
    <t>Solid Eye</t>
  </si>
  <si>
    <t>KT3D Studio</t>
  </si>
  <si>
    <t>3D Society</t>
  </si>
  <si>
    <t>3D Visuals Malta</t>
  </si>
  <si>
    <t>Entify Studio</t>
  </si>
  <si>
    <t>VRS</t>
  </si>
  <si>
    <t>MD Visuals</t>
  </si>
  <si>
    <t>Design Principle</t>
  </si>
  <si>
    <t>Piali Design</t>
  </si>
  <si>
    <t>Top Tier 3D Renderings</t>
  </si>
  <si>
    <t>info@dprostudio.com</t>
  </si>
  <si>
    <t>info@vizwali.com</t>
  </si>
  <si>
    <t>hello@solideye.eu</t>
  </si>
  <si>
    <t>info@KT3DStudio.mt</t>
  </si>
  <si>
    <t>3dsocietymalta@gmail.com</t>
  </si>
  <si>
    <t>3dvisualsmalta@gmail.com</t>
  </si>
  <si>
    <t>info@entifystudio.com</t>
  </si>
  <si>
    <t>jpace@vrsmalta.com</t>
  </si>
  <si>
    <t>mdvisualsmalta@gmail.com</t>
  </si>
  <si>
    <t>info@designprinciple.com.mt</t>
  </si>
  <si>
    <t>info@pialidesign.com</t>
  </si>
  <si>
    <t>toptiermalta@gmail.com</t>
  </si>
  <si>
    <t>39, Għajnsielem Street
Għajnsielem GSM 1185
Gozo, Malta</t>
  </si>
  <si>
    <t>15 Graham Street, Sliema, Malta</t>
  </si>
  <si>
    <t>4 Flat 1, Veduta Apartments,
Luigi Ellul Street,
Attard, ATD 3023,
Malta</t>
  </si>
  <si>
    <t>Qrendi, Malta</t>
  </si>
  <si>
    <t>Mdina Road,
Ħaz-Zebbug, Malta</t>
  </si>
  <si>
    <t>Design Principle
52, St Paul Street
Valletta VLT 1212
Malta</t>
  </si>
  <si>
    <t>CHECK IF THEY STILL OPERATE</t>
  </si>
  <si>
    <t>dprostudio.com/</t>
  </si>
  <si>
    <t>vizwali.com/</t>
  </si>
  <si>
    <t>solideye.eu/</t>
  </si>
  <si>
    <t>kt3dstudio.com/</t>
  </si>
  <si>
    <t>3dsocietymalta.com/</t>
  </si>
  <si>
    <t>3dvisualsmalta.com/</t>
  </si>
  <si>
    <t>entifystudio.com/</t>
  </si>
  <si>
    <t>vrsmalta.com/</t>
  </si>
  <si>
    <t>facebook.com/moredetailedvisuals</t>
  </si>
  <si>
    <t>designprinciple.com.mt/</t>
  </si>
  <si>
    <t>pialidesign.com/</t>
  </si>
  <si>
    <t>facebook.com/TopTierMediaMalta/</t>
  </si>
  <si>
    <t>Signs</t>
  </si>
  <si>
    <t>CMYK Advertising</t>
  </si>
  <si>
    <t>Malta Signs</t>
  </si>
  <si>
    <t>Sign Factory</t>
  </si>
  <si>
    <t>Sign World</t>
  </si>
  <si>
    <t>Gesco Signs</t>
  </si>
  <si>
    <t>Viking Signrite</t>
  </si>
  <si>
    <t>Fast Signs</t>
  </si>
  <si>
    <t>Delta Signs</t>
  </si>
  <si>
    <t>SMC Design Studio</t>
  </si>
  <si>
    <t>House of Signs</t>
  </si>
  <si>
    <t>Ajet Signs</t>
  </si>
  <si>
    <t>MG Signs</t>
  </si>
  <si>
    <t>Banners Malta</t>
  </si>
  <si>
    <t>Creative Works Malta</t>
  </si>
  <si>
    <t>DZYN Malta</t>
  </si>
  <si>
    <t>Essency Engraving</t>
  </si>
  <si>
    <t>Gozo Graphics</t>
  </si>
  <si>
    <t>ESE Engraving</t>
  </si>
  <si>
    <t>Printagram</t>
  </si>
  <si>
    <t>PrismPrinting</t>
  </si>
  <si>
    <t>Deco Malta</t>
  </si>
  <si>
    <t>info@cmyk.com.mt</t>
  </si>
  <si>
    <t>sales@maltasigns.com</t>
  </si>
  <si>
    <t>info@signfactory.com.mt</t>
  </si>
  <si>
    <t>info@gescosigns.com</t>
  </si>
  <si>
    <t>info@vikingsignrite.com</t>
  </si>
  <si>
    <t>customer.care@fastsigns.com</t>
  </si>
  <si>
    <t>info@deltamedia.services</t>
  </si>
  <si>
    <t>smcsigns@gmail.com</t>
  </si>
  <si>
    <t>hello@ajet.mt</t>
  </si>
  <si>
    <t>sales@mgmalta.com</t>
  </si>
  <si>
    <t>bannersmalta@gmail.com</t>
  </si>
  <si>
    <t>creativeworksmalta@gmail.com</t>
  </si>
  <si>
    <t>info@DZYNmalta.com</t>
  </si>
  <si>
    <t>connor@essencyengraving.com</t>
  </si>
  <si>
    <t>info@gozo.graphics</t>
  </si>
  <si>
    <t>edgar.engraving@gmail.com</t>
  </si>
  <si>
    <t>nadia@pplmalta.com</t>
  </si>
  <si>
    <t>info@printagram.com.mt</t>
  </si>
  <si>
    <t>sales@prismprinting.com.mt</t>
  </si>
  <si>
    <t>info@decomalta.com</t>
  </si>
  <si>
    <t>118 Triq Glormu Cassar, Mosta MST4112</t>
  </si>
  <si>
    <t>Sliema Road, Gzira</t>
  </si>
  <si>
    <t>The Sign Factory
Triq Dun Luret Callus
Ħaż-Żebbuġ - ZBG 2495</t>
  </si>
  <si>
    <t>128 Pitkali Road, Attard
M01, 2214</t>
  </si>
  <si>
    <t>Industrial Area, H'Attard</t>
  </si>
  <si>
    <t>SMC Designs
Portico Flt 1, 23rd April Street
Victoria, Gozo - Malta.</t>
  </si>
  <si>
    <t>3, Triq Bugharbiel ZTN 3436 Iz-Zejtun, Malta</t>
  </si>
  <si>
    <t>MG Signs
90 | 91 | 92x , Luqa industrial estate
Luqa, LQA 3000</t>
  </si>
  <si>
    <t>Indri Psaila Street,
Qormi QRM4000, Malta.</t>
  </si>
  <si>
    <t>Santa Venera</t>
  </si>
  <si>
    <t>53, Triq Marina Pietà (Sa Maison)</t>
  </si>
  <si>
    <t>Zabbar, Malta</t>
  </si>
  <si>
    <t>Industrial Estate, Luqa, Malta</t>
  </si>
  <si>
    <t>11, Triq II-Burmarrad
Naxxar, NXR 6345
Malta</t>
  </si>
  <si>
    <t>Merkanti, Prism Printing,
Naggar Street,
Mosta,
MST 1761</t>
  </si>
  <si>
    <t>CCG Building, Triq 3 Ta’ Settembru 1798
Zone 3, Central Business District,
Birkirkara CBD 3100 Malta</t>
  </si>
  <si>
    <t>Bulebel, Zejtun</t>
  </si>
  <si>
    <t>Natural Stone</t>
  </si>
  <si>
    <t>cmyk.com.mt</t>
  </si>
  <si>
    <t>maltasigns.com/</t>
  </si>
  <si>
    <t>signfactory.com.mt/</t>
  </si>
  <si>
    <t>gescosigns.com/index.html</t>
  </si>
  <si>
    <t>vikingsignrite.com/</t>
  </si>
  <si>
    <t>fastsigns.mt/</t>
  </si>
  <si>
    <t>deltamedia.services/</t>
  </si>
  <si>
    <t>smcdesignstudio.com/</t>
  </si>
  <si>
    <t>facebook.com/houseofsignsmalta/</t>
  </si>
  <si>
    <t>facebook.com/ajet.signs/</t>
  </si>
  <si>
    <t>facebook.com/mgsignsmalta/</t>
  </si>
  <si>
    <t>bannersmalta.com/</t>
  </si>
  <si>
    <t>creativeworksmalta.com/</t>
  </si>
  <si>
    <t>dzynmalta.com/</t>
  </si>
  <si>
    <t>essencyengraving.com/mt</t>
  </si>
  <si>
    <t>gozographics.com/</t>
  </si>
  <si>
    <t>eseengraving.com/</t>
  </si>
  <si>
    <t>printagram.com.mt/</t>
  </si>
  <si>
    <t>prismprinting.com.mt/</t>
  </si>
  <si>
    <t>decomalta.com/contact</t>
  </si>
  <si>
    <t>Stone</t>
  </si>
  <si>
    <t>stonework</t>
  </si>
  <si>
    <t>Cement Tiles</t>
  </si>
  <si>
    <t>Quality Stone</t>
  </si>
  <si>
    <t>Pitre</t>
  </si>
  <si>
    <t>IperCeramica</t>
  </si>
  <si>
    <t>SS Bathrooms</t>
  </si>
  <si>
    <t>E Grech</t>
  </si>
  <si>
    <t>Dino Fino Home</t>
  </si>
  <si>
    <t>Josie's</t>
  </si>
  <si>
    <t>BHome</t>
  </si>
  <si>
    <t>kbugeja@qualitystonemalta.com</t>
  </si>
  <si>
    <t>josies@josies.mt</t>
  </si>
  <si>
    <t>admin@bhome.com.mt</t>
  </si>
  <si>
    <t>John Micheal Testa Handaq, Qormi, Malta</t>
  </si>
  <si>
    <t>plastering, painting</t>
  </si>
  <si>
    <t>facebook.com/QualityStoneMalta/</t>
  </si>
  <si>
    <t>plasterers</t>
  </si>
  <si>
    <t>Plastering by DSB</t>
  </si>
  <si>
    <t>KIBITEC Ltd</t>
  </si>
  <si>
    <t>Malta Tiling, Plastering &amp; Screeding</t>
  </si>
  <si>
    <t>RO Finishing Work</t>
  </si>
  <si>
    <t>Sunny Abdilla</t>
  </si>
  <si>
    <t>Jason Gatt Plastering</t>
  </si>
  <si>
    <t>Curmi Construction</t>
  </si>
  <si>
    <t>Wall Done Gozo</t>
  </si>
  <si>
    <t>Oscar Debono</t>
  </si>
  <si>
    <t>A Bodhir</t>
  </si>
  <si>
    <t>Zedan Construction &amp; Plastering</t>
  </si>
  <si>
    <t>C&amp;R Plastering</t>
  </si>
  <si>
    <t>Josef Plastering Works</t>
  </si>
  <si>
    <t>Gpysum Works</t>
  </si>
  <si>
    <t>Galea Supplies</t>
  </si>
  <si>
    <t>Rainbow</t>
  </si>
  <si>
    <t>Constructions and Plastering</t>
  </si>
  <si>
    <t>Dorian Theuma Plastering</t>
  </si>
  <si>
    <t>Micallef Plastering &amp; Painting</t>
  </si>
  <si>
    <t>Alex Plastering &amp; Painting</t>
  </si>
  <si>
    <t>JA Plastering</t>
  </si>
  <si>
    <t>Master Builders</t>
  </si>
  <si>
    <t>R&amp;P Plastering</t>
  </si>
  <si>
    <t>Josef Borg Plastering</t>
  </si>
  <si>
    <t>Lafi Finishings</t>
  </si>
  <si>
    <t>RM Gypsum Malta</t>
  </si>
  <si>
    <t>Painting Plaster Finishing</t>
  </si>
  <si>
    <t>R.K. Gypsum&amp;Plastering Malta</t>
  </si>
  <si>
    <t>Big Jobs Plastering &amp; Painting</t>
  </si>
  <si>
    <t>Brian Grech Painting and Plastering</t>
  </si>
  <si>
    <t>Galea Gypsum, Plastering &amp; Painting</t>
  </si>
  <si>
    <t>CMF Industrial &amp; Domestic Finishing Contractors</t>
  </si>
  <si>
    <t>Damian Fava Plastering &amp; Gypsum</t>
  </si>
  <si>
    <t>darrensb@hotmail.co.uk</t>
  </si>
  <si>
    <t>sunnyabdilla@yahoo.com</t>
  </si>
  <si>
    <t>gattjason76@gmail.com</t>
  </si>
  <si>
    <t>walldonegozo@gmail.com</t>
  </si>
  <si>
    <t>oscardebono@hotmail.com</t>
  </si>
  <si>
    <t>Ghazi.zedan@gmail.com</t>
  </si>
  <si>
    <t>alibodhir@yahoo.co.uk</t>
  </si>
  <si>
    <t>hello@gypsumworks-malta.com</t>
  </si>
  <si>
    <t>galeasupplies@gmail.com</t>
  </si>
  <si>
    <t>doriantheuma@yahoo.com</t>
  </si>
  <si>
    <t>roderickmicallef1993@gmail.com</t>
  </si>
  <si>
    <t>alexcalafato@live.com</t>
  </si>
  <si>
    <t>japlastering@gmail.com</t>
  </si>
  <si>
    <t>rp_plastering@hotmail.com</t>
  </si>
  <si>
    <t>Josefborg2009@hotmail.com</t>
  </si>
  <si>
    <t>mhmdbdallh72544@gmail.com</t>
  </si>
  <si>
    <t>rmgypsumworks@gmail.com</t>
  </si>
  <si>
    <t>EdutzuDutzu@gmail.com</t>
  </si>
  <si>
    <t>alihamza44500@gmail.com</t>
  </si>
  <si>
    <t>Clydespiteri123@gmail.com</t>
  </si>
  <si>
    <t>briangrech@hotmail.com</t>
  </si>
  <si>
    <t>galeapainters@gmail.com</t>
  </si>
  <si>
    <t>emadcmf@gmail.com</t>
  </si>
  <si>
    <t>damianfava27@gmail.com</t>
  </si>
  <si>
    <t>44, Triq V Boron, Naxxar NXR 1862, Malta</t>
  </si>
  <si>
    <t>47/1 Sqaq Tomna, San Ġwann, Malta</t>
  </si>
  <si>
    <t>Antreas', Triq Pietru Saliba, Ħal Luqa, Malta</t>
  </si>
  <si>
    <t>32, Redeemer, Triq Ta' Masrija, Il-Mellieħa, Malta MLH 1637</t>
  </si>
  <si>
    <t>Microcement</t>
  </si>
  <si>
    <t>gattjason.com</t>
  </si>
  <si>
    <t>facebook.com/zedanconstructionandplastering/</t>
  </si>
  <si>
    <t>Deco Microcement Finishes</t>
  </si>
  <si>
    <t>Custom Concrete</t>
  </si>
  <si>
    <t>CS Turnkey Projects</t>
  </si>
  <si>
    <t>Dynamic Work Trade</t>
  </si>
  <si>
    <t>Dreamy Decor</t>
  </si>
  <si>
    <t>Gypsum Wizards</t>
  </si>
  <si>
    <t>Rado Systems</t>
  </si>
  <si>
    <t>MC Colours</t>
  </si>
  <si>
    <t>decofinishesmt@gmail.com</t>
  </si>
  <si>
    <t>protilingmalta@gmail.com</t>
  </si>
  <si>
    <t>pronesti@mail.com</t>
  </si>
  <si>
    <t>dwtinstallations@gmail.com</t>
  </si>
  <si>
    <t>dean.bonello29@gmail.com</t>
  </si>
  <si>
    <t>gypsumwizards@gmail.com</t>
  </si>
  <si>
    <t>insulation</t>
  </si>
  <si>
    <t>25, Triq Il-Muzika, L-Iklin, Malta, IKL1091</t>
  </si>
  <si>
    <t>keycontractors.com.mt/contact-us/</t>
  </si>
  <si>
    <t>microcementmalta.com/contact-us</t>
  </si>
  <si>
    <t>kibitec.com/contact-us/</t>
  </si>
  <si>
    <t>facebook.com/customconcretemalta/</t>
  </si>
  <si>
    <t>BEST Insulation</t>
  </si>
  <si>
    <t>ThermaPro</t>
  </si>
  <si>
    <t>DecoGypsum</t>
  </si>
  <si>
    <t>E Zero Spray Foam Solutions</t>
  </si>
  <si>
    <t>Eco Group</t>
  </si>
  <si>
    <t>Il-Qamar Waterproofing &amp; Insulation</t>
  </si>
  <si>
    <t>Kerk</t>
  </si>
  <si>
    <t>BMS Malta</t>
  </si>
  <si>
    <t>BETA</t>
  </si>
  <si>
    <t>CRC</t>
  </si>
  <si>
    <t>IQbloc building method</t>
  </si>
  <si>
    <t>389 Ltd</t>
  </si>
  <si>
    <t>AG Waterproofing services</t>
  </si>
  <si>
    <t>JM Vassallo</t>
  </si>
  <si>
    <t>Philip A. Tabone</t>
  </si>
  <si>
    <t>WURTH</t>
  </si>
  <si>
    <t>Iglu Malta</t>
  </si>
  <si>
    <t>Buffa</t>
  </si>
  <si>
    <t>G&amp;E Stones</t>
  </si>
  <si>
    <t>ThermaSeal</t>
  </si>
  <si>
    <t>CreativeProjects</t>
  </si>
  <si>
    <t>MacMed</t>
  </si>
  <si>
    <t>info@bitmac.com.mt</t>
  </si>
  <si>
    <t>thermapro@outlook.com</t>
  </si>
  <si>
    <t>decgypsum@gmail.com</t>
  </si>
  <si>
    <t>info@ecogroup-mt.com</t>
  </si>
  <si>
    <t>qamarwaterproofing.insulation@gmail.com</t>
  </si>
  <si>
    <t>info@bms-malta.com</t>
  </si>
  <si>
    <t>info@iqbloc.com</t>
  </si>
  <si>
    <t>sales@patabone.com</t>
  </si>
  <si>
    <t>sales@wuerth.com.mt</t>
  </si>
  <si>
    <t>contact@ge-stones.com</t>
  </si>
  <si>
    <t>info@creativeprojects.eu</t>
  </si>
  <si>
    <t>info@macmed.com.mt</t>
  </si>
  <si>
    <t>https://www.yellow.com.mt/dragon-forge-ltd/metal-works/</t>
  </si>
  <si>
    <t>metal</t>
  </si>
  <si>
    <t>General Metal Works</t>
  </si>
  <si>
    <t>Iron Malta (Modern Design Malta)</t>
  </si>
  <si>
    <t>Fantin Metal Works</t>
  </si>
  <si>
    <t>GMS Creation</t>
  </si>
  <si>
    <t>RS Steel Malta</t>
  </si>
  <si>
    <t>Express Blasting Ltd</t>
  </si>
  <si>
    <t>XN-Teq Company Ltd.</t>
  </si>
  <si>
    <t>General Maintenance Ltd</t>
  </si>
  <si>
    <t>info@generalmetalworks.com.mt</t>
  </si>
  <si>
    <t>info@ironmalta.com</t>
  </si>
  <si>
    <t>info@fantinmetalworks.com</t>
  </si>
  <si>
    <t>info@gmscreation.com</t>
  </si>
  <si>
    <t>saliba2@maltanet.net</t>
  </si>
  <si>
    <t>info@expressblasting.com</t>
  </si>
  <si>
    <t>info@xn-teq.com.mt</t>
  </si>
  <si>
    <t>amabileg@onvol.net</t>
  </si>
  <si>
    <t>info@gml.com.mt</t>
  </si>
  <si>
    <t>Bieb is-Sultan Street, Żabbar, Malta</t>
  </si>
  <si>
    <t>Luqa Industrial Estate, Parcela 102, Hal Farrug, Malta</t>
  </si>
  <si>
    <t>Mgarr Road, Għajnsielem, Gozo</t>
  </si>
  <si>
    <t>: Andreas Yard, Garage No 1, Triq L-Imdina, Ħaż-Żebbuġ, Malta</t>
  </si>
  <si>
    <t>Garage 25, Tal-Barrani Industrial Estate, Triq Il-Belt Valletta, Ħal Għaxaq, Malta</t>
  </si>
  <si>
    <t>Entrada 4, Puerta 12, Triq Valletta, Ħal Luqa, Malta</t>
  </si>
  <si>
    <t>Fábrica MRA 057A, Qasam Industrijali, Il-Marsa, Malta</t>
  </si>
  <si>
    <t>MRA 15A, Qasam Industrijali, Il-Marsa, Malta</t>
  </si>
  <si>
    <t>34 Triq it-Torri San Gwann ,
Birgu, Malta BRG 1116</t>
  </si>
  <si>
    <t>Triq il-Kappella ta’ Santa Marija ,
Naxxar, Malta NXR 5613</t>
  </si>
  <si>
    <t>HHF 033 Qasam Industrijali, Hal Far ,
B’Bugia, Malta BBG 3000</t>
  </si>
  <si>
    <t>Glasswork</t>
  </si>
  <si>
    <t>Paul Tonna Son of Santu Ltd</t>
  </si>
  <si>
    <t>Float Glass Ltd</t>
  </si>
  <si>
    <t>K L Glass Professional</t>
  </si>
  <si>
    <t>Jacap</t>
  </si>
  <si>
    <t>Jamar Malta</t>
  </si>
  <si>
    <t>Caprice</t>
  </si>
  <si>
    <t>Mirya</t>
  </si>
  <si>
    <t>CR Grech Steel Works</t>
  </si>
  <si>
    <t>Anvil &amp; Forge</t>
  </si>
  <si>
    <t>Andrew Vassallo</t>
  </si>
  <si>
    <t>Ray Aluminum &amp; Glass Works</t>
  </si>
  <si>
    <t>Aluglass</t>
  </si>
  <si>
    <t>A1 Finishes</t>
  </si>
  <si>
    <t>XG Glass</t>
  </si>
  <si>
    <t>J 3 Aluminium &amp; Iron Works</t>
  </si>
  <si>
    <t>Leonard Attard</t>
  </si>
  <si>
    <t>Melita Manufacturing Co Ltd</t>
  </si>
  <si>
    <t>Tabone Glass Ltd</t>
  </si>
  <si>
    <t>Jean Installations</t>
  </si>
  <si>
    <t>Medalls Aluminium</t>
  </si>
  <si>
    <t>NewAlucare</t>
  </si>
  <si>
    <t>Glass and more</t>
  </si>
  <si>
    <t>Dragon Forge</t>
  </si>
  <si>
    <t>Valor</t>
  </si>
  <si>
    <t>info@tonnaglass.com</t>
  </si>
  <si>
    <t>jacap@jacap.net</t>
  </si>
  <si>
    <t>Quotes@capriceltd.com</t>
  </si>
  <si>
    <t>info@glassdesignmalta.com</t>
  </si>
  <si>
    <t>miryaltd@gmail.com</t>
  </si>
  <si>
    <t>crgrech.steel@gmail.com</t>
  </si>
  <si>
    <t>info@anvil-forge.com</t>
  </si>
  <si>
    <t>salvodsicilia@hotmail.it</t>
  </si>
  <si>
    <t>laenterprises73@gmail.com</t>
  </si>
  <si>
    <t>quotes@jlautier.com</t>
  </si>
  <si>
    <t>taboneglassltd@gmail.com</t>
  </si>
  <si>
    <t>info@xgglass.com.mt</t>
  </si>
  <si>
    <t>jeaninstallations@gmail.com</t>
  </si>
  <si>
    <t>medalls.aluminium@gmail.com</t>
  </si>
  <si>
    <t>info@newalucare.com</t>
  </si>
  <si>
    <t>gilbertglassandmore@gmail.com</t>
  </si>
  <si>
    <t>jesmond.dragonforge@yahoo.com</t>
  </si>
  <si>
    <t>Import</t>
  </si>
  <si>
    <t>Local supply</t>
  </si>
  <si>
    <t>Paul Tonna Son of Santu Ltd
Zone 1 Triq L-Intornjatur Central Business District ,
B’Kara, Malta CBD 1050</t>
  </si>
  <si>
    <t>Delivery</t>
  </si>
  <si>
    <t>Triq l-Imdina ,Zebbug, Malta ZBG 9019</t>
  </si>
  <si>
    <t>12 Old Trafford, Dun Filippu Borg, Birkirkara, Malta.</t>
  </si>
  <si>
    <t>Dimech Enterprises Ltd Centre Point, Triq Valletta Luqa</t>
  </si>
  <si>
    <t>Mirya, VF9V+PQ8, Marsa, Malta, Marsa, Malta, MRS3000</t>
  </si>
  <si>
    <t>Parquet</t>
  </si>
  <si>
    <t>yellow.com.mt/paul-tonna-son-of-santu-ltd/glass-contractors/</t>
  </si>
  <si>
    <t>fzammitglass.com/en/?utm_source=Yellow&amp;utm_medium=Yellow-Website&amp;utm_campaign=Landing-Page</t>
  </si>
  <si>
    <t>floatglassltd.com/en/home.htm</t>
  </si>
  <si>
    <t>klglassmalta.com/?utm_source=Yellow&amp;utm_medium=Yellow-Website&amp;utm_campaign=Landing-Page</t>
  </si>
  <si>
    <t>jamarmalta.com/</t>
  </si>
  <si>
    <t>capriceglass.com/</t>
  </si>
  <si>
    <t>glassdesignmalta.com/copy-of-glass-walls</t>
  </si>
  <si>
    <t>facebook.com/MiryaLimited/</t>
  </si>
  <si>
    <t>facebook.com/profile.php?id=100066455006954</t>
  </si>
  <si>
    <t>facebook.com/profile.php?id=100057245816371</t>
  </si>
  <si>
    <t>facebook.com/innovativesteeldesign/</t>
  </si>
  <si>
    <t>facebook.com/Andrewvassalloltd/</t>
  </si>
  <si>
    <t>Farrugia Woodworks</t>
  </si>
  <si>
    <t>Installation</t>
  </si>
  <si>
    <t>Tal-Ħandaq, Qormi, Malta</t>
  </si>
  <si>
    <t>Farrugia Woodworks
60 Ta’ Magi Industrial Park Triq San Leonardu ,
Xghajra, Malta</t>
  </si>
  <si>
    <t>Item</t>
  </si>
  <si>
    <t>yellow.com.mt/farrugia-woodworks/furniture/</t>
  </si>
  <si>
    <t>Location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</si>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</sst>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D8AA8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crownfibreglass.com" TargetMode="External"/><Relationship Id="rId13" Type="http://schemas.openxmlformats.org/officeDocument/2006/relationships/hyperlink" Target="https://www.google.com/maps/search/?api=1&amp;query=Zetjun" TargetMode="External"/><Relationship Id="rId18" Type="http://schemas.openxmlformats.org/officeDocument/2006/relationships/hyperlink" Target="https://crownfibreglass.com/?utm_source=Yellow&amp;utm_medium=Yellow-Website&amp;utm_campaign=Landing-Page" TargetMode="External"/><Relationship Id="rId3" Type="http://schemas.openxmlformats.org/officeDocument/2006/relationships/hyperlink" Target="MAILTO:etienne@silvercraftltd.com" TargetMode="External"/><Relationship Id="rId7" Type="http://schemas.openxmlformats.org/officeDocument/2006/relationships/hyperlink" Target="MAILTO:natasha@glassfibreindustries.net" TargetMode="External"/><Relationship Id="rId12" Type="http://schemas.openxmlformats.org/officeDocument/2006/relationships/hyperlink" Target="https://www.google.com/maps/search/?api=1&amp;query=Birkirkara" TargetMode="External"/><Relationship Id="rId17" Type="http://schemas.openxmlformats.org/officeDocument/2006/relationships/hyperlink" Target="https://glassfibreindustries.net/?utm_source=Yellow&amp;utm_medium=Yellow-Website&amp;utm_campaign=Landing-Page" TargetMode="External"/><Relationship Id="rId2" Type="http://schemas.openxmlformats.org/officeDocument/2006/relationships/hyperlink" Target="MAILTO:info@silvercraftltd.com" TargetMode="External"/><Relationship Id="rId16" Type="http://schemas.openxmlformats.org/officeDocument/2006/relationships/hyperlink" Target="https://www.google.com/maps/search/?api=1&amp;query=Birzebbugia" TargetMode="External"/><Relationship Id="rId20" Type="http://schemas.openxmlformats.org/officeDocument/2006/relationships/hyperlink" Target="https://facebook.com/people/Seabrave-Marine/100057368593400/" TargetMode="External"/><Relationship Id="rId1" Type="http://schemas.openxmlformats.org/officeDocument/2006/relationships/hyperlink" Target="MAILTO:info@micalleffibreglassworks.com" TargetMode="External"/><Relationship Id="rId6" Type="http://schemas.openxmlformats.org/officeDocument/2006/relationships/hyperlink" Target="MAILTO:info@micallefpools.com" TargetMode="External"/><Relationship Id="rId11" Type="http://schemas.openxmlformats.org/officeDocument/2006/relationships/hyperlink" Target="MAILTO:info@seabravemarine.com" TargetMode="External"/><Relationship Id="rId5" Type="http://schemas.openxmlformats.org/officeDocument/2006/relationships/hyperlink" Target="MAILTO:info@crownfibreglass.com" TargetMode="External"/><Relationship Id="rId15" Type="http://schemas.openxmlformats.org/officeDocument/2006/relationships/hyperlink" Target="https://www.google.com/maps/search/?api=1&amp;query=Qormi" TargetMode="External"/><Relationship Id="rId10" Type="http://schemas.openxmlformats.org/officeDocument/2006/relationships/hyperlink" Target="MAILTO:fashionfibre@hotmail.com" TargetMode="External"/><Relationship Id="rId19" Type="http://schemas.openxmlformats.org/officeDocument/2006/relationships/hyperlink" Target="https://silvercraftltd.com/?utm_source=Yellow&amp;utm_medium=Yellow-Website&amp;utm_campaign=Landing-Page" TargetMode="External"/><Relationship Id="rId4" Type="http://schemas.openxmlformats.org/officeDocument/2006/relationships/hyperlink" Target="MAILTO:angela@silvercraftltd.com" TargetMode="External"/><Relationship Id="rId9" Type="http://schemas.openxmlformats.org/officeDocument/2006/relationships/hyperlink" Target="MAILTO:info@silvercraftltd.com" TargetMode="External"/><Relationship Id="rId14" Type="http://schemas.openxmlformats.org/officeDocument/2006/relationships/hyperlink" Target="https://www.google.com/maps/search/?api=1&amp;query=Mars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@midea.mt" TargetMode="External"/><Relationship Id="rId18" Type="http://schemas.openxmlformats.org/officeDocument/2006/relationships/hyperlink" Target="MAILTO:sales@mff-isl.com" TargetMode="External"/><Relationship Id="rId26" Type="http://schemas.openxmlformats.org/officeDocument/2006/relationships/hyperlink" Target="https://www.google.com/maps/search/?api=1&amp;query=Garage%20V15%20Warehouse%20First%20Floor%2C%20Binja%20San%20Guzepp%20Haddiem%20Triq%20Indri%20Psaila%0AQormi" TargetMode="External"/><Relationship Id="rId39" Type="http://schemas.openxmlformats.org/officeDocument/2006/relationships/hyperlink" Target="https://geoholistic.com/ventilation.html" TargetMode="External"/><Relationship Id="rId21" Type="http://schemas.openxmlformats.org/officeDocument/2006/relationships/hyperlink" Target="https://www.google.com/maps/search/?api=1&amp;query=Triq%20%C4%A6al%20Luqa%2C%20Qormi%2C%20QRM%209070%2C%20Malta" TargetMode="External"/><Relationship Id="rId34" Type="http://schemas.openxmlformats.org/officeDocument/2006/relationships/hyperlink" Target="https://cooltekservices.com.mt/contact-us/" TargetMode="External"/><Relationship Id="rId7" Type="http://schemas.openxmlformats.org/officeDocument/2006/relationships/hyperlink" Target="MAILTO:energexservices@gmail.com" TargetMode="External"/><Relationship Id="rId12" Type="http://schemas.openxmlformats.org/officeDocument/2006/relationships/hyperlink" Target="MAILTO:projects@proklimamalta.com" TargetMode="External"/><Relationship Id="rId17" Type="http://schemas.openxmlformats.org/officeDocument/2006/relationships/hyperlink" Target="MAILTO:sales@thetccgroup.org" TargetMode="External"/><Relationship Id="rId25" Type="http://schemas.openxmlformats.org/officeDocument/2006/relationships/hyperlink" Target="https://www.google.com/maps/search/?api=1&amp;query=28%2C%20Triq%20Borg%2C%20Fleur-De-Lys%2C%20Birkirkara%2C%20BKR%204963" TargetMode="External"/><Relationship Id="rId33" Type="http://schemas.openxmlformats.org/officeDocument/2006/relationships/hyperlink" Target="https://cdinstallations.com.mt/" TargetMode="External"/><Relationship Id="rId38" Type="http://schemas.openxmlformats.org/officeDocument/2006/relationships/hyperlink" Target="https://calleja.com.mt/contact/" TargetMode="External"/><Relationship Id="rId2" Type="http://schemas.openxmlformats.org/officeDocument/2006/relationships/hyperlink" Target="MAILTO:info@hvacsupplies.eu" TargetMode="External"/><Relationship Id="rId16" Type="http://schemas.openxmlformats.org/officeDocument/2006/relationships/hyperlink" Target="MAILTO:info@geoholistic.com" TargetMode="External"/><Relationship Id="rId20" Type="http://schemas.openxmlformats.org/officeDocument/2006/relationships/hyperlink" Target="https://www.google.com/maps/search/?api=1&amp;query=50%2C%20Triq%20Salvu%20Psaila%2C%20Birkirkara%2C%20Malta%2C%20BKR9072" TargetMode="External"/><Relationship Id="rId29" Type="http://schemas.openxmlformats.org/officeDocument/2006/relationships/hyperlink" Target="https://hvacsupplies.eu/about-us/" TargetMode="External"/><Relationship Id="rId1" Type="http://schemas.openxmlformats.org/officeDocument/2006/relationships/hyperlink" Target="MAILTO:econovamalta@gmail.com" TargetMode="External"/><Relationship Id="rId6" Type="http://schemas.openxmlformats.org/officeDocument/2006/relationships/hyperlink" Target="MAILTO:info@cdinstallations.com.mt" TargetMode="External"/><Relationship Id="rId11" Type="http://schemas.openxmlformats.org/officeDocument/2006/relationships/hyperlink" Target="MAILTO:info@weduct.com.mt" TargetMode="External"/><Relationship Id="rId24" Type="http://schemas.openxmlformats.org/officeDocument/2006/relationships/hyperlink" Target="https://www.google.com/maps/search/?api=1&amp;query=Aldo%20Moro%20Rd.%2C%20Marsa%2C%20Malta%2C%20MRS9065" TargetMode="External"/><Relationship Id="rId32" Type="http://schemas.openxmlformats.org/officeDocument/2006/relationships/hyperlink" Target="https://bezzbros.com/" TargetMode="External"/><Relationship Id="rId37" Type="http://schemas.openxmlformats.org/officeDocument/2006/relationships/hyperlink" Target="https://midea.mt/contact/" TargetMode="External"/><Relationship Id="rId5" Type="http://schemas.openxmlformats.org/officeDocument/2006/relationships/hyperlink" Target="MAILTO:info@bezzbros.com" TargetMode="External"/><Relationship Id="rId15" Type="http://schemas.openxmlformats.org/officeDocument/2006/relationships/hyperlink" Target="MAILTO:sales@tabonedirect.com" TargetMode="External"/><Relationship Id="rId23" Type="http://schemas.openxmlformats.org/officeDocument/2006/relationships/hyperlink" Target="https://www.google.com/maps/search/?api=1&amp;query=94%20Triq%20wied%20hal-Balzan%2C%20Balzan%2C%20Malta" TargetMode="External"/><Relationship Id="rId28" Type="http://schemas.openxmlformats.org/officeDocument/2006/relationships/hyperlink" Target="https://facebook.com/econovamalta/" TargetMode="External"/><Relationship Id="rId36" Type="http://schemas.openxmlformats.org/officeDocument/2006/relationships/hyperlink" Target="https://proklimamalta.com/" TargetMode="External"/><Relationship Id="rId10" Type="http://schemas.openxmlformats.org/officeDocument/2006/relationships/hyperlink" Target="MAILTO:info@ceinstallations.com.mt" TargetMode="External"/><Relationship Id="rId19" Type="http://schemas.openxmlformats.org/officeDocument/2006/relationships/hyperlink" Target="MAILTO:afenech@smarteffects.com.mt" TargetMode="External"/><Relationship Id="rId31" Type="http://schemas.openxmlformats.org/officeDocument/2006/relationships/hyperlink" Target="https://comfortek.mt/" TargetMode="External"/><Relationship Id="rId4" Type="http://schemas.openxmlformats.org/officeDocument/2006/relationships/hyperlink" Target="MAILTO:dpcomfortek@gmail.com" TargetMode="External"/><Relationship Id="rId9" Type="http://schemas.openxmlformats.org/officeDocument/2006/relationships/hyperlink" Target="MAILTO:rosamonddesira@gmail.com" TargetMode="External"/><Relationship Id="rId14" Type="http://schemas.openxmlformats.org/officeDocument/2006/relationships/hyperlink" Target="MAILTO:webshop@calleja.com.mt" TargetMode="External"/><Relationship Id="rId22" Type="http://schemas.openxmlformats.org/officeDocument/2006/relationships/hyperlink" Target="https://www.google.com/maps/search/?api=1&amp;query=Cutrico%20Ltd%2C%0AMriehel%20By-pass%2C%20Mriehel%2C%0AMalta" TargetMode="External"/><Relationship Id="rId27" Type="http://schemas.openxmlformats.org/officeDocument/2006/relationships/hyperlink" Target="https://www.google.com/maps/search/?api=1&amp;query=Geo%20Holistic%20Co.%20Ltd.%0AG1%2C%20Five%20Star%20Business%20Park%2C%0ATriq%20il-Belt%20Valletta%2C%0AGhaxaq" TargetMode="External"/><Relationship Id="rId30" Type="http://schemas.openxmlformats.org/officeDocument/2006/relationships/hyperlink" Target="https://cutrico.com/en/home.htm" TargetMode="External"/><Relationship Id="rId35" Type="http://schemas.openxmlformats.org/officeDocument/2006/relationships/hyperlink" Target="https://ceinstallations.com.mt/" TargetMode="External"/><Relationship Id="rId8" Type="http://schemas.openxmlformats.org/officeDocument/2006/relationships/hyperlink" Target="MAILTO:info@cooltekservices.com.mt" TargetMode="External"/><Relationship Id="rId3" Type="http://schemas.openxmlformats.org/officeDocument/2006/relationships/hyperlink" Target="MAILTO:info@cutrico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tyrone.vassallo01@gmail.com" TargetMode="External"/><Relationship Id="rId18" Type="http://schemas.openxmlformats.org/officeDocument/2006/relationships/hyperlink" Target="MAILTO:gfinstallations@gmail.com" TargetMode="External"/><Relationship Id="rId26" Type="http://schemas.openxmlformats.org/officeDocument/2006/relationships/hyperlink" Target="https://www.google.com/maps/search/?api=1&amp;query=Registered%20in%20Malta%20%28Service%20area%3A%20All%20Malta%2C%20no%20public%20storefront%29" TargetMode="External"/><Relationship Id="rId39" Type="http://schemas.openxmlformats.org/officeDocument/2006/relationships/hyperlink" Target="https://www.google.com/maps/search/?api=1&amp;query=176%2C%20Triq%20San%20Bastjan%2C%20Qormi" TargetMode="External"/><Relationship Id="rId21" Type="http://schemas.openxmlformats.org/officeDocument/2006/relationships/hyperlink" Target="MAILTO:mb.handymanservice@libero.it" TargetMode="External"/><Relationship Id="rId34" Type="http://schemas.openxmlformats.org/officeDocument/2006/relationships/hyperlink" Target="https://www.google.com/maps/search/?api=1&amp;query=Registered%20in%20%C5%BBabbar%20%28Mobile%20contractor%2C%20no%20public%20storefront%29" TargetMode="External"/><Relationship Id="rId42" Type="http://schemas.openxmlformats.org/officeDocument/2006/relationships/hyperlink" Target="https://www.google.com/maps/search/?api=1&amp;query=152%2C%20St.%20Peter%20Paul%2C%20Triq%20il-Kbira%2C%20Qormi" TargetMode="External"/><Relationship Id="rId47" Type="http://schemas.openxmlformats.org/officeDocument/2006/relationships/hyperlink" Target="https://www.google.com/maps/search/?api=1&amp;query=17%20Madonnina%2C%20Triq%20il-Pluvieri%2C%20Gudja%20%28Also%20lists%3A%20Milicent%20Garage%2C%20Triq%20il-Mag%C4%A7sar%2C%20Gudja%29" TargetMode="External"/><Relationship Id="rId50" Type="http://schemas.openxmlformats.org/officeDocument/2006/relationships/hyperlink" Target="https://briiz.com.mt/handyman" TargetMode="External"/><Relationship Id="rId55" Type="http://schemas.openxmlformats.org/officeDocument/2006/relationships/hyperlink" Target="https://marcovella.com/" TargetMode="External"/><Relationship Id="rId7" Type="http://schemas.openxmlformats.org/officeDocument/2006/relationships/hyperlink" Target="MAILTO:demicolijo@gmail.com" TargetMode="External"/><Relationship Id="rId2" Type="http://schemas.openxmlformats.org/officeDocument/2006/relationships/hyperlink" Target="MAILTO:info@ewihomeservices.com" TargetMode="External"/><Relationship Id="rId16" Type="http://schemas.openxmlformats.org/officeDocument/2006/relationships/hyperlink" Target="MAILTO:clivesammut@hotmail.co.uk" TargetMode="External"/><Relationship Id="rId29" Type="http://schemas.openxmlformats.org/officeDocument/2006/relationships/hyperlink" Target="https://www.google.com/maps/search/?api=1&amp;query=Registered%20in%20Qormi%20%28Mobile%20contractor%2C%20no%20public%20storefront%29" TargetMode="External"/><Relationship Id="rId11" Type="http://schemas.openxmlformats.org/officeDocument/2006/relationships/hyperlink" Target="MAILTO:info@briiz.com.mt" TargetMode="External"/><Relationship Id="rId24" Type="http://schemas.openxmlformats.org/officeDocument/2006/relationships/hyperlink" Target="MAILTO:pjhandyman@mail.com" TargetMode="External"/><Relationship Id="rId32" Type="http://schemas.openxmlformats.org/officeDocument/2006/relationships/hyperlink" Target="https://www.google.com/maps/search/?api=1&amp;query=Triq%20%C4%A0u%C5%BCeppi%20Xuereb%20ix-Xhudi%2C%20Swatar%2C%20Birkirkara" TargetMode="External"/><Relationship Id="rId37" Type="http://schemas.openxmlformats.org/officeDocument/2006/relationships/hyperlink" Target="https://www.google.com/maps/search/?api=1&amp;query=Registered%20in%20Mosta%20%28Service%20area%3A%20All%20Malta%2C%20no%20public%20storefront%29" TargetMode="External"/><Relationship Id="rId40" Type="http://schemas.openxmlformats.org/officeDocument/2006/relationships/hyperlink" Target="https://www.google.com/maps/search/?api=1&amp;query=373%2C%20St%20Joseph%20High%20Street%2C%20Mosta" TargetMode="External"/><Relationship Id="rId45" Type="http://schemas.openxmlformats.org/officeDocument/2006/relationships/hyperlink" Target="https://www.google.com/maps/search/?api=1&amp;query=Registered%20in%20%C5%BBejtun%20%28Mobile%20contractor%2C%20no%20public%20storefront%29" TargetMode="External"/><Relationship Id="rId53" Type="http://schemas.openxmlformats.org/officeDocument/2006/relationships/hyperlink" Target="https://homecaremalta.com/" TargetMode="External"/><Relationship Id="rId58" Type="http://schemas.openxmlformats.org/officeDocument/2006/relationships/hyperlink" Target="https://emiliohandyman.com/" TargetMode="External"/><Relationship Id="rId5" Type="http://schemas.openxmlformats.org/officeDocument/2006/relationships/hyperlink" Target="MAILTO:kevin.bonnici76@gmail.com" TargetMode="External"/><Relationship Id="rId19" Type="http://schemas.openxmlformats.org/officeDocument/2006/relationships/hyperlink" Target="MAILTO:brifor06@hotmail.com" TargetMode="External"/><Relationship Id="rId4" Type="http://schemas.openxmlformats.org/officeDocument/2006/relationships/hyperlink" Target="MAILTO:ilenia@actsmart.com.mt" TargetMode="External"/><Relationship Id="rId9" Type="http://schemas.openxmlformats.org/officeDocument/2006/relationships/hyperlink" Target="MAILTO:schembrijoseph91@gmail.com" TargetMode="External"/><Relationship Id="rId14" Type="http://schemas.openxmlformats.org/officeDocument/2006/relationships/hyperlink" Target="MAILTO:jason.cordina79@gmail.com" TargetMode="External"/><Relationship Id="rId22" Type="http://schemas.openxmlformats.org/officeDocument/2006/relationships/hyperlink" Target="MAILTO:info@emiliohandyman.com" TargetMode="External"/><Relationship Id="rId27" Type="http://schemas.openxmlformats.org/officeDocument/2006/relationships/hyperlink" Target="https://www.google.com/maps/search/?api=1&amp;query=Triq%20%C4%8Aensu%20Busuttil%2C%20L-Iklin" TargetMode="External"/><Relationship Id="rId30" Type="http://schemas.openxmlformats.org/officeDocument/2006/relationships/hyperlink" Target="https://www.google.com/maps/search/?api=1&amp;query=881%2C%20Triq%20il-Kbira%20San%20%C4%A0u%C5%BCepp%2C%20%C4%A6amrun%2C%20HMR%201010" TargetMode="External"/><Relationship Id="rId35" Type="http://schemas.openxmlformats.org/officeDocument/2006/relationships/hyperlink" Target="https://www.google.com/maps/search/?api=1&amp;query=31%2C%20Triq%20il-Merill%2C%20Mellie%C4%A7a%2C%20MLH%202572" TargetMode="External"/><Relationship Id="rId43" Type="http://schemas.openxmlformats.org/officeDocument/2006/relationships/hyperlink" Target="https://www.google.com/maps/search/?api=1&amp;query=Garage%2064%2C%20Triq%20is-Sajjied%2C%20Qawra%2C%20San%20Pawl%20il-Ba%C4%A7ar" TargetMode="External"/><Relationship Id="rId48" Type="http://schemas.openxmlformats.org/officeDocument/2006/relationships/hyperlink" Target="https://www.google.com/maps/search/?api=1&amp;query=GPL%20Business%20Centre%2C%20Office%201%2C%20Level%202%2C%20Sqaq%20il-Ghadam%2C%20Mriehel%2C%20BKR3000" TargetMode="External"/><Relationship Id="rId56" Type="http://schemas.openxmlformats.org/officeDocument/2006/relationships/hyperlink" Target="https://briiz.com.mt/handyman" TargetMode="External"/><Relationship Id="rId8" Type="http://schemas.openxmlformats.org/officeDocument/2006/relationships/hyperlink" Target="MAILTO:nikola.pejovic@nlpforce.com" TargetMode="External"/><Relationship Id="rId51" Type="http://schemas.openxmlformats.org/officeDocument/2006/relationships/hyperlink" Target="https://ewihomeservices.com/" TargetMode="External"/><Relationship Id="rId3" Type="http://schemas.openxmlformats.org/officeDocument/2006/relationships/hyperlink" Target="MAILTO:info@wsinstallations.com" TargetMode="External"/><Relationship Id="rId12" Type="http://schemas.openxmlformats.org/officeDocument/2006/relationships/hyperlink" Target="MAILTO:swiftsolution2025@gmail.com" TargetMode="External"/><Relationship Id="rId17" Type="http://schemas.openxmlformats.org/officeDocument/2006/relationships/hyperlink" Target="MAILTO:esteliocini@gmail.com" TargetMode="External"/><Relationship Id="rId25" Type="http://schemas.openxmlformats.org/officeDocument/2006/relationships/hyperlink" Target="https://www.google.com/maps/search/?api=1&amp;query=682%2C%20Triq%20il-Kbira%20San%20%C4%A0u%C5%BCepp%2C%20%C4%A6amrun%2C%20Malta" TargetMode="External"/><Relationship Id="rId33" Type="http://schemas.openxmlformats.org/officeDocument/2006/relationships/hyperlink" Target="https://www.google.com/maps/search/?api=1&amp;query=Registered%20in%20%C5%BBejtun%20%28Mobile%20contractor%2C%20no%20public%20storefront%29" TargetMode="External"/><Relationship Id="rId38" Type="http://schemas.openxmlformats.org/officeDocument/2006/relationships/hyperlink" Target="https://www.google.com/maps/search/?api=1&amp;query=Registered%20in%20Qormi%20%28Mobile%20contractor%2C%20no%20public%20storefront%29" TargetMode="External"/><Relationship Id="rId46" Type="http://schemas.openxmlformats.org/officeDocument/2006/relationships/hyperlink" Target="https://www.google.com/maps/search/?api=1&amp;query=Registered%20in%20Bu%C4%A1ibba%20%2F%20St.%20Paul%27s%20Bay%20%28Mobile%20contractor%2C%20no%20public%20storefront%29" TargetMode="External"/><Relationship Id="rId59" Type="http://schemas.openxmlformats.org/officeDocument/2006/relationships/hyperlink" Target="https://kompleto.com.mt/" TargetMode="External"/><Relationship Id="rId20" Type="http://schemas.openxmlformats.org/officeDocument/2006/relationships/hyperlink" Target="MAILTO:gino.bonnici.11@gmail.com" TargetMode="External"/><Relationship Id="rId41" Type="http://schemas.openxmlformats.org/officeDocument/2006/relationships/hyperlink" Target="https://www.google.com/maps/search/?api=1&amp;query=45%2C%20Indri%20Borg%20Street%2C%20Rabat" TargetMode="External"/><Relationship Id="rId54" Type="http://schemas.openxmlformats.org/officeDocument/2006/relationships/hyperlink" Target="https://nlpforce.com/" TargetMode="External"/><Relationship Id="rId1" Type="http://schemas.openxmlformats.org/officeDocument/2006/relationships/hyperlink" Target="MAILTO:info@mrhandy.mt" TargetMode="External"/><Relationship Id="rId6" Type="http://schemas.openxmlformats.org/officeDocument/2006/relationships/hyperlink" Target="MAILTO:info@homecaremalta.com" TargetMode="External"/><Relationship Id="rId15" Type="http://schemas.openxmlformats.org/officeDocument/2006/relationships/hyperlink" Target="MAILTO:ZAGinfo@gmail.com" TargetMode="External"/><Relationship Id="rId23" Type="http://schemas.openxmlformats.org/officeDocument/2006/relationships/hyperlink" Target="MAILTO:Manutek@kompleto.com.mt" TargetMode="External"/><Relationship Id="rId28" Type="http://schemas.openxmlformats.org/officeDocument/2006/relationships/hyperlink" Target="https://www.google.com/maps/search/?api=1&amp;query=58c%2C%20Triq%20Patri%20Feli%C4%8Bjan%20Bilocca%2C%20Marsa" TargetMode="External"/><Relationship Id="rId36" Type="http://schemas.openxmlformats.org/officeDocument/2006/relationships/hyperlink" Target="https://www.google.com/maps/search/?api=1&amp;query=682%2C%20Triq%20il-Kbira%20San%20%C4%A0u%C5%BCepp%2C%20%C4%A6amrun%2C%20Malta" TargetMode="External"/><Relationship Id="rId49" Type="http://schemas.openxmlformats.org/officeDocument/2006/relationships/hyperlink" Target="https://www.google.com/maps/search/?api=1&amp;query=Registered%20in%20Qormi%20%28Mobile%20contractor%2C%20no%20public%20storefront%29" TargetMode="External"/><Relationship Id="rId57" Type="http://schemas.openxmlformats.org/officeDocument/2006/relationships/hyperlink" Target="https://gfonlinestore.com/" TargetMode="External"/><Relationship Id="rId10" Type="http://schemas.openxmlformats.org/officeDocument/2006/relationships/hyperlink" Target="MAILTO:abinstallationsbyformosa@gmail.com" TargetMode="External"/><Relationship Id="rId31" Type="http://schemas.openxmlformats.org/officeDocument/2006/relationships/hyperlink" Target="https://www.google.com/maps/search/?api=1&amp;query=Registered%20in%20Mosta%20%28Mobile%20contractor%2C%20no%20public%20storefront%29" TargetMode="External"/><Relationship Id="rId44" Type="http://schemas.openxmlformats.org/officeDocument/2006/relationships/hyperlink" Target="https://www.google.com/maps/search/?api=1&amp;query=Registered%20in%20Tarxien%20%28Mobile%20contractor%2C%20no%20public%20storefront%29" TargetMode="External"/><Relationship Id="rId52" Type="http://schemas.openxmlformats.org/officeDocument/2006/relationships/hyperlink" Target="https://wsinstallationsmalta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Cawsli%20Court%2C%20Flt%204%2C%20Triq%20L-Imdina%2C%20%C4%A6al%20Qormi%2C%20Malta" TargetMode="External"/><Relationship Id="rId13" Type="http://schemas.openxmlformats.org/officeDocument/2006/relationships/hyperlink" Target="https://www.google.com/maps/search/?api=1&amp;query=Registered%20in%20Central%20Malta%20%28Mobile%20domestic%20electrician%29" TargetMode="External"/><Relationship Id="rId18" Type="http://schemas.openxmlformats.org/officeDocument/2006/relationships/hyperlink" Target="https://www.google.com/maps/search/?api=1&amp;query=Registered%20in%20Naxxar%20%28Mobile%20contractor%29" TargetMode="External"/><Relationship Id="rId3" Type="http://schemas.openxmlformats.org/officeDocument/2006/relationships/hyperlink" Target="MAILTO:tyrone.vassallo01@gmail.com" TargetMode="External"/><Relationship Id="rId7" Type="http://schemas.openxmlformats.org/officeDocument/2006/relationships/hyperlink" Target="https://www.google.com/maps/search/?api=1&amp;query=32%20Virgo%2C%20Triq%20il-Battaljun%2C%20Mosta%2C%20MST%202721%2C%20Malta" TargetMode="External"/><Relationship Id="rId12" Type="http://schemas.openxmlformats.org/officeDocument/2006/relationships/hyperlink" Target="https://www.google.com/maps/search/?api=1&amp;query=Registered%20in%20Bir%C5%BCebbu%C4%A1a%2C%20BBG%201606%2C%20Malta%20%28Mobile%20contractor%29" TargetMode="External"/><Relationship Id="rId17" Type="http://schemas.openxmlformats.org/officeDocument/2006/relationships/hyperlink" Target="https://www.google.com/maps/search/?api=1&amp;query=Registered%20in%20Qormi%20%28Mobile%20contractor%29" TargetMode="External"/><Relationship Id="rId2" Type="http://schemas.openxmlformats.org/officeDocument/2006/relationships/hyperlink" Target="MAILTO:danastasi.rt@outlook.com" TargetMode="External"/><Relationship Id="rId16" Type="http://schemas.openxmlformats.org/officeDocument/2006/relationships/hyperlink" Target="https://www.google.com/maps/search/?api=1&amp;query=Registered%20in%20Marsaxlokk%20%28Mobile%20domestic%20electrician%29" TargetMode="External"/><Relationship Id="rId1" Type="http://schemas.openxmlformats.org/officeDocument/2006/relationships/hyperlink" Target="MAILTO:aaronagius82@gmail.com" TargetMode="External"/><Relationship Id="rId6" Type="http://schemas.openxmlformats.org/officeDocument/2006/relationships/hyperlink" Target="https://www.google.com/maps/search/?api=1&amp;query=Id-Dwejra%2C%20Triq%20il-Fidwa%2C%20Gudja%2C%20Malta" TargetMode="External"/><Relationship Id="rId11" Type="http://schemas.openxmlformats.org/officeDocument/2006/relationships/hyperlink" Target="https://www.google.com/maps/search/?api=1&amp;query=Blk%20C6%20Flat%202%2C%20Triq%20il-Fraxxnu%2C%20%C4%A6a%C5%BC-%C5%BBebbu%C4%A1%2C%20Malta" TargetMode="External"/><Relationship Id="rId5" Type="http://schemas.openxmlformats.org/officeDocument/2006/relationships/hyperlink" Target="MAILTO:jcelectricalmalta@gmail.com" TargetMode="External"/><Relationship Id="rId15" Type="http://schemas.openxmlformats.org/officeDocument/2006/relationships/hyperlink" Target="https://www.google.com/maps/search/?api=1&amp;query=39%20Siskina%2C%20Triq%20Raddet%20Ir-Roti%2C%20Mosta%2C%20Malta" TargetMode="External"/><Relationship Id="rId10" Type="http://schemas.openxmlformats.org/officeDocument/2006/relationships/hyperlink" Target="https://www.google.com/maps/search/?api=1&amp;query=Registered%20in%20Malta%20%28Mobile%20contractor%2C%20no%20public%20street%20address%20listed%29" TargetMode="External"/><Relationship Id="rId4" Type="http://schemas.openxmlformats.org/officeDocument/2006/relationships/hyperlink" Target="MAILTO:salvufenech@gmail.com" TargetMode="External"/><Relationship Id="rId9" Type="http://schemas.openxmlformats.org/officeDocument/2006/relationships/hyperlink" Target="https://www.google.com/maps/search/?api=1&amp;query=Registered%20in%20Qormi%20%28Mobile%20contractor%2C%20no%20public%20street%20address%20listed%29" TargetMode="External"/><Relationship Id="rId14" Type="http://schemas.openxmlformats.org/officeDocument/2006/relationships/hyperlink" Target="https://www.google.com/maps/search/?api=1&amp;query=92%20Triq%20Blanche%20Huber%2C%20Sliema%2C%20Malt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joseph.briffa.woodworks@hotmail.com" TargetMode="External"/><Relationship Id="rId13" Type="http://schemas.openxmlformats.org/officeDocument/2006/relationships/hyperlink" Target="https://refalowoodworks.com/" TargetMode="External"/><Relationship Id="rId18" Type="http://schemas.openxmlformats.org/officeDocument/2006/relationships/hyperlink" Target="https://baldacchinogroup.com/left-menu/woodworks.html" TargetMode="External"/><Relationship Id="rId3" Type="http://schemas.openxmlformats.org/officeDocument/2006/relationships/hyperlink" Target="MAILTO:info@refalowoodworksltd.com" TargetMode="External"/><Relationship Id="rId7" Type="http://schemas.openxmlformats.org/officeDocument/2006/relationships/hyperlink" Target="MAILTO:sales@shalomwoodworks.com" TargetMode="External"/><Relationship Id="rId12" Type="http://schemas.openxmlformats.org/officeDocument/2006/relationships/hyperlink" Target="https://fvcarpentry.com/" TargetMode="External"/><Relationship Id="rId17" Type="http://schemas.openxmlformats.org/officeDocument/2006/relationships/hyperlink" Target="https://shalomwoodworks.com/" TargetMode="External"/><Relationship Id="rId2" Type="http://schemas.openxmlformats.org/officeDocument/2006/relationships/hyperlink" Target="MAILTO:fran@fvcarpentry.com" TargetMode="External"/><Relationship Id="rId16" Type="http://schemas.openxmlformats.org/officeDocument/2006/relationships/hyperlink" Target="https://armstrong.com.mt/" TargetMode="External"/><Relationship Id="rId1" Type="http://schemas.openxmlformats.org/officeDocument/2006/relationships/hyperlink" Target="MAILTO:info@domestica.com.mt" TargetMode="External"/><Relationship Id="rId6" Type="http://schemas.openxmlformats.org/officeDocument/2006/relationships/hyperlink" Target="MAILTO:info@armstrong.com.mt" TargetMode="External"/><Relationship Id="rId11" Type="http://schemas.openxmlformats.org/officeDocument/2006/relationships/hyperlink" Target="https://domestica.com.mt/" TargetMode="External"/><Relationship Id="rId5" Type="http://schemas.openxmlformats.org/officeDocument/2006/relationships/hyperlink" Target="MAILTO:info@bpwoodworks.com" TargetMode="External"/><Relationship Id="rId15" Type="http://schemas.openxmlformats.org/officeDocument/2006/relationships/hyperlink" Target="https://bpwoodworks.com/" TargetMode="External"/><Relationship Id="rId10" Type="http://schemas.openxmlformats.org/officeDocument/2006/relationships/hyperlink" Target="MAILTO:info@baldacchinogroup.com" TargetMode="External"/><Relationship Id="rId4" Type="http://schemas.openxmlformats.org/officeDocument/2006/relationships/hyperlink" Target="MAILTO:pdgl1969@gmail.com" TargetMode="External"/><Relationship Id="rId9" Type="http://schemas.openxmlformats.org/officeDocument/2006/relationships/hyperlink" Target="MAILTO:joseph.taekwondo@gmail.com" TargetMode="External"/><Relationship Id="rId14" Type="http://schemas.openxmlformats.org/officeDocument/2006/relationships/hyperlink" Target="https://findit.com.mt/en/directory/listings/3682/gauci-woodworks.ht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ggs.com.mt" TargetMode="External"/><Relationship Id="rId21" Type="http://schemas.openxmlformats.org/officeDocument/2006/relationships/hyperlink" Target="MAILTO:info@drive.com.mt" TargetMode="External"/><Relationship Id="rId42" Type="http://schemas.openxmlformats.org/officeDocument/2006/relationships/hyperlink" Target="MAILTO:kurtsautosales@hotmail.com" TargetMode="External"/><Relationship Id="rId47" Type="http://schemas.openxmlformats.org/officeDocument/2006/relationships/hyperlink" Target="MAILTO:gattsammy@yahoo.com" TargetMode="External"/><Relationship Id="rId63" Type="http://schemas.openxmlformats.org/officeDocument/2006/relationships/hyperlink" Target="https://facebook.com/Btlautodeater/" TargetMode="External"/><Relationship Id="rId68" Type="http://schemas.openxmlformats.org/officeDocument/2006/relationships/hyperlink" Target="https://carsunlimitedmalta.com/" TargetMode="External"/><Relationship Id="rId84" Type="http://schemas.openxmlformats.org/officeDocument/2006/relationships/hyperlink" Target="https://autosales.com.mt/" TargetMode="External"/><Relationship Id="rId89" Type="http://schemas.openxmlformats.org/officeDocument/2006/relationships/hyperlink" Target="https://facebook.com/rokkuautodealer/" TargetMode="External"/><Relationship Id="rId16" Type="http://schemas.openxmlformats.org/officeDocument/2006/relationships/hyperlink" Target="MAILTO:sales@chevronautodealer.mt" TargetMode="External"/><Relationship Id="rId11" Type="http://schemas.openxmlformats.org/officeDocument/2006/relationships/hyperlink" Target="MAILTO:btlautodealer@gmail.com" TargetMode="External"/><Relationship Id="rId32" Type="http://schemas.openxmlformats.org/officeDocument/2006/relationships/hyperlink" Target="MAILTO:craigscicluna@gmail.com" TargetMode="External"/><Relationship Id="rId37" Type="http://schemas.openxmlformats.org/officeDocument/2006/relationships/hyperlink" Target="MAILTO:sales@jasoncarimports.com" TargetMode="External"/><Relationship Id="rId53" Type="http://schemas.openxmlformats.org/officeDocument/2006/relationships/hyperlink" Target="https://yellow.com.mt/a-1-auto-dealers_auto-dealers+mosta/" TargetMode="External"/><Relationship Id="rId58" Type="http://schemas.openxmlformats.org/officeDocument/2006/relationships/hyperlink" Target="https://facebook.com/attardsmotors/" TargetMode="External"/><Relationship Id="rId74" Type="http://schemas.openxmlformats.org/officeDocument/2006/relationships/hyperlink" Target="https://dinosmotors.com/contact-form/" TargetMode="External"/><Relationship Id="rId79" Type="http://schemas.openxmlformats.org/officeDocument/2006/relationships/hyperlink" Target="https://facebook.com/favacardealers/" TargetMode="External"/><Relationship Id="rId5" Type="http://schemas.openxmlformats.org/officeDocument/2006/relationships/hyperlink" Target="MAILTO:info@alanmotors.com.mt" TargetMode="External"/><Relationship Id="rId90" Type="http://schemas.openxmlformats.org/officeDocument/2006/relationships/hyperlink" Target="https://venturmotors.mt/" TargetMode="External"/><Relationship Id="rId14" Type="http://schemas.openxmlformats.org/officeDocument/2006/relationships/hyperlink" Target="MAILTO:info@cam.com.mt" TargetMode="External"/><Relationship Id="rId22" Type="http://schemas.openxmlformats.org/officeDocument/2006/relationships/hyperlink" Target="MAILTO:philmar87@hotmail.co.uk" TargetMode="External"/><Relationship Id="rId27" Type="http://schemas.openxmlformats.org/officeDocument/2006/relationships/hyperlink" Target="MAILTO:automotive@gasan.com" TargetMode="External"/><Relationship Id="rId30" Type="http://schemas.openxmlformats.org/officeDocument/2006/relationships/hyperlink" Target="MAILTO:georgeautodealer95@gmail.com" TargetMode="External"/><Relationship Id="rId35" Type="http://schemas.openxmlformats.org/officeDocument/2006/relationships/hyperlink" Target="MAILTO:jfmotorsgozo@gmail.com" TargetMode="External"/><Relationship Id="rId43" Type="http://schemas.openxmlformats.org/officeDocument/2006/relationships/hyperlink" Target="MAILTO:falzonluca@gmail.com" TargetMode="External"/><Relationship Id="rId48" Type="http://schemas.openxmlformats.org/officeDocument/2006/relationships/hyperlink" Target="MAILTO:rokkuautodealer@gmail.com" TargetMode="External"/><Relationship Id="rId56" Type="http://schemas.openxmlformats.org/officeDocument/2006/relationships/hyperlink" Target="https://alanmotors.com.mt/" TargetMode="External"/><Relationship Id="rId64" Type="http://schemas.openxmlformats.org/officeDocument/2006/relationships/hyperlink" Target="https://facebook.com/p/Canadis-Auto-Dealer-100063715533716/" TargetMode="External"/><Relationship Id="rId69" Type="http://schemas.openxmlformats.org/officeDocument/2006/relationships/hyperlink" Target="https://facebook.com/p/Charlie-Auto-Dealer-100054340519565/" TargetMode="External"/><Relationship Id="rId77" Type="http://schemas.openxmlformats.org/officeDocument/2006/relationships/hyperlink" Target="https://facebook.com/EmotionImports/" TargetMode="External"/><Relationship Id="rId8" Type="http://schemas.openxmlformats.org/officeDocument/2006/relationships/hyperlink" Target="MAILTO:autozoneautodealer@gmail.com" TargetMode="External"/><Relationship Id="rId51" Type="http://schemas.openxmlformats.org/officeDocument/2006/relationships/hyperlink" Target="https://www.google.com/maps/search/?api=1&amp;query=Dino%27s%20Motor%20Centre%2C%0AMosta%20Road%2C%20Lija.%20LJA9012." TargetMode="External"/><Relationship Id="rId72" Type="http://schemas.openxmlformats.org/officeDocument/2006/relationships/hyperlink" Target="https://facebook.com/dandsautodealer/" TargetMode="External"/><Relationship Id="rId80" Type="http://schemas.openxmlformats.org/officeDocument/2006/relationships/hyperlink" Target="https://facebook.com/GaleaGeneralServicesLtd/" TargetMode="External"/><Relationship Id="rId85" Type="http://schemas.openxmlformats.org/officeDocument/2006/relationships/hyperlink" Target="https://facebook.com/p/Mario-Galea-New-Second-Hand-Cars-100050330211879/" TargetMode="External"/><Relationship Id="rId3" Type="http://schemas.openxmlformats.org/officeDocument/2006/relationships/hyperlink" Target="MAILTO:abs@onvol.net" TargetMode="External"/><Relationship Id="rId12" Type="http://schemas.openxmlformats.org/officeDocument/2006/relationships/hyperlink" Target="MAILTO:canadisautodealer@gmail.com" TargetMode="External"/><Relationship Id="rId17" Type="http://schemas.openxmlformats.org/officeDocument/2006/relationships/hyperlink" Target="MAILTO:sales@fordsparesmalta.com" TargetMode="External"/><Relationship Id="rId25" Type="http://schemas.openxmlformats.org/officeDocument/2006/relationships/hyperlink" Target="MAILTO:clivefava@gmail.com" TargetMode="External"/><Relationship Id="rId33" Type="http://schemas.openxmlformats.org/officeDocument/2006/relationships/hyperlink" Target="MAILTO:jautoimports@gmail.com" TargetMode="External"/><Relationship Id="rId38" Type="http://schemas.openxmlformats.org/officeDocument/2006/relationships/hyperlink" Target="MAILTO:info@joeautodealer.com" TargetMode="External"/><Relationship Id="rId46" Type="http://schemas.openxmlformats.org/officeDocument/2006/relationships/hyperlink" Target="MAILTO:pajsurebus74@gimel.com" TargetMode="External"/><Relationship Id="rId59" Type="http://schemas.openxmlformats.org/officeDocument/2006/relationships/hyperlink" Target="https://facebook.com/autogamaimports/" TargetMode="External"/><Relationship Id="rId67" Type="http://schemas.openxmlformats.org/officeDocument/2006/relationships/hyperlink" Target="https://facebook.com/carsandmoremalta" TargetMode="External"/><Relationship Id="rId20" Type="http://schemas.openxmlformats.org/officeDocument/2006/relationships/hyperlink" Target="MAILTO:dinosreception@gmail.com" TargetMode="External"/><Relationship Id="rId41" Type="http://schemas.openxmlformats.org/officeDocument/2006/relationships/hyperlink" Target="MAILTO:info@autosales.com.mt" TargetMode="External"/><Relationship Id="rId54" Type="http://schemas.openxmlformats.org/officeDocument/2006/relationships/hyperlink" Target="https://facebook.com/p/ABS-Auto-Dealer-100057348224337/" TargetMode="External"/><Relationship Id="rId62" Type="http://schemas.openxmlformats.org/officeDocument/2006/relationships/hyperlink" Target="https://brincatautoimports.com/" TargetMode="External"/><Relationship Id="rId70" Type="http://schemas.openxmlformats.org/officeDocument/2006/relationships/hyperlink" Target="https://facebook.com/ChevronCarsAndmore/" TargetMode="External"/><Relationship Id="rId75" Type="http://schemas.openxmlformats.org/officeDocument/2006/relationships/hyperlink" Target="https://facebook.com/DriveAutomotiveCoLtd/" TargetMode="External"/><Relationship Id="rId83" Type="http://schemas.openxmlformats.org/officeDocument/2006/relationships/hyperlink" Target="https://joeautodealer.com/" TargetMode="External"/><Relationship Id="rId88" Type="http://schemas.openxmlformats.org/officeDocument/2006/relationships/hyperlink" Target="https://facebook.com/PremiereCarSales/" TargetMode="External"/><Relationship Id="rId91" Type="http://schemas.openxmlformats.org/officeDocument/2006/relationships/hyperlink" Target="https://facebook.com/xauto007/" TargetMode="External"/><Relationship Id="rId1" Type="http://schemas.openxmlformats.org/officeDocument/2006/relationships/hyperlink" Target="MAILTO:info@aacarimports.com.mt" TargetMode="External"/><Relationship Id="rId6" Type="http://schemas.openxmlformats.org/officeDocument/2006/relationships/hyperlink" Target="MAILTO:attardautodealer@gmail.com" TargetMode="External"/><Relationship Id="rId15" Type="http://schemas.openxmlformats.org/officeDocument/2006/relationships/hyperlink" Target="MAILTO:info@carsunlimitedmalta.com" TargetMode="External"/><Relationship Id="rId23" Type="http://schemas.openxmlformats.org/officeDocument/2006/relationships/hyperlink" Target="MAILTO:sales@emotionimports.com" TargetMode="External"/><Relationship Id="rId28" Type="http://schemas.openxmlformats.org/officeDocument/2006/relationships/hyperlink" Target="MAILTO:sales@gauciautomobiles.com" TargetMode="External"/><Relationship Id="rId36" Type="http://schemas.openxmlformats.org/officeDocument/2006/relationships/hyperlink" Target="MAILTO:info@jmmotorsmalta.com" TargetMode="External"/><Relationship Id="rId49" Type="http://schemas.openxmlformats.org/officeDocument/2006/relationships/hyperlink" Target="MAILTO:venturmotors@gmail.com" TargetMode="External"/><Relationship Id="rId57" Type="http://schemas.openxmlformats.org/officeDocument/2006/relationships/hyperlink" Target="https://facebook.com/p/Attard-Auto-Dealer-100057253586326/" TargetMode="External"/><Relationship Id="rId10" Type="http://schemas.openxmlformats.org/officeDocument/2006/relationships/hyperlink" Target="MAILTO:info@brincatautoimports.com" TargetMode="External"/><Relationship Id="rId31" Type="http://schemas.openxmlformats.org/officeDocument/2006/relationships/hyperlink" Target="MAILTO:highwayauto@onvol.net" TargetMode="External"/><Relationship Id="rId44" Type="http://schemas.openxmlformats.org/officeDocument/2006/relationships/hyperlink" Target="MAILTO:mariogalea@msn.com" TargetMode="External"/><Relationship Id="rId52" Type="http://schemas.openxmlformats.org/officeDocument/2006/relationships/hyperlink" Target="https://aacarimports.com.mt/" TargetMode="External"/><Relationship Id="rId60" Type="http://schemas.openxmlformats.org/officeDocument/2006/relationships/hyperlink" Target="https://facebook.com/autozonemalta/" TargetMode="External"/><Relationship Id="rId65" Type="http://schemas.openxmlformats.org/officeDocument/2006/relationships/hyperlink" Target="https://facebook.com/carhubmalta/" TargetMode="External"/><Relationship Id="rId73" Type="http://schemas.openxmlformats.org/officeDocument/2006/relationships/hyperlink" Target="https://facebook.com/p/DC-motors-Auto-Sales-100057442128124/" TargetMode="External"/><Relationship Id="rId78" Type="http://schemas.openxmlformats.org/officeDocument/2006/relationships/hyperlink" Target="https://facebook.com/emautoltd/" TargetMode="External"/><Relationship Id="rId81" Type="http://schemas.openxmlformats.org/officeDocument/2006/relationships/hyperlink" Target="https://facebook.com/georgeandroccocarcentre/?locale=mt_MT" TargetMode="External"/><Relationship Id="rId86" Type="http://schemas.openxmlformats.org/officeDocument/2006/relationships/hyperlink" Target="https://michaeldebonoused.mt/" TargetMode="External"/><Relationship Id="rId4" Type="http://schemas.openxmlformats.org/officeDocument/2006/relationships/hyperlink" Target="MAILTO:ajmotorsales@gmail.com" TargetMode="External"/><Relationship Id="rId9" Type="http://schemas.openxmlformats.org/officeDocument/2006/relationships/hyperlink" Target="MAILTO:info@aviscarsales.mt" TargetMode="External"/><Relationship Id="rId13" Type="http://schemas.openxmlformats.org/officeDocument/2006/relationships/hyperlink" Target="MAILTO:info@carhub.mt" TargetMode="External"/><Relationship Id="rId18" Type="http://schemas.openxmlformats.org/officeDocument/2006/relationships/hyperlink" Target="MAILTO:dandsautodealer@hotmail.com" TargetMode="External"/><Relationship Id="rId39" Type="http://schemas.openxmlformats.org/officeDocument/2006/relationships/hyperlink" Target="MAILTO:justinauto@hotmail.com" TargetMode="External"/><Relationship Id="rId34" Type="http://schemas.openxmlformats.org/officeDocument/2006/relationships/hyperlink" Target="MAILTO:jeanpazzopardi@gmail.com" TargetMode="External"/><Relationship Id="rId50" Type="http://schemas.openxmlformats.org/officeDocument/2006/relationships/hyperlink" Target="MAILTO:xautomobiles@gmail.com" TargetMode="External"/><Relationship Id="rId55" Type="http://schemas.openxmlformats.org/officeDocument/2006/relationships/hyperlink" Target="https://yellow.com.mt/aj-motors/auto-dealers/" TargetMode="External"/><Relationship Id="rId76" Type="http://schemas.openxmlformats.org/officeDocument/2006/relationships/hyperlink" Target="https://facebook.com/p/DRM-Autosales-100054512857141/" TargetMode="External"/><Relationship Id="rId7" Type="http://schemas.openxmlformats.org/officeDocument/2006/relationships/hyperlink" Target="MAILTO:taattardmotors@gmail.com" TargetMode="External"/><Relationship Id="rId71" Type="http://schemas.openxmlformats.org/officeDocument/2006/relationships/hyperlink" Target="https://facebook.com/crcarsmalta/" TargetMode="External"/><Relationship Id="rId2" Type="http://schemas.openxmlformats.org/officeDocument/2006/relationships/hyperlink" Target="MAILTO:dowlinga@go.net.mt" TargetMode="External"/><Relationship Id="rId29" Type="http://schemas.openxmlformats.org/officeDocument/2006/relationships/hyperlink" Target="MAILTO:rocco@georgeandrocco.com" TargetMode="External"/><Relationship Id="rId24" Type="http://schemas.openxmlformats.org/officeDocument/2006/relationships/hyperlink" Target="MAILTO:info@emauto.com.mt" TargetMode="External"/><Relationship Id="rId40" Type="http://schemas.openxmlformats.org/officeDocument/2006/relationships/hyperlink" Target="MAILTO:kennethsch3mbri@gmail.com" TargetMode="External"/><Relationship Id="rId45" Type="http://schemas.openxmlformats.org/officeDocument/2006/relationships/hyperlink" Target="MAILTO:info@michaeldebonoused.mt" TargetMode="External"/><Relationship Id="rId66" Type="http://schemas.openxmlformats.org/officeDocument/2006/relationships/hyperlink" Target="https://facebook.com/Caromotors/" TargetMode="External"/><Relationship Id="rId87" Type="http://schemas.openxmlformats.org/officeDocument/2006/relationships/hyperlink" Target="https://facebook.com/www.pajsudealer.com.mt/" TargetMode="External"/><Relationship Id="rId61" Type="http://schemas.openxmlformats.org/officeDocument/2006/relationships/hyperlink" Target="https://facebook.com/AvisMaltaUsedCarSales/" TargetMode="External"/><Relationship Id="rId82" Type="http://schemas.openxmlformats.org/officeDocument/2006/relationships/hyperlink" Target="https://jasoncarimports.com/" TargetMode="External"/><Relationship Id="rId19" Type="http://schemas.openxmlformats.org/officeDocument/2006/relationships/hyperlink" Target="MAILTO:dcmotorsbkara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vincenzo.cherubini@ais.com.mt" TargetMode="External"/><Relationship Id="rId18" Type="http://schemas.openxmlformats.org/officeDocument/2006/relationships/hyperlink" Target="MAILTO:karl@jbarchteam.com" TargetMode="External"/><Relationship Id="rId26" Type="http://schemas.openxmlformats.org/officeDocument/2006/relationships/hyperlink" Target="MAILTO:iona.muscat@hotmail.com" TargetMode="External"/><Relationship Id="rId3" Type="http://schemas.openxmlformats.org/officeDocument/2006/relationships/hyperlink" Target="MAILTO:samuelabossini@gmail.com" TargetMode="External"/><Relationship Id="rId21" Type="http://schemas.openxmlformats.org/officeDocument/2006/relationships/hyperlink" Target="MAILTO:tamsin.kingswell@qpml.com" TargetMode="External"/><Relationship Id="rId34" Type="http://schemas.openxmlformats.org/officeDocument/2006/relationships/hyperlink" Target="MAILTO:martinazarb@gmail.com" TargetMode="External"/><Relationship Id="rId7" Type="http://schemas.openxmlformats.org/officeDocument/2006/relationships/hyperlink" Target="MAILTO:karloco621@gmail.com" TargetMode="External"/><Relationship Id="rId12" Type="http://schemas.openxmlformats.org/officeDocument/2006/relationships/hyperlink" Target="MAILTO:rossano.cherubini@qpml.com" TargetMode="External"/><Relationship Id="rId17" Type="http://schemas.openxmlformats.org/officeDocument/2006/relationships/hyperlink" Target="MAILTO:joseph.grima.19@gmail.com" TargetMode="External"/><Relationship Id="rId25" Type="http://schemas.openxmlformats.org/officeDocument/2006/relationships/hyperlink" Target="MAILTO:info@jbarchteam.com" TargetMode="External"/><Relationship Id="rId33" Type="http://schemas.openxmlformats.org/officeDocument/2006/relationships/hyperlink" Target="MAILTO:ascoopltdmalta@gmail.com" TargetMode="External"/><Relationship Id="rId2" Type="http://schemas.openxmlformats.org/officeDocument/2006/relationships/hyperlink" Target="MAILTO:jeremy@jbarchteam.com" TargetMode="External"/><Relationship Id="rId16" Type="http://schemas.openxmlformats.org/officeDocument/2006/relationships/hyperlink" Target="MAILTO:skavarc@digiarc.mt" TargetMode="External"/><Relationship Id="rId20" Type="http://schemas.openxmlformats.org/officeDocument/2006/relationships/hyperlink" Target="MAILTO:info@jbarchteam.com" TargetMode="External"/><Relationship Id="rId29" Type="http://schemas.openxmlformats.org/officeDocument/2006/relationships/hyperlink" Target="MAILTO:skavarc@digiarc.mt" TargetMode="External"/><Relationship Id="rId1" Type="http://schemas.openxmlformats.org/officeDocument/2006/relationships/hyperlink" Target="MAILTO:arkeomalta@gmail.com" TargetMode="External"/><Relationship Id="rId6" Type="http://schemas.openxmlformats.org/officeDocument/2006/relationships/hyperlink" Target="MAILTO:chrisbu.su@gmail.com" TargetMode="External"/><Relationship Id="rId11" Type="http://schemas.openxmlformats.org/officeDocument/2006/relationships/hyperlink" Target="MAILTO:projects@aecmalta.com.mt" TargetMode="External"/><Relationship Id="rId24" Type="http://schemas.openxmlformats.org/officeDocument/2006/relationships/hyperlink" Target="MAILTO:chrimint@gmail.com" TargetMode="External"/><Relationship Id="rId32" Type="http://schemas.openxmlformats.org/officeDocument/2006/relationships/hyperlink" Target="MAILTO:kirsten.theuma@qpml.com" TargetMode="External"/><Relationship Id="rId5" Type="http://schemas.openxmlformats.org/officeDocument/2006/relationships/hyperlink" Target="MAILTO:ascoopltdmalta@gmail.com" TargetMode="External"/><Relationship Id="rId15" Type="http://schemas.openxmlformats.org/officeDocument/2006/relationships/hyperlink" Target="MAILTO:farrugia.glenn@gmail.com" TargetMode="External"/><Relationship Id="rId23" Type="http://schemas.openxmlformats.org/officeDocument/2006/relationships/hyperlink" Target="MAILTO:nickybb777@gmail.com" TargetMode="External"/><Relationship Id="rId28" Type="http://schemas.openxmlformats.org/officeDocument/2006/relationships/hyperlink" Target="MAILTO:ascoopltdmalta@gmail.com" TargetMode="External"/><Relationship Id="rId10" Type="http://schemas.openxmlformats.org/officeDocument/2006/relationships/hyperlink" Target="MAILTO:josefcaruana1@googlemail.com" TargetMode="External"/><Relationship Id="rId19" Type="http://schemas.openxmlformats.org/officeDocument/2006/relationships/hyperlink" Target="MAILTO:jerkinerak@gmail.com" TargetMode="External"/><Relationship Id="rId31" Type="http://schemas.openxmlformats.org/officeDocument/2006/relationships/hyperlink" Target="MAILTO:samuele.serini@ais.com.mt" TargetMode="External"/><Relationship Id="rId4" Type="http://schemas.openxmlformats.org/officeDocument/2006/relationships/hyperlink" Target="MAILTO:ascoopltdmalta@gmail.com" TargetMode="External"/><Relationship Id="rId9" Type="http://schemas.openxmlformats.org/officeDocument/2006/relationships/hyperlink" Target="MAILTO:skavarc@digiarc.mt" TargetMode="External"/><Relationship Id="rId14" Type="http://schemas.openxmlformats.org/officeDocument/2006/relationships/hyperlink" Target="MAILTO:luisana_damato@yahoo.co.uk" TargetMode="External"/><Relationship Id="rId22" Type="http://schemas.openxmlformats.org/officeDocument/2006/relationships/hyperlink" Target="MAILTO:info@jbarchteam.com" TargetMode="External"/><Relationship Id="rId27" Type="http://schemas.openxmlformats.org/officeDocument/2006/relationships/hyperlink" Target="MAILTO:kim.muscat@gmail.com" TargetMode="External"/><Relationship Id="rId30" Type="http://schemas.openxmlformats.org/officeDocument/2006/relationships/hyperlink" Target="MAILTO:patriziapec@gmail.com" TargetMode="External"/><Relationship Id="rId8" Type="http://schemas.openxmlformats.org/officeDocument/2006/relationships/hyperlink" Target="MAILTO:ascoopltdmalta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udiomalta.com" TargetMode="External"/><Relationship Id="rId13" Type="http://schemas.openxmlformats.org/officeDocument/2006/relationships/hyperlink" Target="MAILTO:info@studioseven.com.mt" TargetMode="External"/><Relationship Id="rId18" Type="http://schemas.openxmlformats.org/officeDocument/2006/relationships/hyperlink" Target="https://www.google.com/maps/search/?api=1&amp;query=Marsa" TargetMode="External"/><Relationship Id="rId26" Type="http://schemas.openxmlformats.org/officeDocument/2006/relationships/hyperlink" Target="https://www.google.com/maps/search/?api=1&amp;query=San%20Gwann%2C%20Paola%2C%20Qormi" TargetMode="External"/><Relationship Id="rId3" Type="http://schemas.openxmlformats.org/officeDocument/2006/relationships/hyperlink" Target="MAILTO:marketing@atoz.com.mt" TargetMode="External"/><Relationship Id="rId21" Type="http://schemas.openxmlformats.org/officeDocument/2006/relationships/hyperlink" Target="https://www.google.com/maps/search/?api=1&amp;query=Ta%27%20Xbiex" TargetMode="External"/><Relationship Id="rId7" Type="http://schemas.openxmlformats.org/officeDocument/2006/relationships/hyperlink" Target="MAILTO:website@astral.com.mt" TargetMode="External"/><Relationship Id="rId12" Type="http://schemas.openxmlformats.org/officeDocument/2006/relationships/hyperlink" Target="MAILTO:sales@ultimate.com.mt" TargetMode="External"/><Relationship Id="rId17" Type="http://schemas.openxmlformats.org/officeDocument/2006/relationships/hyperlink" Target="MAILTO:jc.audiophonic@gmail.com" TargetMode="External"/><Relationship Id="rId25" Type="http://schemas.openxmlformats.org/officeDocument/2006/relationships/hyperlink" Target="https://www.google.com/maps/search/?api=1&amp;query=Xghara%2C%20Gozo" TargetMode="External"/><Relationship Id="rId2" Type="http://schemas.openxmlformats.org/officeDocument/2006/relationships/hyperlink" Target="MAILTO:info@scanmalta.com" TargetMode="External"/><Relationship Id="rId16" Type="http://schemas.openxmlformats.org/officeDocument/2006/relationships/hyperlink" Target="MAILTO:info@megatekk.mt" TargetMode="External"/><Relationship Id="rId20" Type="http://schemas.openxmlformats.org/officeDocument/2006/relationships/hyperlink" Target="https://www.google.com/maps/search/?api=1&amp;query=Hamrun" TargetMode="External"/><Relationship Id="rId29" Type="http://schemas.openxmlformats.org/officeDocument/2006/relationships/hyperlink" Target="https://www.google.com/maps/search/?api=1&amp;query=Msida" TargetMode="External"/><Relationship Id="rId1" Type="http://schemas.openxmlformats.org/officeDocument/2006/relationships/hyperlink" Target="MAILTO:nfo@powerhousemalta.com" TargetMode="External"/><Relationship Id="rId6" Type="http://schemas.openxmlformats.org/officeDocument/2006/relationships/hyperlink" Target="MAILTO:nfo@doneo.com.mt" TargetMode="External"/><Relationship Id="rId11" Type="http://schemas.openxmlformats.org/officeDocument/2006/relationships/hyperlink" Target="MAILTO:info@audiotech.mt" TargetMode="External"/><Relationship Id="rId24" Type="http://schemas.openxmlformats.org/officeDocument/2006/relationships/hyperlink" Target="https://www.google.com/maps/search/?api=1&amp;query=San%20Gwann" TargetMode="External"/><Relationship Id="rId5" Type="http://schemas.openxmlformats.org/officeDocument/2006/relationships/hyperlink" Target="MAILTO:info@olimpusmusic.com" TargetMode="External"/><Relationship Id="rId15" Type="http://schemas.openxmlformats.org/officeDocument/2006/relationships/hyperlink" Target="MAILTO:info@soundsystem.com.mt" TargetMode="External"/><Relationship Id="rId23" Type="http://schemas.openxmlformats.org/officeDocument/2006/relationships/hyperlink" Target="https://www.google.com/maps/search/?api=1&amp;query=sales%20division%20of%20Lito%E2%80%99s%20Place" TargetMode="External"/><Relationship Id="rId28" Type="http://schemas.openxmlformats.org/officeDocument/2006/relationships/hyperlink" Target="https://www.google.com/maps/search/?api=1&amp;query=Birkirkara" TargetMode="External"/><Relationship Id="rId10" Type="http://schemas.openxmlformats.org/officeDocument/2006/relationships/hyperlink" Target="MAILTO:info@futuretech-malta.com" TargetMode="External"/><Relationship Id="rId19" Type="http://schemas.openxmlformats.org/officeDocument/2006/relationships/hyperlink" Target="https://www.google.com/maps/search/?api=1&amp;query=Attard%2C%20Qormi%2C%20Swatar%2C%20Birkirkara" TargetMode="External"/><Relationship Id="rId4" Type="http://schemas.openxmlformats.org/officeDocument/2006/relationships/hyperlink" Target="MAILTO:info@digitalzone.com.mt" TargetMode="External"/><Relationship Id="rId9" Type="http://schemas.openxmlformats.org/officeDocument/2006/relationships/hyperlink" Target="MAILTO:info@audiohub.mt" TargetMode="External"/><Relationship Id="rId14" Type="http://schemas.openxmlformats.org/officeDocument/2006/relationships/hyperlink" Target="MAILTO:joe@genaudiomalta.com" TargetMode="External"/><Relationship Id="rId22" Type="http://schemas.openxmlformats.org/officeDocument/2006/relationships/hyperlink" Target="https://www.google.com/maps/search/?api=1&amp;query=Swieqi" TargetMode="External"/><Relationship Id="rId27" Type="http://schemas.openxmlformats.org/officeDocument/2006/relationships/hyperlink" Target="https://www.google.com/maps/search/?api=1&amp;query=Birkirkara" TargetMode="External"/><Relationship Id="rId30" Type="http://schemas.openxmlformats.org/officeDocument/2006/relationships/hyperlink" Target="https://studo7.com.mt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altazon.com" TargetMode="External"/><Relationship Id="rId13" Type="http://schemas.openxmlformats.org/officeDocument/2006/relationships/hyperlink" Target="MAILTO:website@astral.com.mt" TargetMode="External"/><Relationship Id="rId3" Type="http://schemas.openxmlformats.org/officeDocument/2006/relationships/hyperlink" Target="MAILTO:info@gamebreakermalta.com" TargetMode="External"/><Relationship Id="rId7" Type="http://schemas.openxmlformats.org/officeDocument/2006/relationships/hyperlink" Target="MAILTO:customercare@homemate.com.mt" TargetMode="External"/><Relationship Id="rId12" Type="http://schemas.openxmlformats.org/officeDocument/2006/relationships/hyperlink" Target="MAILTO:infosales@intercomp.com.mt" TargetMode="External"/><Relationship Id="rId17" Type="http://schemas.openxmlformats.org/officeDocument/2006/relationships/hyperlink" Target="MAILTO:info@thenotebookcentre.com.mt" TargetMode="External"/><Relationship Id="rId2" Type="http://schemas.openxmlformats.org/officeDocument/2006/relationships/hyperlink" Target="MAILTO:sales@klikk.com.mt" TargetMode="External"/><Relationship Id="rId16" Type="http://schemas.openxmlformats.org/officeDocument/2006/relationships/hyperlink" Target="MAILTO:tabletsandmoreelectronics@yahoo.com" TargetMode="External"/><Relationship Id="rId1" Type="http://schemas.openxmlformats.org/officeDocument/2006/relationships/hyperlink" Target="MAILTO:info@scanmalta.com" TargetMode="External"/><Relationship Id="rId6" Type="http://schemas.openxmlformats.org/officeDocument/2006/relationships/hyperlink" Target="MAILTO:info@computerbargainsmalta.com" TargetMode="External"/><Relationship Id="rId11" Type="http://schemas.openxmlformats.org/officeDocument/2006/relationships/hyperlink" Target="MAILTO:info@digitalzone.com.mt" TargetMode="External"/><Relationship Id="rId5" Type="http://schemas.openxmlformats.org/officeDocument/2006/relationships/hyperlink" Target="MAILTO:sales@xpert.mt" TargetMode="External"/><Relationship Id="rId15" Type="http://schemas.openxmlformats.org/officeDocument/2006/relationships/hyperlink" Target="MAILTO:sales@ultimate.com.mt" TargetMode="External"/><Relationship Id="rId10" Type="http://schemas.openxmlformats.org/officeDocument/2006/relationships/hyperlink" Target="MAILTO:info@topchoice.com.mt" TargetMode="External"/><Relationship Id="rId4" Type="http://schemas.openxmlformats.org/officeDocument/2006/relationships/hyperlink" Target="MAILTO:marketing@atoz.com.mt" TargetMode="External"/><Relationship Id="rId9" Type="http://schemas.openxmlformats.org/officeDocument/2006/relationships/hyperlink" Target="MAILTO:info@forestals.com" TargetMode="External"/><Relationship Id="rId14" Type="http://schemas.openxmlformats.org/officeDocument/2006/relationships/hyperlink" Target="MAILTO:info@digiline.m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jadistributors.com/product/bosch-cross-line-laser-advancedlevel-360/" TargetMode="External"/><Relationship Id="rId2" Type="http://schemas.openxmlformats.org/officeDocument/2006/relationships/hyperlink" Target="https://www.google.com/maps/search/?api=1&amp;query=Dejma%20Road%2C%20Tarxien" TargetMode="External"/><Relationship Id="rId1" Type="http://schemas.openxmlformats.org/officeDocument/2006/relationships/hyperlink" Target="MAILTO:info@wjadistributors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impact.design.18@gmail.com" TargetMode="External"/><Relationship Id="rId13" Type="http://schemas.openxmlformats.org/officeDocument/2006/relationships/hyperlink" Target="MAILTO:chris@pss-dna.com" TargetMode="External"/><Relationship Id="rId18" Type="http://schemas.openxmlformats.org/officeDocument/2006/relationships/hyperlink" Target="https://www.google.com/maps/search/?api=1&amp;query=Alan%20Micallef%20Surveying%20Services%0A67%20Flat%201%20Triq%20Vince%20Dimech%20%2C%0AZurrieq%2C%20Malta%20ZRQ%202402" TargetMode="External"/><Relationship Id="rId26" Type="http://schemas.openxmlformats.org/officeDocument/2006/relationships/hyperlink" Target="https://atlas-surveying.com/?utm_source=Yellow&amp;utm_medium=Yellow-Website&amp;utm_campaign=Landing-Page" TargetMode="External"/><Relationship Id="rId3" Type="http://schemas.openxmlformats.org/officeDocument/2006/relationships/hyperlink" Target="MAILTO:info@matsurv.eu" TargetMode="External"/><Relationship Id="rId21" Type="http://schemas.openxmlformats.org/officeDocument/2006/relationships/hyperlink" Target="https://www.google.com/maps/search/?api=1&amp;query=IMPACT%20design%0A56%20Triq%20il-Vittmi%20tal-Gwerra%20Swatar%20%2C%0AB%E2%80%99Kara%2C%20Malta" TargetMode="External"/><Relationship Id="rId7" Type="http://schemas.openxmlformats.org/officeDocument/2006/relationships/hyperlink" Target="MAILTO:info@atlas-surveying.com" TargetMode="External"/><Relationship Id="rId12" Type="http://schemas.openxmlformats.org/officeDocument/2006/relationships/hyperlink" Target="MAILTO:maltasurveys.rs@gmail.com" TargetMode="External"/><Relationship Id="rId17" Type="http://schemas.openxmlformats.org/officeDocument/2006/relationships/hyperlink" Target="https://www.google.com/maps/search/?api=1&amp;query=NC%20Surveying%0A1%20Joelle%20Triq%20Dun%20Guzepp%20Demicoli%20%2C%0AGhaxaq%2C%20Malta" TargetMode="External"/><Relationship Id="rId25" Type="http://schemas.openxmlformats.org/officeDocument/2006/relationships/hyperlink" Target="https://facebook.com/profile.php?id=100063536049877&amp;utm_source=Yellow&amp;utm_medium=Yellow-Website&amp;utm_campaign=Landing-Page" TargetMode="External"/><Relationship Id="rId2" Type="http://schemas.openxmlformats.org/officeDocument/2006/relationships/hyperlink" Target="MAILTO:chris@cmsurveying.com.mt" TargetMode="External"/><Relationship Id="rId16" Type="http://schemas.openxmlformats.org/officeDocument/2006/relationships/hyperlink" Target="https://www.google.com/maps/search/?api=1&amp;query=89%2C%20Suite%201%2C%20ATL%20Business%20Centre%2C%20Triq%20Il-Kanun%2C%20Santa%20Venera%2C%20Malta" TargetMode="External"/><Relationship Id="rId20" Type="http://schemas.openxmlformats.org/officeDocument/2006/relationships/hyperlink" Target="https://www.google.com/maps/search/?api=1&amp;query=182%20Triq%20Bormla%0APaola%2C%20PLA%201905%2C%20MT%2C" TargetMode="External"/><Relationship Id="rId1" Type="http://schemas.openxmlformats.org/officeDocument/2006/relationships/hyperlink" Target="MAILTO:info@surveyingmalta.com" TargetMode="External"/><Relationship Id="rId6" Type="http://schemas.openxmlformats.org/officeDocument/2006/relationships/hyperlink" Target="MAILTO:arsurveyingmalta@gmail.com" TargetMode="External"/><Relationship Id="rId11" Type="http://schemas.openxmlformats.org/officeDocument/2006/relationships/hyperlink" Target="MAILTO:ellulsrv@gmail.com" TargetMode="External"/><Relationship Id="rId24" Type="http://schemas.openxmlformats.org/officeDocument/2006/relationships/hyperlink" Target="https://facebook.com/matsurv/" TargetMode="External"/><Relationship Id="rId5" Type="http://schemas.openxmlformats.org/officeDocument/2006/relationships/hyperlink" Target="MAILTO:alan@micallefsurveying.com" TargetMode="External"/><Relationship Id="rId15" Type="http://schemas.openxmlformats.org/officeDocument/2006/relationships/hyperlink" Target="https://www.google.com/maps/search/?api=1&amp;query=No.%202%2C%20Triq%20Papa%20Piju%20XII%2C%20Birkirkara%2C%20Malta." TargetMode="External"/><Relationship Id="rId23" Type="http://schemas.openxmlformats.org/officeDocument/2006/relationships/hyperlink" Target="https://cmsurveying.com/" TargetMode="External"/><Relationship Id="rId10" Type="http://schemas.openxmlformats.org/officeDocument/2006/relationships/hyperlink" Target="MAILTO:surveying.da@gmail.com" TargetMode="External"/><Relationship Id="rId19" Type="http://schemas.openxmlformats.org/officeDocument/2006/relationships/hyperlink" Target="https://www.google.com/maps/search/?api=1&amp;query=AR%20Surveying%0ATriq%20it-Tahhan%20%2C%0AB%E2%80%99Kara%2C%20Malta" TargetMode="External"/><Relationship Id="rId4" Type="http://schemas.openxmlformats.org/officeDocument/2006/relationships/hyperlink" Target="MAILTO:ncsurveying23@gmail.com" TargetMode="External"/><Relationship Id="rId9" Type="http://schemas.openxmlformats.org/officeDocument/2006/relationships/hyperlink" Target="MAILTO:lms@onvol.net" TargetMode="External"/><Relationship Id="rId14" Type="http://schemas.openxmlformats.org/officeDocument/2006/relationships/hyperlink" Target="https://www.google.com/maps/search/?api=1&amp;query=8%2C%20Triq%20il-Laring%2C%20Attard%2C%20ATD%202531%20Malta" TargetMode="External"/><Relationship Id="rId22" Type="http://schemas.openxmlformats.org/officeDocument/2006/relationships/hyperlink" Target="https://www.google.com/maps/search/?api=1&amp;query=Peter%20P%20Caruana%0AShamrock%20Triq%20ta%E2%80%99%20Giorni%20%2C%0ASan%20Giljan%2C%20Malta%20STJ%201615" TargetMode="External"/><Relationship Id="rId27" Type="http://schemas.openxmlformats.org/officeDocument/2006/relationships/hyperlink" Target="https://checkyourtraders.com/listing/__trashed-19?fromCat=property-surveyor-surveying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Limits%20of%20Kirkop" TargetMode="External"/><Relationship Id="rId13" Type="http://schemas.openxmlformats.org/officeDocument/2006/relationships/hyperlink" Target="https://www.google.com/maps/search/?api=1&amp;query=Scrap%20Lane%2C%20Valletta%20Road%2C%20Luqa%2C%0ALQA%201764" TargetMode="External"/><Relationship Id="rId3" Type="http://schemas.openxmlformats.org/officeDocument/2006/relationships/hyperlink" Target="MAILTO:gasparell.b@gmail.com" TargetMode="External"/><Relationship Id="rId7" Type="http://schemas.openxmlformats.org/officeDocument/2006/relationships/hyperlink" Target="MAILTO:rocagoltd@gmail.com" TargetMode="External"/><Relationship Id="rId12" Type="http://schemas.openxmlformats.org/officeDocument/2006/relationships/hyperlink" Target="https://www.google.com/maps/search/?api=1&amp;query=19%2F20%2F47%2C%20Triq%20l-Inginerija%20ma%E2%80%99Triq%0Al-Iskola%20Teknika%2C%20Mriehel%2C%0ABirkirkara" TargetMode="External"/><Relationship Id="rId2" Type="http://schemas.openxmlformats.org/officeDocument/2006/relationships/hyperlink" Target="MAILTO:freduautoparts@melita.com" TargetMode="External"/><Relationship Id="rId1" Type="http://schemas.openxmlformats.org/officeDocument/2006/relationships/hyperlink" Target="MAILTO:johnghigo53@gmail.com" TargetMode="External"/><Relationship Id="rId6" Type="http://schemas.openxmlformats.org/officeDocument/2006/relationships/hyperlink" Target="MAILTO:info@ddeattard.com" TargetMode="External"/><Relationship Id="rId11" Type="http://schemas.openxmlformats.org/officeDocument/2006/relationships/hyperlink" Target="https://www.google.com/maps/search/?api=1&amp;query=31%2C%20Wied%20Ghammieq%20Road%0AKalkara" TargetMode="External"/><Relationship Id="rId5" Type="http://schemas.openxmlformats.org/officeDocument/2006/relationships/hyperlink" Target="MAILTO:repairs@mile-end.mt" TargetMode="External"/><Relationship Id="rId10" Type="http://schemas.openxmlformats.org/officeDocument/2006/relationships/hyperlink" Target="https://www.google.com/maps/search/?api=1&amp;query=%C4%A6al%20Far%20Ind%20Estate%2C%20Birzebbuga" TargetMode="External"/><Relationship Id="rId4" Type="http://schemas.openxmlformats.org/officeDocument/2006/relationships/hyperlink" Target="MAILTO:criszu75@gmail.com" TargetMode="External"/><Relationship Id="rId9" Type="http://schemas.openxmlformats.org/officeDocument/2006/relationships/hyperlink" Target="https://www.google.com/maps/search/?api=1&amp;query=Plot%2C%206%2F7%2C%20Nassab%20Street%2C%20Qormi" TargetMode="External"/><Relationship Id="rId14" Type="http://schemas.openxmlformats.org/officeDocument/2006/relationships/hyperlink" Target="https://www.google.com/maps/search/?api=1&amp;query=Triq%20Tal-Barrani%2C%20Zejtun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dinglialuminium.com" TargetMode="External"/><Relationship Id="rId18" Type="http://schemas.openxmlformats.org/officeDocument/2006/relationships/hyperlink" Target="MAILTO:info@desanamarbles.com" TargetMode="External"/><Relationship Id="rId26" Type="http://schemas.openxmlformats.org/officeDocument/2006/relationships/hyperlink" Target="MAILTO:sales@marbleinnovation.com" TargetMode="External"/><Relationship Id="rId39" Type="http://schemas.openxmlformats.org/officeDocument/2006/relationships/hyperlink" Target="https://www.google.com/maps/search/?api=1&amp;query=Wilga%20Street%2C%20Luqa%20LQA%201530%2C%20Malta" TargetMode="External"/><Relationship Id="rId21" Type="http://schemas.openxmlformats.org/officeDocument/2006/relationships/hyperlink" Target="MAILTO:info@amaasurfaces.com" TargetMode="External"/><Relationship Id="rId34" Type="http://schemas.openxmlformats.org/officeDocument/2006/relationships/hyperlink" Target="https://www.google.com/maps/search/?api=1&amp;query=Triq%20il-Kostituzzjoni%2C%20Mosta%2C%20Malta" TargetMode="External"/><Relationship Id="rId42" Type="http://schemas.openxmlformats.org/officeDocument/2006/relationships/hyperlink" Target="https://www.google.com/maps/search/?api=1&amp;query=Triq%20Dwardu%20Buttigieg%20%2CHal%20Ghaxaq%2CMalta%20%20GXQ%201253" TargetMode="External"/><Relationship Id="rId47" Type="http://schemas.openxmlformats.org/officeDocument/2006/relationships/hyperlink" Target="https://pvc.com.mt/" TargetMode="External"/><Relationship Id="rId50" Type="http://schemas.openxmlformats.org/officeDocument/2006/relationships/hyperlink" Target="https://grahamaluminium.com/" TargetMode="External"/><Relationship Id="rId55" Type="http://schemas.openxmlformats.org/officeDocument/2006/relationships/hyperlink" Target="https://dinglialuminium.com/" TargetMode="External"/><Relationship Id="rId7" Type="http://schemas.openxmlformats.org/officeDocument/2006/relationships/hyperlink" Target="MAILTO:bmsltdmalta@gmail.com" TargetMode="External"/><Relationship Id="rId2" Type="http://schemas.openxmlformats.org/officeDocument/2006/relationships/hyperlink" Target="MAILTO:info@soll.mt" TargetMode="External"/><Relationship Id="rId16" Type="http://schemas.openxmlformats.org/officeDocument/2006/relationships/hyperlink" Target="MAILTO:info@rlautier.com" TargetMode="External"/><Relationship Id="rId29" Type="http://schemas.openxmlformats.org/officeDocument/2006/relationships/hyperlink" Target="https://www.google.com/maps/search/?api=1&amp;query=59%20triq%20Domenico%20Cachia%20%2CBirkirkara%20BKR%204019%20%2CMALTA" TargetMode="External"/><Relationship Id="rId11" Type="http://schemas.openxmlformats.org/officeDocument/2006/relationships/hyperlink" Target="MAILTO:wilgastores@gmail.com" TargetMode="External"/><Relationship Id="rId24" Type="http://schemas.openxmlformats.org/officeDocument/2006/relationships/hyperlink" Target="MAILTO:info@halmannvella.com" TargetMode="External"/><Relationship Id="rId32" Type="http://schemas.openxmlformats.org/officeDocument/2006/relationships/hyperlink" Target="https://www.google.com/maps/search/?api=1&amp;query=triq%20il-Labour%20%2CBirkirkara%2C%20Malta" TargetMode="External"/><Relationship Id="rId37" Type="http://schemas.openxmlformats.org/officeDocument/2006/relationships/hyperlink" Target="https://www.google.com/maps/search/?api=1&amp;query=Triq%20il-Mithna%2CQormi" TargetMode="External"/><Relationship Id="rId40" Type="http://schemas.openxmlformats.org/officeDocument/2006/relationships/hyperlink" Target="https://www.google.com/maps/search/?api=1&amp;query=33%2CAngelo%20A%2CMelilli%20%2CHAz%20Zebugg%20ZBG%202802" TargetMode="External"/><Relationship Id="rId45" Type="http://schemas.openxmlformats.org/officeDocument/2006/relationships/hyperlink" Target="https://rabatmarbles.com/" TargetMode="External"/><Relationship Id="rId53" Type="http://schemas.openxmlformats.org/officeDocument/2006/relationships/hyperlink" Target="https://wilgastores.com/" TargetMode="External"/><Relationship Id="rId5" Type="http://schemas.openxmlformats.org/officeDocument/2006/relationships/hyperlink" Target="MAILTO:info@pvc.com.mt" TargetMode="External"/><Relationship Id="rId10" Type="http://schemas.openxmlformats.org/officeDocument/2006/relationships/hyperlink" Target="MAILTO:info@windowworldinternational.net" TargetMode="External"/><Relationship Id="rId19" Type="http://schemas.openxmlformats.org/officeDocument/2006/relationships/hyperlink" Target="MAILTO:info@cinimarbles.com" TargetMode="External"/><Relationship Id="rId31" Type="http://schemas.openxmlformats.org/officeDocument/2006/relationships/hyperlink" Target="https://www.google.com/maps/search/?api=1&amp;query=triq-il-Kbira%20%2C%20Rabat%20%2CMalta" TargetMode="External"/><Relationship Id="rId44" Type="http://schemas.openxmlformats.org/officeDocument/2006/relationships/hyperlink" Target="https://soll.mt/" TargetMode="External"/><Relationship Id="rId52" Type="http://schemas.openxmlformats.org/officeDocument/2006/relationships/hyperlink" Target="https://windowworld.eu/" TargetMode="External"/><Relationship Id="rId4" Type="http://schemas.openxmlformats.org/officeDocument/2006/relationships/hyperlink" Target="MAILTO:info@lawrencefenech.com" TargetMode="External"/><Relationship Id="rId9" Type="http://schemas.openxmlformats.org/officeDocument/2006/relationships/hyperlink" Target="MAILTO:info@melibugeja.com.mt" TargetMode="External"/><Relationship Id="rId14" Type="http://schemas.openxmlformats.org/officeDocument/2006/relationships/hyperlink" Target="MAILTO:schembrimarbles@yahoo.com" TargetMode="External"/><Relationship Id="rId22" Type="http://schemas.openxmlformats.org/officeDocument/2006/relationships/hyperlink" Target="MAILTO:portellirennie@hotmail.com" TargetMode="External"/><Relationship Id="rId27" Type="http://schemas.openxmlformats.org/officeDocument/2006/relationships/hyperlink" Target="MAILTO:frankvassallo22@gmail.com" TargetMode="External"/><Relationship Id="rId30" Type="http://schemas.openxmlformats.org/officeDocument/2006/relationships/hyperlink" Target="https://www.google.com/maps/search/?api=1&amp;query=triq%20il-Kalkara%20%2C%20Marsa%20%2C%20Malta" TargetMode="External"/><Relationship Id="rId35" Type="http://schemas.openxmlformats.org/officeDocument/2006/relationships/hyperlink" Target="https://www.google.com/maps/search/?api=1&amp;query=Mdina%20Road%2C%20Qormi%20QRM%209011%2C%20Malta" TargetMode="External"/><Relationship Id="rId43" Type="http://schemas.openxmlformats.org/officeDocument/2006/relationships/hyperlink" Target="https://designhubstores.com/" TargetMode="External"/><Relationship Id="rId48" Type="http://schemas.openxmlformats.org/officeDocument/2006/relationships/hyperlink" Target="https://finestralmalta.com/" TargetMode="External"/><Relationship Id="rId56" Type="http://schemas.openxmlformats.org/officeDocument/2006/relationships/hyperlink" Target="https://findit.com.mt/" TargetMode="External"/><Relationship Id="rId8" Type="http://schemas.openxmlformats.org/officeDocument/2006/relationships/hyperlink" Target="MAILTO:info@grahamaluminium.com" TargetMode="External"/><Relationship Id="rId51" Type="http://schemas.openxmlformats.org/officeDocument/2006/relationships/hyperlink" Target="https://meliobugeja.com.mt/" TargetMode="External"/><Relationship Id="rId3" Type="http://schemas.openxmlformats.org/officeDocument/2006/relationships/hyperlink" Target="MAILTO:info@rabatmarbles.com" TargetMode="External"/><Relationship Id="rId12" Type="http://schemas.openxmlformats.org/officeDocument/2006/relationships/hyperlink" Target="MAILTO:info@nicholas.mt" TargetMode="External"/><Relationship Id="rId17" Type="http://schemas.openxmlformats.org/officeDocument/2006/relationships/hyperlink" Target="MAILTO:sales@floorsofstone.com.mt" TargetMode="External"/><Relationship Id="rId25" Type="http://schemas.openxmlformats.org/officeDocument/2006/relationships/hyperlink" Target="MAILTO:info@qualitystonemalta.com" TargetMode="External"/><Relationship Id="rId33" Type="http://schemas.openxmlformats.org/officeDocument/2006/relationships/hyperlink" Target="https://www.google.com/maps/search/?api=1&amp;query=triq%20il-Ferrovija%2C%20%C4%A6amrun%2C%20Malta" TargetMode="External"/><Relationship Id="rId38" Type="http://schemas.openxmlformats.org/officeDocument/2006/relationships/hyperlink" Target="https://www.google.com/maps/search/?api=1&amp;query=Zircon%20Suites%2C%20Triq%20ta%27%20Zejfa%2C%20Mosta%2C%20Malta" TargetMode="External"/><Relationship Id="rId46" Type="http://schemas.openxmlformats.org/officeDocument/2006/relationships/hyperlink" Target="https://lawrencefenech.com/" TargetMode="External"/><Relationship Id="rId20" Type="http://schemas.openxmlformats.org/officeDocument/2006/relationships/hyperlink" Target="MAILTO:sales@seamless.com.mt" TargetMode="External"/><Relationship Id="rId41" Type="http://schemas.openxmlformats.org/officeDocument/2006/relationships/hyperlink" Target="https://www.google.com/maps/search/?api=1&amp;query=triq%20Anthony%20John%20Coleiro%20%2C%20hAL%20Qormi" TargetMode="External"/><Relationship Id="rId54" Type="http://schemas.openxmlformats.org/officeDocument/2006/relationships/hyperlink" Target="https://nicholas.mt/" TargetMode="External"/><Relationship Id="rId1" Type="http://schemas.openxmlformats.org/officeDocument/2006/relationships/hyperlink" Target="MAILTO:info@designhubmalta.com.mt" TargetMode="External"/><Relationship Id="rId6" Type="http://schemas.openxmlformats.org/officeDocument/2006/relationships/hyperlink" Target="MAILTO:info@finestralmalta.com" TargetMode="External"/><Relationship Id="rId15" Type="http://schemas.openxmlformats.org/officeDocument/2006/relationships/hyperlink" Target="MAILTO:info@attardbros.com" TargetMode="External"/><Relationship Id="rId23" Type="http://schemas.openxmlformats.org/officeDocument/2006/relationships/hyperlink" Target="MAILTO:tilesandmarbleinfo@gmail.com" TargetMode="External"/><Relationship Id="rId28" Type="http://schemas.openxmlformats.org/officeDocument/2006/relationships/hyperlink" Target="MAILTO:keithbugeja@hotmail.com" TargetMode="External"/><Relationship Id="rId36" Type="http://schemas.openxmlformats.org/officeDocument/2006/relationships/hyperlink" Target="https://www.google.com/maps/search/?api=1&amp;query=Mdina%20Road%2C%20Qormi%20QRM%209011%2C%20Malta" TargetMode="External"/><Relationship Id="rId49" Type="http://schemas.openxmlformats.org/officeDocument/2006/relationships/hyperlink" Target="https://bms-malta.com/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MAILTO:contact@kibitec.com" TargetMode="External"/><Relationship Id="rId18" Type="http://schemas.openxmlformats.org/officeDocument/2006/relationships/hyperlink" Target="MAILTO:sales@jmvibro.com" TargetMode="External"/><Relationship Id="rId26" Type="http://schemas.openxmlformats.org/officeDocument/2006/relationships/hyperlink" Target="MAILTO:admin@thermasealmalta.com" TargetMode="External"/><Relationship Id="rId39" Type="http://schemas.openxmlformats.org/officeDocument/2006/relationships/hyperlink" Target="https://www.google.com/maps/search/?api=1&amp;query=WP%20Ltd%0AMarcelle%20Triq%20ix-Xitwa%20%2C%0AQormi%2C%20Malta%20QRM%205234" TargetMode="External"/><Relationship Id="rId21" Type="http://schemas.openxmlformats.org/officeDocument/2006/relationships/hyperlink" Target="MAILTO:forever.waterproofing@gmail.com" TargetMode="External"/><Relationship Id="rId34" Type="http://schemas.openxmlformats.org/officeDocument/2006/relationships/hyperlink" Target="https://www.google.com/maps/search/?api=1&amp;query=Garage%20No%203%2C%20Pjazza%20l-Eroj%2CSwatar%20B%27Kara%20BKR%204250" TargetMode="External"/><Relationship Id="rId42" Type="http://schemas.openxmlformats.org/officeDocument/2006/relationships/hyperlink" Target="https://www.google.com/maps/search/?api=1&amp;query=Azzopardi%20Waterproofing%20Ltd%0A67%20Triq%20il-Belt%20Valletta%20%2C%0AAttard%2C%20Malta%20ATD%209056" TargetMode="External"/><Relationship Id="rId47" Type="http://schemas.openxmlformats.org/officeDocument/2006/relationships/hyperlink" Target="https://agwaterproofingmalta.com/" TargetMode="External"/><Relationship Id="rId50" Type="http://schemas.openxmlformats.org/officeDocument/2006/relationships/hyperlink" Target="https://fb.com/maximumwaterproofingmalta/" TargetMode="External"/><Relationship Id="rId55" Type="http://schemas.openxmlformats.org/officeDocument/2006/relationships/hyperlink" Target="https://kibitec.com/waterproof-membrane-malta/" TargetMode="External"/><Relationship Id="rId7" Type="http://schemas.openxmlformats.org/officeDocument/2006/relationships/hyperlink" Target="MAILTO:danielschembri71@gmail.com" TargetMode="External"/><Relationship Id="rId2" Type="http://schemas.openxmlformats.org/officeDocument/2006/relationships/hyperlink" Target="MAILTO:kwaterproofing@melita.com" TargetMode="External"/><Relationship Id="rId16" Type="http://schemas.openxmlformats.org/officeDocument/2006/relationships/hyperlink" Target="MAILTO:jasonmartin777@hotmail.com" TargetMode="External"/><Relationship Id="rId29" Type="http://schemas.openxmlformats.org/officeDocument/2006/relationships/hyperlink" Target="MAILTO:bcf_solutions@outlook.com" TargetMode="External"/><Relationship Id="rId11" Type="http://schemas.openxmlformats.org/officeDocument/2006/relationships/hyperlink" Target="MAILTO:clintsaliba3@gmail.com" TargetMode="External"/><Relationship Id="rId24" Type="http://schemas.openxmlformats.org/officeDocument/2006/relationships/hyperlink" Target="MAILTO:matuelwaterproofing@gmail.com" TargetMode="External"/><Relationship Id="rId32" Type="http://schemas.openxmlformats.org/officeDocument/2006/relationships/hyperlink" Target="https://www.google.com/maps/search/?api=1&amp;query=24%2C%20Triq%20Indri%20Micallef%2CLuqa%2C%20Malta" TargetMode="External"/><Relationship Id="rId37" Type="http://schemas.openxmlformats.org/officeDocument/2006/relationships/hyperlink" Target="https://www.google.com/maps/search/?api=1&amp;query=102%20Block%20A%20Flat%202%20Triq%20Lapsi%2C%0ASiggiewi" TargetMode="External"/><Relationship Id="rId40" Type="http://schemas.openxmlformats.org/officeDocument/2006/relationships/hyperlink" Target="https://www.google.com/maps/search/?api=1&amp;query=Three%20eight%20nine%20Co%20ltd%20%28389%20co%20Ltd%29%0A22%2C%2026%20Triq%20Dun%20Xand%20Cortis%20%2C%0AB%E2%80%99Kara%2C%20Malta%20BKR%201531" TargetMode="External"/><Relationship Id="rId45" Type="http://schemas.openxmlformats.org/officeDocument/2006/relationships/hyperlink" Target="https://theresincentre.com/contact-us/" TargetMode="External"/><Relationship Id="rId53" Type="http://schemas.openxmlformats.org/officeDocument/2006/relationships/hyperlink" Target="https://yellow.com.mt/c-r-plastering/waterproofing-contractors/" TargetMode="External"/><Relationship Id="rId58" Type="http://schemas.openxmlformats.org/officeDocument/2006/relationships/hyperlink" Target="https://yellow.com.mt/coverite-waterproofing_waterproofing-contractors+mosta/" TargetMode="External"/><Relationship Id="rId5" Type="http://schemas.openxmlformats.org/officeDocument/2006/relationships/hyperlink" Target="MAILTO:airsolutions@ezee.mt" TargetMode="External"/><Relationship Id="rId19" Type="http://schemas.openxmlformats.org/officeDocument/2006/relationships/hyperlink" Target="MAILTO:info@andrewvassallo.com" TargetMode="External"/><Relationship Id="rId4" Type="http://schemas.openxmlformats.org/officeDocument/2006/relationships/hyperlink" Target="MAILTO:colin@cpwaterproofing.com" TargetMode="External"/><Relationship Id="rId9" Type="http://schemas.openxmlformats.org/officeDocument/2006/relationships/hyperlink" Target="MAILTO:wp.ltd123@gmail.com" TargetMode="External"/><Relationship Id="rId14" Type="http://schemas.openxmlformats.org/officeDocument/2006/relationships/hyperlink" Target="MAILTO:azzopardiwp@gmail.com" TargetMode="External"/><Relationship Id="rId22" Type="http://schemas.openxmlformats.org/officeDocument/2006/relationships/hyperlink" Target="MAILTO:ludvic1979@gmail.com" TargetMode="External"/><Relationship Id="rId27" Type="http://schemas.openxmlformats.org/officeDocument/2006/relationships/hyperlink" Target="MAILTO:rosmanwaterproofing@hotmail.com" TargetMode="External"/><Relationship Id="rId30" Type="http://schemas.openxmlformats.org/officeDocument/2006/relationships/hyperlink" Target="MAILTO:oijwatermaintenance@gmail.com" TargetMode="External"/><Relationship Id="rId35" Type="http://schemas.openxmlformats.org/officeDocument/2006/relationships/hyperlink" Target="https://www.google.com/maps/search/?api=1&amp;query=58%2C%20Donato%20del%20Piano%20Street%2C%20Zurrieq%2CZRQ%202240" TargetMode="External"/><Relationship Id="rId43" Type="http://schemas.openxmlformats.org/officeDocument/2006/relationships/hyperlink" Target="https://www.google.com/maps/search/?api=1&amp;query=CHR%20home%20improvements%0ATriq%20Mikielang%20Sapiano%20%2C%0ALuqa%2C%20Malta%20LQA%201803" TargetMode="External"/><Relationship Id="rId48" Type="http://schemas.openxmlformats.org/officeDocument/2006/relationships/hyperlink" Target="https://cpwaterproofing.com/" TargetMode="External"/><Relationship Id="rId56" Type="http://schemas.openxmlformats.org/officeDocument/2006/relationships/hyperlink" Target="https://yellow.com.mt/azzopardi-waterproofing-ltd_waterproofing-contractors+attard/" TargetMode="External"/><Relationship Id="rId8" Type="http://schemas.openxmlformats.org/officeDocument/2006/relationships/hyperlink" Target="MAILTO:info@devalier.com.mt" TargetMode="External"/><Relationship Id="rId51" Type="http://schemas.openxmlformats.org/officeDocument/2006/relationships/hyperlink" Target="https://dv.mt/de-valtech-category/waterproofing/" TargetMode="External"/><Relationship Id="rId3" Type="http://schemas.openxmlformats.org/officeDocument/2006/relationships/hyperlink" Target="MAILTO:alexgrech.waterproofing@gmail.com" TargetMode="External"/><Relationship Id="rId12" Type="http://schemas.openxmlformats.org/officeDocument/2006/relationships/hyperlink" Target="MAILTO:mrleewaterproofing26@gmail.com" TargetMode="External"/><Relationship Id="rId17" Type="http://schemas.openxmlformats.org/officeDocument/2006/relationships/hyperlink" Target="MAILTO:jurgendalli@gmail.com" TargetMode="External"/><Relationship Id="rId25" Type="http://schemas.openxmlformats.org/officeDocument/2006/relationships/hyperlink" Target="MAILTO:michael.portelli81@gmail.com" TargetMode="External"/><Relationship Id="rId33" Type="http://schemas.openxmlformats.org/officeDocument/2006/relationships/hyperlink" Target="https://www.google.com/maps/search/?api=1&amp;query=2%2C%20Triq%20tal-Habaq%2C%20Luqa%2C%20Malta" TargetMode="External"/><Relationship Id="rId38" Type="http://schemas.openxmlformats.org/officeDocument/2006/relationships/hyperlink" Target="https://www.google.com/maps/search/?api=1&amp;query=The%20Old%20Factory%2C%20San%20Gwakkin%20Str%2C%20Zone%203%2C%20Central%20Business%20District%2C%20Mriehel%2C%20B%E2%80%99kara%2C%20CBD%203030%2C%20Malta" TargetMode="External"/><Relationship Id="rId46" Type="http://schemas.openxmlformats.org/officeDocument/2006/relationships/hyperlink" Target="https://kendawaterproofing.com/contactV3.html" TargetMode="External"/><Relationship Id="rId20" Type="http://schemas.openxmlformats.org/officeDocument/2006/relationships/hyperlink" Target="MAILTO:norob@onvol.net" TargetMode="External"/><Relationship Id="rId41" Type="http://schemas.openxmlformats.org/officeDocument/2006/relationships/hyperlink" Target="https://www.google.com/maps/search/?api=1&amp;query=C%20%26%20R%20Plastering%0ATrejqet%20il-Barrieri%20%2C%0AZurrieq%2C%20Malta%20ZRQ%203602" TargetMode="External"/><Relationship Id="rId54" Type="http://schemas.openxmlformats.org/officeDocument/2006/relationships/hyperlink" Target="https://facebook.com/mrleewaterproofing/" TargetMode="External"/><Relationship Id="rId1" Type="http://schemas.openxmlformats.org/officeDocument/2006/relationships/hyperlink" Target="MAILTO:info@theresincentre.com" TargetMode="External"/><Relationship Id="rId6" Type="http://schemas.openxmlformats.org/officeDocument/2006/relationships/hyperlink" Target="MAILTO:tnwaterproof@gmail.com" TargetMode="External"/><Relationship Id="rId15" Type="http://schemas.openxmlformats.org/officeDocument/2006/relationships/hyperlink" Target="MAILTO:caruana.chris@hotmail.com" TargetMode="External"/><Relationship Id="rId23" Type="http://schemas.openxmlformats.org/officeDocument/2006/relationships/hyperlink" Target="MAILTO:vmhome@go.net.mt" TargetMode="External"/><Relationship Id="rId28" Type="http://schemas.openxmlformats.org/officeDocument/2006/relationships/hyperlink" Target="MAILTO:jostiv@live.com" TargetMode="External"/><Relationship Id="rId36" Type="http://schemas.openxmlformats.org/officeDocument/2006/relationships/hyperlink" Target="https://www.google.com/maps/search/?api=1&amp;query=Cherry%20Blossom%20Triq%20Lorenzo%20Manche%E2%80%99%2C%20Attard%2C%20ATD%202906" TargetMode="External"/><Relationship Id="rId49" Type="http://schemas.openxmlformats.org/officeDocument/2006/relationships/hyperlink" Target="https://airsolutionslimited.com/" TargetMode="External"/><Relationship Id="rId57" Type="http://schemas.openxmlformats.org/officeDocument/2006/relationships/hyperlink" Target="https://facebook.com/CHR.home.improvements/?utm_source=Yellow&amp;utm_medium=Yellow-Website&amp;utm_campaign=Landing-Page" TargetMode="External"/><Relationship Id="rId10" Type="http://schemas.openxmlformats.org/officeDocument/2006/relationships/hyperlink" Target="MAILTO:info@389.com.mt" TargetMode="External"/><Relationship Id="rId31" Type="http://schemas.openxmlformats.org/officeDocument/2006/relationships/hyperlink" Target="https://www.google.com/maps/search/?api=1&amp;query=264%2C%20Old%20Railway%20Track%20Santa%20Venera" TargetMode="External"/><Relationship Id="rId44" Type="http://schemas.openxmlformats.org/officeDocument/2006/relationships/hyperlink" Target="https://www.google.com/maps/search/?api=1&amp;query=Coverite%20Waterproofing%0A3%20Pretty%20Lodge%20Pjazza%20San%20Leonardu%20%2C%0AMosta%2C%20Malta%20MST%201061" TargetMode="External"/><Relationship Id="rId52" Type="http://schemas.openxmlformats.org/officeDocument/2006/relationships/hyperlink" Target="https://wpmalta.com/?utm_source=Yellow&amp;utm_medium=Yellow-Website&amp;utm_campaign=Landing-Page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radosystems.eu" TargetMode="External"/><Relationship Id="rId13" Type="http://schemas.openxmlformats.org/officeDocument/2006/relationships/hyperlink" Target="MAILTO:sales@floorsofstone.com.mt" TargetMode="External"/><Relationship Id="rId18" Type="http://schemas.openxmlformats.org/officeDocument/2006/relationships/hyperlink" Target="MAILTO:info@soll.mt" TargetMode="External"/><Relationship Id="rId26" Type="http://schemas.openxmlformats.org/officeDocument/2006/relationships/hyperlink" Target="https://facebook.com/cordinamt/" TargetMode="External"/><Relationship Id="rId3" Type="http://schemas.openxmlformats.org/officeDocument/2006/relationships/hyperlink" Target="MAILTO:info@halmannvella.com" TargetMode="External"/><Relationship Id="rId21" Type="http://schemas.openxmlformats.org/officeDocument/2006/relationships/hyperlink" Target="https://halmannvella.com/" TargetMode="External"/><Relationship Id="rId7" Type="http://schemas.openxmlformats.org/officeDocument/2006/relationships/hyperlink" Target="MAILTO:msida@iperceramica.mt" TargetMode="External"/><Relationship Id="rId12" Type="http://schemas.openxmlformats.org/officeDocument/2006/relationships/hyperlink" Target="MAILTO:sales@seamless.com.mt" TargetMode="External"/><Relationship Id="rId17" Type="http://schemas.openxmlformats.org/officeDocument/2006/relationships/hyperlink" Target="MAILTO:info@bfmarbles.com" TargetMode="External"/><Relationship Id="rId25" Type="http://schemas.openxmlformats.org/officeDocument/2006/relationships/hyperlink" Target="https://facebook.com/radoflooring/" TargetMode="External"/><Relationship Id="rId2" Type="http://schemas.openxmlformats.org/officeDocument/2006/relationships/hyperlink" Target="MAILTO:info@absolute.com.mt" TargetMode="External"/><Relationship Id="rId16" Type="http://schemas.openxmlformats.org/officeDocument/2006/relationships/hyperlink" Target="MAILTO:info@distincthomes.com.mt" TargetMode="External"/><Relationship Id="rId20" Type="http://schemas.openxmlformats.org/officeDocument/2006/relationships/hyperlink" Target="https://absolute.com.mt/terrazzo/" TargetMode="External"/><Relationship Id="rId29" Type="http://schemas.openxmlformats.org/officeDocument/2006/relationships/hyperlink" Target="https://facebook.com/seamlessmalta/" TargetMode="External"/><Relationship Id="rId1" Type="http://schemas.openxmlformats.org/officeDocument/2006/relationships/hyperlink" Target="MAILTO:c.demirkiran@carradesign.com" TargetMode="External"/><Relationship Id="rId6" Type="http://schemas.openxmlformats.org/officeDocument/2006/relationships/hyperlink" Target="MAILTO:info@jpitre.com" TargetMode="External"/><Relationship Id="rId11" Type="http://schemas.openxmlformats.org/officeDocument/2006/relationships/hyperlink" Target="MAILTO:cpcamilleripatrick@gmail.com" TargetMode="External"/><Relationship Id="rId24" Type="http://schemas.openxmlformats.org/officeDocument/2006/relationships/hyperlink" Target="https://pitrebathrooms.com/contact-us" TargetMode="External"/><Relationship Id="rId5" Type="http://schemas.openxmlformats.org/officeDocument/2006/relationships/hyperlink" Target="MAILTO:sales@marbleinnovation.com" TargetMode="External"/><Relationship Id="rId15" Type="http://schemas.openxmlformats.org/officeDocument/2006/relationships/hyperlink" Target="MAILTO:info@chicliving.com.mt" TargetMode="External"/><Relationship Id="rId23" Type="http://schemas.openxmlformats.org/officeDocument/2006/relationships/hyperlink" Target="https://marbleinnovation.com/contact" TargetMode="External"/><Relationship Id="rId28" Type="http://schemas.openxmlformats.org/officeDocument/2006/relationships/hyperlink" Target="https://facebook.com/profile.php?id=100054506707941" TargetMode="External"/><Relationship Id="rId10" Type="http://schemas.openxmlformats.org/officeDocument/2006/relationships/hyperlink" Target="MAILTO:info@mrcd.com.mt" TargetMode="External"/><Relationship Id="rId19" Type="http://schemas.openxmlformats.org/officeDocument/2006/relationships/hyperlink" Target="https://facebook.com/p/Carradesign-100086413076922/" TargetMode="External"/><Relationship Id="rId4" Type="http://schemas.openxmlformats.org/officeDocument/2006/relationships/hyperlink" Target="MAILTO:info@desanamarbles.com" TargetMode="External"/><Relationship Id="rId9" Type="http://schemas.openxmlformats.org/officeDocument/2006/relationships/hyperlink" Target="MAILTO:steve@cordina.eu" TargetMode="External"/><Relationship Id="rId14" Type="http://schemas.openxmlformats.org/officeDocument/2006/relationships/hyperlink" Target="MAILTO:info@cgaleamarble.com" TargetMode="External"/><Relationship Id="rId22" Type="http://schemas.openxmlformats.org/officeDocument/2006/relationships/hyperlink" Target="https://desanamarbles.com/materials/terrazzo" TargetMode="External"/><Relationship Id="rId27" Type="http://schemas.openxmlformats.org/officeDocument/2006/relationships/hyperlink" Target="https://mrcd.com.mt/en/home.htm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electrofix.com.mt" TargetMode="External"/><Relationship Id="rId18" Type="http://schemas.openxmlformats.org/officeDocument/2006/relationships/hyperlink" Target="MAILTO:info@kcl.com.mt" TargetMode="External"/><Relationship Id="rId26" Type="http://schemas.openxmlformats.org/officeDocument/2006/relationships/hyperlink" Target="https://www.google.com/maps/search/?api=1&amp;query=Il-%C4%A6amrun%20y%20San%20Pawl%20il-Ba%C4%A7ar%2C%20Malta" TargetMode="External"/><Relationship Id="rId39" Type="http://schemas.openxmlformats.org/officeDocument/2006/relationships/hyperlink" Target="https://www.google.com/maps/search/?api=1&amp;query=BLB%20021%20Qasam%20Industrijali%2C%20Bulebel%20%2C%0AZejtun%2C%20Malta%20ZTN%203000" TargetMode="External"/><Relationship Id="rId21" Type="http://schemas.openxmlformats.org/officeDocument/2006/relationships/hyperlink" Target="MAILTO:futurahomeappliances@gmail.com" TargetMode="External"/><Relationship Id="rId34" Type="http://schemas.openxmlformats.org/officeDocument/2006/relationships/hyperlink" Target="https://www.google.com/maps/search/?api=1&amp;query=Mriehel%20Bypass%2C%20Qormi%2C%20Malta" TargetMode="External"/><Relationship Id="rId42" Type="http://schemas.openxmlformats.org/officeDocument/2006/relationships/hyperlink" Target="https://www.google.com/maps/search/?api=1&amp;query=12%20Triq%20il-Hammieri%20%2C%0AQormi%2C%20Malta" TargetMode="External"/><Relationship Id="rId47" Type="http://schemas.openxmlformats.org/officeDocument/2006/relationships/hyperlink" Target="https://flamingo.com.mt/" TargetMode="External"/><Relationship Id="rId50" Type="http://schemas.openxmlformats.org/officeDocument/2006/relationships/hyperlink" Target="https://petroni.com.mt/" TargetMode="External"/><Relationship Id="rId55" Type="http://schemas.openxmlformats.org/officeDocument/2006/relationships/hyperlink" Target="https://hotpointmalta.com/" TargetMode="External"/><Relationship Id="rId7" Type="http://schemas.openxmlformats.org/officeDocument/2006/relationships/hyperlink" Target="MAILTO:info@kcl.com.mt" TargetMode="External"/><Relationship Id="rId2" Type="http://schemas.openxmlformats.org/officeDocument/2006/relationships/hyperlink" Target="MAILTO:info@washingmachinesmalta.com" TargetMode="External"/><Relationship Id="rId16" Type="http://schemas.openxmlformats.org/officeDocument/2006/relationships/hyperlink" Target="MAILTO:adriangrech@venturamalta.com" TargetMode="External"/><Relationship Id="rId29" Type="http://schemas.openxmlformats.org/officeDocument/2006/relationships/hyperlink" Target="https://www.google.com/maps/search/?api=1&amp;query=Psaila%20Street%2C%20Birkirkara%2C%20Malta" TargetMode="External"/><Relationship Id="rId11" Type="http://schemas.openxmlformats.org/officeDocument/2006/relationships/hyperlink" Target="MAILTO:info@crosscraft.com.mt" TargetMode="External"/><Relationship Id="rId24" Type="http://schemas.openxmlformats.org/officeDocument/2006/relationships/hyperlink" Target="https://www.google.com/maps/search/?api=1&amp;query=Mrie%C4%A7el%2C%20Malta" TargetMode="External"/><Relationship Id="rId32" Type="http://schemas.openxmlformats.org/officeDocument/2006/relationships/hyperlink" Target="https://www.google.com/maps/search/?api=1&amp;query=Valley%20Road%2C%20Birkirkara%20BKR9010%2C%20Malta" TargetMode="External"/><Relationship Id="rId37" Type="http://schemas.openxmlformats.org/officeDocument/2006/relationships/hyperlink" Target="https://www.google.com/maps/search/?api=1&amp;query=Valley%20Road%2C%20Msida%2C%20Malta" TargetMode="External"/><Relationship Id="rId40" Type="http://schemas.openxmlformats.org/officeDocument/2006/relationships/hyperlink" Target="https://www.google.com/maps/search/?api=1&amp;query=6%20Triq%20Alessju%20Xuereb%20%2C%0ASan%20Gwann%2C%20Malta%20SGN%203057" TargetMode="External"/><Relationship Id="rId45" Type="http://schemas.openxmlformats.org/officeDocument/2006/relationships/hyperlink" Target="https://www.google.com/maps/search/?api=1&amp;query=60%2C%20Triq%20Dun%20Filippo%20Calleja%20%2C%0AZebbug%2C%20Malta" TargetMode="External"/><Relationship Id="rId53" Type="http://schemas.openxmlformats.org/officeDocument/2006/relationships/hyperlink" Target="https://kcl.com.m/" TargetMode="External"/><Relationship Id="rId58" Type="http://schemas.openxmlformats.org/officeDocument/2006/relationships/hyperlink" Target="https://audiomalta.com/" TargetMode="External"/><Relationship Id="rId5" Type="http://schemas.openxmlformats.org/officeDocument/2006/relationships/hyperlink" Target="MAILTO:info@teckline.com.mt" TargetMode="External"/><Relationship Id="rId61" Type="http://schemas.openxmlformats.org/officeDocument/2006/relationships/hyperlink" Target="https://forestals.com/" TargetMode="External"/><Relationship Id="rId19" Type="http://schemas.openxmlformats.org/officeDocument/2006/relationships/hyperlink" Target="MAILTO:tabletsandmoreelectronics@yahoo.com" TargetMode="External"/><Relationship Id="rId14" Type="http://schemas.openxmlformats.org/officeDocument/2006/relationships/hyperlink" Target="MAILTO:info@atoz.com.mt" TargetMode="External"/><Relationship Id="rId22" Type="http://schemas.openxmlformats.org/officeDocument/2006/relationships/hyperlink" Target="MAILTO:lorrainevassallofabri@gmail.com" TargetMode="External"/><Relationship Id="rId27" Type="http://schemas.openxmlformats.org/officeDocument/2006/relationships/hyperlink" Target="https://www.google.com/maps/search/?api=1&amp;query=Msida%2C%20Malta" TargetMode="External"/><Relationship Id="rId30" Type="http://schemas.openxmlformats.org/officeDocument/2006/relationships/hyperlink" Target="https://www.google.com/maps/search/?api=1&amp;query=22%2C%20Triq%20Sant%27%20Elija%2C%20Birkirkara%2C%20Fleur-De-Lys%2C%20Malta%20BKR%204942" TargetMode="External"/><Relationship Id="rId35" Type="http://schemas.openxmlformats.org/officeDocument/2006/relationships/hyperlink" Target="https://www.google.com/maps/search/?api=1&amp;query=26C%20Triq%20Lispiera%2C%20Swieqi%2C%20Malta" TargetMode="External"/><Relationship Id="rId43" Type="http://schemas.openxmlformats.org/officeDocument/2006/relationships/hyperlink" Target="https://www.google.com/maps/search/?api=1&amp;query=Triq%20il-Kostituzzjoni%20%2C%0AMosta%2C%20Malta%20MST%209050" TargetMode="External"/><Relationship Id="rId48" Type="http://schemas.openxmlformats.org/officeDocument/2006/relationships/hyperlink" Target="https://washingmachinesmalta.com/" TargetMode="External"/><Relationship Id="rId56" Type="http://schemas.openxmlformats.org/officeDocument/2006/relationships/hyperlink" Target="https://lava.mt/" TargetMode="External"/><Relationship Id="rId8" Type="http://schemas.openxmlformats.org/officeDocument/2006/relationships/hyperlink" Target="MAILTO:info@jshousehold.com" TargetMode="External"/><Relationship Id="rId51" Type="http://schemas.openxmlformats.org/officeDocument/2006/relationships/hyperlink" Target="https://teckline.com.mt/" TargetMode="External"/><Relationship Id="rId3" Type="http://schemas.openxmlformats.org/officeDocument/2006/relationships/hyperlink" Target="MAILTO:info@topchoice.com.mt" TargetMode="External"/><Relationship Id="rId12" Type="http://schemas.openxmlformats.org/officeDocument/2006/relationships/hyperlink" Target="MAILTO:info@audiomalta.com" TargetMode="External"/><Relationship Id="rId17" Type="http://schemas.openxmlformats.org/officeDocument/2006/relationships/hyperlink" Target="MAILTO:info@kcl.com.mt" TargetMode="External"/><Relationship Id="rId25" Type="http://schemas.openxmlformats.org/officeDocument/2006/relationships/hyperlink" Target="https://www.google.com/maps/search/?api=1&amp;query=Distribution%20Warehouse%20Center%2C%20Qormi%2C%20Malta" TargetMode="External"/><Relationship Id="rId33" Type="http://schemas.openxmlformats.org/officeDocument/2006/relationships/hyperlink" Target="https://www.google.com/maps/search/?api=1&amp;query=Zachary%20House%2C%20Marsa%20Industrial%20Estate%2C%20Marsa%20MRS%203000%2C%20Malta" TargetMode="External"/><Relationship Id="rId38" Type="http://schemas.openxmlformats.org/officeDocument/2006/relationships/hyperlink" Target="https://www.google.com/maps/search/?api=1&amp;query=Mrie%C4%A7el%20Bypass%2C%20Birkirkara%2C%20Malta" TargetMode="External"/><Relationship Id="rId46" Type="http://schemas.openxmlformats.org/officeDocument/2006/relationships/hyperlink" Target="https://www.google.com/maps/search/?api=1&amp;query=Eucharistic%20Congress%20Road%2C%20Mosta%2C%20Malta" TargetMode="External"/><Relationship Id="rId59" Type="http://schemas.openxmlformats.org/officeDocument/2006/relationships/hyperlink" Target="https://electrofixgroup.com/" TargetMode="External"/><Relationship Id="rId20" Type="http://schemas.openxmlformats.org/officeDocument/2006/relationships/hyperlink" Target="MAILTO:info@soundsmart.com.mt" TargetMode="External"/><Relationship Id="rId41" Type="http://schemas.openxmlformats.org/officeDocument/2006/relationships/hyperlink" Target="https://www.google.com/maps/search/?api=1&amp;query=22%2C%20Triq%20Sant%E2%80%99%20Elija%20%2C%0AB%E2%80%99Kara%2C%20Malta%20BKR%202064" TargetMode="External"/><Relationship Id="rId54" Type="http://schemas.openxmlformats.org/officeDocument/2006/relationships/hyperlink" Target="https://jshousehold.com/" TargetMode="External"/><Relationship Id="rId62" Type="http://schemas.openxmlformats.org/officeDocument/2006/relationships/hyperlink" Target="https://venturamalta.com/" TargetMode="External"/><Relationship Id="rId1" Type="http://schemas.openxmlformats.org/officeDocument/2006/relationships/hyperlink" Target="MAILTO:info@flamingo.com.mt" TargetMode="External"/><Relationship Id="rId6" Type="http://schemas.openxmlformats.org/officeDocument/2006/relationships/hyperlink" Target="MAILTO:info@soundmachine.com.mt" TargetMode="External"/><Relationship Id="rId15" Type="http://schemas.openxmlformats.org/officeDocument/2006/relationships/hyperlink" Target="MAILTO:info@forestals.com" TargetMode="External"/><Relationship Id="rId23" Type="http://schemas.openxmlformats.org/officeDocument/2006/relationships/hyperlink" Target="MAILTO:freddies@onvol.net" TargetMode="External"/><Relationship Id="rId28" Type="http://schemas.openxmlformats.org/officeDocument/2006/relationships/hyperlink" Target="https://www.google.com/maps/search/?api=1&amp;query=Il-%C4%A6amrun%2C%20Malta" TargetMode="External"/><Relationship Id="rId36" Type="http://schemas.openxmlformats.org/officeDocument/2006/relationships/hyperlink" Target="https://www.google.com/maps/search/?api=1&amp;query=Triq%20il-Kanun%2C%20Qormi%2C%20Malta" TargetMode="External"/><Relationship Id="rId49" Type="http://schemas.openxmlformats.org/officeDocument/2006/relationships/hyperlink" Target="https://topchoice.com.mt/" TargetMode="External"/><Relationship Id="rId57" Type="http://schemas.openxmlformats.org/officeDocument/2006/relationships/hyperlink" Target="https://crosscraft.com.mt/" TargetMode="External"/><Relationship Id="rId10" Type="http://schemas.openxmlformats.org/officeDocument/2006/relationships/hyperlink" Target="MAILTO:info@lava.mt" TargetMode="External"/><Relationship Id="rId31" Type="http://schemas.openxmlformats.org/officeDocument/2006/relationships/hyperlink" Target="https://www.google.com/maps/search/?api=1&amp;query=71%2C%20Triq%20Il-Buqexrem%2C%20Il-Fgura%2C%20Malta" TargetMode="External"/><Relationship Id="rId44" Type="http://schemas.openxmlformats.org/officeDocument/2006/relationships/hyperlink" Target="https://www.google.com/maps/search/?api=1&amp;query=220%20Triq%20in-Naxxar%20%2C%0ASan%20Gwann%2C%20Malta%20SGN%209030" TargetMode="External"/><Relationship Id="rId52" Type="http://schemas.openxmlformats.org/officeDocument/2006/relationships/hyperlink" Target="https://soundmachine.com.mt/" TargetMode="External"/><Relationship Id="rId60" Type="http://schemas.openxmlformats.org/officeDocument/2006/relationships/hyperlink" Target="https://atoz.com.mt/" TargetMode="External"/><Relationship Id="rId4" Type="http://schemas.openxmlformats.org/officeDocument/2006/relationships/hyperlink" Target="MAILTO:info@petroni.com.mt" TargetMode="External"/><Relationship Id="rId9" Type="http://schemas.openxmlformats.org/officeDocument/2006/relationships/hyperlink" Target="MAILTO:info@hotpointmalta.com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triplea.mt" TargetMode="External"/><Relationship Id="rId18" Type="http://schemas.openxmlformats.org/officeDocument/2006/relationships/hyperlink" Target="https://www.google.com/maps/search/?api=1&amp;query=Valley%20Road%2C%20Msida%2C%20Malta" TargetMode="External"/><Relationship Id="rId26" Type="http://schemas.openxmlformats.org/officeDocument/2006/relationships/hyperlink" Target="https://www.google.com/maps/search/?api=1&amp;query=Mrie%C4%A7el%2C%20Malta" TargetMode="External"/><Relationship Id="rId39" Type="http://schemas.openxmlformats.org/officeDocument/2006/relationships/hyperlink" Target="https://petroni.com.mt/" TargetMode="External"/><Relationship Id="rId21" Type="http://schemas.openxmlformats.org/officeDocument/2006/relationships/hyperlink" Target="https://www.google.com/maps/search/?api=1&amp;query=Valley%20Road%2C%20Birkirkara%20BKR9010%2C%20Malta" TargetMode="External"/><Relationship Id="rId34" Type="http://schemas.openxmlformats.org/officeDocument/2006/relationships/hyperlink" Target="https://crosscraft.com.mt/" TargetMode="External"/><Relationship Id="rId42" Type="http://schemas.openxmlformats.org/officeDocument/2006/relationships/hyperlink" Target="https://vitelmalta.com/shop/domestic-appliances/laundry-appliances/tumble-dryers/keen-tumble-dryer-10kg-dhb1053ba/" TargetMode="External"/><Relationship Id="rId7" Type="http://schemas.openxmlformats.org/officeDocument/2006/relationships/hyperlink" Target="MAILTO:info@kcl.com.mt" TargetMode="External"/><Relationship Id="rId2" Type="http://schemas.openxmlformats.org/officeDocument/2006/relationships/hyperlink" Target="MAILTO:info@forestals.com" TargetMode="External"/><Relationship Id="rId16" Type="http://schemas.openxmlformats.org/officeDocument/2006/relationships/hyperlink" Target="https://www.google.com/maps/search/?api=1&amp;query=BLB%20021%20Qasam%20Industrijali%2C%20Bulebel%20%2C%0AZejtun%2C%20Malta%20ZTN%203000" TargetMode="External"/><Relationship Id="rId29" Type="http://schemas.openxmlformats.org/officeDocument/2006/relationships/hyperlink" Target="https://www.google.com/maps/search/?api=1&amp;query=Paulson%20Home%20%26%20Hi-Fi%20Centre%2C%0ABir%20Deheb%20Road%2C%20Zejtun%2C%0AMalta" TargetMode="External"/><Relationship Id="rId1" Type="http://schemas.openxmlformats.org/officeDocument/2006/relationships/hyperlink" Target="MAILTO:adriangrech@venturamalta.com" TargetMode="External"/><Relationship Id="rId6" Type="http://schemas.openxmlformats.org/officeDocument/2006/relationships/hyperlink" Target="MAILTO:info@hotpointmalta.com" TargetMode="External"/><Relationship Id="rId11" Type="http://schemas.openxmlformats.org/officeDocument/2006/relationships/hyperlink" Target="MAILTO:info@flamingo.com.mt" TargetMode="External"/><Relationship Id="rId24" Type="http://schemas.openxmlformats.org/officeDocument/2006/relationships/hyperlink" Target="https://www.google.com/maps/search/?api=1&amp;query=Msida%2C%20Malta" TargetMode="External"/><Relationship Id="rId32" Type="http://schemas.openxmlformats.org/officeDocument/2006/relationships/hyperlink" Target="https://forestals.com/" TargetMode="External"/><Relationship Id="rId37" Type="http://schemas.openxmlformats.org/officeDocument/2006/relationships/hyperlink" Target="https://kcl.com.m/" TargetMode="External"/><Relationship Id="rId40" Type="http://schemas.openxmlformats.org/officeDocument/2006/relationships/hyperlink" Target="https://topchoice.com.mt/" TargetMode="External"/><Relationship Id="rId45" Type="http://schemas.openxmlformats.org/officeDocument/2006/relationships/hyperlink" Target="https://prochimps.com/collections/tumble-dryer" TargetMode="External"/><Relationship Id="rId5" Type="http://schemas.openxmlformats.org/officeDocument/2006/relationships/hyperlink" Target="MAILTO:customercare@homemate.com.mt" TargetMode="External"/><Relationship Id="rId15" Type="http://schemas.openxmlformats.org/officeDocument/2006/relationships/hyperlink" Target="MAILTO:info@prochimps.com" TargetMode="External"/><Relationship Id="rId23" Type="http://schemas.openxmlformats.org/officeDocument/2006/relationships/hyperlink" Target="https://www.google.com/maps/search/?api=1&amp;query=Psaila%20Street%2C%20Birkirkara%2C%20Malta" TargetMode="External"/><Relationship Id="rId28" Type="http://schemas.openxmlformats.org/officeDocument/2006/relationships/hyperlink" Target="https://www.google.com/maps/search/?api=1&amp;query=Triple%20A%20Luqa%0A1%2C%20St.%20Thomas%20Street%2C%2C%20%C4%A6al%20Luqa%20LQA%209031" TargetMode="External"/><Relationship Id="rId36" Type="http://schemas.openxmlformats.org/officeDocument/2006/relationships/hyperlink" Target="https://hotpointmalta.com/" TargetMode="External"/><Relationship Id="rId10" Type="http://schemas.openxmlformats.org/officeDocument/2006/relationships/hyperlink" Target="MAILTO:info@topchoice.com.mt" TargetMode="External"/><Relationship Id="rId19" Type="http://schemas.openxmlformats.org/officeDocument/2006/relationships/hyperlink" Target="https://www.google.com/maps/search/?api=1&amp;query=Mriehel%20Bypass%2C%20Qormi%2C%20Malta" TargetMode="External"/><Relationship Id="rId31" Type="http://schemas.openxmlformats.org/officeDocument/2006/relationships/hyperlink" Target="https://venturamalta.com/" TargetMode="External"/><Relationship Id="rId44" Type="http://schemas.openxmlformats.org/officeDocument/2006/relationships/hyperlink" Target="https://paulson.com.mt/en/shop/webshop/683/concorde-10kg-tumble-dryer---condenser" TargetMode="External"/><Relationship Id="rId4" Type="http://schemas.openxmlformats.org/officeDocument/2006/relationships/hyperlink" Target="MAILTO:info@crosscraft.com.mt" TargetMode="External"/><Relationship Id="rId9" Type="http://schemas.openxmlformats.org/officeDocument/2006/relationships/hyperlink" Target="MAILTO:info@petroni.com.mt" TargetMode="External"/><Relationship Id="rId14" Type="http://schemas.openxmlformats.org/officeDocument/2006/relationships/hyperlink" Target="MAILTO:paulsonmalta@gmail.com" TargetMode="External"/><Relationship Id="rId22" Type="http://schemas.openxmlformats.org/officeDocument/2006/relationships/hyperlink" Target="https://www.google.com/maps/search/?api=1&amp;query=22%2C%20Triq%20Sant%27%20Elija%2C%20Birkirkara%2C%20Fleur-De-Lys%2C%20Malta%20BKR%204942" TargetMode="External"/><Relationship Id="rId27" Type="http://schemas.openxmlformats.org/officeDocument/2006/relationships/hyperlink" Target="https://www.google.com/maps/search/?api=1&amp;query=Triq%20R.%20Caruana%20Dingli%20San%20Gwann%2C%20SGN%201035%20Malta." TargetMode="External"/><Relationship Id="rId30" Type="http://schemas.openxmlformats.org/officeDocument/2006/relationships/hyperlink" Target="https://www.google.com/maps/search/?api=1&amp;query=Santa%20Venera%2C%20Canon%20Road%2C%20Malta" TargetMode="External"/><Relationship Id="rId35" Type="http://schemas.openxmlformats.org/officeDocument/2006/relationships/hyperlink" Target="https://homemate.com.mt/product/midea-free-standing-tumble-dryer-white-10kg-a-class" TargetMode="External"/><Relationship Id="rId43" Type="http://schemas.openxmlformats.org/officeDocument/2006/relationships/hyperlink" Target="https://triplea.mt/contactus" TargetMode="External"/><Relationship Id="rId8" Type="http://schemas.openxmlformats.org/officeDocument/2006/relationships/hyperlink" Target="MAILTO:info@soundmachine.com.mt" TargetMode="External"/><Relationship Id="rId3" Type="http://schemas.openxmlformats.org/officeDocument/2006/relationships/hyperlink" Target="MAILTO:info@atoz.com.mt" TargetMode="External"/><Relationship Id="rId12" Type="http://schemas.openxmlformats.org/officeDocument/2006/relationships/hyperlink" Target="MAILTO:info@vitelmalta.com" TargetMode="External"/><Relationship Id="rId17" Type="http://schemas.openxmlformats.org/officeDocument/2006/relationships/hyperlink" Target="https://www.google.com/maps/search/?api=1&amp;query=Mrie%C4%A7el%20Bypass%2C%20Birkirkara%2C%20Malta" TargetMode="External"/><Relationship Id="rId25" Type="http://schemas.openxmlformats.org/officeDocument/2006/relationships/hyperlink" Target="https://www.google.com/maps/search/?api=1&amp;query=Il-%C4%A6amrun%20y%20San%20Pawl%20il-Ba%C4%A7ar%2C%20Malta" TargetMode="External"/><Relationship Id="rId33" Type="http://schemas.openxmlformats.org/officeDocument/2006/relationships/hyperlink" Target="https://atoz.com.mt/" TargetMode="External"/><Relationship Id="rId38" Type="http://schemas.openxmlformats.org/officeDocument/2006/relationships/hyperlink" Target="https://soundmachine.com.mt/" TargetMode="External"/><Relationship Id="rId20" Type="http://schemas.openxmlformats.org/officeDocument/2006/relationships/hyperlink" Target="https://www.google.com/maps/search/?api=1&amp;query=Mriehel" TargetMode="External"/><Relationship Id="rId41" Type="http://schemas.openxmlformats.org/officeDocument/2006/relationships/hyperlink" Target="https://flamingo.com.mt/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bitmacltd.com" TargetMode="External"/><Relationship Id="rId18" Type="http://schemas.openxmlformats.org/officeDocument/2006/relationships/hyperlink" Target="MAILTO:alex@gad.com.mt" TargetMode="External"/><Relationship Id="rId26" Type="http://schemas.openxmlformats.org/officeDocument/2006/relationships/hyperlink" Target="https://www.google.com/maps/search/?api=1&amp;query=13%2C%20Triq%20Ignazio%20Saverio%20Mifsud%2C%20Birkirkara%2C%20BKR1017%2C%20Malta" TargetMode="External"/><Relationship Id="rId39" Type="http://schemas.openxmlformats.org/officeDocument/2006/relationships/hyperlink" Target="https://www.google.com/maps/search/?api=1&amp;query=Valletta%2C%20Malta" TargetMode="External"/><Relationship Id="rId21" Type="http://schemas.openxmlformats.org/officeDocument/2006/relationships/hyperlink" Target="MAILTO:info@melibugeja.com.mt" TargetMode="External"/><Relationship Id="rId34" Type="http://schemas.openxmlformats.org/officeDocument/2006/relationships/hyperlink" Target="https://www.google.com/maps/search/?api=1&amp;query=27%20Triq%20Il-Vittmi%20Tax-Xog%C4%A7ol%2C%20Paola%2C%20Malta" TargetMode="External"/><Relationship Id="rId42" Type="http://schemas.openxmlformats.org/officeDocument/2006/relationships/hyperlink" Target="https://www.google.com/maps/search/?api=1&amp;query=Hal%20Mula%20Street%2C%20Garage%20number%205." TargetMode="External"/><Relationship Id="rId47" Type="http://schemas.openxmlformats.org/officeDocument/2006/relationships/hyperlink" Target="https://pjgypsumworks.com/" TargetMode="External"/><Relationship Id="rId50" Type="http://schemas.openxmlformats.org/officeDocument/2006/relationships/hyperlink" Target="https://donovan-plastering.com/" TargetMode="External"/><Relationship Id="rId55" Type="http://schemas.openxmlformats.org/officeDocument/2006/relationships/hyperlink" Target="https://grfmalta.com/" TargetMode="External"/><Relationship Id="rId7" Type="http://schemas.openxmlformats.org/officeDocument/2006/relationships/hyperlink" Target="MAILTO:pjgypsumworks@gmail.com" TargetMode="External"/><Relationship Id="rId2" Type="http://schemas.openxmlformats.org/officeDocument/2006/relationships/hyperlink" Target="MAILTO:cagypsum@onvol.net" TargetMode="External"/><Relationship Id="rId16" Type="http://schemas.openxmlformats.org/officeDocument/2006/relationships/hyperlink" Target="MAILTO:oandmgypsum.com@gmail.com" TargetMode="External"/><Relationship Id="rId29" Type="http://schemas.openxmlformats.org/officeDocument/2006/relationships/hyperlink" Target="https://www.google.com/maps/search/?api=1&amp;query=94%2C%20Emmant%2C%20Triq%20Salvu%20Aquilina%2C%20Mosta%2C%20MST%203162%2C%20Malta" TargetMode="External"/><Relationship Id="rId11" Type="http://schemas.openxmlformats.org/officeDocument/2006/relationships/hyperlink" Target="MAILTO:jattard@jcrimports.com.mt" TargetMode="External"/><Relationship Id="rId24" Type="http://schemas.openxmlformats.org/officeDocument/2006/relationships/hyperlink" Target="https://www.google.com/maps/search/?api=1&amp;query=107%2C%20Triq%20L-Istadju%2C%20Gzira%2C%20GZR%201301%2C%20Malta" TargetMode="External"/><Relationship Id="rId32" Type="http://schemas.openxmlformats.org/officeDocument/2006/relationships/hyperlink" Target="https://www.google.com/maps/search/?api=1&amp;query=49%20Triq%20Spadaro%2C%20%C4%A6a%C5%BC-%C5%BBabbar%2C%20Malta" TargetMode="External"/><Relationship Id="rId37" Type="http://schemas.openxmlformats.org/officeDocument/2006/relationships/hyperlink" Target="https://www.google.com/maps/search/?api=1&amp;query=117%20Triq%20L-Assemblea%20Nazzjonali%2C%0ASan%20Gwann%20SGN%203034%2C%20Malta" TargetMode="External"/><Relationship Id="rId40" Type="http://schemas.openxmlformats.org/officeDocument/2006/relationships/hyperlink" Target="https://www.google.com/maps/search/?api=1&amp;query=21%2C%20Triq%20Gellewza%20Sewda%2C%0AMidland%20Park%2C%20D7%0ABurmarrad%20Road%2C%20Burmarrad%20LO%20Naxxar%0AMalta" TargetMode="External"/><Relationship Id="rId45" Type="http://schemas.openxmlformats.org/officeDocument/2006/relationships/hyperlink" Target="https://dgypsumworks.com/" TargetMode="External"/><Relationship Id="rId53" Type="http://schemas.openxmlformats.org/officeDocument/2006/relationships/hyperlink" Target="https://bitmacltd.com/" TargetMode="External"/><Relationship Id="rId58" Type="http://schemas.openxmlformats.org/officeDocument/2006/relationships/hyperlink" Target="https://gad.com.mt/" TargetMode="External"/><Relationship Id="rId5" Type="http://schemas.openxmlformats.org/officeDocument/2006/relationships/hyperlink" Target="MAILTO:gplusgypsum@gmail.com" TargetMode="External"/><Relationship Id="rId61" Type="http://schemas.openxmlformats.org/officeDocument/2006/relationships/hyperlink" Target="https://melibugeja.com.mt/" TargetMode="External"/><Relationship Id="rId19" Type="http://schemas.openxmlformats.org/officeDocument/2006/relationships/hyperlink" Target="MAILTO:xil@xuerebinstall.com" TargetMode="External"/><Relationship Id="rId14" Type="http://schemas.openxmlformats.org/officeDocument/2006/relationships/hyperlink" Target="MAILTO:info@mbfmalta.com" TargetMode="External"/><Relationship Id="rId22" Type="http://schemas.openxmlformats.org/officeDocument/2006/relationships/hyperlink" Target="MAILTO:lukeattard89@gmail.com" TargetMode="External"/><Relationship Id="rId27" Type="http://schemas.openxmlformats.org/officeDocument/2006/relationships/hyperlink" Target="https://www.google.com/maps/search/?api=1&amp;query=43%2C%20Triq%20Qrajten%2C%20Tal-Pieta%27%2C%20Malta" TargetMode="External"/><Relationship Id="rId30" Type="http://schemas.openxmlformats.org/officeDocument/2006/relationships/hyperlink" Target="https://www.google.com/maps/search/?api=1&amp;query=Marsaxlokk%2C%20Malta" TargetMode="External"/><Relationship Id="rId35" Type="http://schemas.openxmlformats.org/officeDocument/2006/relationships/hyperlink" Target="https://www.google.com/maps/search/?api=1&amp;query=Triq%20Tal-Balal%2C%20San%20%C4%A0wann%2C%20Malta" TargetMode="External"/><Relationship Id="rId43" Type="http://schemas.openxmlformats.org/officeDocument/2006/relationships/hyperlink" Target="https://summit.com.mt/" TargetMode="External"/><Relationship Id="rId48" Type="http://schemas.openxmlformats.org/officeDocument/2006/relationships/hyperlink" Target="https://summit.com.mt/" TargetMode="External"/><Relationship Id="rId56" Type="http://schemas.openxmlformats.org/officeDocument/2006/relationships/hyperlink" Target="https://findit.com.mt/en/directory/listings/441/oandampm-gypsum-malta.htm" TargetMode="External"/><Relationship Id="rId8" Type="http://schemas.openxmlformats.org/officeDocument/2006/relationships/hyperlink" Target="MAILTO:pchircop76@gmail.com" TargetMode="External"/><Relationship Id="rId51" Type="http://schemas.openxmlformats.org/officeDocument/2006/relationships/hyperlink" Target="https://jcrimports.com.mt/" TargetMode="External"/><Relationship Id="rId3" Type="http://schemas.openxmlformats.org/officeDocument/2006/relationships/hyperlink" Target="MAILTO:dgypsumandlights@gmail.com" TargetMode="External"/><Relationship Id="rId12" Type="http://schemas.openxmlformats.org/officeDocument/2006/relationships/hyperlink" Target="MAILTO:info@ceilingsandwalls.com.mt" TargetMode="External"/><Relationship Id="rId17" Type="http://schemas.openxmlformats.org/officeDocument/2006/relationships/hyperlink" Target="MAILTO:Info@perfectum.mt" TargetMode="External"/><Relationship Id="rId25" Type="http://schemas.openxmlformats.org/officeDocument/2006/relationships/hyperlink" Target="https://www.google.com/maps/search/?api=1&amp;query=Triq%20Hal%20Tarxien%2C%20Il-Gudja%2C%20Malta" TargetMode="External"/><Relationship Id="rId33" Type="http://schemas.openxmlformats.org/officeDocument/2006/relationships/hyperlink" Target="https://www.google.com/maps/search/?api=1&amp;query=Triq%20In-Negozju%2C%20Mrie%C4%A7el%2C%20Birkirkara%20BKR%203000%2C%20Malta" TargetMode="External"/><Relationship Id="rId38" Type="http://schemas.openxmlformats.org/officeDocument/2006/relationships/hyperlink" Target="https://www.google.com/maps/search/?api=1&amp;query=69%2C%20Triq%20John%20Borg%2C%20Birkirkara%2C%20Malta%20BKR%201284" TargetMode="External"/><Relationship Id="rId46" Type="http://schemas.openxmlformats.org/officeDocument/2006/relationships/hyperlink" Target="https://grantsgypsumwork.com/" TargetMode="External"/><Relationship Id="rId59" Type="http://schemas.openxmlformats.org/officeDocument/2006/relationships/hyperlink" Target="https://xuerebinstall.com/" TargetMode="External"/><Relationship Id="rId20" Type="http://schemas.openxmlformats.org/officeDocument/2006/relationships/hyperlink" Target="MAILTO:josephgiordano54@gmail.com" TargetMode="External"/><Relationship Id="rId41" Type="http://schemas.openxmlformats.org/officeDocument/2006/relationships/hyperlink" Target="https://www.google.com/maps/search/?api=1&amp;query=Xuereb%20Installations%20Ltd.%20Tal-Hlas%20Road%2C%20Qormi%20QRM%205011.%20Malta" TargetMode="External"/><Relationship Id="rId54" Type="http://schemas.openxmlformats.org/officeDocument/2006/relationships/hyperlink" Target="https://mbfmalta.com/" TargetMode="External"/><Relationship Id="rId62" Type="http://schemas.openxmlformats.org/officeDocument/2006/relationships/hyperlink" Target="https://facebook.com/profile.php?id=61560664902130" TargetMode="External"/><Relationship Id="rId1" Type="http://schemas.openxmlformats.org/officeDocument/2006/relationships/hyperlink" Target="MAILTO:sales@summit.com.mt" TargetMode="External"/><Relationship Id="rId6" Type="http://schemas.openxmlformats.org/officeDocument/2006/relationships/hyperlink" Target="MAILTO:buffamalta@t4bservices.com" TargetMode="External"/><Relationship Id="rId15" Type="http://schemas.openxmlformats.org/officeDocument/2006/relationships/hyperlink" Target="MAILTO:info@grfmalta.com" TargetMode="External"/><Relationship Id="rId23" Type="http://schemas.openxmlformats.org/officeDocument/2006/relationships/hyperlink" Target="https://www.google.com/maps/search/?api=1&amp;query=Xwieki%20Road%2C%20Triq%20Tal-Balal%2C%20Tal-Balal%2C%20Iklin%2C%20IKL%209013%2C%20Malta" TargetMode="External"/><Relationship Id="rId28" Type="http://schemas.openxmlformats.org/officeDocument/2006/relationships/hyperlink" Target="https://www.google.com/maps/search/?api=1&amp;query=Valletta%20Road%2C%20Qormi%20%28frente%20a%20Maltapost%29%2C%20Malta" TargetMode="External"/><Relationship Id="rId36" Type="http://schemas.openxmlformats.org/officeDocument/2006/relationships/hyperlink" Target="https://www.google.com/maps/search/?api=1&amp;query=Riviera%20Court%2F2%2C%20Triq%20Forrest%2C%20San%20%C4%A0iljan%2C%20Malta" TargetMode="External"/><Relationship Id="rId49" Type="http://schemas.openxmlformats.org/officeDocument/2006/relationships/hyperlink" Target="https://grimainteriors.com/" TargetMode="External"/><Relationship Id="rId57" Type="http://schemas.openxmlformats.org/officeDocument/2006/relationships/hyperlink" Target="https://facebook.com/perfectummt/" TargetMode="External"/><Relationship Id="rId10" Type="http://schemas.openxmlformats.org/officeDocument/2006/relationships/hyperlink" Target="MAILTO:donovanplastermalta@gmail.com" TargetMode="External"/><Relationship Id="rId31" Type="http://schemas.openxmlformats.org/officeDocument/2006/relationships/hyperlink" Target="https://www.google.com/maps/search/?api=1&amp;query=Triq%20Luret%20Cutajar%2C%20%C4%A6a%C5%BC-%C5%BBebbu%C4%A1%20ZBG%20273%2C%20Malta" TargetMode="External"/><Relationship Id="rId44" Type="http://schemas.openxmlformats.org/officeDocument/2006/relationships/hyperlink" Target="https://cagypsummalta.com/" TargetMode="External"/><Relationship Id="rId52" Type="http://schemas.openxmlformats.org/officeDocument/2006/relationships/hyperlink" Target="https://ceilingsandwalls.com.mt/" TargetMode="External"/><Relationship Id="rId60" Type="http://schemas.openxmlformats.org/officeDocument/2006/relationships/hyperlink" Target="https://josephgiordano54.wixsite.com/josephgiordano" TargetMode="External"/><Relationship Id="rId4" Type="http://schemas.openxmlformats.org/officeDocument/2006/relationships/hyperlink" Target="MAILTO:grantgypsumwork@gmail.com" TargetMode="External"/><Relationship Id="rId9" Type="http://schemas.openxmlformats.org/officeDocument/2006/relationships/hyperlink" Target="MAILTO:grimainteriors@hotmail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dimech-ent.com" TargetMode="External"/><Relationship Id="rId13" Type="http://schemas.openxmlformats.org/officeDocument/2006/relationships/hyperlink" Target="https://probuildmalta.com/" TargetMode="External"/><Relationship Id="rId18" Type="http://schemas.openxmlformats.org/officeDocument/2006/relationships/hyperlink" Target="https://dimech-ent.com/" TargetMode="External"/><Relationship Id="rId3" Type="http://schemas.openxmlformats.org/officeDocument/2006/relationships/hyperlink" Target="MAILTO:sales@probuildmalta.com" TargetMode="External"/><Relationship Id="rId7" Type="http://schemas.openxmlformats.org/officeDocument/2006/relationships/hyperlink" Target="MAILTO:info@trendsltdmalta.com" TargetMode="External"/><Relationship Id="rId12" Type="http://schemas.openxmlformats.org/officeDocument/2006/relationships/hyperlink" Target="https://qualitypostform.com/en/products/products/21/algonquin-anti-vandal-cubicles" TargetMode="External"/><Relationship Id="rId17" Type="http://schemas.openxmlformats.org/officeDocument/2006/relationships/hyperlink" Target="https://trendsltdmalta.com/products/commercial-bathrooms/cubicles/" TargetMode="External"/><Relationship Id="rId2" Type="http://schemas.openxmlformats.org/officeDocument/2006/relationships/hyperlink" Target="MAILTO:qualitypostform@gmail.com" TargetMode="External"/><Relationship Id="rId16" Type="http://schemas.openxmlformats.org/officeDocument/2006/relationships/hyperlink" Target="https://xuerebinstall.com/our-service/demountable-partitions/" TargetMode="External"/><Relationship Id="rId1" Type="http://schemas.openxmlformats.org/officeDocument/2006/relationships/hyperlink" Target="MAILTO:marketing@crcmalta.com" TargetMode="External"/><Relationship Id="rId6" Type="http://schemas.openxmlformats.org/officeDocument/2006/relationships/hyperlink" Target="MAILTO:xil@xuerebinstall.com" TargetMode="External"/><Relationship Id="rId11" Type="http://schemas.openxmlformats.org/officeDocument/2006/relationships/hyperlink" Target="https://crcmalta.com/shop/category/partitions-cubicles-for-showers-or-w-cs-656" TargetMode="External"/><Relationship Id="rId5" Type="http://schemas.openxmlformats.org/officeDocument/2006/relationships/hyperlink" Target="MAILTO:info@devalier.com.mt" TargetMode="External"/><Relationship Id="rId15" Type="http://schemas.openxmlformats.org/officeDocument/2006/relationships/hyperlink" Target="https://dv.mt/showroom-category/office-partitions/" TargetMode="External"/><Relationship Id="rId10" Type="http://schemas.openxmlformats.org/officeDocument/2006/relationships/hyperlink" Target="MAILTO:sales@jialifucn.com" TargetMode="External"/><Relationship Id="rId19" Type="http://schemas.openxmlformats.org/officeDocument/2006/relationships/hyperlink" Target="https://jialifucn.com/compact-laminate-toilet-partitions/" TargetMode="External"/><Relationship Id="rId4" Type="http://schemas.openxmlformats.org/officeDocument/2006/relationships/hyperlink" Target="MAILTO:sales@bsl-lifestyles.com" TargetMode="External"/><Relationship Id="rId9" Type="http://schemas.openxmlformats.org/officeDocument/2006/relationships/hyperlink" Target="MAILTO:sales@shaker.com.mt" TargetMode="External"/><Relationship Id="rId14" Type="http://schemas.openxmlformats.org/officeDocument/2006/relationships/hyperlink" Target="https://bsl-lifestyles.com/product-category/partitions-panels/?offset=4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111-113%20Hompesch%20Road%2C%20Fgura" TargetMode="External"/><Relationship Id="rId2" Type="http://schemas.openxmlformats.org/officeDocument/2006/relationships/hyperlink" Target="MAILTO:info@vellabrothersandsons.com" TargetMode="External"/><Relationship Id="rId1" Type="http://schemas.openxmlformats.org/officeDocument/2006/relationships/hyperlink" Target="MAILTO:fardellhonda@gmail.com" TargetMode="External"/><Relationship Id="rId6" Type="http://schemas.openxmlformats.org/officeDocument/2006/relationships/hyperlink" Target="https://vellabrothersandsons.com/index.html" TargetMode="External"/><Relationship Id="rId5" Type="http://schemas.openxmlformats.org/officeDocument/2006/relationships/hyperlink" Target="https://fardellhonda.wixsite.com/fardellmaintenance" TargetMode="External"/><Relationship Id="rId4" Type="http://schemas.openxmlformats.org/officeDocument/2006/relationships/hyperlink" Target="https://www.google.com/maps/search/?api=1&amp;query=TA%27%20DMIEREK%20QUARRY%0Ac%2Fo%20Maghlaq%20Quarry%20-%20Panoramic%20Road%2C%0AQrendi" TargetMode="Externa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intervisions.com.mt" TargetMode="External"/><Relationship Id="rId18" Type="http://schemas.openxmlformats.org/officeDocument/2006/relationships/hyperlink" Target="https://www.google.com/maps/search/?api=1&amp;query=%E2%80%98Raycop%E2%80%99%2C%20Plot%2013%2F15%2C%20Sqaq%20iz-Ziemel%2C%20Handaq%2C%20Qormi%20QRM-4003%2C%20Malta" TargetMode="External"/><Relationship Id="rId26" Type="http://schemas.openxmlformats.org/officeDocument/2006/relationships/hyperlink" Target="https://www.google.com/maps/search/?api=1&amp;query=The%20Hillock%20-%20Block%20North%20C%208%2C%20Triq%20Il-Qolla%20S-Safra%2C%20Marsalforn%2C%20MFN%201405%2C%20Gozo" TargetMode="External"/><Relationship Id="rId39" Type="http://schemas.openxmlformats.org/officeDocument/2006/relationships/hyperlink" Target="https://dv.mt/de-valtech/" TargetMode="External"/><Relationship Id="rId21" Type="http://schemas.openxmlformats.org/officeDocument/2006/relationships/hyperlink" Target="https://www.google.com/maps/search/?api=1&amp;query=96%2C%20Triq%20Il-Kbira%20San%20Guzepp%2C%20Il-Hamrun%2C%20Malta" TargetMode="External"/><Relationship Id="rId34" Type="http://schemas.openxmlformats.org/officeDocument/2006/relationships/hyperlink" Target="https://agps.com.mt/" TargetMode="External"/><Relationship Id="rId42" Type="http://schemas.openxmlformats.org/officeDocument/2006/relationships/hyperlink" Target="https://ramilenemalta.com/" TargetMode="External"/><Relationship Id="rId7" Type="http://schemas.openxmlformats.org/officeDocument/2006/relationships/hyperlink" Target="MAILTO:uds@maltanet.net" TargetMode="External"/><Relationship Id="rId2" Type="http://schemas.openxmlformats.org/officeDocument/2006/relationships/hyperlink" Target="MAILTO:storagesys@vol.net.mt" TargetMode="External"/><Relationship Id="rId16" Type="http://schemas.openxmlformats.org/officeDocument/2006/relationships/hyperlink" Target="https://www.google.com/maps/search/?api=1&amp;query=237%2C%20Triq%20Hal%20Qormi%2C%20Marsa%2C%20MRS%209045%2C%20Malta" TargetMode="External"/><Relationship Id="rId29" Type="http://schemas.openxmlformats.org/officeDocument/2006/relationships/hyperlink" Target="https://www.google.com/maps/search/?api=1&amp;query=Valley%20Road%2C%20Msida%2C%20Malta" TargetMode="External"/><Relationship Id="rId1" Type="http://schemas.openxmlformats.org/officeDocument/2006/relationships/hyperlink" Target="MAILTO:sales@ennegiltd.com" TargetMode="External"/><Relationship Id="rId6" Type="http://schemas.openxmlformats.org/officeDocument/2006/relationships/hyperlink" Target="MAILTO:alfen@maltanet.net" TargetMode="External"/><Relationship Id="rId11" Type="http://schemas.openxmlformats.org/officeDocument/2006/relationships/hyperlink" Target="MAILTO:info@metalock.com.mt" TargetMode="External"/><Relationship Id="rId24" Type="http://schemas.openxmlformats.org/officeDocument/2006/relationships/hyperlink" Target="https://www.google.com/maps/search/?api=1&amp;query=de%20Valtech%20Building%2C%20San%20Gwakkin%20Street%2C%20Zone%203%2C%20Central%20Businees%20District%2C%20Mriehel%20CBD%203030%20Birkirkara%2C%20Malta" TargetMode="External"/><Relationship Id="rId32" Type="http://schemas.openxmlformats.org/officeDocument/2006/relationships/hyperlink" Target="https://storagesystems.com.mt/" TargetMode="External"/><Relationship Id="rId37" Type="http://schemas.openxmlformats.org/officeDocument/2006/relationships/hyperlink" Target="https://udsmalta.com/" TargetMode="External"/><Relationship Id="rId40" Type="http://schemas.openxmlformats.org/officeDocument/2006/relationships/hyperlink" Target="https://dv.mt/" TargetMode="External"/><Relationship Id="rId45" Type="http://schemas.openxmlformats.org/officeDocument/2006/relationships/hyperlink" Target="https://scengineering.com.mt/" TargetMode="External"/><Relationship Id="rId5" Type="http://schemas.openxmlformats.org/officeDocument/2006/relationships/hyperlink" Target="MAILTO:info@t4bservices.com" TargetMode="External"/><Relationship Id="rId15" Type="http://schemas.openxmlformats.org/officeDocument/2006/relationships/hyperlink" Target="MAILTO:sales@scengineering.com.mt" TargetMode="External"/><Relationship Id="rId23" Type="http://schemas.openxmlformats.org/officeDocument/2006/relationships/hyperlink" Target="https://www.google.com/maps/search/?api=1&amp;query=360%20Business%20Center%2C%20Mdina%20Road%2C%20%C4%A6a%C5%BC-%C5%BBebbu%C4%A1%2C%20ZBG%209014%2C%20Malta" TargetMode="External"/><Relationship Id="rId28" Type="http://schemas.openxmlformats.org/officeDocument/2006/relationships/hyperlink" Target="https://www.google.com/maps/search/?api=1&amp;query=Hard%20Rocks%20Industrial%20Park%2C%20Triq%20Burmarrad%2C%20Naxxar%2C%20Malta%20NXR%206345" TargetMode="External"/><Relationship Id="rId36" Type="http://schemas.openxmlformats.org/officeDocument/2006/relationships/hyperlink" Target="https://alfendisplays.com/" TargetMode="External"/><Relationship Id="rId10" Type="http://schemas.openxmlformats.org/officeDocument/2006/relationships/hyperlink" Target="MAILTO:info@devalier.com.mt" TargetMode="External"/><Relationship Id="rId19" Type="http://schemas.openxmlformats.org/officeDocument/2006/relationships/hyperlink" Target="https://www.google.com/maps/search/?api=1&amp;query=Zamco%20Buildings%2C%20Triq%20Il-Mithna%2C%20Hal%20Qormi%2C%20QRM%203103%2C%20Malta" TargetMode="External"/><Relationship Id="rId31" Type="http://schemas.openxmlformats.org/officeDocument/2006/relationships/hyperlink" Target="https://ennegiltd.com/" TargetMode="External"/><Relationship Id="rId44" Type="http://schemas.openxmlformats.org/officeDocument/2006/relationships/hyperlink" Target="https://petroleamalta.com/" TargetMode="External"/><Relationship Id="rId4" Type="http://schemas.openxmlformats.org/officeDocument/2006/relationships/hyperlink" Target="MAILTO:info@agps.com.mt" TargetMode="External"/><Relationship Id="rId9" Type="http://schemas.openxmlformats.org/officeDocument/2006/relationships/hyperlink" Target="MAILTO:info@devaltech.com" TargetMode="External"/><Relationship Id="rId14" Type="http://schemas.openxmlformats.org/officeDocument/2006/relationships/hyperlink" Target="MAILTO:info@petroleamalta.com" TargetMode="External"/><Relationship Id="rId22" Type="http://schemas.openxmlformats.org/officeDocument/2006/relationships/hyperlink" Target="https://www.google.com/maps/search/?api=1&amp;query=Factory%20C%2C%20Triq%20L-Industrija%2C%20Ix-Xewkija%20%28Gozo%29%20XWK%203000%2C%20Malta" TargetMode="External"/><Relationship Id="rId27" Type="http://schemas.openxmlformats.org/officeDocument/2006/relationships/hyperlink" Target="https://www.google.com/maps/search/?api=1&amp;query=50%2F51%2C%20Triq%20It-Torri%2C%20Birkirkara%2C%20Is-Swatar%2C%20Malta%20BKR%204011" TargetMode="External"/><Relationship Id="rId30" Type="http://schemas.openxmlformats.org/officeDocument/2006/relationships/hyperlink" Target="https://www.google.com/maps/search/?api=1&amp;query=322%2C%20Qasam%20Industrijali%20Ta%27%20Hal%20Luqa%20Hal%20Luqa%2C%20Malta" TargetMode="External"/><Relationship Id="rId35" Type="http://schemas.openxmlformats.org/officeDocument/2006/relationships/hyperlink" Target="https://t4bservices.com/" TargetMode="External"/><Relationship Id="rId43" Type="http://schemas.openxmlformats.org/officeDocument/2006/relationships/hyperlink" Target="https://intervisions.com.mt/" TargetMode="External"/><Relationship Id="rId8" Type="http://schemas.openxmlformats.org/officeDocument/2006/relationships/hyperlink" Target="MAILTO:info@360rs.com.mt" TargetMode="External"/><Relationship Id="rId3" Type="http://schemas.openxmlformats.org/officeDocument/2006/relationships/hyperlink" Target="MAILTO:dario@caravelmalta.com" TargetMode="External"/><Relationship Id="rId12" Type="http://schemas.openxmlformats.org/officeDocument/2006/relationships/hyperlink" Target="MAILTO:info@ramilenemalta.com" TargetMode="External"/><Relationship Id="rId17" Type="http://schemas.openxmlformats.org/officeDocument/2006/relationships/hyperlink" Target="https://www.google.com/maps/search/?api=1&amp;query=KW12%2C%20Zona%20Industrijali%20Ta%27%20Kordin%2C%20Coradino%2C%20Paola%2C%20Malta" TargetMode="External"/><Relationship Id="rId25"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/><Relationship Id="rId33" Type="http://schemas.openxmlformats.org/officeDocument/2006/relationships/hyperlink" Target="https://caravelmalta.com/" TargetMode="External"/><Relationship Id="rId38" Type="http://schemas.openxmlformats.org/officeDocument/2006/relationships/hyperlink" Target="https://360retailsupplies.com/" TargetMode="External"/><Relationship Id="rId20" Type="http://schemas.openxmlformats.org/officeDocument/2006/relationships/hyperlink" Target="https://www.google.com/maps/search/?api=1&amp;query=Canter%20Business%20Centre%2C%20Triq%20Patri%20Felicjan%20Bilocca%2C%20Il-Marsa%2C%20Malta" TargetMode="External"/><Relationship Id="rId41" Type="http://schemas.openxmlformats.org/officeDocument/2006/relationships/hyperlink" Target="https://metalock.com.mt/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mosta%20%2Cmalta" TargetMode="External"/><Relationship Id="rId13" Type="http://schemas.openxmlformats.org/officeDocument/2006/relationships/hyperlink" Target="https://noriva.com.mt/" TargetMode="External"/><Relationship Id="rId3" Type="http://schemas.openxmlformats.org/officeDocument/2006/relationships/hyperlink" Target="MAILTO:info@noriva.com.mt" TargetMode="External"/><Relationship Id="rId7" Type="http://schemas.openxmlformats.org/officeDocument/2006/relationships/hyperlink" Target="https://www.google.com/maps/search/?api=1&amp;query=Hamrun%2C%20Malta" TargetMode="External"/><Relationship Id="rId12" Type="http://schemas.openxmlformats.org/officeDocument/2006/relationships/hyperlink" Target="https://edusell.com.mt/" TargetMode="External"/><Relationship Id="rId2" Type="http://schemas.openxmlformats.org/officeDocument/2006/relationships/hyperlink" Target="MAILTO:info@edusell.com.mt" TargetMode="External"/><Relationship Id="rId1" Type="http://schemas.openxmlformats.org/officeDocument/2006/relationships/hyperlink" Target="MAILTO:info@unicare.com.mt" TargetMode="External"/><Relationship Id="rId6" Type="http://schemas.openxmlformats.org/officeDocument/2006/relationships/hyperlink" Target="https://www.google.com/maps/search/?api=1&amp;query=Birkirkara%2C%20Malta" TargetMode="External"/><Relationship Id="rId11" Type="http://schemas.openxmlformats.org/officeDocument/2006/relationships/hyperlink" Target="https://unicare.com.mt/" TargetMode="External"/><Relationship Id="rId5" Type="http://schemas.openxmlformats.org/officeDocument/2006/relationships/hyperlink" Target="MAILTO:info@tjnovelty.com" TargetMode="External"/><Relationship Id="rId15" Type="http://schemas.openxmlformats.org/officeDocument/2006/relationships/hyperlink" Target="https://tjnovelty.com/" TargetMode="External"/><Relationship Id="rId10" Type="http://schemas.openxmlformats.org/officeDocument/2006/relationships/hyperlink" Target="https://www.google.com/maps/search/?api=1&amp;query=triq%20Dun%20Karm%20Schembri%2CMosta%20MST%202440-MALTA" TargetMode="External"/><Relationship Id="rId4" Type="http://schemas.openxmlformats.org/officeDocument/2006/relationships/hyperlink" Target="MAILTO:info@aim.com.mt" TargetMode="External"/><Relationship Id="rId9" Type="http://schemas.openxmlformats.org/officeDocument/2006/relationships/hyperlink" Target="https://www.google.com/maps/search/?api=1&amp;query=54%20telghet%20rahal%20gdid%2CPAOLA%2CMALTA%2CPLA%201706" TargetMode="External"/><Relationship Id="rId14" Type="http://schemas.openxmlformats.org/officeDocument/2006/relationships/hyperlink" Target="https://facebook.com/AimEnterprisesLtd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magribathrooms.com" TargetMode="External"/><Relationship Id="rId299" Type="http://schemas.openxmlformats.org/officeDocument/2006/relationships/hyperlink" Target="https://mrcd.com.mt/" TargetMode="External"/><Relationship Id="rId21" Type="http://schemas.openxmlformats.org/officeDocument/2006/relationships/hyperlink" Target="MAILTO:sales@thetubmalta.com" TargetMode="External"/><Relationship Id="rId63" Type="http://schemas.openxmlformats.org/officeDocument/2006/relationships/hyperlink" Target="MAILTO:info@fbpmalta.com" TargetMode="External"/><Relationship Id="rId159" Type="http://schemas.openxmlformats.org/officeDocument/2006/relationships/hyperlink" Target="https://www.google.com/maps/search/?api=1&amp;query=313A%2C%20Triq%20il-Barrieri%2C%20St%20Venera" TargetMode="External"/><Relationship Id="rId324" Type="http://schemas.openxmlformats.org/officeDocument/2006/relationships/hyperlink" Target="https://facebook.com/classicbathroom/" TargetMode="External"/><Relationship Id="rId366" Type="http://schemas.openxmlformats.org/officeDocument/2006/relationships/hyperlink" Target="https://iperceramica.it/" TargetMode="External"/><Relationship Id="rId170" Type="http://schemas.openxmlformats.org/officeDocument/2006/relationships/hyperlink" Target="https://www.google.com/maps/search/?api=1&amp;query=E.Grech%20Cristal%20Bath%2C%20%0APsaila%20Street%2C%0ABirkirkara%2C%20BKR%209076%2C%20Malta." TargetMode="External"/><Relationship Id="rId226" Type="http://schemas.openxmlformats.org/officeDocument/2006/relationships/hyperlink" Target="https://www.google.com/maps/search/?api=1&amp;query=115%20Vjal%20iI-Blue%20Grotto%2C%20Zurrieq%2C%20Malta%20ZRQ%204015" TargetMode="External"/><Relationship Id="rId268" Type="http://schemas.openxmlformats.org/officeDocument/2006/relationships/hyperlink" Target="https://www.google.com/maps/search/?api=1&amp;query=New%20Street%2C%20Vjal%20Il-Labour%2C%20Nax%2C%20Malta" TargetMode="External"/><Relationship Id="rId32" Type="http://schemas.openxmlformats.org/officeDocument/2006/relationships/hyperlink" Target="MAILTO:cristalbath@onvol.net" TargetMode="External"/><Relationship Id="rId74" Type="http://schemas.openxmlformats.org/officeDocument/2006/relationships/hyperlink" Target="MAILTO:meli@avantebathrooms.com" TargetMode="External"/><Relationship Id="rId128" Type="http://schemas.openxmlformats.org/officeDocument/2006/relationships/hyperlink" Target="MAILTO:sales@bmsupplies.com" TargetMode="External"/><Relationship Id="rId335" Type="http://schemas.openxmlformats.org/officeDocument/2006/relationships/hyperlink" Target="https://facebook.com/Vellmann/" TargetMode="External"/><Relationship Id="rId377" Type="http://schemas.openxmlformats.org/officeDocument/2006/relationships/hyperlink" Target="https://facebook.com/Vellmann/" TargetMode="External"/><Relationship Id="rId5" Type="http://schemas.openxmlformats.org/officeDocument/2006/relationships/hyperlink" Target="MAILTO:info@jpitre.com" TargetMode="External"/><Relationship Id="rId181" Type="http://schemas.openxmlformats.org/officeDocument/2006/relationships/hyperlink" Target="https://www.google.com/maps/search/?api=1&amp;query=Triq%20Dun%20Karm%20B%27Kara%20By%20Pass%2C%20B%27Kara%2C%20Malta%20BKR%202940" TargetMode="External"/><Relationship Id="rId237" Type="http://schemas.openxmlformats.org/officeDocument/2006/relationships/hyperlink" Target="https://www.google.com/maps/search/?api=1&amp;query=120%20Triq%20il-Kullegg%2C%20Rabat%2C%20Malta%20RBT%201408" TargetMode="External"/><Relationship Id="rId402" Type="http://schemas.openxmlformats.org/officeDocument/2006/relationships/hyperlink" Target="https://falzons.com/" TargetMode="External"/><Relationship Id="rId279" Type="http://schemas.openxmlformats.org/officeDocument/2006/relationships/hyperlink" Target="https://pitrebathrooms.com/" TargetMode="External"/><Relationship Id="rId43" Type="http://schemas.openxmlformats.org/officeDocument/2006/relationships/hyperlink" Target="MAILTO:bc.bathrooms@gmail.com" TargetMode="External"/><Relationship Id="rId139" Type="http://schemas.openxmlformats.org/officeDocument/2006/relationships/hyperlink" Target="https://www.google.com/maps/search/?api=1&amp;query=Triq%20Papa%20Gwanni%20Pawlu%20ll%2C%20Victoria-Gozo%2C%20Gozo%20VCT%209046" TargetMode="External"/><Relationship Id="rId290" Type="http://schemas.openxmlformats.org/officeDocument/2006/relationships/hyperlink" Target="https://vellmann.com/" TargetMode="External"/><Relationship Id="rId304" Type="http://schemas.openxmlformats.org/officeDocument/2006/relationships/hyperlink" Target="https://absolute.com.mt/" TargetMode="External"/><Relationship Id="rId346" Type="http://schemas.openxmlformats.org/officeDocument/2006/relationships/hyperlink" Target="https://alexmercieca.com/" TargetMode="External"/><Relationship Id="rId388" Type="http://schemas.openxmlformats.org/officeDocument/2006/relationships/hyperlink" Target="https://casamiamalta.com/" TargetMode="External"/><Relationship Id="rId85" Type="http://schemas.openxmlformats.org/officeDocument/2006/relationships/hyperlink" Target="MAILTO:info@chicliving.com.mt" TargetMode="External"/><Relationship Id="rId150" Type="http://schemas.openxmlformats.org/officeDocument/2006/relationships/hyperlink" Target="https://www.google.com/maps/search/?api=1&amp;query=13%2C%20Triq%20il-Furnar%20Qormi%20QRM%203504%2C%20Malta" TargetMode="External"/><Relationship Id="rId192" Type="http://schemas.openxmlformats.org/officeDocument/2006/relationships/hyperlink" Target="https://www.google.com/maps/search/?api=1&amp;query=Zone%203%20Triq%20I-Intornjatur%2C%20Zona%20Industrjali%2C%20Mriehel%2C%20B%27Kara%2C%20Malta%20BKR%203000" TargetMode="External"/><Relationship Id="rId206" Type="http://schemas.openxmlformats.org/officeDocument/2006/relationships/hyperlink" Target="https://www.google.com/maps/search/?api=1&amp;query=Zone%203%20Triq%20San%20Gwakkin%20Central%20Business%20District%2C%20B%27kara%2C%20Malta%20CBD%203030" TargetMode="External"/><Relationship Id="rId248" Type="http://schemas.openxmlformats.org/officeDocument/2006/relationships/hyperlink" Target="https://www.google.com/maps/search/?api=1&amp;query=358%20Triq%20in-Naxxar%2C%20B%27Kara%2C%20Malta%20BKR%209040" TargetMode="External"/><Relationship Id="rId12" Type="http://schemas.openxmlformats.org/officeDocument/2006/relationships/hyperlink" Target="MAILTO:simonbonnicimarble@gmail.com" TargetMode="External"/><Relationship Id="rId108" Type="http://schemas.openxmlformats.org/officeDocument/2006/relationships/hyperlink" Target="MAILTO:meli@avantebathrooms.com" TargetMode="External"/><Relationship Id="rId315" Type="http://schemas.openxmlformats.org/officeDocument/2006/relationships/hyperlink" Target="https://absolute.com.mt/" TargetMode="External"/><Relationship Id="rId357" Type="http://schemas.openxmlformats.org/officeDocument/2006/relationships/hyperlink" Target="https://facebook.com/bubblesbathroomsmalta/" TargetMode="External"/><Relationship Id="rId54" Type="http://schemas.openxmlformats.org/officeDocument/2006/relationships/hyperlink" Target="MAILTO:modabagnor@gmail.com" TargetMode="External"/><Relationship Id="rId96" Type="http://schemas.openxmlformats.org/officeDocument/2006/relationships/hyperlink" Target="MAILTO:michaelnuovobagno@gmail.com" TargetMode="External"/><Relationship Id="rId161" Type="http://schemas.openxmlformats.org/officeDocument/2006/relationships/hyperlink" Target="https://www.google.com/maps/search/?api=1&amp;query=435%20St.%20Joseph%20High%20Road%2C%20St.%20Venera%2C%20Malta" TargetMode="External"/><Relationship Id="rId217" Type="http://schemas.openxmlformats.org/officeDocument/2006/relationships/hyperlink" Target="https://www.google.com/maps/search/?api=1&amp;query=Bilom%20T%2FG%20fi%20triq%20l-Imdina%2C%20Zebbug%2C%20Malta" TargetMode="External"/><Relationship Id="rId399" Type="http://schemas.openxmlformats.org/officeDocument/2006/relationships/hyperlink" Target="https://idealbathrooms.com.mt/" TargetMode="External"/><Relationship Id="rId259" Type="http://schemas.openxmlformats.org/officeDocument/2006/relationships/hyperlink" Target="https://www.google.com/maps/search/?api=1&amp;query=1%20Lenger%2C%20Court%20A%2C%20Triq%20Mons%20Pawlu%20Mallia%2C%20Gudja%2C%20Malta" TargetMode="External"/><Relationship Id="rId23" Type="http://schemas.openxmlformats.org/officeDocument/2006/relationships/hyperlink" Target="MAILTO:sales@carinibathrooms.com" TargetMode="External"/><Relationship Id="rId119" Type="http://schemas.openxmlformats.org/officeDocument/2006/relationships/hyperlink" Target="MAILTO:info@vellmann.com" TargetMode="External"/><Relationship Id="rId270" Type="http://schemas.openxmlformats.org/officeDocument/2006/relationships/hyperlink" Target="https://www.google.com/maps/search/?api=1&amp;query=26B%2C%20Marsa%20Industrial%20Estate%2C%20Marsa%20MRS%203000" TargetMode="External"/><Relationship Id="rId326" Type="http://schemas.openxmlformats.org/officeDocument/2006/relationships/hyperlink" Target="https://iperceramica.it/" TargetMode="External"/><Relationship Id="rId65" Type="http://schemas.openxmlformats.org/officeDocument/2006/relationships/hyperlink" Target="MAILTO:info@egrechcristalbath.com" TargetMode="External"/><Relationship Id="rId130" Type="http://schemas.openxmlformats.org/officeDocument/2006/relationships/hyperlink" Target="MAILTO:info@ssbathrooms.com" TargetMode="External"/><Relationship Id="rId368" Type="http://schemas.openxmlformats.org/officeDocument/2006/relationships/hyperlink" Target="https://facebook.com/keramitbathrooms/" TargetMode="External"/><Relationship Id="rId172" Type="http://schemas.openxmlformats.org/officeDocument/2006/relationships/hyperlink" Target="https://www.google.com/maps/search/?api=1&amp;query=Triq%20Salvu%20Psaila%2C%20B%27Kara%2C%20Matla%20BKR%209076" TargetMode="External"/><Relationship Id="rId228" Type="http://schemas.openxmlformats.org/officeDocument/2006/relationships/hyperlink" Target="https://www.google.com/maps/search/?api=1&amp;query=Triq%20iI-Wied%20ta%27%20I-Imsida%2C%20Msida%2C%20Malta" TargetMode="External"/><Relationship Id="rId281" Type="http://schemas.openxmlformats.org/officeDocument/2006/relationships/hyperlink" Target="https://bridgepoint.com/" TargetMode="External"/><Relationship Id="rId337" Type="http://schemas.openxmlformats.org/officeDocument/2006/relationships/hyperlink" Target="https://carinibathrooms.com/" TargetMode="External"/><Relationship Id="rId34" Type="http://schemas.openxmlformats.org/officeDocument/2006/relationships/hyperlink" Target="MAILTO:info@egrechcristalbath.com" TargetMode="External"/><Relationship Id="rId76" Type="http://schemas.openxmlformats.org/officeDocument/2006/relationships/hyperlink" Target="MAILTO:info@bathlinemalta.com" TargetMode="External"/><Relationship Id="rId141" Type="http://schemas.openxmlformats.org/officeDocument/2006/relationships/hyperlink" Target="https://www.google.com/maps/search/?api=1&amp;query=Paola%20Outlet%20Arcade%20Street%2C%20Paola%20PLA1212" TargetMode="External"/><Relationship Id="rId379" Type="http://schemas.openxmlformats.org/officeDocument/2006/relationships/hyperlink" Target="https://deluxe-bathrooms.com/" TargetMode="External"/><Relationship Id="rId7" Type="http://schemas.openxmlformats.org/officeDocument/2006/relationships/hyperlink" Target="MAILTO:sales@bridgepoint.com.mt" TargetMode="External"/><Relationship Id="rId183" Type="http://schemas.openxmlformats.org/officeDocument/2006/relationships/hyperlink" Target="https://www.google.com/maps/search/?api=1&amp;query=1%20Triq%20I-Isqof%20Labini%2C%20B%27Kara%2C%20Malta%20BKR%201270" TargetMode="External"/><Relationship Id="rId239" Type="http://schemas.openxmlformats.org/officeDocument/2006/relationships/hyperlink" Target="https://www.google.com/maps/search/?api=1&amp;query=Triq%20il-Wied%20ta%27Imsida%2C%20Msida%2C%20Malta%20MSD%209022" TargetMode="External"/><Relationship Id="rId390" Type="http://schemas.openxmlformats.org/officeDocument/2006/relationships/hyperlink" Target="https://farellbathrooms.com/" TargetMode="External"/><Relationship Id="rId404" Type="http://schemas.openxmlformats.org/officeDocument/2006/relationships/hyperlink" Target="https://alexmercieca.com/" TargetMode="External"/><Relationship Id="rId250" Type="http://schemas.openxmlformats.org/officeDocument/2006/relationships/hyperlink" Target="https://www.google.com/maps/search/?api=1&amp;query=11%20Triq%20I-Imdina%2C%20Attard%2C%20Malta%20ATD%209036" TargetMode="External"/><Relationship Id="rId292" Type="http://schemas.openxmlformats.org/officeDocument/2006/relationships/hyperlink" Target="https://wwwjcrimports.com.mt/" TargetMode="External"/><Relationship Id="rId306" Type="http://schemas.openxmlformats.org/officeDocument/2006/relationships/hyperlink" Target="https://fino.com.mt/" TargetMode="External"/><Relationship Id="rId45" Type="http://schemas.openxmlformats.org/officeDocument/2006/relationships/hyperlink" Target="MAILTO:calbrosltd@gmail.com" TargetMode="External"/><Relationship Id="rId87" Type="http://schemas.openxmlformats.org/officeDocument/2006/relationships/hyperlink" Target="MAILTO:info@creationsomni.com" TargetMode="External"/><Relationship Id="rId110" Type="http://schemas.openxmlformats.org/officeDocument/2006/relationships/hyperlink" Target="MAILTO:info@bathroomdesign.com.mt" TargetMode="External"/><Relationship Id="rId348" Type="http://schemas.openxmlformats.org/officeDocument/2006/relationships/hyperlink" Target="https://afellis.com.mt/" TargetMode="External"/><Relationship Id="rId152" Type="http://schemas.openxmlformats.org/officeDocument/2006/relationships/hyperlink" Target="https://www.google.com/maps/search/?api=1&amp;query=Triq%20il-Kanun%2C%20al%20Qormi%2C%20Malta" TargetMode="External"/><Relationship Id="rId194" Type="http://schemas.openxmlformats.org/officeDocument/2006/relationships/hyperlink" Target="https://www.google.com/maps/search/?api=1&amp;query=Triq%20San%20Bartolomew%2C%20Qormi%2C%20Malta" TargetMode="External"/><Relationship Id="rId208" Type="http://schemas.openxmlformats.org/officeDocument/2006/relationships/hyperlink" Target="https://www.google.com/maps/search/?api=1&amp;query=25th%20November%20Avenue%2C%20Zejtun%2C%20ZTN2019" TargetMode="External"/><Relationship Id="rId261" Type="http://schemas.openxmlformats.org/officeDocument/2006/relationships/hyperlink" Target="https://www.google.com/maps/search/?api=1&amp;query=Building%2046%20Crafts%20Village%20Ta%27%20Qali%2C%20Attard%2C%20Malta%20ATD%204000" TargetMode="External"/><Relationship Id="rId14" Type="http://schemas.openxmlformats.org/officeDocument/2006/relationships/hyperlink" Target="MAILTO:naasan.co@gmail.com" TargetMode="External"/><Relationship Id="rId56" Type="http://schemas.openxmlformats.org/officeDocument/2006/relationships/hyperlink" Target="MAILTO:adrian@esclmalta.com" TargetMode="External"/><Relationship Id="rId317" Type="http://schemas.openxmlformats.org/officeDocument/2006/relationships/hyperlink" Target="https://facebook.com/avantebathrooms/" TargetMode="External"/><Relationship Id="rId359" Type="http://schemas.openxmlformats.org/officeDocument/2006/relationships/hyperlink" Target="https://facebook.com/Calbros-Bathrooms-Ltd" TargetMode="External"/><Relationship Id="rId98" Type="http://schemas.openxmlformats.org/officeDocument/2006/relationships/hyperlink" Target="MAILTO:info@ssbathrooms.com" TargetMode="External"/><Relationship Id="rId121" Type="http://schemas.openxmlformats.org/officeDocument/2006/relationships/hyperlink" Target="MAILTO:sales@wc.mt" TargetMode="External"/><Relationship Id="rId163" Type="http://schemas.openxmlformats.org/officeDocument/2006/relationships/hyperlink" Target="https://www.google.com/maps/search/?api=1&amp;query=Triq%20II-Mosta%2C%20Lija%2C%20Malta" TargetMode="External"/><Relationship Id="rId219" Type="http://schemas.openxmlformats.org/officeDocument/2006/relationships/hyperlink" Target="https://www.google.com/maps/search/?api=1&amp;query=Triq%20Fortunato%20Mizzi%2C%20Victoria-Gozo%2C%20Gozo%20VCT%202687" TargetMode="External"/><Relationship Id="rId370" Type="http://schemas.openxmlformats.org/officeDocument/2006/relationships/hyperlink" Target="https://facebook.com/ModaBagnoMalta" TargetMode="External"/><Relationship Id="rId230" Type="http://schemas.openxmlformats.org/officeDocument/2006/relationships/hyperlink" Target="https://www.google.com/maps/search/?api=1&amp;query=Naxxar%2C%20Malta%20NXR%206345" TargetMode="External"/><Relationship Id="rId25" Type="http://schemas.openxmlformats.org/officeDocument/2006/relationships/hyperlink" Target="MAILTO:jysk@jysk.com.mt" TargetMode="External"/><Relationship Id="rId67" Type="http://schemas.openxmlformats.org/officeDocument/2006/relationships/hyperlink" Target="MAILTO:info@hallmannvella.com" TargetMode="External"/><Relationship Id="rId272" Type="http://schemas.openxmlformats.org/officeDocument/2006/relationships/hyperlink" Target="https://www.google.com/maps/search/?api=1&amp;query=12%20Olt%20Trafford%2C%20Dun%20Filippu%20Borg%2C%20Birkirkara%2C%20Malta" TargetMode="External"/><Relationship Id="rId328" Type="http://schemas.openxmlformats.org/officeDocument/2006/relationships/hyperlink" Target="https://facebook.com/keramitbathrooms/" TargetMode="External"/><Relationship Id="rId132" Type="http://schemas.openxmlformats.org/officeDocument/2006/relationships/hyperlink" Target="MAILTO:info@floatglassltd.com" TargetMode="External"/><Relationship Id="rId174" Type="http://schemas.openxmlformats.org/officeDocument/2006/relationships/hyperlink" Target="https://www.google.com/maps/search/?api=1&amp;query=Triq%20Joe%20Sciberras%2C%20Hamrun%2C%20Malta%20HMR%201550" TargetMode="External"/><Relationship Id="rId381" Type="http://schemas.openxmlformats.org/officeDocument/2006/relationships/hyperlink" Target="https://alexmercieca.com/" TargetMode="External"/><Relationship Id="rId241" Type="http://schemas.openxmlformats.org/officeDocument/2006/relationships/hyperlink" Target="https://www.google.com/maps/search/?api=1&amp;query=9%20Triq%20Geronimo%20Abos%2C%20Iklin%2C%20Malta%20IKL%201022" TargetMode="External"/><Relationship Id="rId36" Type="http://schemas.openxmlformats.org/officeDocument/2006/relationships/hyperlink" Target="MAILTO:custobathrooms@gmail.com" TargetMode="External"/><Relationship Id="rId283" Type="http://schemas.openxmlformats.org/officeDocument/2006/relationships/hyperlink" Target="https://alexmercieca.com/" TargetMode="External"/><Relationship Id="rId339" Type="http://schemas.openxmlformats.org/officeDocument/2006/relationships/hyperlink" Target="https://fbpmalta.com/" TargetMode="External"/><Relationship Id="rId78" Type="http://schemas.openxmlformats.org/officeDocument/2006/relationships/hyperlink" Target="MAILTO:bc.bathrooms@gmail.com" TargetMode="External"/><Relationship Id="rId101" Type="http://schemas.openxmlformats.org/officeDocument/2006/relationships/hyperlink" Target="MAILTO:info@vellafalzon.com" TargetMode="External"/><Relationship Id="rId143" Type="http://schemas.openxmlformats.org/officeDocument/2006/relationships/hyperlink" Target="https://www.google.com/maps/search/?api=1&amp;query=Triq%20Dun%20Karm%2C%20Birkirkara%2C%20Malta" TargetMode="External"/><Relationship Id="rId185" Type="http://schemas.openxmlformats.org/officeDocument/2006/relationships/hyperlink" Target="https://www.google.com/maps/search/?api=1&amp;query=118%20Triq%20iI-Kullegg%2C%20Rabat%2C%20Malta%20RBT%201408" TargetMode="External"/><Relationship Id="rId350" Type="http://schemas.openxmlformats.org/officeDocument/2006/relationships/hyperlink" Target="https://facebook.com/avantebathrooms/" TargetMode="External"/><Relationship Id="rId406" Type="http://schemas.openxmlformats.org/officeDocument/2006/relationships/hyperlink" Target="https://bathroomdesign.com.mt/" TargetMode="External"/><Relationship Id="rId9" Type="http://schemas.openxmlformats.org/officeDocument/2006/relationships/hyperlink" Target="MAILTO:info@alexmercieca.com" TargetMode="External"/><Relationship Id="rId210" Type="http://schemas.openxmlformats.org/officeDocument/2006/relationships/hyperlink" Target="https://www.google.com/maps/search/?api=1&amp;query=Triq%20il-Taflija%20Qasam%20Industrijali%2C%20Xewkija-Gozo%2C%20Gozo%20XWK%203000" TargetMode="External"/><Relationship Id="rId392" Type="http://schemas.openxmlformats.org/officeDocument/2006/relationships/hyperlink" Target="https://magribathrooms.com/" TargetMode="External"/><Relationship Id="rId252" Type="http://schemas.openxmlformats.org/officeDocument/2006/relationships/hyperlink" Target="https://www.google.com/maps/search/?api=1&amp;query=Triq%20Durumblat%2C%20II-Mosta%2C%20MST%204816" TargetMode="External"/><Relationship Id="rId294" Type="http://schemas.openxmlformats.org/officeDocument/2006/relationships/hyperlink" Target="https://maltadiy.com/" TargetMode="External"/><Relationship Id="rId308" Type="http://schemas.openxmlformats.org/officeDocument/2006/relationships/hyperlink" Target="https://goldenhouse.mt/" TargetMode="External"/><Relationship Id="rId47" Type="http://schemas.openxmlformats.org/officeDocument/2006/relationships/hyperlink" Target="MAILTO:classic-bathrooms@outlook.com" TargetMode="External"/><Relationship Id="rId89" Type="http://schemas.openxmlformats.org/officeDocument/2006/relationships/hyperlink" Target="MAILTO:info@hauz.mt" TargetMode="External"/><Relationship Id="rId112" Type="http://schemas.openxmlformats.org/officeDocument/2006/relationships/hyperlink" Target="MAILTO:cgrarbles@gmail.com" TargetMode="External"/><Relationship Id="rId154" Type="http://schemas.openxmlformats.org/officeDocument/2006/relationships/hyperlink" Target="https://www.google.com/maps/search/?api=1&amp;query=Falzon%27s%20Bathroom%20%26%20Ceramics%2C%20Triq%20il-Kummerc%2C%20Qormi%2C%20Malta" TargetMode="External"/><Relationship Id="rId361" Type="http://schemas.openxmlformats.org/officeDocument/2006/relationships/hyperlink" Target="https://chicliving.com.mt/" TargetMode="External"/><Relationship Id="rId196" Type="http://schemas.openxmlformats.org/officeDocument/2006/relationships/hyperlink" Target="https://www.google.com/maps/search/?api=1&amp;query=120%20Triq%20il-Kullegg%2C%20Rabat%2C%20Malta%20RBT%201408" TargetMode="External"/><Relationship Id="rId16" Type="http://schemas.openxmlformats.org/officeDocument/2006/relationships/hyperlink" Target="MAILTO:info@magribathrooms.com" TargetMode="External"/><Relationship Id="rId221" Type="http://schemas.openxmlformats.org/officeDocument/2006/relationships/hyperlink" Target="https://www.google.com/maps/search/?api=1&amp;query=1%20Triq%20I-Isqof%20Labini%2C%20B%27Kara%2C%20Malta%20BKR%201270" TargetMode="External"/><Relationship Id="rId263" Type="http://schemas.openxmlformats.org/officeDocument/2006/relationships/hyperlink" Target="https://www.google.com/maps/search/?api=1&amp;query=435%20St.%20Joseph%20High%20Road%2C%20St.%20Venera%2C%20Malta" TargetMode="External"/><Relationship Id="rId319" Type="http://schemas.openxmlformats.org/officeDocument/2006/relationships/hyperlink" Target="https://bathroomdesign.com.mt/" TargetMode="External"/><Relationship Id="rId58" Type="http://schemas.openxmlformats.org/officeDocument/2006/relationships/hyperlink" Target="MAILTO:jg375@maltanet.net" TargetMode="External"/><Relationship Id="rId123" Type="http://schemas.openxmlformats.org/officeDocument/2006/relationships/hyperlink" Target="MAILTO:verredemic@onvol.net" TargetMode="External"/><Relationship Id="rId330" Type="http://schemas.openxmlformats.org/officeDocument/2006/relationships/hyperlink" Target="https://facebook.com/ModaBagnoMalta" TargetMode="External"/><Relationship Id="rId165" Type="http://schemas.openxmlformats.org/officeDocument/2006/relationships/hyperlink" Target="https://www.google.com/maps/search/?api=1&amp;query=Triq%20Pantar%2C%20Hal%20Lija" TargetMode="External"/><Relationship Id="rId372" Type="http://schemas.openxmlformats.org/officeDocument/2006/relationships/hyperlink" Target="https://propertyservicesltd.com/" TargetMode="External"/><Relationship Id="rId232" Type="http://schemas.openxmlformats.org/officeDocument/2006/relationships/hyperlink" Target="https://www.google.com/maps/search/?api=1&amp;query=Triq%20iI-Kanun%2C%20Qormi%2C%20Malta%20QRM%209039" TargetMode="External"/><Relationship Id="rId274" Type="http://schemas.openxmlformats.org/officeDocument/2006/relationships/hyperlink" Target="https://www.google.com/maps/search/?api=1&amp;query=MRCD%20Building%2C%0AKarmenu%20Camilleri%20Street%2C%0AQormi%2C%20QRM4631" TargetMode="External"/><Relationship Id="rId27" Type="http://schemas.openxmlformats.org/officeDocument/2006/relationships/hyperlink" Target="MAILTO:info@absolute.com.mt" TargetMode="External"/><Relationship Id="rId48" Type="http://schemas.openxmlformats.org/officeDocument/2006/relationships/hyperlink" Target="MAILTO:info@farellbathrooms.com" TargetMode="External"/><Relationship Id="rId69" Type="http://schemas.openxmlformats.org/officeDocument/2006/relationships/hyperlink" Target="MAILTO:custobathrooms@gmail.com" TargetMode="External"/><Relationship Id="rId113" Type="http://schemas.openxmlformats.org/officeDocument/2006/relationships/hyperlink" Target="MAILTO:info@casamiamalta.com" TargetMode="External"/><Relationship Id="rId134" Type="http://schemas.openxmlformats.org/officeDocument/2006/relationships/hyperlink" Target="MAILTO:sales@bridgepoint.com.mt" TargetMode="External"/><Relationship Id="rId320" Type="http://schemas.openxmlformats.org/officeDocument/2006/relationships/hyperlink" Target="https://bc-bathrooms.com/" TargetMode="External"/><Relationship Id="rId80" Type="http://schemas.openxmlformats.org/officeDocument/2006/relationships/hyperlink" Target="MAILTO:info@blaugrana.com.mt" TargetMode="External"/><Relationship Id="rId155" Type="http://schemas.openxmlformats.org/officeDocument/2006/relationships/hyperlink" Target="https://www.google.com/maps/search/?api=1&amp;query=160%2C%20Mdina%20Road%2C%20Zebbug%20ZBG9015" TargetMode="External"/><Relationship Id="rId176" Type="http://schemas.openxmlformats.org/officeDocument/2006/relationships/hyperlink" Target="https://www.google.com/maps/search/?api=1&amp;query=Triq%20Pantar%2C%20Hal%20Lija" TargetMode="External"/><Relationship Id="rId197" Type="http://schemas.openxmlformats.org/officeDocument/2006/relationships/hyperlink" Target="https://www.google.com/maps/search/?api=1&amp;query=Pantar%20Estate%20Triq%20Pantar" TargetMode="External"/><Relationship Id="rId341" Type="http://schemas.openxmlformats.org/officeDocument/2006/relationships/hyperlink" Target="https://egrechcristalbath.com/" TargetMode="External"/><Relationship Id="rId362" Type="http://schemas.openxmlformats.org/officeDocument/2006/relationships/hyperlink" Target="https://facebook.com/classicbathroom/" TargetMode="External"/><Relationship Id="rId383" Type="http://schemas.openxmlformats.org/officeDocument/2006/relationships/hyperlink" Target="https://facebook.com/avantebathrooms/" TargetMode="External"/><Relationship Id="rId201" Type="http://schemas.openxmlformats.org/officeDocument/2006/relationships/hyperlink" Target="https://www.google.com/maps/search/?api=1&amp;query=139%2C%20Bajada%20Street%20ZBR%203011%20Zabbar%2C%20Malta" TargetMode="External"/><Relationship Id="rId222" Type="http://schemas.openxmlformats.org/officeDocument/2006/relationships/hyperlink" Target="https://www.google.com/maps/search/?api=1&amp;query=Triq%20Ninu%20Ceremona%2C%20Victoria-Gozo%2C%20Gozo%20VCT%202563" TargetMode="External"/><Relationship Id="rId243" Type="http://schemas.openxmlformats.org/officeDocument/2006/relationships/hyperlink" Target="https://www.google.com/maps/search/?api=1&amp;query=Triq%20Salvu%20Psaila%2C%20B%27Kara%2C%20Matla%20BKR%209076" TargetMode="External"/><Relationship Id="rId264" Type="http://schemas.openxmlformats.org/officeDocument/2006/relationships/hyperlink" Target="https://www.google.com/maps/search/?api=1&amp;query=Triq%20I-Imdina%2C%20Qormi%20QRM%209011" TargetMode="External"/><Relationship Id="rId285" Type="http://schemas.openxmlformats.org/officeDocument/2006/relationships/hyperlink" Target="https://faenzabathrooms.com/" TargetMode="External"/><Relationship Id="rId17" Type="http://schemas.openxmlformats.org/officeDocument/2006/relationships/hyperlink" Target="MAILTO:info@falzons.com" TargetMode="External"/><Relationship Id="rId38" Type="http://schemas.openxmlformats.org/officeDocument/2006/relationships/hyperlink" Target="MAILTO:info@absolute.com.mt" TargetMode="External"/><Relationship Id="rId59" Type="http://schemas.openxmlformats.org/officeDocument/2006/relationships/hyperlink" Target="MAILTO:info@vellmann.com" TargetMode="External"/><Relationship Id="rId103" Type="http://schemas.openxmlformats.org/officeDocument/2006/relationships/hyperlink" Target="MAILTO:info@vivo.com.mt" TargetMode="External"/><Relationship Id="rId124" Type="http://schemas.openxmlformats.org/officeDocument/2006/relationships/hyperlink" Target="MAILTO:info@idealbathrooms.com.mt" TargetMode="External"/><Relationship Id="rId310" Type="http://schemas.openxmlformats.org/officeDocument/2006/relationships/hyperlink" Target="https://deluxe-bathrooms.com/" TargetMode="External"/><Relationship Id="rId70" Type="http://schemas.openxmlformats.org/officeDocument/2006/relationships/hyperlink" Target="MAILTO:info@alexmercieca.com" TargetMode="External"/><Relationship Id="rId91" Type="http://schemas.openxmlformats.org/officeDocument/2006/relationships/hyperlink" Target="MAILTO:josies@josies.com.mt" TargetMode="External"/><Relationship Id="rId145" Type="http://schemas.openxmlformats.org/officeDocument/2006/relationships/hyperlink" Target="https://www.google.com/maps/search/?api=1&amp;query=Vjal%20il-Helsen%2C%20Zebbug%2C%20Malta" TargetMode="External"/><Relationship Id="rId166" Type="http://schemas.openxmlformats.org/officeDocument/2006/relationships/hyperlink" Target="https://www.google.com/maps/search/?api=1&amp;query=Triq%20Dun%20Karm%2C%20Kirkirkara%2C%20BKR%209035" TargetMode="External"/><Relationship Id="rId187" Type="http://schemas.openxmlformats.org/officeDocument/2006/relationships/hyperlink" Target="https://www.google.com/maps/search/?api=1&amp;query=Triq%20iI-Wied%20ta%27%20I-Imsida%2C%20Msida%2C%20Malta" TargetMode="External"/><Relationship Id="rId331" Type="http://schemas.openxmlformats.org/officeDocument/2006/relationships/hyperlink" Target="https://facebook.com/Nuovo-Bagno" TargetMode="External"/><Relationship Id="rId352" Type="http://schemas.openxmlformats.org/officeDocument/2006/relationships/hyperlink" Target="https://facebook.com/bathlinemalta/" TargetMode="External"/><Relationship Id="rId373" Type="http://schemas.openxmlformats.org/officeDocument/2006/relationships/hyperlink" Target="https://ssbathrooms.com/" TargetMode="External"/><Relationship Id="rId394" Type="http://schemas.openxmlformats.org/officeDocument/2006/relationships/hyperlink" Target="https://facebook.com/Vellmann/" TargetMode="External"/><Relationship Id="rId408" Type="http://schemas.openxmlformats.org/officeDocument/2006/relationships/hyperlink" Target="https://klglassmalta.com/" TargetMode="External"/><Relationship Id="rId1" Type="http://schemas.openxmlformats.org/officeDocument/2006/relationships/hyperlink" Target="MAILTO:info@satarino.com" TargetMode="External"/><Relationship Id="rId212" Type="http://schemas.openxmlformats.org/officeDocument/2006/relationships/hyperlink" Target="https://www.google.com/maps/search/?api=1&amp;query=181%20Triq%20Salvu%20Psaila%2C%20B%27Kara%2C%20Malta%20BKR%209076" TargetMode="External"/><Relationship Id="rId233" Type="http://schemas.openxmlformats.org/officeDocument/2006/relationships/hyperlink" Target="https://www.google.com/maps/search/?api=1&amp;query=Zone%203%20Triq%20I-Intornjatur%2C%20Zona%20Industrjali%2C%20Mriehel%2C%20B%27Kara%2C%20Malta%20BKR%203000" TargetMode="External"/><Relationship Id="rId254" Type="http://schemas.openxmlformats.org/officeDocument/2006/relationships/hyperlink" Target="https://www.google.com/maps/search/?api=1&amp;query=Naxxar%2C%20Malta%20NXR%206345" TargetMode="External"/><Relationship Id="rId28" Type="http://schemas.openxmlformats.org/officeDocument/2006/relationships/hyperlink" Target="MAILTO:info@bmsupplies.com" TargetMode="External"/><Relationship Id="rId49" Type="http://schemas.openxmlformats.org/officeDocument/2006/relationships/hyperlink" Target="MAILTO:info@bayker.it" TargetMode="External"/><Relationship Id="rId114" Type="http://schemas.openxmlformats.org/officeDocument/2006/relationships/hyperlink" Target="MAILTO:info@chicliving.com.mt" TargetMode="External"/><Relationship Id="rId275" Type="http://schemas.openxmlformats.org/officeDocument/2006/relationships/hyperlink" Target="https://satariano.com/" TargetMode="External"/><Relationship Id="rId296" Type="http://schemas.openxmlformats.org/officeDocument/2006/relationships/hyperlink" Target="https://bathroomdesign.com.mt/" TargetMode="External"/><Relationship Id="rId300" Type="http://schemas.openxmlformats.org/officeDocument/2006/relationships/hyperlink" Target="https://carinibathrooms.com/" TargetMode="External"/><Relationship Id="rId60" Type="http://schemas.openxmlformats.org/officeDocument/2006/relationships/hyperlink" Target="MAILTO:info@vivo.com.mt" TargetMode="External"/><Relationship Id="rId81" Type="http://schemas.openxmlformats.org/officeDocument/2006/relationships/hyperlink" Target="MAILTO:bubblesbathrooms@gmail.com" TargetMode="External"/><Relationship Id="rId135" Type="http://schemas.openxmlformats.org/officeDocument/2006/relationships/hyperlink" Target="MAILTO:info@mrcd.com.mt" TargetMode="External"/><Relationship Id="rId156" Type="http://schemas.openxmlformats.org/officeDocument/2006/relationships/hyperlink" Target="https://www.google.com/maps/search/?api=1&amp;query=Triq%20Bella%20Vista%2C%20San%20Gwann%2C%20Malta%20SGN%202690" TargetMode="External"/><Relationship Id="rId177" Type="http://schemas.openxmlformats.org/officeDocument/2006/relationships/hyperlink" Target="https://www.google.com/maps/search/?api=1&amp;query=17%20Triq%20Guze%27%20Galea%20Qormi%2C%20Malta%20QRM%202106" TargetMode="External"/><Relationship Id="rId198" Type="http://schemas.openxmlformats.org/officeDocument/2006/relationships/hyperlink" Target="https://www.google.com/maps/search/?api=1&amp;query=9%20Triq%20Geronimo%20Abos%2C%20Iklin%2C%20Malta%20IKL%201022" TargetMode="External"/><Relationship Id="rId321" Type="http://schemas.openxmlformats.org/officeDocument/2006/relationships/hyperlink" Target="https://cgremarbles.com.mt/" TargetMode="External"/><Relationship Id="rId342" Type="http://schemas.openxmlformats.org/officeDocument/2006/relationships/hyperlink" Target="https://alfredhili.com/" TargetMode="External"/><Relationship Id="rId363" Type="http://schemas.openxmlformats.org/officeDocument/2006/relationships/hyperlink" Target="https://creationsomni.cpm/" TargetMode="External"/><Relationship Id="rId384" Type="http://schemas.openxmlformats.org/officeDocument/2006/relationships/hyperlink" Target="https://banjuboutique.com/" TargetMode="External"/><Relationship Id="rId202" Type="http://schemas.openxmlformats.org/officeDocument/2006/relationships/hyperlink" Target="https://www.google.com/maps/search/?api=1&amp;query=Triq%20Benghazi%2C%20Ghajnsielem-Gozo%2C%20GSM%201624" TargetMode="External"/><Relationship Id="rId223" Type="http://schemas.openxmlformats.org/officeDocument/2006/relationships/hyperlink" Target="https://www.google.com/maps/search/?api=1&amp;query=Triq%20Durumblat%2C%20II-Mosta%2C%20MST%204816" TargetMode="External"/><Relationship Id="rId244" Type="http://schemas.openxmlformats.org/officeDocument/2006/relationships/hyperlink" Target="https://www.google.com/maps/search/?api=1&amp;query=25th%20November%20Avenue%2C%20Zejtun%2C%20ZTN2019" TargetMode="External"/><Relationship Id="rId18" Type="http://schemas.openxmlformats.org/officeDocument/2006/relationships/hyperlink" Target="MAILTO:info@the-tile.com" TargetMode="External"/><Relationship Id="rId39" Type="http://schemas.openxmlformats.org/officeDocument/2006/relationships/hyperlink" Target="MAILTO:sales@alfredhili.com" TargetMode="External"/><Relationship Id="rId265" Type="http://schemas.openxmlformats.org/officeDocument/2006/relationships/hyperlink" Target="https://www.google.com/maps/search/?api=1&amp;query=Falzon%27s%20Bathroom%20%26%20Ceramics%2C%20Triq%20il-Kummerc%2C%20Qormi%2C%20Malta" TargetMode="External"/><Relationship Id="rId286" Type="http://schemas.openxmlformats.org/officeDocument/2006/relationships/hyperlink" Target="https://sbmmarble.com/" TargetMode="External"/><Relationship Id="rId50" Type="http://schemas.openxmlformats.org/officeDocument/2006/relationships/hyperlink" Target="MAILTO:josies@josies.com.mt" TargetMode="External"/><Relationship Id="rId104" Type="http://schemas.openxmlformats.org/officeDocument/2006/relationships/hyperlink" Target="MAILTO:deluxebathroomsmanagement@gmail.com" TargetMode="External"/><Relationship Id="rId125" Type="http://schemas.openxmlformats.org/officeDocument/2006/relationships/hyperlink" Target="MAILTO:sales@carinibathrooms.com" TargetMode="External"/><Relationship Id="rId146" Type="http://schemas.openxmlformats.org/officeDocument/2006/relationships/hyperlink" Target="https://www.google.com/maps/search/?api=1&amp;query=7%20Triq%20I-Erba%27%20Qaddisin" TargetMode="External"/><Relationship Id="rId167" Type="http://schemas.openxmlformats.org/officeDocument/2006/relationships/hyperlink" Target="https://www.google.com/maps/search/?api=1&amp;query=Triq%20I-Imdina%2C%20Zone%204%2C%20Meriehel%2FCentral%20Business%20District%20CBD%202010%2C%20Malta" TargetMode="External"/><Relationship Id="rId188" Type="http://schemas.openxmlformats.org/officeDocument/2006/relationships/hyperlink" Target="https://www.google.com/maps/search/?api=1&amp;query=Triq%20in-Naxxar%2C%20Lija%2C%20Malta" TargetMode="External"/><Relationship Id="rId311" Type="http://schemas.openxmlformats.org/officeDocument/2006/relationships/hyperlink" Target="https://egrechcristalbath.com/" TargetMode="External"/><Relationship Id="rId332" Type="http://schemas.openxmlformats.org/officeDocument/2006/relationships/hyperlink" Target="https://propertyservicesltd.com/" TargetMode="External"/><Relationship Id="rId353" Type="http://schemas.openxmlformats.org/officeDocument/2006/relationships/hyperlink" Target="https://bathroomdesign.com.mt/" TargetMode="External"/><Relationship Id="rId374" Type="http://schemas.openxmlformats.org/officeDocument/2006/relationships/hyperlink" Target="https://facebook.com/SognoBagno/" TargetMode="External"/><Relationship Id="rId395" Type="http://schemas.openxmlformats.org/officeDocument/2006/relationships/hyperlink" Target="https://vivo.com.mt/" TargetMode="External"/><Relationship Id="rId409" Type="http://schemas.openxmlformats.org/officeDocument/2006/relationships/hyperlink" Target="https://glassdesignmalta.com/" TargetMode="External"/><Relationship Id="rId71" Type="http://schemas.openxmlformats.org/officeDocument/2006/relationships/hyperlink" Target="MAILTO:faenzabathroomsmalta@gmail.com" TargetMode="External"/><Relationship Id="rId92" Type="http://schemas.openxmlformats.org/officeDocument/2006/relationships/hyperlink" Target="MAILTO:jovanpisani@keramitbathrooms.com" TargetMode="External"/><Relationship Id="rId213" Type="http://schemas.openxmlformats.org/officeDocument/2006/relationships/hyperlink" Target="https://www.google.com/maps/search/?api=1&amp;query=Triq%20I-Arkata%2C%20Paola%2C%20Malta%20PLA%201212" TargetMode="External"/><Relationship Id="rId234" Type="http://schemas.openxmlformats.org/officeDocument/2006/relationships/hyperlink" Target="https://www.google.com/maps/search/?api=1&amp;query=M%27Skala%20By%20Pass%2C%20Zabbar%2C%20Malta%20ZBR%209042" TargetMode="External"/><Relationship Id="rId2" Type="http://schemas.openxmlformats.org/officeDocument/2006/relationships/hyperlink" Target="MAILTO:deluxebathroomsmanagement@gmail.com" TargetMode="External"/><Relationship Id="rId29" Type="http://schemas.openxmlformats.org/officeDocument/2006/relationships/hyperlink" Target="MAILTO:info@fino.com.mt" TargetMode="External"/><Relationship Id="rId255" Type="http://schemas.openxmlformats.org/officeDocument/2006/relationships/hyperlink" Target="https://www.google.com/maps/search/?api=1&amp;query=Triq%20iI-Kanun%2C%20Qormi%2C%20Malta%20QRM%209039" TargetMode="External"/><Relationship Id="rId276" Type="http://schemas.openxmlformats.org/officeDocument/2006/relationships/hyperlink" Target="https://deluxe-bathrooms.com/" TargetMode="External"/><Relationship Id="rId297" Type="http://schemas.openxmlformats.org/officeDocument/2006/relationships/hyperlink" Target="https://facebook.com/tilewarehousemalta/" TargetMode="External"/><Relationship Id="rId40" Type="http://schemas.openxmlformats.org/officeDocument/2006/relationships/hyperlink" Target="MAILTO:meli@avantebathrooms.com" TargetMode="External"/><Relationship Id="rId115" Type="http://schemas.openxmlformats.org/officeDocument/2006/relationships/hyperlink" Target="MAILTO:info@farellbathrooms.com" TargetMode="External"/><Relationship Id="rId136" Type="http://schemas.openxmlformats.org/officeDocument/2006/relationships/hyperlink" Target="https://www.google.com/maps/search/?api=1&amp;query=122%2C%20Msida%20Valley%20Road%2C%20B%27kara%2C%20BKR%209024" TargetMode="External"/><Relationship Id="rId157" Type="http://schemas.openxmlformats.org/officeDocument/2006/relationships/hyperlink" Target="https://www.google.com/maps/search/?api=1&amp;query=356%20Naxxar%20Road%2C%20B%27Kara%2C%20BKR%209040%2C%20Malta" TargetMode="External"/><Relationship Id="rId178" Type="http://schemas.openxmlformats.org/officeDocument/2006/relationships/hyperlink" Target="https://www.google.com/maps/search/?api=1&amp;query=181%20Triq%20Salvu%20Psaila%2C%20B%27Kara%2C%20Malta%20BKR%209076" TargetMode="External"/><Relationship Id="rId301" Type="http://schemas.openxmlformats.org/officeDocument/2006/relationships/hyperlink" Target="https://waterartconcepts.com/" TargetMode="External"/><Relationship Id="rId322" Type="http://schemas.openxmlformats.org/officeDocument/2006/relationships/hyperlink" Target="https://facebook.com/Calbros-Bathrooms-Ltd" TargetMode="External"/><Relationship Id="rId343" Type="http://schemas.openxmlformats.org/officeDocument/2006/relationships/hyperlink" Target="https://halmannvella.com/" TargetMode="External"/><Relationship Id="rId364" Type="http://schemas.openxmlformats.org/officeDocument/2006/relationships/hyperlink" Target="https://farellbathrooms.com/" TargetMode="External"/><Relationship Id="rId61" Type="http://schemas.openxmlformats.org/officeDocument/2006/relationships/hyperlink" Target="MAILTO:sales@carinibathrooms.com" TargetMode="External"/><Relationship Id="rId82" Type="http://schemas.openxmlformats.org/officeDocument/2006/relationships/hyperlink" Target="MAILTO:cgrarbles@gmail.com" TargetMode="External"/><Relationship Id="rId199" Type="http://schemas.openxmlformats.org/officeDocument/2006/relationships/hyperlink" Target="https://www.google.com/maps/search/?api=1&amp;query=435%20St.%20Joseph%20High%20Road%2C%20St.%20Venera%2C%20Malta" TargetMode="External"/><Relationship Id="rId203" Type="http://schemas.openxmlformats.org/officeDocument/2006/relationships/hyperlink" Target="https://www.google.com/maps/search/?api=1&amp;query=Triq%20Salvu%20Psaila%2C%20B%27Kara%2C%20Matla%20BKR%209076" TargetMode="External"/><Relationship Id="rId385" Type="http://schemas.openxmlformats.org/officeDocument/2006/relationships/hyperlink" Target="https://bathroomdesign.com.mt/" TargetMode="External"/><Relationship Id="rId19" Type="http://schemas.openxmlformats.org/officeDocument/2006/relationships/hyperlink" Target="MAILTO:info@bathroomdesign.com.mt" TargetMode="External"/><Relationship Id="rId224" Type="http://schemas.openxmlformats.org/officeDocument/2006/relationships/hyperlink" Target="https://www.google.com/maps/search/?api=1&amp;query=118%20Triq%20iI-Kullegg%2C%20Rabat%2C%20Malta%20RBT%201408" TargetMode="External"/><Relationship Id="rId245" Type="http://schemas.openxmlformats.org/officeDocument/2006/relationships/hyperlink" Target="https://www.google.com/maps/search/?api=1&amp;query=Triq%20il-Taflija%20Qasam%20Industrijali%2C%20Xewkija-Gozo%2C%20Gozo%20XWK%203000" TargetMode="External"/><Relationship Id="rId266" Type="http://schemas.openxmlformats.org/officeDocument/2006/relationships/hyperlink" Target="https://www.google.com/maps/search/?api=1&amp;query=Triq%20Dun%20Karm%20Birkirkara%2C%20BKR9035%2C%20Malta" TargetMode="External"/><Relationship Id="rId287" Type="http://schemas.openxmlformats.org/officeDocument/2006/relationships/hyperlink" Target="https://afellis.com.mt/" TargetMode="External"/><Relationship Id="rId410" Type="http://schemas.openxmlformats.org/officeDocument/2006/relationships/hyperlink" Target="https://bridgepointmalta.com/" TargetMode="External"/><Relationship Id="rId30" Type="http://schemas.openxmlformats.org/officeDocument/2006/relationships/hyperlink" Target="MAILTO:malta@iperceamica.it" TargetMode="External"/><Relationship Id="rId105" Type="http://schemas.openxmlformats.org/officeDocument/2006/relationships/hyperlink" Target="MAILTO:info@egrechcristalbath.com" TargetMode="External"/><Relationship Id="rId126" Type="http://schemas.openxmlformats.org/officeDocument/2006/relationships/hyperlink" Target="MAILTO:info@jpitre.com" TargetMode="External"/><Relationship Id="rId147" Type="http://schemas.openxmlformats.org/officeDocument/2006/relationships/hyperlink" Target="https://www.google.com/maps/search/?api=1&amp;query=5%20Triq%20Profs%20Carmelo%20Coleiro%20Tal-Handaq%2C%20Qormi%2C%20Malta%20QRM%204000" TargetMode="External"/><Relationship Id="rId168" Type="http://schemas.openxmlformats.org/officeDocument/2006/relationships/hyperlink" Target="https://www.google.com/maps/search/?api=1&amp;query=Velley%20Road%2C%20Msida%2C%20MSD%209020%2C%20Malta" TargetMode="External"/><Relationship Id="rId312" Type="http://schemas.openxmlformats.org/officeDocument/2006/relationships/hyperlink" Target="https://bugeja-marbles.com/" TargetMode="External"/><Relationship Id="rId333" Type="http://schemas.openxmlformats.org/officeDocument/2006/relationships/hyperlink" Target="https://ssbathrooms.com/" TargetMode="External"/><Relationship Id="rId354" Type="http://schemas.openxmlformats.org/officeDocument/2006/relationships/hyperlink" Target="https://bc-bathrooms.com/" TargetMode="External"/><Relationship Id="rId51" Type="http://schemas.openxmlformats.org/officeDocument/2006/relationships/hyperlink" Target="MAILTO:jovanpisani@keramitbathrooms.com" TargetMode="External"/><Relationship Id="rId72" Type="http://schemas.openxmlformats.org/officeDocument/2006/relationships/hyperlink" Target="MAILTO:mail@afellis.com.tm" TargetMode="External"/><Relationship Id="rId93" Type="http://schemas.openxmlformats.org/officeDocument/2006/relationships/hyperlink" Target="MAILTO:bugejamalcolm@gmail.com" TargetMode="External"/><Relationship Id="rId189" Type="http://schemas.openxmlformats.org/officeDocument/2006/relationships/hyperlink" Target="https://www.google.com/maps/search/?api=1&amp;query=Naxxar%2C%20Malta%20NXR%206345" TargetMode="External"/><Relationship Id="rId375" Type="http://schemas.openxmlformats.org/officeDocument/2006/relationships/hyperlink" Target="https://thetubmalta.com/" TargetMode="External"/><Relationship Id="rId396" Type="http://schemas.openxmlformats.org/officeDocument/2006/relationships/hyperlink" Target="https://wc.mt/" TargetMode="External"/><Relationship Id="rId3" Type="http://schemas.openxmlformats.org/officeDocument/2006/relationships/hyperlink" Target="MAILTO:newlineliving@gmail.com" TargetMode="External"/><Relationship Id="rId214" Type="http://schemas.openxmlformats.org/officeDocument/2006/relationships/hyperlink" Target="https://www.google.com/maps/search/?api=1&amp;query=Triq%20Manwel%20Borg%20Qasam%20Indrustrijali%2C%20Tal-Handaq%2C%20Qormi%2C%20Malta%20QRM%204000" TargetMode="External"/><Relationship Id="rId235" Type="http://schemas.openxmlformats.org/officeDocument/2006/relationships/hyperlink" Target="https://www.google.com/maps/search/?api=1&amp;query=Triq%20San%20Bartolomew%2C%20Qormi%2C%20Malta" TargetMode="External"/><Relationship Id="rId256" Type="http://schemas.openxmlformats.org/officeDocument/2006/relationships/hyperlink" Target="https://www.google.com/maps/search/?api=1&amp;query=Zone%203%20Triq%20I-Intornjatur%2C%20Zona%20Industrjali%2C%20Mriehel%2C%20B%27Kara%2C%20Malta%20BKR%203000" TargetMode="External"/><Relationship Id="rId277" Type="http://schemas.openxmlformats.org/officeDocument/2006/relationships/hyperlink" Target="https://newline.com.mt/" TargetMode="External"/><Relationship Id="rId298" Type="http://schemas.openxmlformats.org/officeDocument/2006/relationships/hyperlink" Target="https://thetub.com/" TargetMode="External"/><Relationship Id="rId400" Type="http://schemas.openxmlformats.org/officeDocument/2006/relationships/hyperlink" Target="https://carinibathrooms.com/" TargetMode="External"/><Relationship Id="rId116" Type="http://schemas.openxmlformats.org/officeDocument/2006/relationships/hyperlink" Target="MAILTO:jovanpisani@keramitbathrooms.com" TargetMode="External"/><Relationship Id="rId137" Type="http://schemas.openxmlformats.org/officeDocument/2006/relationships/hyperlink" Target="https://www.google.com/maps/search/?api=1&amp;query=Triq%20Benghazi%2C%20Ghajnsielem-Gozo%2C%20GSM%201624" TargetMode="External"/><Relationship Id="rId158" Type="http://schemas.openxmlformats.org/officeDocument/2006/relationships/hyperlink" Target="https://www.google.com/maps/search/?api=1&amp;query=Triq%20iI-Qoton%2C%20Santa%20Lucija%2C%20Malta" TargetMode="External"/><Relationship Id="rId302" Type="http://schemas.openxmlformats.org/officeDocument/2006/relationships/hyperlink" Target="https://jysk.com.mt/" TargetMode="External"/><Relationship Id="rId323" Type="http://schemas.openxmlformats.org/officeDocument/2006/relationships/hyperlink" Target="https://chicliving.com.mt/" TargetMode="External"/><Relationship Id="rId344" Type="http://schemas.openxmlformats.org/officeDocument/2006/relationships/hyperlink" Target="https://bugeja-marbles.com/" TargetMode="External"/><Relationship Id="rId20" Type="http://schemas.openxmlformats.org/officeDocument/2006/relationships/hyperlink" Target="MAILTO:info@tilewarehousemalta.com" TargetMode="External"/><Relationship Id="rId41" Type="http://schemas.openxmlformats.org/officeDocument/2006/relationships/hyperlink" Target="MAILTO:info@banjuboutique.com" TargetMode="External"/><Relationship Id="rId62" Type="http://schemas.openxmlformats.org/officeDocument/2006/relationships/hyperlink" Target="MAILTO:sales@bridgepoint.com.mt" TargetMode="External"/><Relationship Id="rId83" Type="http://schemas.openxmlformats.org/officeDocument/2006/relationships/hyperlink" Target="MAILTO:calbrosltd@gmail.com" TargetMode="External"/><Relationship Id="rId179" Type="http://schemas.openxmlformats.org/officeDocument/2006/relationships/hyperlink" Target="https://www.google.com/maps/search/?api=1&amp;query=Triq%20I-Arkata%2C%20Paola%2C%20Malta%20PLA%201212" TargetMode="External"/><Relationship Id="rId365" Type="http://schemas.openxmlformats.org/officeDocument/2006/relationships/hyperlink" Target="https://hauz.mt/" TargetMode="External"/><Relationship Id="rId386" Type="http://schemas.openxmlformats.org/officeDocument/2006/relationships/hyperlink" Target="https://bc-bathrooms.com/" TargetMode="External"/><Relationship Id="rId190" Type="http://schemas.openxmlformats.org/officeDocument/2006/relationships/hyperlink" Target="https://www.google.com/maps/search/?api=1&amp;query=137%20Triq%20Parades%2C%20San%20Pawl%20II-Bahar%2C%20Malta%20SPB%203430" TargetMode="External"/><Relationship Id="rId204" Type="http://schemas.openxmlformats.org/officeDocument/2006/relationships/hyperlink" Target="https://www.google.com/maps/search/?api=1&amp;query=17%20Triq%20Guze%27%20Galea%20Qormi%2C%20Malta%20QRM%202106" TargetMode="External"/><Relationship Id="rId225" Type="http://schemas.openxmlformats.org/officeDocument/2006/relationships/hyperlink" Target="https://www.google.com/maps/search/?api=1&amp;query=Liland%20Bldgs%20Triq%20l-Imdina%2C%20Attard%2C%20Malta%20ATD%209036" TargetMode="External"/><Relationship Id="rId246" Type="http://schemas.openxmlformats.org/officeDocument/2006/relationships/hyperlink" Target="https://www.google.com/maps/search/?api=1&amp;query=181%20Triq%20Salvu%20Psaila%2C%20B%27Kara%2C%20Malta%20BKR%209076" TargetMode="External"/><Relationship Id="rId267" Type="http://schemas.openxmlformats.org/officeDocument/2006/relationships/hyperlink" Target="https://www.google.com/maps/search/?api=1&amp;query=25th%20November%20Avenue%2C%20Zejtun%2C%20ZTN2019" TargetMode="External"/><Relationship Id="rId288" Type="http://schemas.openxmlformats.org/officeDocument/2006/relationships/hyperlink" Target="https://nsntilesandceramics.com/" TargetMode="External"/><Relationship Id="rId411" Type="http://schemas.openxmlformats.org/officeDocument/2006/relationships/hyperlink" Target="https://mrcd.com.mt/en/home.htm" TargetMode="External"/><Relationship Id="rId106" Type="http://schemas.openxmlformats.org/officeDocument/2006/relationships/hyperlink" Target="MAILTO:info@alexmercieca.com" TargetMode="External"/><Relationship Id="rId127" Type="http://schemas.openxmlformats.org/officeDocument/2006/relationships/hyperlink" Target="MAILTO:info@falzons.com" TargetMode="External"/><Relationship Id="rId313" Type="http://schemas.openxmlformats.org/officeDocument/2006/relationships/hyperlink" Target="https://custobathrooms.com/" TargetMode="External"/><Relationship Id="rId10" Type="http://schemas.openxmlformats.org/officeDocument/2006/relationships/hyperlink" Target="MAILTO:dfloorings@gmail.com" TargetMode="External"/><Relationship Id="rId31" Type="http://schemas.openxmlformats.org/officeDocument/2006/relationships/hyperlink" Target="MAILTO:info@goldenhouse.com.mt" TargetMode="External"/><Relationship Id="rId52" Type="http://schemas.openxmlformats.org/officeDocument/2006/relationships/hyperlink" Target="MAILTO:bugejamalcolm@gmail.com" TargetMode="External"/><Relationship Id="rId73" Type="http://schemas.openxmlformats.org/officeDocument/2006/relationships/hyperlink" Target="MAILTO:info@absolute.com.mt" TargetMode="External"/><Relationship Id="rId94" Type="http://schemas.openxmlformats.org/officeDocument/2006/relationships/hyperlink" Target="MAILTO:info@magribathrooms.com" TargetMode="External"/><Relationship Id="rId148" Type="http://schemas.openxmlformats.org/officeDocument/2006/relationships/hyperlink" Target="https://www.google.com/maps/search/?api=1&amp;query=Triq%20il-Taflija%20Qasam%20Industrijali%2C%20Xewkija-Gozo%2C%20Gozo%20XWK%203000" TargetMode="External"/><Relationship Id="rId169" Type="http://schemas.openxmlformats.org/officeDocument/2006/relationships/hyperlink" Target="https://www.google.com/maps/search/?api=1&amp;query=%C4%A6al%20Qormi%2C%20Malta" TargetMode="External"/><Relationship Id="rId334" Type="http://schemas.openxmlformats.org/officeDocument/2006/relationships/hyperlink" Target="https://facebook.com/SognoBagno/" TargetMode="External"/><Relationship Id="rId355" Type="http://schemas.openxmlformats.org/officeDocument/2006/relationships/hyperlink" Target="https://bilomtilesanddecor.com/" TargetMode="External"/><Relationship Id="rId376" Type="http://schemas.openxmlformats.org/officeDocument/2006/relationships/hyperlink" Target="https://vellafalzon.com/" TargetMode="External"/><Relationship Id="rId397" Type="http://schemas.openxmlformats.org/officeDocument/2006/relationships/hyperlink" Target="https://fzammitglass.com/" TargetMode="External"/><Relationship Id="rId4" Type="http://schemas.openxmlformats.org/officeDocument/2006/relationships/hyperlink" Target="MAILTO:newlineliving@gmail.com" TargetMode="External"/><Relationship Id="rId180" Type="http://schemas.openxmlformats.org/officeDocument/2006/relationships/hyperlink" Target="https://www.google.com/maps/search/?api=1&amp;query=358%20Triq%20in-Naxxar%2C%20B%27Kara%2C%20Malta%20BKR%209040" TargetMode="External"/><Relationship Id="rId215" Type="http://schemas.openxmlformats.org/officeDocument/2006/relationships/hyperlink" Target="https://www.google.com/maps/search/?api=1&amp;query=358%20Triq%20in-Naxxar%2C%20B%27Kara%2C%20Malta%20BKR%209040" TargetMode="External"/><Relationship Id="rId236" Type="http://schemas.openxmlformats.org/officeDocument/2006/relationships/hyperlink" Target="https://www.google.com/maps/search/?api=1&amp;query=Triq%20il-Mosta%2C%20Lija%2C%20Malta%20LJA%209012" TargetMode="External"/><Relationship Id="rId257" Type="http://schemas.openxmlformats.org/officeDocument/2006/relationships/hyperlink" Target="https://www.google.com/maps/search/?api=1&amp;query=Pantar%20Estate%20Triq%20Pantar" TargetMode="External"/><Relationship Id="rId278" Type="http://schemas.openxmlformats.org/officeDocument/2006/relationships/hyperlink" Target="https://newline.com.mt/" TargetMode="External"/><Relationship Id="rId401" Type="http://schemas.openxmlformats.org/officeDocument/2006/relationships/hyperlink" Target="https://pitrebathrooms.com/" TargetMode="External"/><Relationship Id="rId303" Type="http://schemas.openxmlformats.org/officeDocument/2006/relationships/hyperlink" Target="https://bc-bathrooms.com/" TargetMode="External"/><Relationship Id="rId42" Type="http://schemas.openxmlformats.org/officeDocument/2006/relationships/hyperlink" Target="MAILTO:info@bathroomdesign.com.mt" TargetMode="External"/><Relationship Id="rId84" Type="http://schemas.openxmlformats.org/officeDocument/2006/relationships/hyperlink" Target="MAILTO:info@casamiamalta.com" TargetMode="External"/><Relationship Id="rId138" Type="http://schemas.openxmlformats.org/officeDocument/2006/relationships/hyperlink" Target="https://www.google.com/maps/search/?api=1&amp;query=Triq%20Papa%20Gwanni%20Pawlu%20II%2C%20Victoria-Gozo%2C%20Gozo%20VCT%209046" TargetMode="External"/><Relationship Id="rId345" Type="http://schemas.openxmlformats.org/officeDocument/2006/relationships/hyperlink" Target="https://custobathrooms.com/" TargetMode="External"/><Relationship Id="rId387" Type="http://schemas.openxmlformats.org/officeDocument/2006/relationships/hyperlink" Target="https://cgremarbles.com.mt/" TargetMode="External"/><Relationship Id="rId191" Type="http://schemas.openxmlformats.org/officeDocument/2006/relationships/hyperlink" Target="https://www.google.com/maps/search/?api=1&amp;query=Triq%20iI-Kanun%2C%20Qormi%2C%20Malta%20QRM%209039" TargetMode="External"/><Relationship Id="rId205" Type="http://schemas.openxmlformats.org/officeDocument/2006/relationships/hyperlink" Target="https://www.google.com/maps/search/?api=1&amp;query=The%20Factory%20Triq%20il-Mosta%2C%20Lija%2C%20Malta%20LJA%209016" TargetMode="External"/><Relationship Id="rId247" Type="http://schemas.openxmlformats.org/officeDocument/2006/relationships/hyperlink" Target="https://www.google.com/maps/search/?api=1&amp;query=Triq%20I-Arkata%2C%20Paola%2C%20Malta%20PLA%201212" TargetMode="External"/><Relationship Id="rId107" Type="http://schemas.openxmlformats.org/officeDocument/2006/relationships/hyperlink" Target="MAILTO:mail@afellis.com.tm" TargetMode="External"/><Relationship Id="rId289" Type="http://schemas.openxmlformats.org/officeDocument/2006/relationships/hyperlink" Target="https://wvellafalzon.com/" TargetMode="External"/><Relationship Id="rId11" Type="http://schemas.openxmlformats.org/officeDocument/2006/relationships/hyperlink" Target="MAILTO:faenzabathroomsmalta@gmail.com" TargetMode="External"/><Relationship Id="rId53" Type="http://schemas.openxmlformats.org/officeDocument/2006/relationships/hyperlink" Target="MAILTO:info@magribathrooms.com" TargetMode="External"/><Relationship Id="rId149" Type="http://schemas.openxmlformats.org/officeDocument/2006/relationships/hyperlink" Target="https://www.google.com/maps/search/?api=1&amp;query=226%2C%20Triq%20Alfred%20Cachia%20Zammit%2C%20Zejtun%2C%20Malta" TargetMode="External"/><Relationship Id="rId314" Type="http://schemas.openxmlformats.org/officeDocument/2006/relationships/hyperlink" Target="https://alexmercieca.com/" TargetMode="External"/><Relationship Id="rId356" Type="http://schemas.openxmlformats.org/officeDocument/2006/relationships/hyperlink" Target="https://blaugrana.com.mt/" TargetMode="External"/><Relationship Id="rId398" Type="http://schemas.openxmlformats.org/officeDocument/2006/relationships/hyperlink" Target="https://facebook.com/verredemic/" TargetMode="External"/><Relationship Id="rId95" Type="http://schemas.openxmlformats.org/officeDocument/2006/relationships/hyperlink" Target="MAILTO:modabagnor@gmail.com" TargetMode="External"/><Relationship Id="rId160" Type="http://schemas.openxmlformats.org/officeDocument/2006/relationships/hyperlink" Target="https://www.google.com/maps/search/?api=1&amp;query=Karmenu%20Camilleri%20Street%2C%20Qormi%2C%20QRM46" TargetMode="External"/><Relationship Id="rId216" Type="http://schemas.openxmlformats.org/officeDocument/2006/relationships/hyperlink" Target="https://www.google.com/maps/search/?api=1&amp;query=Triq%20Dun%20Karm%20B%27Kara%20By%20Pass%2C%20B%27Kara%2C%20Malta%20BKR%202940" TargetMode="External"/><Relationship Id="rId258" Type="http://schemas.openxmlformats.org/officeDocument/2006/relationships/hyperlink" Target="https://www.google.com/maps/search/?api=1&amp;query=9%20Triq%20Geronimo%20Abos%2C%20Iklin%2C%20Malta%20IKL%201022" TargetMode="External"/><Relationship Id="rId22" Type="http://schemas.openxmlformats.org/officeDocument/2006/relationships/hyperlink" Target="MAILTO:info@mrcd.com.mt" TargetMode="External"/><Relationship Id="rId64" Type="http://schemas.openxmlformats.org/officeDocument/2006/relationships/hyperlink" Target="MAILTO:deluxebathroomsmanagement@gmail.com" TargetMode="External"/><Relationship Id="rId118" Type="http://schemas.openxmlformats.org/officeDocument/2006/relationships/hyperlink" Target="MAILTO:modabagnor@gmail.com" TargetMode="External"/><Relationship Id="rId325" Type="http://schemas.openxmlformats.org/officeDocument/2006/relationships/hyperlink" Target="https://farellbathrooms.com/" TargetMode="External"/><Relationship Id="rId367" Type="http://schemas.openxmlformats.org/officeDocument/2006/relationships/hyperlink" Target="https://facebook.com/Josies-Bathroom-Centre" TargetMode="External"/><Relationship Id="rId171" Type="http://schemas.openxmlformats.org/officeDocument/2006/relationships/hyperlink" Target="https://www.google.com/maps/search/?api=1&amp;query=Triq%20Benghazi%2C%20Ghajnsielem-Gozo%2C%20GSM%201624" TargetMode="External"/><Relationship Id="rId227" Type="http://schemas.openxmlformats.org/officeDocument/2006/relationships/hyperlink" Target="https://www.google.com/maps/search/?api=1&amp;query=123%20Triq%20Dun%20Karm%20Sant%2C%20Tarxien%2C%20Malta" TargetMode="External"/><Relationship Id="rId269" Type="http://schemas.openxmlformats.org/officeDocument/2006/relationships/hyperlink" Target="https://www.google.com/maps/search/?api=1&amp;query=358%20Triq%20in-Naxxar%2C%20B%27Kara%2C%20Malta%20BKR%209040" TargetMode="External"/><Relationship Id="rId33" Type="http://schemas.openxmlformats.org/officeDocument/2006/relationships/hyperlink" Target="MAILTO:deluxebathroomsmanagement@gmail.com" TargetMode="External"/><Relationship Id="rId129" Type="http://schemas.openxmlformats.org/officeDocument/2006/relationships/hyperlink" Target="MAILTO:info@alexmercieca.com" TargetMode="External"/><Relationship Id="rId280" Type="http://schemas.openxmlformats.org/officeDocument/2006/relationships/hyperlink" Target="https://banjuboutique.com/" TargetMode="External"/><Relationship Id="rId336" Type="http://schemas.openxmlformats.org/officeDocument/2006/relationships/hyperlink" Target="https://vivo.com.mt/" TargetMode="External"/><Relationship Id="rId75" Type="http://schemas.openxmlformats.org/officeDocument/2006/relationships/hyperlink" Target="MAILTO:info@banjuboutique.com" TargetMode="External"/><Relationship Id="rId140" Type="http://schemas.openxmlformats.org/officeDocument/2006/relationships/hyperlink" Target="https://www.google.com/maps/search/?api=1&amp;query=Mdina%20Road%2C%20Qormi%2C%20QRM%209011%2C%20Malta" TargetMode="External"/><Relationship Id="rId182" Type="http://schemas.openxmlformats.org/officeDocument/2006/relationships/hyperlink" Target="https://www.google.com/maps/search/?api=1&amp;query=11%20Triq%20I-Imdina%2C%20Attard%2C%20Malta%20ATD%209036" TargetMode="External"/><Relationship Id="rId378" Type="http://schemas.openxmlformats.org/officeDocument/2006/relationships/hyperlink" Target="https://vivo.com.mt/" TargetMode="External"/><Relationship Id="rId403" Type="http://schemas.openxmlformats.org/officeDocument/2006/relationships/hyperlink" Target="https://bmsupplies.com/" TargetMode="External"/><Relationship Id="rId6" Type="http://schemas.openxmlformats.org/officeDocument/2006/relationships/hyperlink" Target="MAILTO:info@banjuboutique.com" TargetMode="External"/><Relationship Id="rId238" Type="http://schemas.openxmlformats.org/officeDocument/2006/relationships/hyperlink" Target="https://www.google.com/maps/search/?api=1&amp;query=Misrah%20il-Barrieri%2C%20Sta%20Venera%2C%20Malta" TargetMode="External"/><Relationship Id="rId291" Type="http://schemas.openxmlformats.org/officeDocument/2006/relationships/hyperlink" Target="https://magribathrooms.com/" TargetMode="External"/><Relationship Id="rId305" Type="http://schemas.openxmlformats.org/officeDocument/2006/relationships/hyperlink" Target="https://bmsupplies.com/" TargetMode="External"/><Relationship Id="rId347" Type="http://schemas.openxmlformats.org/officeDocument/2006/relationships/hyperlink" Target="https://faenzabathrooms.com/" TargetMode="External"/><Relationship Id="rId44" Type="http://schemas.openxmlformats.org/officeDocument/2006/relationships/hyperlink" Target="MAILTO:cgrarbles@gmail.com" TargetMode="External"/><Relationship Id="rId86" Type="http://schemas.openxmlformats.org/officeDocument/2006/relationships/hyperlink" Target="MAILTO:classic-bathrooms@outlook.com" TargetMode="External"/><Relationship Id="rId151" Type="http://schemas.openxmlformats.org/officeDocument/2006/relationships/hyperlink" Target="https://www.google.com/maps/search/?api=1&amp;query=Pantar%20Road%20Hal%20Lija%20LJA%2C%202023" TargetMode="External"/><Relationship Id="rId389" Type="http://schemas.openxmlformats.org/officeDocument/2006/relationships/hyperlink" Target="https://chicliving.com.mt/" TargetMode="External"/><Relationship Id="rId193" Type="http://schemas.openxmlformats.org/officeDocument/2006/relationships/hyperlink" Target="https://www.google.com/maps/search/?api=1&amp;query=M%27Skala%20By%20Pass%2C%20Zabbar%2C%20Malta%20ZBR%209042" TargetMode="External"/><Relationship Id="rId207" Type="http://schemas.openxmlformats.org/officeDocument/2006/relationships/hyperlink" Target="https://www.google.com/maps/search/?api=1&amp;query=Triq%20Joe%20Sciberras%2C%20Hamrun%2C%20Malta%20HMR%201550" TargetMode="External"/><Relationship Id="rId249" Type="http://schemas.openxmlformats.org/officeDocument/2006/relationships/hyperlink" Target="https://www.google.com/maps/search/?api=1&amp;query=Triq%20Dun%20Karm%20B%27Kara%20By%20Pass%2C%20B%27Kara%2C%20Malta%20BKR%202940" TargetMode="External"/><Relationship Id="rId13" Type="http://schemas.openxmlformats.org/officeDocument/2006/relationships/hyperlink" Target="MAILTO:mail@afellis.com.tm" TargetMode="External"/><Relationship Id="rId109" Type="http://schemas.openxmlformats.org/officeDocument/2006/relationships/hyperlink" Target="MAILTO:info@banjuboutique.com" TargetMode="External"/><Relationship Id="rId260" Type="http://schemas.openxmlformats.org/officeDocument/2006/relationships/hyperlink" Target="https://www.google.com/maps/search/?api=1&amp;query=Triq%20il-Kummerc%2C%20Qormi%2C%20Malta" TargetMode="External"/><Relationship Id="rId316" Type="http://schemas.openxmlformats.org/officeDocument/2006/relationships/hyperlink" Target="https://alfredhili.com/" TargetMode="External"/><Relationship Id="rId55" Type="http://schemas.openxmlformats.org/officeDocument/2006/relationships/hyperlink" Target="MAILTO:michaelnuovobagno@gmail.com" TargetMode="External"/><Relationship Id="rId97" Type="http://schemas.openxmlformats.org/officeDocument/2006/relationships/hyperlink" Target="MAILTO:adrian@esclmalta.com" TargetMode="External"/><Relationship Id="rId120" Type="http://schemas.openxmlformats.org/officeDocument/2006/relationships/hyperlink" Target="MAILTO:info@vivo.com.mt" TargetMode="External"/><Relationship Id="rId358" Type="http://schemas.openxmlformats.org/officeDocument/2006/relationships/hyperlink" Target="https://cgremarbles.com.mt/" TargetMode="External"/><Relationship Id="rId162" Type="http://schemas.openxmlformats.org/officeDocument/2006/relationships/hyperlink" Target="https://www.google.com/maps/search/?api=1&amp;query=Mill%20Street%2C%20Qormi%20QRM%203102%2C%20Malta" TargetMode="External"/><Relationship Id="rId218" Type="http://schemas.openxmlformats.org/officeDocument/2006/relationships/hyperlink" Target="https://www.google.com/maps/search/?api=1&amp;query=Triq%20il-Kbira%2C%20Mgarr%2C%20Malta%20MGR%201430" TargetMode="External"/><Relationship Id="rId271" Type="http://schemas.openxmlformats.org/officeDocument/2006/relationships/hyperlink" Target="https://www.google.com/maps/search/?api=1&amp;query=Plot%2034%2C%20Qasam%20Industrijali%20LQA%203000%20Luqa%20MT" TargetMode="External"/><Relationship Id="rId24" Type="http://schemas.openxmlformats.org/officeDocument/2006/relationships/hyperlink" Target="MAILTO:info@waterartconcepts.com" TargetMode="External"/><Relationship Id="rId66" Type="http://schemas.openxmlformats.org/officeDocument/2006/relationships/hyperlink" Target="MAILTO:sales@alfredhili.com" TargetMode="External"/><Relationship Id="rId131" Type="http://schemas.openxmlformats.org/officeDocument/2006/relationships/hyperlink" Target="MAILTO:info@bathroomdesign.com.mt" TargetMode="External"/><Relationship Id="rId327" Type="http://schemas.openxmlformats.org/officeDocument/2006/relationships/hyperlink" Target="https://facebook.com/Josies-Bathroom-Centre" TargetMode="External"/><Relationship Id="rId369" Type="http://schemas.openxmlformats.org/officeDocument/2006/relationships/hyperlink" Target="https://magribathrooms.com/" TargetMode="External"/><Relationship Id="rId173" Type="http://schemas.openxmlformats.org/officeDocument/2006/relationships/hyperlink" Target="https://www.google.com/maps/search/?api=1&amp;query=Zone%203%20Triq%20San%20Gwakkin%20Central%20Business%20District%2C%20B%27kara%2C%20Malta%20CBD%203030" TargetMode="External"/><Relationship Id="rId229" Type="http://schemas.openxmlformats.org/officeDocument/2006/relationships/hyperlink" Target="https://www.google.com/maps/search/?api=1&amp;query=Triq%20in-Naxxar%2C%20Lija%2C%20Malta" TargetMode="External"/><Relationship Id="rId380" Type="http://schemas.openxmlformats.org/officeDocument/2006/relationships/hyperlink" Target="https://egrechcristalbath.com/" TargetMode="External"/><Relationship Id="rId240" Type="http://schemas.openxmlformats.org/officeDocument/2006/relationships/hyperlink" Target="https://www.google.com/maps/search/?api=1&amp;query=Pantar%20Estate%20Triq%20Pantar" TargetMode="External"/><Relationship Id="rId35" Type="http://schemas.openxmlformats.org/officeDocument/2006/relationships/hyperlink" Target="MAILTO:bugejamarbles@gmail.com" TargetMode="External"/><Relationship Id="rId77" Type="http://schemas.openxmlformats.org/officeDocument/2006/relationships/hyperlink" Target="MAILTO:info@bathroomdesign.com.mt" TargetMode="External"/><Relationship Id="rId100" Type="http://schemas.openxmlformats.org/officeDocument/2006/relationships/hyperlink" Target="MAILTO:sales@thetubmalta.com" TargetMode="External"/><Relationship Id="rId282" Type="http://schemas.openxmlformats.org/officeDocument/2006/relationships/hyperlink" Target="https://facebook.com/p/Gozo-Baths-Ceramics-100063540523723/" TargetMode="External"/><Relationship Id="rId338" Type="http://schemas.openxmlformats.org/officeDocument/2006/relationships/hyperlink" Target="https://bridgepoint.com/" TargetMode="External"/><Relationship Id="rId8" Type="http://schemas.openxmlformats.org/officeDocument/2006/relationships/hyperlink" Target="MAILTO:gozobaths@gmail.com" TargetMode="External"/><Relationship Id="rId142" Type="http://schemas.openxmlformats.org/officeDocument/2006/relationships/hyperlink" Target="https://www.google.com/maps/search/?api=1&amp;query=No%203%2C%20Triq%20Ferdinand%20Inglott%2C%20Attard%20ATD%203134" TargetMode="External"/><Relationship Id="rId184" Type="http://schemas.openxmlformats.org/officeDocument/2006/relationships/hyperlink" Target="https://www.google.com/maps/search/?api=1&amp;query=Triq%20Durumblat%2C%20II-Mosta%2C%20MST%204816" TargetMode="External"/><Relationship Id="rId391" Type="http://schemas.openxmlformats.org/officeDocument/2006/relationships/hyperlink" Target="https://facebook.com/keramitbathrooms/" TargetMode="External"/><Relationship Id="rId405" Type="http://schemas.openxmlformats.org/officeDocument/2006/relationships/hyperlink" Target="https://ssbathrooms.com/" TargetMode="External"/><Relationship Id="rId251" Type="http://schemas.openxmlformats.org/officeDocument/2006/relationships/hyperlink" Target="https://www.google.com/maps/search/?api=1&amp;query=Triq%20Ninu%20Ceremona%2C%20Victoria-Gozo%2C%20Gozo%20VCT%202563" TargetMode="External"/><Relationship Id="rId46" Type="http://schemas.openxmlformats.org/officeDocument/2006/relationships/hyperlink" Target="MAILTO:info@chicliving.com.mt" TargetMode="External"/><Relationship Id="rId293" Type="http://schemas.openxmlformats.org/officeDocument/2006/relationships/hyperlink" Target="https://falzons.com/" TargetMode="External"/><Relationship Id="rId307" Type="http://schemas.openxmlformats.org/officeDocument/2006/relationships/hyperlink" Target="https://iperceramica.it/en/ita" TargetMode="External"/><Relationship Id="rId349" Type="http://schemas.openxmlformats.org/officeDocument/2006/relationships/hyperlink" Target="https://absolute.com.mt/" TargetMode="External"/><Relationship Id="rId88" Type="http://schemas.openxmlformats.org/officeDocument/2006/relationships/hyperlink" Target="MAILTO:info@farellbathrooms.com" TargetMode="External"/><Relationship Id="rId111" Type="http://schemas.openxmlformats.org/officeDocument/2006/relationships/hyperlink" Target="MAILTO:bc.bathrooms@gmail.com" TargetMode="External"/><Relationship Id="rId153" Type="http://schemas.openxmlformats.org/officeDocument/2006/relationships/hyperlink" Target="https://www.google.com/maps/search/?api=1&amp;query=Zone%203%2C%20Triq%20In-Negozju%20Central%20Business%20District%20Birkirkara%20CBD%203010" TargetMode="External"/><Relationship Id="rId195" Type="http://schemas.openxmlformats.org/officeDocument/2006/relationships/hyperlink" Target="https://www.google.com/maps/search/?api=1&amp;query=Triq%20il-Mosta%2C%20Lija%2C%20Malta%20LJA%209012" TargetMode="External"/><Relationship Id="rId209" Type="http://schemas.openxmlformats.org/officeDocument/2006/relationships/hyperlink" Target="https://www.google.com/maps/search/?api=1&amp;query=7%20Triq%20I-Erba%27%20Qaddisin" TargetMode="External"/><Relationship Id="rId360" Type="http://schemas.openxmlformats.org/officeDocument/2006/relationships/hyperlink" Target="https://casamiamalta.com/" TargetMode="External"/><Relationship Id="rId220" Type="http://schemas.openxmlformats.org/officeDocument/2006/relationships/hyperlink" Target="https://www.google.com/maps/search/?api=1&amp;query=11%20Triq%20I-Imdina%2C%20Attard%2C%20Malta%20ATD%209036" TargetMode="External"/><Relationship Id="rId15" Type="http://schemas.openxmlformats.org/officeDocument/2006/relationships/hyperlink" Target="MAILTO:info@vellmann.com" TargetMode="External"/><Relationship Id="rId57" Type="http://schemas.openxmlformats.org/officeDocument/2006/relationships/hyperlink" Target="MAILTO:info@ssbathrooms.com" TargetMode="External"/><Relationship Id="rId262" Type="http://schemas.openxmlformats.org/officeDocument/2006/relationships/hyperlink" Target="https://www.google.com/maps/search/?api=1&amp;query=Constitution%20Street%2C%20Mosta%2C%20Malta" TargetMode="External"/><Relationship Id="rId318" Type="http://schemas.openxmlformats.org/officeDocument/2006/relationships/hyperlink" Target="https://banjuboutique.com/" TargetMode="External"/><Relationship Id="rId99" Type="http://schemas.openxmlformats.org/officeDocument/2006/relationships/hyperlink" Target="MAILTO:jg375@maltanet.net" TargetMode="External"/><Relationship Id="rId122" Type="http://schemas.openxmlformats.org/officeDocument/2006/relationships/hyperlink" Target="MAILTO:info@fzammitglass.com" TargetMode="External"/><Relationship Id="rId164" Type="http://schemas.openxmlformats.org/officeDocument/2006/relationships/hyperlink" Target="https://www.google.com/maps/search/?api=1&amp;query=Triq%20Dun%20Karm%2C%20B%27Kara%20Bypass%2C%20Birkirkara%20BKR%202940" TargetMode="External"/><Relationship Id="rId371" Type="http://schemas.openxmlformats.org/officeDocument/2006/relationships/hyperlink" Target="https://facebook.com/Nuovo-Bagno" TargetMode="External"/><Relationship Id="rId26" Type="http://schemas.openxmlformats.org/officeDocument/2006/relationships/hyperlink" Target="MAILTO:bc.bathrooms@gmail.com" TargetMode="External"/><Relationship Id="rId231" Type="http://schemas.openxmlformats.org/officeDocument/2006/relationships/hyperlink" Target="https://www.google.com/maps/search/?api=1&amp;query=137%20Triq%20Parades%2C%20San%20Pawl%20II-Bahar%2C%20Malta%20SPB%203430" TargetMode="External"/><Relationship Id="rId273" Type="http://schemas.openxmlformats.org/officeDocument/2006/relationships/hyperlink" Target="https://www.google.com/maps/search/?api=1&amp;query=3%2C%20Triq%20Ferdinandu%20Inglott%2C%20%C4%A6%27Attard" TargetMode="External"/><Relationship Id="rId329" Type="http://schemas.openxmlformats.org/officeDocument/2006/relationships/hyperlink" Target="https://magribathrooms.com/" TargetMode="External"/><Relationship Id="rId68" Type="http://schemas.openxmlformats.org/officeDocument/2006/relationships/hyperlink" Target="MAILTO:bugejamarbles@gmail.com" TargetMode="External"/><Relationship Id="rId133" Type="http://schemas.openxmlformats.org/officeDocument/2006/relationships/hyperlink" Target="MAILTO:kl.glass@outlook.com" TargetMode="External"/><Relationship Id="rId175" Type="http://schemas.openxmlformats.org/officeDocument/2006/relationships/hyperlink" Target="https://www.google.com/maps/search/?api=1&amp;query=25th%20November%20Avenue%2C%20Zejtun%2C%20ZTN2019" TargetMode="External"/><Relationship Id="rId340" Type="http://schemas.openxmlformats.org/officeDocument/2006/relationships/hyperlink" Target="https://deluxe-bathrooms.com/" TargetMode="External"/><Relationship Id="rId200" Type="http://schemas.openxmlformats.org/officeDocument/2006/relationships/hyperlink" Target="https://www.google.com/maps/search/?api=1&amp;query=No%203%2C%20Triq%20Ferdinand%20Inglott%2C%20Attard%20ATD%203134" TargetMode="External"/><Relationship Id="rId382" Type="http://schemas.openxmlformats.org/officeDocument/2006/relationships/hyperlink" Target="https://afellis.com.mt/" TargetMode="External"/><Relationship Id="rId242" Type="http://schemas.openxmlformats.org/officeDocument/2006/relationships/hyperlink" Target="https://www.google.com/maps/search/?api=1&amp;query=Triq%20Benghazi%2C%20Ghajnsielem-Gozo%2C%20GSM%201624" TargetMode="External"/><Relationship Id="rId284" Type="http://schemas.openxmlformats.org/officeDocument/2006/relationships/hyperlink" Target="https://dfloorings.com/" TargetMode="External"/><Relationship Id="rId37" Type="http://schemas.openxmlformats.org/officeDocument/2006/relationships/hyperlink" Target="MAILTO:info@alexmercieca.com" TargetMode="External"/><Relationship Id="rId79" Type="http://schemas.openxmlformats.org/officeDocument/2006/relationships/hyperlink" Target="MAILTO:purchases@bhome.com.mt" TargetMode="External"/><Relationship Id="rId102" Type="http://schemas.openxmlformats.org/officeDocument/2006/relationships/hyperlink" Target="MAILTO:info@vellmann.com" TargetMode="External"/><Relationship Id="rId144" Type="http://schemas.openxmlformats.org/officeDocument/2006/relationships/hyperlink" Target="https://www.google.com/maps/search/?api=1&amp;query=25th%20November%20Avenue%2C%20Zejtun%2C%20ZTN2019" TargetMode="External"/><Relationship Id="rId90" Type="http://schemas.openxmlformats.org/officeDocument/2006/relationships/hyperlink" Target="MAILTO:info@bayker.it" TargetMode="External"/><Relationship Id="rId186" Type="http://schemas.openxmlformats.org/officeDocument/2006/relationships/hyperlink" Target="https://www.google.com/maps/search/?api=1&amp;query=115%20Vjal%20iI-Blue%20Grotto%2C%20Zurrieq%2C%20Malta%20ZRQ%204015" TargetMode="External"/><Relationship Id="rId351" Type="http://schemas.openxmlformats.org/officeDocument/2006/relationships/hyperlink" Target="https://banjuboutique.com/" TargetMode="External"/><Relationship Id="rId393" Type="http://schemas.openxmlformats.org/officeDocument/2006/relationships/hyperlink" Target="https://facebook.com/ModaBagnoMalta" TargetMode="External"/><Relationship Id="rId407" Type="http://schemas.openxmlformats.org/officeDocument/2006/relationships/hyperlink" Target="https://floatglassltd.com/" TargetMode="External"/><Relationship Id="rId211" Type="http://schemas.openxmlformats.org/officeDocument/2006/relationships/hyperlink" Target="https://www.google.com/maps/search/?api=1&amp;query=Triq%20Pantar%2C%20Hal%20Lija" TargetMode="External"/><Relationship Id="rId253" Type="http://schemas.openxmlformats.org/officeDocument/2006/relationships/hyperlink" Target="https://www.google.com/maps/search/?api=1&amp;query=115%20Vjal%20iI-Blue%20Grotto%2C%20Zurrieq%2C%20Malta%20ZRQ%204015" TargetMode="External"/><Relationship Id="rId295" Type="http://schemas.openxmlformats.org/officeDocument/2006/relationships/hyperlink" Target="https://the-tile.com/" TargetMode="External"/><Relationship Id="rId309" Type="http://schemas.openxmlformats.org/officeDocument/2006/relationships/hyperlink" Target="https://egrechcristalbath.com/en/home.htm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MAILTO:rodneycolombo@gmail.com" TargetMode="External"/><Relationship Id="rId21" Type="http://schemas.openxmlformats.org/officeDocument/2006/relationships/hyperlink" Target="MAILTO:info@bmsupplies.com" TargetMode="External"/><Relationship Id="rId42" Type="http://schemas.openxmlformats.org/officeDocument/2006/relationships/hyperlink" Target="https://www.google.com/maps/search/?api=1&amp;query=Triq%20il-Taflija%20Qasam%20Industrijali%2C%20Xewkija-Gozo%2C%20Gozo%20XWK%203000" TargetMode="External"/><Relationship Id="rId47" Type="http://schemas.openxmlformats.org/officeDocument/2006/relationships/hyperlink" Target="https://www.google.com/maps/search/?api=1&amp;query=160%2C%20Mdina%20Road%2C%20Zebbug%20ZBG9015" TargetMode="External"/><Relationship Id="rId63" Type="http://schemas.openxmlformats.org/officeDocument/2006/relationships/hyperlink" Target="https://faenzabathrooms.com/" TargetMode="External"/><Relationship Id="rId68" Type="http://schemas.openxmlformats.org/officeDocument/2006/relationships/hyperlink" Target="https://falzons.com/" TargetMode="External"/><Relationship Id="rId16" Type="http://schemas.openxmlformats.org/officeDocument/2006/relationships/hyperlink" Target="MAILTO:info@bathroomdesign.com.mt" TargetMode="External"/><Relationship Id="rId11" Type="http://schemas.openxmlformats.org/officeDocument/2006/relationships/hyperlink" Target="MAILTO:info@vellmann.com" TargetMode="External"/><Relationship Id="rId24" Type="http://schemas.openxmlformats.org/officeDocument/2006/relationships/hyperlink" Target="MAILTO:mail@afellis.com.mt" TargetMode="External"/><Relationship Id="rId32" Type="http://schemas.openxmlformats.org/officeDocument/2006/relationships/hyperlink" Target="MAILTO:info@bigmatmalta.com" TargetMode="External"/><Relationship Id="rId37" Type="http://schemas.openxmlformats.org/officeDocument/2006/relationships/hyperlink" Target="https://www.google.com/maps/search/?api=1&amp;query=Paola%20Outlet%20Arcade%20Street%2C%20Paola%20PLA1212" TargetMode="External"/><Relationship Id="rId40" Type="http://schemas.openxmlformats.org/officeDocument/2006/relationships/hyperlink" Target="https://www.google.com/maps/search/?api=1&amp;query=25th%20November%20Avenue%2C%20Zejtun%2C%20ZTN2019" TargetMode="External"/><Relationship Id="rId45" Type="http://schemas.openxmlformats.org/officeDocument/2006/relationships/hyperlink" Target="https://www.google.com/maps/search/?api=1&amp;query=Triq%20il-Kanun%2C%20al%20Qormi%2C%20Malta" TargetMode="External"/><Relationship Id="rId53" Type="http://schemas.openxmlformats.org/officeDocument/2006/relationships/hyperlink" Target="https://www.google.com/maps/search/?api=1&amp;query=Triq%20Dun%20Karm%2C%20B%27Kara%20Bypass%2C%20Birkirkara%20BKR%202940" TargetMode="External"/><Relationship Id="rId58" Type="http://schemas.openxmlformats.org/officeDocument/2006/relationships/hyperlink" Target="https://pitrebathrooms.com/" TargetMode="External"/><Relationship Id="rId66" Type="http://schemas.openxmlformats.org/officeDocument/2006/relationships/hyperlink" Target="https://vellmann.com/" TargetMode="External"/><Relationship Id="rId74" Type="http://schemas.openxmlformats.org/officeDocument/2006/relationships/hyperlink" Target="https://waterartconcepts.com/" TargetMode="External"/><Relationship Id="rId5" Type="http://schemas.openxmlformats.org/officeDocument/2006/relationships/hyperlink" Target="MAILTO:sales@bridgepoint.com.mt" TargetMode="External"/><Relationship Id="rId61" Type="http://schemas.openxmlformats.org/officeDocument/2006/relationships/hyperlink" Target="https://facebook.com/p/Gozo-Baths-Ceramics-100063540523723/" TargetMode="External"/><Relationship Id="rId19" Type="http://schemas.openxmlformats.org/officeDocument/2006/relationships/hyperlink" Target="MAILTO:info@waterartconcepts.com" TargetMode="External"/><Relationship Id="rId14" Type="http://schemas.openxmlformats.org/officeDocument/2006/relationships/hyperlink" Target="MAILTO:sales@maltadiy.com" TargetMode="External"/><Relationship Id="rId22" Type="http://schemas.openxmlformats.org/officeDocument/2006/relationships/hyperlink" Target="MAILTO:info@vellmann.com" TargetMode="External"/><Relationship Id="rId27" Type="http://schemas.openxmlformats.org/officeDocument/2006/relationships/hyperlink" Target="MAILTO:info@splashstoremalta.com" TargetMode="External"/><Relationship Id="rId30" Type="http://schemas.openxmlformats.org/officeDocument/2006/relationships/hyperlink" Target="MAILTO:shop@hometrends.com.mt" TargetMode="External"/><Relationship Id="rId35" Type="http://schemas.openxmlformats.org/officeDocument/2006/relationships/hyperlink" Target="https://www.google.com/maps/search/?api=1&amp;query=Triq%20Papa%20Gwanni%20Pawlu%20II%2C%20Victoria-Gozo%2C%20Gozo%20VCT%209046" TargetMode="External"/><Relationship Id="rId43" Type="http://schemas.openxmlformats.org/officeDocument/2006/relationships/hyperlink" Target="https://www.google.com/maps/search/?api=1&amp;query=13%2C%20Triq%20il-Furnar%20Qormi%20QRM%203504%2C%20Malta" TargetMode="External"/><Relationship Id="rId48" Type="http://schemas.openxmlformats.org/officeDocument/2006/relationships/hyperlink" Target="https://www.google.com/maps/search/?api=1&amp;query=Triq%20Bella%20Vista%2C%20San%20Gwann%2C%20Malta%20SGN%202690" TargetMode="External"/><Relationship Id="rId56" Type="http://schemas.openxmlformats.org/officeDocument/2006/relationships/hyperlink" Target="https://deluxe-bathrooms.com/" TargetMode="External"/><Relationship Id="rId64" Type="http://schemas.openxmlformats.org/officeDocument/2006/relationships/hyperlink" Target="https://afellis.com.mt/" TargetMode="External"/><Relationship Id="rId69" Type="http://schemas.openxmlformats.org/officeDocument/2006/relationships/hyperlink" Target="https://maltadiy.com/" TargetMode="External"/><Relationship Id="rId77" Type="http://schemas.openxmlformats.org/officeDocument/2006/relationships/hyperlink" Target="https://facebook.com/Vellmann/" TargetMode="External"/><Relationship Id="rId8" Type="http://schemas.openxmlformats.org/officeDocument/2006/relationships/hyperlink" Target="MAILTO:faenzabathroomsmalta@gmail.com" TargetMode="External"/><Relationship Id="rId51" Type="http://schemas.openxmlformats.org/officeDocument/2006/relationships/hyperlink" Target="https://www.google.com/maps/search/?api=1&amp;query=435%20St.%20Joseph%20High%20Road%2C%20St.%20Venera%2C%20Malta" TargetMode="External"/><Relationship Id="rId72" Type="http://schemas.openxmlformats.org/officeDocument/2006/relationships/hyperlink" Target="https://thetub.com/" TargetMode="External"/><Relationship Id="rId3" Type="http://schemas.openxmlformats.org/officeDocument/2006/relationships/hyperlink" Target="MAILTO:info@jpitre.com" TargetMode="External"/><Relationship Id="rId12" Type="http://schemas.openxmlformats.org/officeDocument/2006/relationships/hyperlink" Target="MAILTO:info@magribathrooms.com" TargetMode="External"/><Relationship Id="rId17" Type="http://schemas.openxmlformats.org/officeDocument/2006/relationships/hyperlink" Target="MAILTO:sales@thetubmalta.com" TargetMode="External"/><Relationship Id="rId25" Type="http://schemas.openxmlformats.org/officeDocument/2006/relationships/hyperlink" Target="MAILTO:pools@muscatpools.com" TargetMode="External"/><Relationship Id="rId33" Type="http://schemas.openxmlformats.org/officeDocument/2006/relationships/hyperlink" Target="MAILTO:info@thegreatoutdoorsmalta.com" TargetMode="External"/><Relationship Id="rId38" Type="http://schemas.openxmlformats.org/officeDocument/2006/relationships/hyperlink" Target="https://www.google.com/maps/search/?api=1&amp;query=No%203%2C%20Triq%20Ferdinand%20Inglott%2C%20Attard%20ATD%203134" TargetMode="External"/><Relationship Id="rId46" Type="http://schemas.openxmlformats.org/officeDocument/2006/relationships/hyperlink" Target="https://www.google.com/maps/search/?api=1&amp;query=Falzon%27s%20Bathroom%20%26%20Ceramics%2C%20Triq%20il-Kummerc%2C%20Qormi%2C%20Malta" TargetMode="External"/><Relationship Id="rId59" Type="http://schemas.openxmlformats.org/officeDocument/2006/relationships/hyperlink" Target="https://banjuboutique.com/" TargetMode="External"/><Relationship Id="rId67" Type="http://schemas.openxmlformats.org/officeDocument/2006/relationships/hyperlink" Target="https://magribathrooms.com/" TargetMode="External"/><Relationship Id="rId20" Type="http://schemas.openxmlformats.org/officeDocument/2006/relationships/hyperlink" Target="MAILTO:bc.bathrooms@gmail.com" TargetMode="External"/><Relationship Id="rId41" Type="http://schemas.openxmlformats.org/officeDocument/2006/relationships/hyperlink" Target="https://www.google.com/maps/search/?api=1&amp;query=7%20Triq%20I-Erba%27%20Qaddisin" TargetMode="External"/><Relationship Id="rId54" Type="http://schemas.openxmlformats.org/officeDocument/2006/relationships/hyperlink" Target="https://www.google.com/maps/search/?api=1&amp;query=Triq%20Dun%20Karm%2C%20Kirkirkara%2C%20BKR%209035" TargetMode="External"/><Relationship Id="rId62" Type="http://schemas.openxmlformats.org/officeDocument/2006/relationships/hyperlink" Target="https://alexmercieca.com/" TargetMode="External"/><Relationship Id="rId70" Type="http://schemas.openxmlformats.org/officeDocument/2006/relationships/hyperlink" Target="https://the-tile.com/" TargetMode="External"/><Relationship Id="rId75" Type="http://schemas.openxmlformats.org/officeDocument/2006/relationships/hyperlink" Target="https://bc-bathrooms.com/" TargetMode="External"/><Relationship Id="rId1" Type="http://schemas.openxmlformats.org/officeDocument/2006/relationships/hyperlink" Target="MAILTO:deluxebathroomsmanagement@gmail.com" TargetMode="External"/><Relationship Id="rId6" Type="http://schemas.openxmlformats.org/officeDocument/2006/relationships/hyperlink" Target="MAILTO:gozobaths@gmail.com" TargetMode="External"/><Relationship Id="rId15" Type="http://schemas.openxmlformats.org/officeDocument/2006/relationships/hyperlink" Target="MAILTO:info@the-tile.com" TargetMode="External"/><Relationship Id="rId23" Type="http://schemas.openxmlformats.org/officeDocument/2006/relationships/hyperlink" Target="MAILTO:info@dolphinpools.com.mt" TargetMode="External"/><Relationship Id="rId28" Type="http://schemas.openxmlformats.org/officeDocument/2006/relationships/hyperlink" Target="MAILTO:info@crystalpools.com.mt" TargetMode="External"/><Relationship Id="rId36" Type="http://schemas.openxmlformats.org/officeDocument/2006/relationships/hyperlink" Target="https://www.google.com/maps/search/?api=1&amp;query=Mdina%20Road%2C%20Qormi%2C%20QRM%209011%2C%20Malta" TargetMode="External"/><Relationship Id="rId49" Type="http://schemas.openxmlformats.org/officeDocument/2006/relationships/hyperlink" Target="https://www.google.com/maps/search/?api=1&amp;query=356%20Naxxar%20Road%2C%20B%27Kara%2C%20BKR%209040%2C%20Malta" TargetMode="External"/><Relationship Id="rId57" Type="http://schemas.openxmlformats.org/officeDocument/2006/relationships/hyperlink" Target="https://newline.com.mt/" TargetMode="External"/><Relationship Id="rId10" Type="http://schemas.openxmlformats.org/officeDocument/2006/relationships/hyperlink" Target="MAILTO:info@vellafalzon.com" TargetMode="External"/><Relationship Id="rId31" Type="http://schemas.openxmlformats.org/officeDocument/2006/relationships/hyperlink" Target="MAILTO:sales@casafini.com.mt" TargetMode="External"/><Relationship Id="rId44" Type="http://schemas.openxmlformats.org/officeDocument/2006/relationships/hyperlink" Target="https://www.google.com/maps/search/?api=1&amp;query=Pantar%20Road%20Hal%20Lija%20LJA%2C%202023" TargetMode="External"/><Relationship Id="rId52" Type="http://schemas.openxmlformats.org/officeDocument/2006/relationships/hyperlink" Target="https://www.google.com/maps/search/?api=1&amp;query=Mill%20Street%2C%20Qormi%20QRM%203102%2C%20Malta" TargetMode="External"/><Relationship Id="rId60" Type="http://schemas.openxmlformats.org/officeDocument/2006/relationships/hyperlink" Target="https://bridgepoint.com/" TargetMode="External"/><Relationship Id="rId65" Type="http://schemas.openxmlformats.org/officeDocument/2006/relationships/hyperlink" Target="https://wvellafalzon.com/" TargetMode="External"/><Relationship Id="rId73" Type="http://schemas.openxmlformats.org/officeDocument/2006/relationships/hyperlink" Target="https://carinibathrooms.com/" TargetMode="External"/><Relationship Id="rId4" Type="http://schemas.openxmlformats.org/officeDocument/2006/relationships/hyperlink" Target="MAILTO:info@banjuboutique.com" TargetMode="External"/><Relationship Id="rId9" Type="http://schemas.openxmlformats.org/officeDocument/2006/relationships/hyperlink" Target="MAILTO:mail@afellis.com.tm" TargetMode="External"/><Relationship Id="rId13" Type="http://schemas.openxmlformats.org/officeDocument/2006/relationships/hyperlink" Target="MAILTO:info@falzons.com" TargetMode="External"/><Relationship Id="rId18" Type="http://schemas.openxmlformats.org/officeDocument/2006/relationships/hyperlink" Target="MAILTO:sales@carinibathrooms.com" TargetMode="External"/><Relationship Id="rId39" Type="http://schemas.openxmlformats.org/officeDocument/2006/relationships/hyperlink" Target="https://www.google.com/maps/search/?api=1&amp;query=Triq%20Dun%20Karm%2C%20Birkirkara%2C%20Malta" TargetMode="External"/><Relationship Id="rId34" Type="http://schemas.openxmlformats.org/officeDocument/2006/relationships/hyperlink" Target="https://www.google.com/maps/search/?api=1&amp;query=Triq%20Benghazi%2C%20Ghajnsielem-Gozo%2C%20GSM%201624" TargetMode="External"/><Relationship Id="rId50" Type="http://schemas.openxmlformats.org/officeDocument/2006/relationships/hyperlink" Target="https://www.google.com/maps/search/?api=1&amp;query=313A%2C%20Triq%20il-Barrieri%2C%20St%20Venera" TargetMode="External"/><Relationship Id="rId55" Type="http://schemas.openxmlformats.org/officeDocument/2006/relationships/hyperlink" Target="https://www.google.com/maps/search/?api=1&amp;query=Pantar%20Estate%20Triq%20Pantar" TargetMode="External"/><Relationship Id="rId76" Type="http://schemas.openxmlformats.org/officeDocument/2006/relationships/hyperlink" Target="https://bmsupplies.com/" TargetMode="External"/><Relationship Id="rId7" Type="http://schemas.openxmlformats.org/officeDocument/2006/relationships/hyperlink" Target="MAILTO:info@alexmercieca.com" TargetMode="External"/><Relationship Id="rId71" Type="http://schemas.openxmlformats.org/officeDocument/2006/relationships/hyperlink" Target="https://bathroomdesign.com.mt/" TargetMode="External"/><Relationship Id="rId2" Type="http://schemas.openxmlformats.org/officeDocument/2006/relationships/hyperlink" Target="MAILTO:newlineliving@gmail.com" TargetMode="External"/><Relationship Id="rId29" Type="http://schemas.openxmlformats.org/officeDocument/2006/relationships/hyperlink" Target="MAILTO:faenzabathroomsmalta@gmail.com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2%2C%20Industrial%20Estate%0AMdina%20Road%0AAttard%2C%20ATD3000" TargetMode="External"/><Relationship Id="rId299" Type="http://schemas.openxmlformats.org/officeDocument/2006/relationships/hyperlink" Target="https://facebook.com/people/Top-Drawer-Ltd/100057222588942/" TargetMode="External"/><Relationship Id="rId21" Type="http://schemas.openxmlformats.org/officeDocument/2006/relationships/hyperlink" Target="MAILTO:mosta@homemate.com.mt" TargetMode="External"/><Relationship Id="rId63" Type="http://schemas.openxmlformats.org/officeDocument/2006/relationships/hyperlink" Target="MAILTO:info@okhome.com.mt" TargetMode="External"/><Relationship Id="rId159" Type="http://schemas.openxmlformats.org/officeDocument/2006/relationships/hyperlink" Target="https://www.google.com/maps/search/?api=1&amp;query=Monpalau%20Building%20Triq%20it-Torri%2C%20Msida%2C%20Malta" TargetMode="External"/><Relationship Id="rId324" Type="http://schemas.openxmlformats.org/officeDocument/2006/relationships/hyperlink" Target="https://woodcreationsmalta.com/" TargetMode="External"/><Relationship Id="rId170" Type="http://schemas.openxmlformats.org/officeDocument/2006/relationships/hyperlink" Target="https://www.google.com/maps/search/?api=1&amp;query=32%20II-Moll%20tal-Hatab%2C%20Marsa%2C%20Malta%20MRS%201440" TargetMode="External"/><Relationship Id="rId226" Type="http://schemas.openxmlformats.org/officeDocument/2006/relationships/hyperlink" Target="https://www.google.com/maps/search/?api=1&amp;query=Galeas%2C%20San%20Gwann" TargetMode="External"/><Relationship Id="rId268" Type="http://schemas.openxmlformats.org/officeDocument/2006/relationships/hyperlink" Target="https://constructfurniture.com.mt/" TargetMode="External"/><Relationship Id="rId32" Type="http://schemas.openxmlformats.org/officeDocument/2006/relationships/hyperlink" Target="MAILTO:info@bdi.com.mt" TargetMode="External"/><Relationship Id="rId74" Type="http://schemas.openxmlformats.org/officeDocument/2006/relationships/hyperlink" Target="MAILTO:topdrawer@topdrawermalta.com" TargetMode="External"/><Relationship Id="rId128" Type="http://schemas.openxmlformats.org/officeDocument/2006/relationships/hyperlink" Target="https://www.google.com/maps/search/?api=1&amp;query=Mdina%20Road%20Zebbug%2C%20Malta" TargetMode="External"/><Relationship Id="rId335" Type="http://schemas.openxmlformats.org/officeDocument/2006/relationships/hyperlink" Target="https://morfeus.com.mt/" TargetMode="External"/><Relationship Id="rId5" Type="http://schemas.openxmlformats.org/officeDocument/2006/relationships/hyperlink" Target="MAILTO:cbrltd1@go.net.mt" TargetMode="External"/><Relationship Id="rId181" Type="http://schemas.openxmlformats.org/officeDocument/2006/relationships/hyperlink" Target="https://www.google.com/maps/search/?api=1&amp;query=Triq%20L-Mdina%2C%20Haz-Zebbug%2C%20ZBG09018" TargetMode="External"/><Relationship Id="rId237" Type="http://schemas.openxmlformats.org/officeDocument/2006/relationships/hyperlink" Target="https://krea.com.mt/" TargetMode="External"/><Relationship Id="rId279" Type="http://schemas.openxmlformats.org/officeDocument/2006/relationships/hyperlink" Target="https://onepercent.com.mt/" TargetMode="External"/><Relationship Id="rId43" Type="http://schemas.openxmlformats.org/officeDocument/2006/relationships/hyperlink" Target="MAILTO:info@constructfurniture.com.mt" TargetMode="External"/><Relationship Id="rId139" Type="http://schemas.openxmlformats.org/officeDocument/2006/relationships/hyperlink" Target="https://www.google.com/maps/search/?api=1&amp;query=Triq%20A%20Caligari%20Zabbar%20Malta%20ZBR%202806" TargetMode="External"/><Relationship Id="rId290" Type="http://schemas.openxmlformats.org/officeDocument/2006/relationships/hyperlink" Target="https://orienta.mt/" TargetMode="External"/><Relationship Id="rId304" Type="http://schemas.openxmlformats.org/officeDocument/2006/relationships/hyperlink" Target="https://danielwoodworksmalta.com/" TargetMode="External"/><Relationship Id="rId85" Type="http://schemas.openxmlformats.org/officeDocument/2006/relationships/hyperlink" Target="MAILTO:info@ferraramalta.com" TargetMode="External"/><Relationship Id="rId150" Type="http://schemas.openxmlformats.org/officeDocument/2006/relationships/hyperlink" Target="https://www.google.com/maps/search/?api=1&amp;query=59%20Triq%20in-Nahal%2C%20Mellieha%2C%20Malta%20MLH%202166" TargetMode="External"/><Relationship Id="rId192" Type="http://schemas.openxmlformats.org/officeDocument/2006/relationships/hyperlink" Target="https://www.google.com/maps/search/?api=1&amp;query=Triq%20Hal%20Far%2C%20B%27Budia%2C%20Malta" TargetMode="External"/><Relationship Id="rId206" Type="http://schemas.openxmlformats.org/officeDocument/2006/relationships/hyperlink" Target="https://www.google.com/maps/search/?api=1&amp;query=Triq%20il-Mosta%2C%20Lija%2C%20Malta%20LIJA%209012" TargetMode="External"/><Relationship Id="rId248" Type="http://schemas.openxmlformats.org/officeDocument/2006/relationships/hyperlink" Target="https://fino.com.mt/" TargetMode="External"/><Relationship Id="rId12" Type="http://schemas.openxmlformats.org/officeDocument/2006/relationships/hyperlink" Target="MAILTO:help@mattresscollection.com.mt" TargetMode="External"/><Relationship Id="rId108" Type="http://schemas.openxmlformats.org/officeDocument/2006/relationships/hyperlink" Target="MAILTO:help@wellbeingbedding.com" TargetMode="External"/><Relationship Id="rId315" Type="http://schemas.openxmlformats.org/officeDocument/2006/relationships/hyperlink" Target="https://jysk.com.mt/" TargetMode="External"/><Relationship Id="rId54" Type="http://schemas.openxmlformats.org/officeDocument/2006/relationships/hyperlink" Target="MAILTO:info@mucciomobili.it" TargetMode="External"/><Relationship Id="rId96" Type="http://schemas.openxmlformats.org/officeDocument/2006/relationships/hyperlink" Target="MAILTO:seguna@onvol.net" TargetMode="External"/><Relationship Id="rId161" Type="http://schemas.openxmlformats.org/officeDocument/2006/relationships/hyperlink" Target="https://www.google.com/maps/search/?api=1&amp;query=Triq%20Gorg%20Borg%20Olivier%2C%20Vicotria-Gozo%2C%20Gozo%20VCT%202515" TargetMode="External"/><Relationship Id="rId217" Type="http://schemas.openxmlformats.org/officeDocument/2006/relationships/hyperlink" Target="https://www.google.com/maps/search/?api=1&amp;query=Mdina%20Road%2C%20Zebbug" TargetMode="External"/><Relationship Id="rId259" Type="http://schemas.openxmlformats.org/officeDocument/2006/relationships/hyperlink" Target="https://brands.com.mt/" TargetMode="External"/><Relationship Id="rId23" Type="http://schemas.openxmlformats.org/officeDocument/2006/relationships/hyperlink" Target="MAILTO:sales@sylviabazaar.com" TargetMode="External"/><Relationship Id="rId119" Type="http://schemas.openxmlformats.org/officeDocument/2006/relationships/hyperlink" Target="https://www.google.com/maps/search/?api=1&amp;query=22%2F23%20Triq%20hal%20mula%20Haz-zebbug%20ZBG" TargetMode="External"/><Relationship Id="rId270" Type="http://schemas.openxmlformats.org/officeDocument/2006/relationships/hyperlink" Target="https://erickuster.com/" TargetMode="External"/><Relationship Id="rId326" Type="http://schemas.openxmlformats.org/officeDocument/2006/relationships/hyperlink" Target="https://bondsmalta.com/" TargetMode="External"/><Relationship Id="rId65" Type="http://schemas.openxmlformats.org/officeDocument/2006/relationships/hyperlink" Target="MAILTO:info@fino.com.mt" TargetMode="External"/><Relationship Id="rId130" Type="http://schemas.openxmlformats.org/officeDocument/2006/relationships/hyperlink" Target="https://www.google.com/maps/search/?api=1&amp;query=3%2C%20Triq%20il%20Dibjun%2C%20San%20Gwann%2C%20SGN%20052%2C%20Malta" TargetMode="External"/><Relationship Id="rId172" Type="http://schemas.openxmlformats.org/officeDocument/2006/relationships/hyperlink" Target="https://www.google.com/maps/search/?api=1&amp;query=13%20Censu%20Bugeja%2C%20L-Iklin%20BZN%201170" TargetMode="External"/><Relationship Id="rId228" Type="http://schemas.openxmlformats.org/officeDocument/2006/relationships/hyperlink" Target="https://www.google.com/maps/search/?api=1&amp;query=Lija%20%2F%20Qormi%20stores" TargetMode="External"/><Relationship Id="rId281" Type="http://schemas.openxmlformats.org/officeDocument/2006/relationships/hyperlink" Target="https://rusticahome.com.mt/" TargetMode="External"/><Relationship Id="rId337" Type="http://schemas.openxmlformats.org/officeDocument/2006/relationships/hyperlink" Target="https://omajcobedding.com/" TargetMode="External"/><Relationship Id="rId34" Type="http://schemas.openxmlformats.org/officeDocument/2006/relationships/hyperlink" Target="MAILTO:info@brands.com.mt" TargetMode="External"/><Relationship Id="rId76" Type="http://schemas.openxmlformats.org/officeDocument/2006/relationships/hyperlink" Target="MAILTO:sales@casafini.com.mt" TargetMode="External"/><Relationship Id="rId141" Type="http://schemas.openxmlformats.org/officeDocument/2006/relationships/hyperlink" Target="https://www.google.com/maps/search/?api=1&amp;query=233%20Tower%20Road%2C%20Sliema%20SLM%201601" TargetMode="External"/><Relationship Id="rId7" Type="http://schemas.openxmlformats.org/officeDocument/2006/relationships/hyperlink" Target="MAILTO:marketing@form.com.mt" TargetMode="External"/><Relationship Id="rId183" Type="http://schemas.openxmlformats.org/officeDocument/2006/relationships/hyperlink" Target="https://www.google.com/maps/search/?api=1&amp;query=Blk%20A%20No%207%2C%20Upper%20Level%2C%20Midland%20Mico%20Enterprise%20Park%2C%20Burmarrad%20Road%2C%20Naxxar" TargetMode="External"/><Relationship Id="rId239" Type="http://schemas.openxmlformats.org/officeDocument/2006/relationships/hyperlink" Target="https://dinofino.com/" TargetMode="External"/><Relationship Id="rId250" Type="http://schemas.openxmlformats.org/officeDocument/2006/relationships/hyperlink" Target="https://vitafoammalta.com/" TargetMode="External"/><Relationship Id="rId292" Type="http://schemas.openxmlformats.org/officeDocument/2006/relationships/hyperlink" Target="https://luxonas.com/" TargetMode="External"/><Relationship Id="rId306" Type="http://schemas.openxmlformats.org/officeDocument/2006/relationships/hyperlink" Target="https://ecasa.com.mt/" TargetMode="External"/><Relationship Id="rId45" Type="http://schemas.openxmlformats.org/officeDocument/2006/relationships/hyperlink" Target="MAILTO:rachel@erickuster.com" TargetMode="External"/><Relationship Id="rId87" Type="http://schemas.openxmlformats.org/officeDocument/2006/relationships/hyperlink" Target="MAILTO:info@gozoarts.com.mt" TargetMode="External"/><Relationship Id="rId110" Type="http://schemas.openxmlformats.org/officeDocument/2006/relationships/hyperlink" Target="MAILTO:foam.leather@gmail.com" TargetMode="External"/><Relationship Id="rId152" Type="http://schemas.openxmlformats.org/officeDocument/2006/relationships/hyperlink" Target="https://www.google.com/maps/search/?api=1&amp;query=57%20Naxxar%20road%2C%20San%20Gwann%20sgn%209032%2C%20Malta" TargetMode="External"/><Relationship Id="rId173" Type="http://schemas.openxmlformats.org/officeDocument/2006/relationships/hyperlink" Target="https://www.google.com/maps/search/?api=1&amp;query=Giovanni%20Felice%20Street%2C%20Zone%203%2C%20Central%20Business%20District%2C%20Birkirkara%20CBD%203120" TargetMode="External"/><Relationship Id="rId194" Type="http://schemas.openxmlformats.org/officeDocument/2006/relationships/hyperlink" Target="https://www.google.com/maps/search/?api=1&amp;query=192%20Triq%20in-Naxxar%2C%20B%27Kara%2C%20Malta%20BKR%209044" TargetMode="External"/><Relationship Id="rId208" Type="http://schemas.openxmlformats.org/officeDocument/2006/relationships/hyperlink" Target="https://www.google.com/maps/search/?api=1&amp;query=154%20Triq%20il-Kappillan%20Mifsud%2C%20Sta%20Venera%2C%20Malta" TargetMode="External"/><Relationship Id="rId229" Type="http://schemas.openxmlformats.org/officeDocument/2006/relationships/hyperlink" Target="https://www.google.com/maps/search/?api=1&amp;query=San%20Gwann" TargetMode="External"/><Relationship Id="rId240" Type="http://schemas.openxmlformats.org/officeDocument/2006/relationships/hyperlink" Target="https://mattresscollection.com.mt/" TargetMode="External"/><Relationship Id="rId261" Type="http://schemas.openxmlformats.org/officeDocument/2006/relationships/hyperlink" Target="https://kubekgroup.com/" TargetMode="External"/><Relationship Id="rId14" Type="http://schemas.openxmlformats.org/officeDocument/2006/relationships/hyperlink" Target="MAILTO:sales@shaker.com.mt" TargetMode="External"/><Relationship Id="rId35" Type="http://schemas.openxmlformats.org/officeDocument/2006/relationships/hyperlink" Target="MAILTO:stephen@rliving.com.mt" TargetMode="External"/><Relationship Id="rId56" Type="http://schemas.openxmlformats.org/officeDocument/2006/relationships/hyperlink" Target="MAILTO:realwoodworks1@gmail.com" TargetMode="External"/><Relationship Id="rId77" Type="http://schemas.openxmlformats.org/officeDocument/2006/relationships/hyperlink" Target="MAILTO:jasoakwalnut@yahoo.com" TargetMode="External"/><Relationship Id="rId100" Type="http://schemas.openxmlformats.org/officeDocument/2006/relationships/hyperlink" Target="MAILTO:info@stylefurnituremalta.com" TargetMode="External"/><Relationship Id="rId282" Type="http://schemas.openxmlformats.org/officeDocument/2006/relationships/hyperlink" Target="https://promaninteriors.com/" TargetMode="External"/><Relationship Id="rId317" Type="http://schemas.openxmlformats.org/officeDocument/2006/relationships/hyperlink" Target="https://mucciomobili.it/" TargetMode="External"/><Relationship Id="rId8" Type="http://schemas.openxmlformats.org/officeDocument/2006/relationships/hyperlink" Target="MAILTO:sales@powerhousemalta.eu" TargetMode="External"/><Relationship Id="rId98" Type="http://schemas.openxmlformats.org/officeDocument/2006/relationships/hyperlink" Target="MAILTO:info@spaces.com.mt" TargetMode="External"/><Relationship Id="rId121" Type="http://schemas.openxmlformats.org/officeDocument/2006/relationships/hyperlink" Target="https://www.google.com/maps/search/?api=1&amp;query=Triq%20Hal%20Tarxien%2C%20Luqa%2C%20Malta%20LQA%201814" TargetMode="External"/><Relationship Id="rId142" Type="http://schemas.openxmlformats.org/officeDocument/2006/relationships/hyperlink" Target="https://www.google.com/maps/search/?api=1&amp;query=5%2F6%20Msida%20Valley%20Road%20Birkirkara%20BKR%209022%20Malta" TargetMode="External"/><Relationship Id="rId163" Type="http://schemas.openxmlformats.org/officeDocument/2006/relationships/hyperlink" Target="https://www.google.com/maps/search/?api=1&amp;query=Triq%20il-Wied%20Ta%27%20L%27lmsida%2C%20B%27Kara%2C%20Malta%20BKR%203000" TargetMode="External"/><Relationship Id="rId184" Type="http://schemas.openxmlformats.org/officeDocument/2006/relationships/hyperlink" Target="https://www.google.com/maps/search/?api=1&amp;query=25%2C%20Triq%20San%20Gorg%2C%20Naxxar%2C%20Malta" TargetMode="External"/><Relationship Id="rId219" Type="http://schemas.openxmlformats.org/officeDocument/2006/relationships/hyperlink" Target="https://www.google.com/maps/search/?api=1&amp;query=Triq%20il-Wied%20ta%27%20%28multiple%29" TargetMode="External"/><Relationship Id="rId230" Type="http://schemas.openxmlformats.org/officeDocument/2006/relationships/hyperlink" Target="https://euroimjsm.com/" TargetMode="External"/><Relationship Id="rId251" Type="http://schemas.openxmlformats.org/officeDocument/2006/relationships/hyperlink" Target="https://sylviabazaar.com/" TargetMode="External"/><Relationship Id="rId25" Type="http://schemas.openxmlformats.org/officeDocument/2006/relationships/hyperlink" Target="MAILTO:help@wellbeingbedding.com" TargetMode="External"/><Relationship Id="rId46" Type="http://schemas.openxmlformats.org/officeDocument/2006/relationships/hyperlink" Target="MAILTO:gaspare@esteamt.com" TargetMode="External"/><Relationship Id="rId67" Type="http://schemas.openxmlformats.org/officeDocument/2006/relationships/hyperlink" Target="MAILTO:info@luxonas.com" TargetMode="External"/><Relationship Id="rId272" Type="http://schemas.openxmlformats.org/officeDocument/2006/relationships/hyperlink" Target="https://gozoarts.com.mt/" TargetMode="External"/><Relationship Id="rId293" Type="http://schemas.openxmlformats.org/officeDocument/2006/relationships/hyperlink" Target="https://ecasa.com.mt/" TargetMode="External"/><Relationship Id="rId307" Type="http://schemas.openxmlformats.org/officeDocument/2006/relationships/hyperlink" Target="https://erickuster.com/" TargetMode="External"/><Relationship Id="rId328" Type="http://schemas.openxmlformats.org/officeDocument/2006/relationships/hyperlink" Target="https://eurotexmalta.com/" TargetMode="External"/><Relationship Id="rId88" Type="http://schemas.openxmlformats.org/officeDocument/2006/relationships/hyperlink" Target="MAILTO:info@grannysmithshop.com" TargetMode="External"/><Relationship Id="rId111" Type="http://schemas.openxmlformats.org/officeDocument/2006/relationships/hyperlink" Target="MAILTO:sales@sylviabazaar.com" TargetMode="External"/><Relationship Id="rId132" Type="http://schemas.openxmlformats.org/officeDocument/2006/relationships/hyperlink" Target="https://www.google.com/maps/search/?api=1&amp;query=Triq%20San%20Pawl%20tal-Qliegha%2C%20MST9096%20Mosta%2C%20Malta" TargetMode="External"/><Relationship Id="rId153" Type="http://schemas.openxmlformats.org/officeDocument/2006/relationships/hyperlink" Target="https://www.google.com/maps/search/?api=1&amp;query=146%2C%20Balzan%20Valley%2C%20Hal%20Balzan%2C%20Malta" TargetMode="External"/><Relationship Id="rId174" Type="http://schemas.openxmlformats.org/officeDocument/2006/relationships/hyperlink" Target="https://www.google.com/maps/search/?api=1&amp;query=Vjal%2025%20ta%27%20Novembru%2C%20Tal-Barrani%2C%20Zejtun" TargetMode="External"/><Relationship Id="rId195" Type="http://schemas.openxmlformats.org/officeDocument/2006/relationships/hyperlink" Target="https://www.google.com/maps/search/?api=1&amp;query=San%20Gwakkin%20Building%20Triq%20Gwakkin%20Central%20Business%20District%2C%20B%27Kara%2C%20Malta%20CBD%204020" TargetMode="External"/><Relationship Id="rId209" Type="http://schemas.openxmlformats.org/officeDocument/2006/relationships/hyperlink" Target="https://www.google.com/maps/search/?api=1&amp;query=Flat%209%2C%20Harmony%20Court%20Triq%20tal-Gardiel%2C%20M%27Skala%2C%20Malta%20MSK%203807" TargetMode="External"/><Relationship Id="rId220" Type="http://schemas.openxmlformats.org/officeDocument/2006/relationships/hyperlink" Target="https://www.google.com/maps/search/?api=1&amp;query=163%20Triq%20il-Ferrovija%2C%20Santa%20Venera" TargetMode="External"/><Relationship Id="rId241" Type="http://schemas.openxmlformats.org/officeDocument/2006/relationships/hyperlink" Target="https://royaltybedding.com/" TargetMode="External"/><Relationship Id="rId15" Type="http://schemas.openxmlformats.org/officeDocument/2006/relationships/hyperlink" Target="MAILTO:info@dreamsmalta.com" TargetMode="External"/><Relationship Id="rId36" Type="http://schemas.openxmlformats.org/officeDocument/2006/relationships/hyperlink" Target="MAILTO:info@kubekgroup.com" TargetMode="External"/><Relationship Id="rId57" Type="http://schemas.openxmlformats.org/officeDocument/2006/relationships/hyperlink" Target="MAILTO:info@rusticahome.com.mt" TargetMode="External"/><Relationship Id="rId262" Type="http://schemas.openxmlformats.org/officeDocument/2006/relationships/hyperlink" Target="https://facebook.com/people/Abela-Norbert-Joiners/100057636902110/" TargetMode="External"/><Relationship Id="rId283" Type="http://schemas.openxmlformats.org/officeDocument/2006/relationships/hyperlink" Target="https://powerhousemalta.eu/" TargetMode="External"/><Relationship Id="rId318" Type="http://schemas.openxmlformats.org/officeDocument/2006/relationships/hyperlink" Target="https://facebook.com/p/Rags-and-Riches-Buy-and-Sell-100041339592117/" TargetMode="External"/><Relationship Id="rId78" Type="http://schemas.openxmlformats.org/officeDocument/2006/relationships/hyperlink" Target="MAILTO:cieffejoinery@fsh.com.mt" TargetMode="External"/><Relationship Id="rId99" Type="http://schemas.openxmlformats.org/officeDocument/2006/relationships/hyperlink" Target="MAILTO:deals@shabbychicmalta.com" TargetMode="External"/><Relationship Id="rId101" Type="http://schemas.openxmlformats.org/officeDocument/2006/relationships/hyperlink" Target="MAILTO:marketing@tal-lira.com" TargetMode="External"/><Relationship Id="rId122" Type="http://schemas.openxmlformats.org/officeDocument/2006/relationships/hyperlink" Target="https://www.google.com/maps/search/?api=1&amp;query=City%20Pearl%20Shopping%20Arcades%20Triq%20Fortunato%20Mizzi%2C%20Victoria-Gozo%2C%20Gozo%20VCT%202571" TargetMode="External"/><Relationship Id="rId143" Type="http://schemas.openxmlformats.org/officeDocument/2006/relationships/hyperlink" Target="https://www.google.com/maps/search/?api=1&amp;query=5%2F7%20Triq%20Censu%20Bugeja%2C%20L-Iklin" TargetMode="External"/><Relationship Id="rId164" Type="http://schemas.openxmlformats.org/officeDocument/2006/relationships/hyperlink" Target="https://www.google.com/maps/search/?api=1&amp;query=Triq%20il-Kbira%2C%20Mellieha%2C%20Malta%20MLH%202317" TargetMode="External"/><Relationship Id="rId185" Type="http://schemas.openxmlformats.org/officeDocument/2006/relationships/hyperlink" Target="https://www.google.com/maps/search/?api=1&amp;query=Triq%20tal-Balal%2C%20San%20Gwann%2C%20Malta%20SGN%209016" TargetMode="External"/><Relationship Id="rId9" Type="http://schemas.openxmlformats.org/officeDocument/2006/relationships/hyperlink" Target="MAILTO:info@krea.com.mt" TargetMode="External"/><Relationship Id="rId210" Type="http://schemas.openxmlformats.org/officeDocument/2006/relationships/hyperlink" Target="https://www.google.com/maps/search/?api=1&amp;query=91%20Triq%20il-Kbira%20San%20Guzepp%2C%20Hamrun%2C%20Malta%20HMR%201017" TargetMode="External"/><Relationship Id="rId26" Type="http://schemas.openxmlformats.org/officeDocument/2006/relationships/hyperlink" Target="MAILTO:info@ctmliving.com" TargetMode="External"/><Relationship Id="rId231" Type="http://schemas.openxmlformats.org/officeDocument/2006/relationships/hyperlink" Target="https://styleinterni.com/" TargetMode="External"/><Relationship Id="rId252" Type="http://schemas.openxmlformats.org/officeDocument/2006/relationships/hyperlink" Target="https://omajcobedding.com/" TargetMode="External"/><Relationship Id="rId273" Type="http://schemas.openxmlformats.org/officeDocument/2006/relationships/hyperlink" Target="https://form.com.mt/" TargetMode="External"/><Relationship Id="rId294" Type="http://schemas.openxmlformats.org/officeDocument/2006/relationships/hyperlink" Target="https://glreclaim.com/" TargetMode="External"/><Relationship Id="rId308" Type="http://schemas.openxmlformats.org/officeDocument/2006/relationships/hyperlink" Target="https://fg.com.mt/" TargetMode="External"/><Relationship Id="rId329" Type="http://schemas.openxmlformats.org/officeDocument/2006/relationships/hyperlink" Target="https://dreamsmalta.com/" TargetMode="External"/><Relationship Id="rId47" Type="http://schemas.openxmlformats.org/officeDocument/2006/relationships/hyperlink" Target="MAILTO:agius65@hotmail.com" TargetMode="External"/><Relationship Id="rId68" Type="http://schemas.openxmlformats.org/officeDocument/2006/relationships/hyperlink" Target="MAILTO:info@ecasa.com.mt" TargetMode="External"/><Relationship Id="rId89" Type="http://schemas.openxmlformats.org/officeDocument/2006/relationships/hyperlink" Target="MAILTO:info@jcrfurniture.com" TargetMode="External"/><Relationship Id="rId112" Type="http://schemas.openxmlformats.org/officeDocument/2006/relationships/hyperlink" Target="MAILTO:info@vitafoammalta.com" TargetMode="External"/><Relationship Id="rId133" Type="http://schemas.openxmlformats.org/officeDocument/2006/relationships/hyperlink" Target="https://www.google.com/maps/search/?api=1&amp;query=Triq%20L-mdina%2C%20Zone%202%2C%20Central%20Business%20District%2C%20Birkirkara%20CBD%202010%2C%20Malta" TargetMode="External"/><Relationship Id="rId154" Type="http://schemas.openxmlformats.org/officeDocument/2006/relationships/hyperlink" Target="https://www.google.com/maps/search/?api=1&amp;query=Triq%20il-Wied%20Ta%27%20L-Imsida%2C%20B%27Kara%2C%20Malta%20BKR%209022" TargetMode="External"/><Relationship Id="rId175" Type="http://schemas.openxmlformats.org/officeDocument/2006/relationships/hyperlink" Target="https://www.google.com/maps/search/?api=1&amp;query=Triq%20il-Mosta%2C%20Lija%2C%20Malta%20LIJA%209012" TargetMode="External"/><Relationship Id="rId196" Type="http://schemas.openxmlformats.org/officeDocument/2006/relationships/hyperlink" Target="https://www.google.com/maps/search/?api=1&amp;query=Triq%20Wied%20Ghomor%2C%20San%20Giljan%2C%20Malta%20STJ%202040" TargetMode="External"/><Relationship Id="rId200" Type="http://schemas.openxmlformats.org/officeDocument/2006/relationships/hyperlink" Target="https://www.google.com/maps/search/?api=1&amp;query=Pjazza%20Tigne%27%20Tigne%27%20Point%2C%20Slimea%2C%20Malta" TargetMode="External"/><Relationship Id="rId16" Type="http://schemas.openxmlformats.org/officeDocument/2006/relationships/hyperlink" Target="MAILTO:estevan@morfeus.com.mt" TargetMode="External"/><Relationship Id="rId221" Type="http://schemas.openxmlformats.org/officeDocument/2006/relationships/hyperlink" Target="https://www.google.com/maps/search/?api=1&amp;query=Abate%20Rigord%20St%2C%20Ta%27%20Xbiex" TargetMode="External"/><Relationship Id="rId242" Type="http://schemas.openxmlformats.org/officeDocument/2006/relationships/hyperlink" Target="https://shaker.com.mt/" TargetMode="External"/><Relationship Id="rId263" Type="http://schemas.openxmlformats.org/officeDocument/2006/relationships/hyperlink" Target="https://facebook.com/photo/?fbid=518605750070651&amp;set=a.518605710070655" TargetMode="External"/><Relationship Id="rId284" Type="http://schemas.openxmlformats.org/officeDocument/2006/relationships/hyperlink" Target="https://theatrium.com.mt/" TargetMode="External"/><Relationship Id="rId319" Type="http://schemas.openxmlformats.org/officeDocument/2006/relationships/hyperlink" Target="https://lepseg.wix.com/richard-furniture" TargetMode="External"/><Relationship Id="rId37" Type="http://schemas.openxmlformats.org/officeDocument/2006/relationships/hyperlink" Target="MAILTO:abelanorbertjoiners@gmail.com" TargetMode="External"/><Relationship Id="rId58" Type="http://schemas.openxmlformats.org/officeDocument/2006/relationships/hyperlink" Target="MAILTO:info@promaninteriors.com" TargetMode="External"/><Relationship Id="rId79" Type="http://schemas.openxmlformats.org/officeDocument/2006/relationships/hyperlink" Target="MAILTO:danwoodworks@yahoo.co.uk" TargetMode="External"/><Relationship Id="rId102" Type="http://schemas.openxmlformats.org/officeDocument/2006/relationships/hyperlink" Target="MAILTO:lcwoodcreations@gmail.com" TargetMode="External"/><Relationship Id="rId123" Type="http://schemas.openxmlformats.org/officeDocument/2006/relationships/hyperlink" Target="https://www.google.com/maps/search/?api=1&amp;query=Triq%20il-Wied%20ta%27%20I-Imsida%2C%20Msida%2C%20Malta%20MSD%209023" TargetMode="External"/><Relationship Id="rId144" Type="http://schemas.openxmlformats.org/officeDocument/2006/relationships/hyperlink" Target="https://www.google.com/maps/search/?api=1&amp;query=31%2C%20Cross%20Road%2C%20Marsa%20MRS%201548%2C%20Malta" TargetMode="External"/><Relationship Id="rId330" Type="http://schemas.openxmlformats.org/officeDocument/2006/relationships/hyperlink" Target="https://wellbeingbedding.com/" TargetMode="External"/><Relationship Id="rId90" Type="http://schemas.openxmlformats.org/officeDocument/2006/relationships/hyperlink" Target="MAILTO:info@jagiuswoodworks.com" TargetMode="External"/><Relationship Id="rId165" Type="http://schemas.openxmlformats.org/officeDocument/2006/relationships/hyperlink" Target="https://www.google.com/maps/search/?api=1&amp;query=Zone%205%20Triq%20ll-Kummerc%20Central%20Business%20District%2C%20Qormi%2C%20Malta" TargetMode="External"/><Relationship Id="rId186" Type="http://schemas.openxmlformats.org/officeDocument/2006/relationships/hyperlink" Target="https://www.google.com/maps/search/?api=1&amp;query=Dawert%20I-Imriehel%2C%20Qormi%2C%20Malta%20QRM%209052" TargetMode="External"/><Relationship Id="rId211" Type="http://schemas.openxmlformats.org/officeDocument/2006/relationships/hyperlink" Target="https://www.google.com/maps/search/?api=1&amp;query=210%20Triq%20il-Ferrovija%2C%20Sta%20Venera%2C%20Malta%20SVR%209019" TargetMode="External"/><Relationship Id="rId232" Type="http://schemas.openxmlformats.org/officeDocument/2006/relationships/hyperlink" Target="https://homisticrooms.com/" TargetMode="External"/><Relationship Id="rId253" Type="http://schemas.openxmlformats.org/officeDocument/2006/relationships/hyperlink" Target="https://borisarcidiacono.com/" TargetMode="External"/><Relationship Id="rId274" Type="http://schemas.openxmlformats.org/officeDocument/2006/relationships/hyperlink" Target="https://imaginecasamalta.com/" TargetMode="External"/><Relationship Id="rId295" Type="http://schemas.openxmlformats.org/officeDocument/2006/relationships/hyperlink" Target="https://objects.mt/" TargetMode="External"/><Relationship Id="rId309" Type="http://schemas.openxmlformats.org/officeDocument/2006/relationships/hyperlink" Target="https://ferraracasa.com.mt/" TargetMode="External"/><Relationship Id="rId27" Type="http://schemas.openxmlformats.org/officeDocument/2006/relationships/hyperlink" Target="MAILTO:info@pcs.com.mt" TargetMode="External"/><Relationship Id="rId48" Type="http://schemas.openxmlformats.org/officeDocument/2006/relationships/hyperlink" Target="MAILTO:info@gozoarts.com.mt" TargetMode="External"/><Relationship Id="rId69" Type="http://schemas.openxmlformats.org/officeDocument/2006/relationships/hyperlink" Target="MAILTO:restorer@glreclaim.com" TargetMode="External"/><Relationship Id="rId113" Type="http://schemas.openxmlformats.org/officeDocument/2006/relationships/hyperlink" Target="MAILTO:estevan@morfeus.com.mt" TargetMode="External"/><Relationship Id="rId134" Type="http://schemas.openxmlformats.org/officeDocument/2006/relationships/hyperlink" Target="https://www.google.com/maps/search/?api=1&amp;query=Pantar%20Road%2C%20Lija%2C%20Malta" TargetMode="External"/><Relationship Id="rId320" Type="http://schemas.openxmlformats.org/officeDocument/2006/relationships/hyperlink" Target="https://spaces.com.mt/" TargetMode="External"/><Relationship Id="rId80" Type="http://schemas.openxmlformats.org/officeDocument/2006/relationships/hyperlink" Target="MAILTO:sales@domal.mt" TargetMode="External"/><Relationship Id="rId155" Type="http://schemas.openxmlformats.org/officeDocument/2006/relationships/hyperlink" Target="https://www.google.com/maps/search/?api=1&amp;query=Triq%20Hal%20Far%2C%20B%27Budia%2C%20Malta" TargetMode="External"/><Relationship Id="rId176" Type="http://schemas.openxmlformats.org/officeDocument/2006/relationships/hyperlink" Target="https://www.google.com/maps/search/?api=1&amp;query=Pantar%20Road%2C%20Lija%2C%20Malta" TargetMode="External"/><Relationship Id="rId197" Type="http://schemas.openxmlformats.org/officeDocument/2006/relationships/hyperlink" Target="https://www.google.com/maps/search/?api=1&amp;query=69%20Triq%20Hal%20Qormi%2C%20Hamrun%2C%20Malta%20HMR%202183" TargetMode="External"/><Relationship Id="rId201" Type="http://schemas.openxmlformats.org/officeDocument/2006/relationships/hyperlink" Target="https://www.google.com/maps/search/?api=1&amp;query=Triq%20Gorg%20Borg%20Olivier%2C%20Victoria-Gozo%2C%20Gozo%20VCT%202515" TargetMode="External"/><Relationship Id="rId222" Type="http://schemas.openxmlformats.org/officeDocument/2006/relationships/hyperlink" Target="https://www.google.com/maps/search/?api=1&amp;query=5%2F6%20Msida%20Valley%20Road%2C%20Birkirkara" TargetMode="External"/><Relationship Id="rId243" Type="http://schemas.openxmlformats.org/officeDocument/2006/relationships/hyperlink" Target="https://dreamsmalta.com/" TargetMode="External"/><Relationship Id="rId264" Type="http://schemas.openxmlformats.org/officeDocument/2006/relationships/hyperlink" Target="https://bedsofa.mypos.site/en" TargetMode="External"/><Relationship Id="rId285" Type="http://schemas.openxmlformats.org/officeDocument/2006/relationships/hyperlink" Target="https://homemate.com.mt/" TargetMode="External"/><Relationship Id="rId17" Type="http://schemas.openxmlformats.org/officeDocument/2006/relationships/hyperlink" Target="MAILTO:info@oxfordhouse.com.mt" TargetMode="External"/><Relationship Id="rId38" Type="http://schemas.openxmlformats.org/officeDocument/2006/relationships/hyperlink" Target="MAILTO:info@antoniocaruso.it" TargetMode="External"/><Relationship Id="rId59" Type="http://schemas.openxmlformats.org/officeDocument/2006/relationships/hyperlink" Target="MAILTO:sales@powerhousemalta.eu" TargetMode="External"/><Relationship Id="rId103" Type="http://schemas.openxmlformats.org/officeDocument/2006/relationships/hyperlink" Target="MAILTO:help@mattresscollection.com.mt" TargetMode="External"/><Relationship Id="rId124" Type="http://schemas.openxmlformats.org/officeDocument/2006/relationships/hyperlink" Target="https://www.google.com/maps/search/?api=1&amp;query=13%20Censu%20Bugeja%2C%20L-Iklin%20BZN%201170" TargetMode="External"/><Relationship Id="rId310" Type="http://schemas.openxmlformats.org/officeDocument/2006/relationships/hyperlink" Target="https://gozoarts.com.mt/" TargetMode="External"/><Relationship Id="rId70" Type="http://schemas.openxmlformats.org/officeDocument/2006/relationships/hyperlink" Target="MAILTO:sales@objects.mt" TargetMode="External"/><Relationship Id="rId91" Type="http://schemas.openxmlformats.org/officeDocument/2006/relationships/hyperlink" Target="MAILTO:info@jdsfurniture.com" TargetMode="External"/><Relationship Id="rId145" Type="http://schemas.openxmlformats.org/officeDocument/2006/relationships/hyperlink" Target="https://www.google.com/maps/search/?api=1&amp;query=Malta%20Design%0A33%20Triq%20l-Oleandru%20%2C%0ASan%20Giljan%2C%20Malta" TargetMode="External"/><Relationship Id="rId166" Type="http://schemas.openxmlformats.org/officeDocument/2006/relationships/hyperlink" Target="https://www.google.com/maps/search/?api=1&amp;query=Triq%20il-Qoton%2C%20Sta%20Lucija%2C%20Malta%20SLC%201010" TargetMode="External"/><Relationship Id="rId187" Type="http://schemas.openxmlformats.org/officeDocument/2006/relationships/hyperlink" Target="https://www.google.com/maps/search/?api=1&amp;query=HF%205A%20Qasam%20Industrijali%2C%20Hal%20Far%2C%20B%27Bugia%2C%20Malta%20BBG%203000" TargetMode="External"/><Relationship Id="rId331" Type="http://schemas.openxmlformats.org/officeDocument/2006/relationships/hyperlink" Target="https://royaltybedding.com/" TargetMode="External"/><Relationship Id="rId1" Type="http://schemas.openxmlformats.org/officeDocument/2006/relationships/hyperlink" Target="MAILTO:sales@euroimjsm.com" TargetMode="External"/><Relationship Id="rId212" Type="http://schemas.openxmlformats.org/officeDocument/2006/relationships/hyperlink" Target="https://www.google.com/maps/search/?api=1&amp;query=Triq%20il-Wied%2C%20B%27Kara%2C%20Malta%20BKR%209021" TargetMode="External"/><Relationship Id="rId233" Type="http://schemas.openxmlformats.org/officeDocument/2006/relationships/hyperlink" Target="https://foamandleather.com/" TargetMode="External"/><Relationship Id="rId254" Type="http://schemas.openxmlformats.org/officeDocument/2006/relationships/hyperlink" Target="https://wellbeingbedding.com/" TargetMode="External"/><Relationship Id="rId28" Type="http://schemas.openxmlformats.org/officeDocument/2006/relationships/hyperlink" Target="MAILTO:sales@malta-design.com" TargetMode="External"/><Relationship Id="rId49" Type="http://schemas.openxmlformats.org/officeDocument/2006/relationships/hyperlink" Target="MAILTO:info@formltd.com" TargetMode="External"/><Relationship Id="rId114" Type="http://schemas.openxmlformats.org/officeDocument/2006/relationships/hyperlink" Target="MAILTO:jysk@jysk.com.mt" TargetMode="External"/><Relationship Id="rId275" Type="http://schemas.openxmlformats.org/officeDocument/2006/relationships/hyperlink" Target="https://jdsfurniture.com/" TargetMode="External"/><Relationship Id="rId296" Type="http://schemas.openxmlformats.org/officeDocument/2006/relationships/hyperlink" Target="https://brands.com.mt/" TargetMode="External"/><Relationship Id="rId300" Type="http://schemas.openxmlformats.org/officeDocument/2006/relationships/hyperlink" Target="https://casaformfurniture.com/" TargetMode="External"/><Relationship Id="rId60" Type="http://schemas.openxmlformats.org/officeDocument/2006/relationships/hyperlink" Target="MAILTO:contactus@theatrium.com.mt" TargetMode="External"/><Relationship Id="rId81" Type="http://schemas.openxmlformats.org/officeDocument/2006/relationships/hyperlink" Target="MAILTO:info@ecasa.com.mt" TargetMode="External"/><Relationship Id="rId135" Type="http://schemas.openxmlformats.org/officeDocument/2006/relationships/hyperlink" Target="https://www.google.com/maps/search/?api=1&amp;query=Giovanni%20Felice%20Street%2C%20Zone%203%2C%20Central%20Business%20District%2C%20Birkirkara%20CBD%203120" TargetMode="External"/><Relationship Id="rId156" Type="http://schemas.openxmlformats.org/officeDocument/2006/relationships/hyperlink" Target="https://www.google.com/maps/search/?api=1&amp;query=40%20Qasam%20Industrijali%2C%20Luqa%2C%20Malta%20LQA%203000" TargetMode="External"/><Relationship Id="rId177" Type="http://schemas.openxmlformats.org/officeDocument/2006/relationships/hyperlink" Target="https://www.google.com/maps/search/?api=1&amp;query=77%20Commerce%20St%2C%20Birkirkara%2C%20CBD3010" TargetMode="External"/><Relationship Id="rId198" Type="http://schemas.openxmlformats.org/officeDocument/2006/relationships/hyperlink" Target="https://www.google.com/maps/search/?api=1&amp;query=61%20St%20Liberata%20Triq%20Santa%20Liberata%2C%20Kalkara%2C%20Malta%20KKR%201612" TargetMode="External"/><Relationship Id="rId321" Type="http://schemas.openxmlformats.org/officeDocument/2006/relationships/hyperlink" Target="https://shabbychic.world/" TargetMode="External"/><Relationship Id="rId202" Type="http://schemas.openxmlformats.org/officeDocument/2006/relationships/hyperlink" Target="https://www.google.com/maps/search/?api=1&amp;query=Triq%20San%20Pawl%2C%20Naxxar%2C%20Malta%20NXR%204016" TargetMode="External"/><Relationship Id="rId223" Type="http://schemas.openxmlformats.org/officeDocument/2006/relationships/hyperlink" Target="https://www.google.com/maps/search/?api=1&amp;query=Triq%20il-Kummerc%2C%20Qormi" TargetMode="External"/><Relationship Id="rId244" Type="http://schemas.openxmlformats.org/officeDocument/2006/relationships/hyperlink" Target="https://morfeus.com.mt/" TargetMode="External"/><Relationship Id="rId18" Type="http://schemas.openxmlformats.org/officeDocument/2006/relationships/hyperlink" Target="MAILTO:info@okhome.com.mt" TargetMode="External"/><Relationship Id="rId39" Type="http://schemas.openxmlformats.org/officeDocument/2006/relationships/hyperlink" Target="MAILTO:bedandsofamalta@gmail.com" TargetMode="External"/><Relationship Id="rId265" Type="http://schemas.openxmlformats.org/officeDocument/2006/relationships/hyperlink" Target="https://instagram.com/casafini_malta/?hl=en" TargetMode="External"/><Relationship Id="rId286" Type="http://schemas.openxmlformats.org/officeDocument/2006/relationships/hyperlink" Target="https://jysk.com.mt/" TargetMode="External"/><Relationship Id="rId50" Type="http://schemas.openxmlformats.org/officeDocument/2006/relationships/hyperlink" Target="MAILTO:info@immaginecasamalta.com" TargetMode="External"/><Relationship Id="rId104" Type="http://schemas.openxmlformats.org/officeDocument/2006/relationships/hyperlink" Target="MAILTO:info@bondsmalta.com" TargetMode="External"/><Relationship Id="rId125" Type="http://schemas.openxmlformats.org/officeDocument/2006/relationships/hyperlink" Target="https://www.google.com/maps/search/?api=1&amp;query=Triq%20I-Imdina%2C%20Qormi%2C%20Malta%20QRM%209011" TargetMode="External"/><Relationship Id="rId146" Type="http://schemas.openxmlformats.org/officeDocument/2006/relationships/hyperlink" Target="https://www.google.com/maps/search/?api=1&amp;query=Proman%20Interiors%2C%0A115%2C%20Valley%20Road%2C%0AB%27Kara.%20BKR%209022.%0AMalta." TargetMode="External"/><Relationship Id="rId167" Type="http://schemas.openxmlformats.org/officeDocument/2006/relationships/hyperlink" Target="https://www.google.com/maps/search/?api=1&amp;query=154%20Triq%20il-Kappilan%20Mifsud%2C%20Sta%20Venera%2C%20Malta" TargetMode="External"/><Relationship Id="rId188" Type="http://schemas.openxmlformats.org/officeDocument/2006/relationships/hyperlink" Target="https://www.google.com/maps/search/?api=1&amp;query=Triq%20il-Kappar%2C%20Mosta%2C%20Malta%20MST%204003" TargetMode="External"/><Relationship Id="rId311" Type="http://schemas.openxmlformats.org/officeDocument/2006/relationships/hyperlink" Target="https://facebook.com/grannysmithfurnitureandinteriors" TargetMode="External"/><Relationship Id="rId332" Type="http://schemas.openxmlformats.org/officeDocument/2006/relationships/hyperlink" Target="https://foamandleather.com/" TargetMode="External"/><Relationship Id="rId71" Type="http://schemas.openxmlformats.org/officeDocument/2006/relationships/hyperlink" Target="MAILTO:info@brands.com.mt" TargetMode="External"/><Relationship Id="rId92" Type="http://schemas.openxmlformats.org/officeDocument/2006/relationships/hyperlink" Target="MAILTO:jysk@jysk.com.mt" TargetMode="External"/><Relationship Id="rId213" Type="http://schemas.openxmlformats.org/officeDocument/2006/relationships/hyperlink" Target="https://www.google.com/maps/search/?api=1&amp;query=17%20Triq%20Ganu%2C%20B%27Kara" TargetMode="External"/><Relationship Id="rId234" Type="http://schemas.openxmlformats.org/officeDocument/2006/relationships/hyperlink" Target="https://cbrltd.com/" TargetMode="External"/><Relationship Id="rId2" Type="http://schemas.openxmlformats.org/officeDocument/2006/relationships/hyperlink" Target="MAILTO:info@styleinterni.com" TargetMode="External"/><Relationship Id="rId29" Type="http://schemas.openxmlformats.org/officeDocument/2006/relationships/hyperlink" Target="MAILTO:info@promaninteriors.com" TargetMode="External"/><Relationship Id="rId255" Type="http://schemas.openxmlformats.org/officeDocument/2006/relationships/hyperlink" Target="https://ctmliving.com/" TargetMode="External"/><Relationship Id="rId276" Type="http://schemas.openxmlformats.org/officeDocument/2006/relationships/hyperlink" Target="https://jtstrading.com/" TargetMode="External"/><Relationship Id="rId297" Type="http://schemas.openxmlformats.org/officeDocument/2006/relationships/hyperlink" Target="https://rliving.com.mt/" TargetMode="External"/><Relationship Id="rId40" Type="http://schemas.openxmlformats.org/officeDocument/2006/relationships/hyperlink" Target="MAILTO:sales@casafini.com.mt" TargetMode="External"/><Relationship Id="rId115" Type="http://schemas.openxmlformats.org/officeDocument/2006/relationships/hyperlink" Target="MAILTO:sales@omajco.net" TargetMode="External"/><Relationship Id="rId136" Type="http://schemas.openxmlformats.org/officeDocument/2006/relationships/hyperlink" Target="https://www.google.com/maps/search/?api=1&amp;query=Triq%20I-Imdina%2C%20Zone%204%2C%20Mriehel%2FCentral%20Business%20District%20CBD%204010%2C%20Malta" TargetMode="External"/><Relationship Id="rId157" Type="http://schemas.openxmlformats.org/officeDocument/2006/relationships/hyperlink" Target="https://www.google.com/maps/search/?api=1&amp;query=192%20Triq%20in-Naxxar%2C%20B%27Kara%2C%20Malta%20BKR%209044" TargetMode="External"/><Relationship Id="rId178" Type="http://schemas.openxmlformats.org/officeDocument/2006/relationships/hyperlink" Target="https://www.google.com/maps/search/?api=1&amp;query=Triq%20I-Imdina%2C%20Zone%204%2C%20Mriehel%2FCentral%20Business%20District%20CBD%204010%2C%20Malta" TargetMode="External"/><Relationship Id="rId301" Type="http://schemas.openxmlformats.org/officeDocument/2006/relationships/hyperlink" Target="https://instagram.com/casafini_malta/?hl=en" TargetMode="External"/><Relationship Id="rId322" Type="http://schemas.openxmlformats.org/officeDocument/2006/relationships/hyperlink" Target="https://stylefurnituremalta.com/" TargetMode="External"/><Relationship Id="rId61" Type="http://schemas.openxmlformats.org/officeDocument/2006/relationships/hyperlink" Target="MAILTO:mosta@homemate.com.mt" TargetMode="External"/><Relationship Id="rId82" Type="http://schemas.openxmlformats.org/officeDocument/2006/relationships/hyperlink" Target="MAILTO:rachel@erickuster.com" TargetMode="External"/><Relationship Id="rId199" Type="http://schemas.openxmlformats.org/officeDocument/2006/relationships/hyperlink" Target="https://www.google.com/maps/search/?api=1&amp;query=Triq%20il-Wied%2C%20B%27Kara%2C%20Malta" TargetMode="External"/><Relationship Id="rId203" Type="http://schemas.openxmlformats.org/officeDocument/2006/relationships/hyperlink" Target="https://www.google.com/maps/search/?api=1&amp;query=Triq%20il-Labour%2C%20Marsa%2C%20Malta%20MRS%209030" TargetMode="External"/><Relationship Id="rId19" Type="http://schemas.openxmlformats.org/officeDocument/2006/relationships/hyperlink" Target="MAILTO:contactus@theatrium.com.mt" TargetMode="External"/><Relationship Id="rId224" Type="http://schemas.openxmlformats.org/officeDocument/2006/relationships/hyperlink" Target="https://www.google.com/maps/search/?api=1&amp;query=836%2F838%20High%20Street%2C%20Hamrun" TargetMode="External"/><Relationship Id="rId245" Type="http://schemas.openxmlformats.org/officeDocument/2006/relationships/hyperlink" Target="https://oxfordhouse.com.mt/" TargetMode="External"/><Relationship Id="rId266" Type="http://schemas.openxmlformats.org/officeDocument/2006/relationships/hyperlink" Target="https://casconehome.com/" TargetMode="External"/><Relationship Id="rId287" Type="http://schemas.openxmlformats.org/officeDocument/2006/relationships/hyperlink" Target="https://okhome.com.mt/" TargetMode="External"/><Relationship Id="rId30" Type="http://schemas.openxmlformats.org/officeDocument/2006/relationships/hyperlink" Target="MAILTO:info@dari.mt" TargetMode="External"/><Relationship Id="rId105" Type="http://schemas.openxmlformats.org/officeDocument/2006/relationships/hyperlink" Target="MAILTO:info@form.com.mt" TargetMode="External"/><Relationship Id="rId126" Type="http://schemas.openxmlformats.org/officeDocument/2006/relationships/hyperlink" Target="https://www.google.com/maps/search/?api=1&amp;query=Triq%20il-Mosta%2C%20Lija%2C%20Malta%20LIJA%209012" TargetMode="External"/><Relationship Id="rId147" Type="http://schemas.openxmlformats.org/officeDocument/2006/relationships/hyperlink" Target="https://www.google.com/maps/search/?api=1&amp;query=Triq%20tal-Balal%2C%20San%20Gwann%2C%20Malta%20SGN%209016" TargetMode="External"/><Relationship Id="rId168" Type="http://schemas.openxmlformats.org/officeDocument/2006/relationships/hyperlink" Target="https://www.google.com/maps/search/?api=1&amp;query=Triq%20il-Wied%20ta%27%20I-Imsida%2C%20Msida%2C%20Malta%20MSD%209022" TargetMode="External"/><Relationship Id="rId312" Type="http://schemas.openxmlformats.org/officeDocument/2006/relationships/hyperlink" Target="https://jcrfurniture.com/" TargetMode="External"/><Relationship Id="rId333" Type="http://schemas.openxmlformats.org/officeDocument/2006/relationships/hyperlink" Target="https://sylviabazaar.com/" TargetMode="External"/><Relationship Id="rId51" Type="http://schemas.openxmlformats.org/officeDocument/2006/relationships/hyperlink" Target="MAILTO:info@jdsfurniture.com" TargetMode="External"/><Relationship Id="rId72" Type="http://schemas.openxmlformats.org/officeDocument/2006/relationships/hyperlink" Target="MAILTO:stephen@rliving.com.mt" TargetMode="External"/><Relationship Id="rId93" Type="http://schemas.openxmlformats.org/officeDocument/2006/relationships/hyperlink" Target="MAILTO:jurgen@jtstrading.com" TargetMode="External"/><Relationship Id="rId189" Type="http://schemas.openxmlformats.org/officeDocument/2006/relationships/hyperlink" Target="https://www.google.com/maps/search/?api=1&amp;query=T%2FG%20fi%20triq%20l-Imdina%2C%20Zebbug%2C%20Malta%20ZBG%205011" TargetMode="External"/><Relationship Id="rId3" Type="http://schemas.openxmlformats.org/officeDocument/2006/relationships/hyperlink" Target="MAILTO:homistic@yahoo.com" TargetMode="External"/><Relationship Id="rId214" Type="http://schemas.openxmlformats.org/officeDocument/2006/relationships/hyperlink" Target="https://www.google.com/maps/search/?api=1&amp;query=Triq%20il-Ferrovija%2C%20Sta%20Venera%2C%20Malta%20SVR%209019" TargetMode="External"/><Relationship Id="rId235" Type="http://schemas.openxmlformats.org/officeDocument/2006/relationships/hyperlink" Target="https://facebook.com/4mHome" TargetMode="External"/><Relationship Id="rId256" Type="http://schemas.openxmlformats.org/officeDocument/2006/relationships/hyperlink" Target="https://pcs.com.mt/" TargetMode="External"/><Relationship Id="rId277" Type="http://schemas.openxmlformats.org/officeDocument/2006/relationships/hyperlink" Target="https://facebook.com/MarvinsWarehouse" TargetMode="External"/><Relationship Id="rId298" Type="http://schemas.openxmlformats.org/officeDocument/2006/relationships/hyperlink" Target="https://kubekgroup.com/" TargetMode="External"/><Relationship Id="rId116" Type="http://schemas.openxmlformats.org/officeDocument/2006/relationships/hyperlink" Target="MAILTO:info@oxfordhouse.com.mt" TargetMode="External"/><Relationship Id="rId137" Type="http://schemas.openxmlformats.org/officeDocument/2006/relationships/hyperlink" Target="https://www.google.com/maps/search/?api=1&amp;query=Vjal%2025%20ta%27%20Novembru%2C%20Tal-Barrani%2C%20Zejtun" TargetMode="External"/><Relationship Id="rId158" Type="http://schemas.openxmlformats.org/officeDocument/2006/relationships/hyperlink" Target="https://www.google.com/maps/search/?api=1&amp;query=Triq%20Wied%20Ghomor%2C%20San%20Giljan%2C%20Malta%20STJ%202040" TargetMode="External"/><Relationship Id="rId302" Type="http://schemas.openxmlformats.org/officeDocument/2006/relationships/hyperlink" Target="https://ciantarwoodworks.com/" TargetMode="External"/><Relationship Id="rId323" Type="http://schemas.openxmlformats.org/officeDocument/2006/relationships/hyperlink" Target="https://tal-lira.com/" TargetMode="External"/><Relationship Id="rId20" Type="http://schemas.openxmlformats.org/officeDocument/2006/relationships/hyperlink" Target="MAILTO:info@fino.com.mt" TargetMode="External"/><Relationship Id="rId41" Type="http://schemas.openxmlformats.org/officeDocument/2006/relationships/hyperlink" Target="MAILTO:info@casconehome.com" TargetMode="External"/><Relationship Id="rId62" Type="http://schemas.openxmlformats.org/officeDocument/2006/relationships/hyperlink" Target="MAILTO:jysk@jysk.com.mt" TargetMode="External"/><Relationship Id="rId83" Type="http://schemas.openxmlformats.org/officeDocument/2006/relationships/hyperlink" Target="MAILTO:agius65@hotmail.com" TargetMode="External"/><Relationship Id="rId179" Type="http://schemas.openxmlformats.org/officeDocument/2006/relationships/hyperlink" Target="https://www.google.com/maps/search/?api=1&amp;query=Triq%20L-Imdina%2C%20Zone%202%2C%20Central%20Business%20District%2C%20Birkirkara" TargetMode="External"/><Relationship Id="rId190" Type="http://schemas.openxmlformats.org/officeDocument/2006/relationships/hyperlink" Target="https://www.google.com/maps/search/?api=1&amp;query=146%2C%20Balzan%20Valley%2C%20Hal%20Balzan%2C%20Malta" TargetMode="External"/><Relationship Id="rId204" Type="http://schemas.openxmlformats.org/officeDocument/2006/relationships/hyperlink" Target="https://www.google.com/maps/search/?api=1&amp;query=28%20Qasam%20Industrijali%2C%20Luqa%2C%20Malta%20LQA%203000" TargetMode="External"/><Relationship Id="rId225" Type="http://schemas.openxmlformats.org/officeDocument/2006/relationships/hyperlink" Target="https://www.google.com/maps/search/?api=1&amp;query=Triq%20A%20Caligari%2C%20Zabbar" TargetMode="External"/><Relationship Id="rId246" Type="http://schemas.openxmlformats.org/officeDocument/2006/relationships/hyperlink" Target="https://okhome.com.mt/" TargetMode="External"/><Relationship Id="rId267" Type="http://schemas.openxmlformats.org/officeDocument/2006/relationships/hyperlink" Target="https://cieffeprojects.com.mt/" TargetMode="External"/><Relationship Id="rId288" Type="http://schemas.openxmlformats.org/officeDocument/2006/relationships/hyperlink" Target="https://karrari.shop/" TargetMode="External"/><Relationship Id="rId106" Type="http://schemas.openxmlformats.org/officeDocument/2006/relationships/hyperlink" Target="MAILTO:eurotexmalta@gmail.com" TargetMode="External"/><Relationship Id="rId127" Type="http://schemas.openxmlformats.org/officeDocument/2006/relationships/hyperlink" Target="https://www.google.com/maps/search/?api=1&amp;query=Triq%20il-Wied%20Ta%27%20L-Imsida%2C%20B%27Kara%2C%20Malta%20BKR%209025" TargetMode="External"/><Relationship Id="rId313" Type="http://schemas.openxmlformats.org/officeDocument/2006/relationships/hyperlink" Target="https://jagiuswoodworks.com/" TargetMode="External"/><Relationship Id="rId10" Type="http://schemas.openxmlformats.org/officeDocument/2006/relationships/hyperlink" Target="MAILTO:jysk@jysk.com.mt" TargetMode="External"/><Relationship Id="rId31" Type="http://schemas.openxmlformats.org/officeDocument/2006/relationships/hyperlink" Target="MAILTO:info@fairdealfurniture.com.mt" TargetMode="External"/><Relationship Id="rId52" Type="http://schemas.openxmlformats.org/officeDocument/2006/relationships/hyperlink" Target="MAILTO:jurgen@jtstrading.com" TargetMode="External"/><Relationship Id="rId73" Type="http://schemas.openxmlformats.org/officeDocument/2006/relationships/hyperlink" Target="MAILTO:info@kubekgroup.com" TargetMode="External"/><Relationship Id="rId94" Type="http://schemas.openxmlformats.org/officeDocument/2006/relationships/hyperlink" Target="MAILTO:info@mucciomobili.it" TargetMode="External"/><Relationship Id="rId148" Type="http://schemas.openxmlformats.org/officeDocument/2006/relationships/hyperlink" Target="https://www.google.com/maps/search/?api=1&amp;query=Dawert%20I-Imriehel%2C%20Qormi%2C%20Malta%20QRM%209052" TargetMode="External"/><Relationship Id="rId169" Type="http://schemas.openxmlformats.org/officeDocument/2006/relationships/hyperlink" Target="https://www.google.com/maps/search/?api=1&amp;query=Binja%20San%20Guzepp%20Haddiem%20Triq%20Indri%20Psaila%2C%20Qormi%20Malta" TargetMode="External"/><Relationship Id="rId334" Type="http://schemas.openxmlformats.org/officeDocument/2006/relationships/hyperlink" Target="https://vitafoammalta.com/" TargetMode="External"/><Relationship Id="rId4" Type="http://schemas.openxmlformats.org/officeDocument/2006/relationships/hyperlink" Target="MAILTO:foam.leather@gmail.com" TargetMode="External"/><Relationship Id="rId180" Type="http://schemas.openxmlformats.org/officeDocument/2006/relationships/hyperlink" Target="https://www.google.com/maps/search/?api=1&amp;query=Triq%20Papa%20Gwanni%20Pawlu%20ll%2C%20Victoria-Gozo%2C%20Gozo%20VCT%209046" TargetMode="External"/><Relationship Id="rId215" Type="http://schemas.openxmlformats.org/officeDocument/2006/relationships/hyperlink" Target="https://www.google.com/maps/search/?api=1&amp;query=Triq%20Ponosonby%2C%20Mosta%2C%20Malta%20MST%204039" TargetMode="External"/><Relationship Id="rId236" Type="http://schemas.openxmlformats.org/officeDocument/2006/relationships/hyperlink" Target="https://powerhousemalta.eu/" TargetMode="External"/><Relationship Id="rId257" Type="http://schemas.openxmlformats.org/officeDocument/2006/relationships/hyperlink" Target="https://malta-design.com/" TargetMode="External"/><Relationship Id="rId278" Type="http://schemas.openxmlformats.org/officeDocument/2006/relationships/hyperlink" Target="https://mucciomobili.it/" TargetMode="External"/><Relationship Id="rId303" Type="http://schemas.openxmlformats.org/officeDocument/2006/relationships/hyperlink" Target="https://cieffeprojects.com.mt/" TargetMode="External"/><Relationship Id="rId42" Type="http://schemas.openxmlformats.org/officeDocument/2006/relationships/hyperlink" Target="MAILTO:cieffejoinery@fsh.com.mt" TargetMode="External"/><Relationship Id="rId84" Type="http://schemas.openxmlformats.org/officeDocument/2006/relationships/hyperlink" Target="MAILTO:info@farrugiagroup.com" TargetMode="External"/><Relationship Id="rId138" Type="http://schemas.openxmlformats.org/officeDocument/2006/relationships/hyperlink" Target="https://www.google.com/maps/search/?api=1&amp;query=Galeas%2C%20San%20Gwann" TargetMode="External"/><Relationship Id="rId191" Type="http://schemas.openxmlformats.org/officeDocument/2006/relationships/hyperlink" Target="https://www.google.com/maps/search/?api=1&amp;query=Triq%20I-Isqof%20Buhagiar%2C%20Paola%2C%20Malta%20PLA%201111" TargetMode="External"/><Relationship Id="rId205" Type="http://schemas.openxmlformats.org/officeDocument/2006/relationships/hyperlink" Target="https://www.google.com/maps/search/?api=1&amp;query=Triq%20il-Kbita%2C%20Mellieha%2C%20Malta" TargetMode="External"/><Relationship Id="rId247" Type="http://schemas.openxmlformats.org/officeDocument/2006/relationships/hyperlink" Target="https://theatrium.com.mt/" TargetMode="External"/><Relationship Id="rId107" Type="http://schemas.openxmlformats.org/officeDocument/2006/relationships/hyperlink" Target="MAILTO:info@dreamsmalta.com" TargetMode="External"/><Relationship Id="rId289" Type="http://schemas.openxmlformats.org/officeDocument/2006/relationships/hyperlink" Target="https://fino.com.mt/" TargetMode="External"/><Relationship Id="rId11" Type="http://schemas.openxmlformats.org/officeDocument/2006/relationships/hyperlink" Target="MAILTO:info@dinofino.com" TargetMode="External"/><Relationship Id="rId53" Type="http://schemas.openxmlformats.org/officeDocument/2006/relationships/hyperlink" Target="MAILTO:marvinfurniture@gmail.com" TargetMode="External"/><Relationship Id="rId149" Type="http://schemas.openxmlformats.org/officeDocument/2006/relationships/hyperlink" Target="https://www.google.com/maps/search/?api=1&amp;query=HF%205A%20Qasam%20Industrijali%2C%20Hal%20Far%2C%20B%27Bugia%2C%20Malta%20BBG%203000" TargetMode="External"/><Relationship Id="rId314" Type="http://schemas.openxmlformats.org/officeDocument/2006/relationships/hyperlink" Target="https://jdsfurniture.com/" TargetMode="External"/><Relationship Id="rId95" Type="http://schemas.openxmlformats.org/officeDocument/2006/relationships/hyperlink" Target="MAILTO:ragsandrichesbuyandsell@gmail.com" TargetMode="External"/><Relationship Id="rId160" Type="http://schemas.openxmlformats.org/officeDocument/2006/relationships/hyperlink" Target="https://www.google.com/maps/search/?api=1&amp;query=69%20Triq%20Hal%20Qormi%2C%20Hamrun%2C%20Malta%20HMR%202183" TargetMode="External"/><Relationship Id="rId216" Type="http://schemas.openxmlformats.org/officeDocument/2006/relationships/hyperlink" Target="https://www.google.com/maps/search/?api=1&amp;query=Triq%20il-Kungress%20Ewkaristiku" TargetMode="External"/><Relationship Id="rId258" Type="http://schemas.openxmlformats.org/officeDocument/2006/relationships/hyperlink" Target="https://promaninteriors.com/" TargetMode="External"/><Relationship Id="rId22" Type="http://schemas.openxmlformats.org/officeDocument/2006/relationships/hyperlink" Target="MAILTO:info@vitafoammalta.com" TargetMode="External"/><Relationship Id="rId64" Type="http://schemas.openxmlformats.org/officeDocument/2006/relationships/hyperlink" Target="MAILTO:sales@karrari.shop" TargetMode="External"/><Relationship Id="rId118" Type="http://schemas.openxmlformats.org/officeDocument/2006/relationships/hyperlink" Target="https://www.google.com/maps/search/?api=1&amp;query=260%20Old%20Railway%20Track%2C%20Santa%20Venera%20SVR%209019" TargetMode="External"/><Relationship Id="rId325" Type="http://schemas.openxmlformats.org/officeDocument/2006/relationships/hyperlink" Target="https://mattresscollection.com.mt/" TargetMode="External"/><Relationship Id="rId171" Type="http://schemas.openxmlformats.org/officeDocument/2006/relationships/hyperlink" Target="https://www.google.com/maps/search/?api=1&amp;query=Proman%20Interiors%2C%0A115%2C%20Valley%20Road%2C%0AB%27Kara.%20BKR%209022.%0AMalta." TargetMode="External"/><Relationship Id="rId227" Type="http://schemas.openxmlformats.org/officeDocument/2006/relationships/hyperlink" Target="https://www.google.com/maps/search/?api=1&amp;query=Triq%20San%20Pawl%2C%20Mosta" TargetMode="External"/><Relationship Id="rId269" Type="http://schemas.openxmlformats.org/officeDocument/2006/relationships/hyperlink" Target="https://domal.com.mt/" TargetMode="External"/><Relationship Id="rId33" Type="http://schemas.openxmlformats.org/officeDocument/2006/relationships/hyperlink" Target="MAILTO:info@boconcept.com.mt" TargetMode="External"/><Relationship Id="rId129" Type="http://schemas.openxmlformats.org/officeDocument/2006/relationships/hyperlink" Target="https://www.google.com/maps/search/?api=1&amp;query=Zone%205%2C%20Central%20Business%20District%20Triq%20il-Kummerc%20Qormi%2C%20CBD%205050" TargetMode="External"/><Relationship Id="rId280" Type="http://schemas.openxmlformats.org/officeDocument/2006/relationships/hyperlink" Target="https://facebook.com/people/Real-woodworks/100057415459586/" TargetMode="External"/><Relationship Id="rId336" Type="http://schemas.openxmlformats.org/officeDocument/2006/relationships/hyperlink" Target="https://jysk.com.mt/" TargetMode="External"/><Relationship Id="rId75" Type="http://schemas.openxmlformats.org/officeDocument/2006/relationships/hyperlink" Target="MAILTO:casaform@onvol.net" TargetMode="External"/><Relationship Id="rId140" Type="http://schemas.openxmlformats.org/officeDocument/2006/relationships/hyperlink" Target="https://www.google.com/maps/search/?api=1&amp;query=San%20Gwann%20Nexxar%20Road" TargetMode="External"/><Relationship Id="rId182" Type="http://schemas.openxmlformats.org/officeDocument/2006/relationships/hyperlink" Target="https://www.google.com/maps/search/?api=1&amp;query=San%20Gwakkin%20Building%20Triq%20Gwakkin%20Central%20Business%20District%2C%20B%27Kara%2C%20Malta%20CBD%204020" TargetMode="External"/><Relationship Id="rId6" Type="http://schemas.openxmlformats.org/officeDocument/2006/relationships/hyperlink" Target="MAILTO:lawrenceagalea@yahoo.com" TargetMode="External"/><Relationship Id="rId238" Type="http://schemas.openxmlformats.org/officeDocument/2006/relationships/hyperlink" Target="https://jysk.com.mt/" TargetMode="External"/><Relationship Id="rId291" Type="http://schemas.openxmlformats.org/officeDocument/2006/relationships/hyperlink" Target="https://newline.com.mt/" TargetMode="External"/><Relationship Id="rId305" Type="http://schemas.openxmlformats.org/officeDocument/2006/relationships/hyperlink" Target="https://domal.com.mt/" TargetMode="External"/><Relationship Id="rId44" Type="http://schemas.openxmlformats.org/officeDocument/2006/relationships/hyperlink" Target="MAILTO:sales@domal.mt" TargetMode="External"/><Relationship Id="rId86" Type="http://schemas.openxmlformats.org/officeDocument/2006/relationships/hyperlink" Target="MAILTO:sales@flamant.com.mt" TargetMode="External"/><Relationship Id="rId151" Type="http://schemas.openxmlformats.org/officeDocument/2006/relationships/hyperlink" Target="https://www.google.com/maps/search/?api=1&amp;query=119%20Triq%20il-Kappillan%20Mifsud%2C%20Sta%20Venera%2C%20Malta" TargetMode="External"/><Relationship Id="rId193" Type="http://schemas.openxmlformats.org/officeDocument/2006/relationships/hyperlink" Target="https://www.google.com/maps/search/?api=1&amp;query=86%20Triq%20Valletta%20Hal%20Luqa%2C%20Malta%20LQA%201762" TargetMode="External"/><Relationship Id="rId207" Type="http://schemas.openxmlformats.org/officeDocument/2006/relationships/hyperlink" Target="https://www.google.com/maps/search/?api=1&amp;query=Zone%205%20Triq%20ll-Kummerc%20Central%20Business%20District%2C%20Qormi%2C%20Malta" TargetMode="External"/><Relationship Id="rId249" Type="http://schemas.openxmlformats.org/officeDocument/2006/relationships/hyperlink" Target="https://homemate.com.mt/" TargetMode="External"/><Relationship Id="rId13" Type="http://schemas.openxmlformats.org/officeDocument/2006/relationships/hyperlink" Target="MAILTO:info@royaltybedding.com" TargetMode="External"/><Relationship Id="rId109" Type="http://schemas.openxmlformats.org/officeDocument/2006/relationships/hyperlink" Target="MAILTO:info@royaltybedding.com" TargetMode="External"/><Relationship Id="rId260" Type="http://schemas.openxmlformats.org/officeDocument/2006/relationships/hyperlink" Target="https://rliving.com.mt/" TargetMode="External"/><Relationship Id="rId316" Type="http://schemas.openxmlformats.org/officeDocument/2006/relationships/hyperlink" Target="https://jtstrading.com/" TargetMode="External"/><Relationship Id="rId55" Type="http://schemas.openxmlformats.org/officeDocument/2006/relationships/hyperlink" Target="MAILTO:info@onepercent.com.mt" TargetMode="External"/><Relationship Id="rId97" Type="http://schemas.openxmlformats.org/officeDocument/2006/relationships/hyperlink" Target="MAILTO:ronaldmarmara@gmail.com" TargetMode="External"/><Relationship Id="rId120" Type="http://schemas.openxmlformats.org/officeDocument/2006/relationships/hyperlink" Target="https://www.google.com/maps/search/?api=1&amp;query=836%2C%20838%20Triq%20il-Kbira%20San%20Guzepp%2C%20Hamrun%2C%20Malta%20HMR%201018" TargetMode="External"/><Relationship Id="rId162" Type="http://schemas.openxmlformats.org/officeDocument/2006/relationships/hyperlink" Target="https://www.google.com/maps/search/?api=1&amp;query=Triq%20il-Wied%20ta%27lmsida%2C%20Msida%2C%20Malta%20MSD%209023" TargetMode="External"/><Relationship Id="rId218" Type="http://schemas.openxmlformats.org/officeDocument/2006/relationships/hyperlink" Target="https://www.google.com/maps/search/?api=1&amp;query=Mdina%20Road%2C%20Attard" TargetMode="External"/><Relationship Id="rId271" Type="http://schemas.openxmlformats.org/officeDocument/2006/relationships/hyperlink" Target="https://esteamt.com/" TargetMode="External"/><Relationship Id="rId24" Type="http://schemas.openxmlformats.org/officeDocument/2006/relationships/hyperlink" Target="MAILTO:sales@omajco.net" TargetMode="External"/><Relationship Id="rId66" Type="http://schemas.openxmlformats.org/officeDocument/2006/relationships/hyperlink" Target="MAILTO:newlineliving@gmail.com" TargetMode="External"/><Relationship Id="rId131" Type="http://schemas.openxmlformats.org/officeDocument/2006/relationships/hyperlink" Target="https://www.google.com/maps/search/?api=1&amp;query=GB%20Building%20Triq%20il-Watar%2C%20Ta%27%20Xbiex%20XBX1301%20Malta" TargetMode="External"/><Relationship Id="rId327" Type="http://schemas.openxmlformats.org/officeDocument/2006/relationships/hyperlink" Target="https://form.com.mt/" TargetMode="External"/></Relationships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petroni.com.mt" TargetMode="External"/><Relationship Id="rId21" Type="http://schemas.openxmlformats.org/officeDocument/2006/relationships/hyperlink" Target="MAILTO:bjorn@wellmadewoodworks.com.mt" TargetMode="External"/><Relationship Id="rId324" Type="http://schemas.openxmlformats.org/officeDocument/2006/relationships/hyperlink" Target="https://www.google.com/maps/search/?api=1&amp;query=Zone%203%20Triq%20L-Intornjatur%20Central%20Business%20District%2C%20B%27Kara%2C%20Malta%20CBD%203050" TargetMode="External"/><Relationship Id="rId531" Type="http://schemas.openxmlformats.org/officeDocument/2006/relationships/hyperlink" Target="https://scavolini.mt/" TargetMode="External"/><Relationship Id="rId170" Type="http://schemas.openxmlformats.org/officeDocument/2006/relationships/hyperlink" Target="MAILTO:rotunda@maltanet.net" TargetMode="External"/><Relationship Id="rId268" Type="http://schemas.openxmlformats.org/officeDocument/2006/relationships/hyperlink" Target="https://www.google.com/maps/search/?api=1&amp;query=197%20Triq%20I-Imdina%2C%20Qormi%2C%20Malta%20QRM%209012" TargetMode="External"/><Relationship Id="rId475" Type="http://schemas.openxmlformats.org/officeDocument/2006/relationships/hyperlink" Target="https://tabletsandmoreelectronics.com/" TargetMode="External"/><Relationship Id="rId32" Type="http://schemas.openxmlformats.org/officeDocument/2006/relationships/hyperlink" Target="MAILTO:info@treedfurniture.com" TargetMode="External"/><Relationship Id="rId128" Type="http://schemas.openxmlformats.org/officeDocument/2006/relationships/hyperlink" Target="MAILTO:info@jshousehold.com" TargetMode="External"/><Relationship Id="rId335" Type="http://schemas.openxmlformats.org/officeDocument/2006/relationships/hyperlink" Target="https://www.google.com/maps/search/?api=1&amp;query=Triq%20il-Kostituzzjoni%2C%20Mosta%2C%20Malta%20MST%209050" TargetMode="External"/><Relationship Id="rId5" Type="http://schemas.openxmlformats.org/officeDocument/2006/relationships/hyperlink" Target="MAILTO:info@fairdealfurniture.com.mt" TargetMode="External"/><Relationship Id="rId181" Type="http://schemas.openxmlformats.org/officeDocument/2006/relationships/hyperlink" Target="https://www.google.com/maps/search/?api=1&amp;query=Triq%20Mastru%20Gorg%20Cachia%20Tal-Handaq%2C%20Qormi%2C%20Malta%20WRM%204000" TargetMode="External"/><Relationship Id="rId237" Type="http://schemas.openxmlformats.org/officeDocument/2006/relationships/hyperlink" Target="https://www.google.com/maps/search/?api=1&amp;query=Triq%20tal-Balal%2C%20San%20Gwann%2C%20Malta%20SGN%209016" TargetMode="External"/><Relationship Id="rId402" Type="http://schemas.openxmlformats.org/officeDocument/2006/relationships/hyperlink" Target="https://renovamalta.com/" TargetMode="External"/><Relationship Id="rId279" Type="http://schemas.openxmlformats.org/officeDocument/2006/relationships/hyperlink" Target="https://www.google.com/maps/search/?api=1&amp;query=220%20Triq%20in-Naxxar%2C%20San%20Gwann%2C%20Malta%20SGN%209030" TargetMode="External"/><Relationship Id="rId444" Type="http://schemas.openxmlformats.org/officeDocument/2006/relationships/hyperlink" Target="https://tal-lira.com/" TargetMode="External"/><Relationship Id="rId486" Type="http://schemas.openxmlformats.org/officeDocument/2006/relationships/hyperlink" Target="https://petroni.com.mt/" TargetMode="External"/><Relationship Id="rId43" Type="http://schemas.openxmlformats.org/officeDocument/2006/relationships/hyperlink" Target="MAILTO:info@petroni.com.mt" TargetMode="External"/><Relationship Id="rId139" Type="http://schemas.openxmlformats.org/officeDocument/2006/relationships/hyperlink" Target="MAILTO:dpcomfortek@gmail.com" TargetMode="External"/><Relationship Id="rId290" Type="http://schemas.openxmlformats.org/officeDocument/2006/relationships/hyperlink" Target="https://www.google.com/maps/search/?api=1&amp;query=Triq%20Nazzjonali%20Blata%20L-Blajda%2C%20Hamrun%2C%20Malta%20HMR%209012" TargetMode="External"/><Relationship Id="rId304" Type="http://schemas.openxmlformats.org/officeDocument/2006/relationships/hyperlink" Target="https://www.google.com/maps/search/?api=1&amp;query=Triq%20il-Kungress%20Ewkaristiku%2C%20Mosta" TargetMode="External"/><Relationship Id="rId346" Type="http://schemas.openxmlformats.org/officeDocument/2006/relationships/hyperlink" Target="https://www.google.com/maps/search/?api=1&amp;query=146%20Triq%20Sant%27%20Orsla%20Victoria-Gozo" TargetMode="External"/><Relationship Id="rId388" Type="http://schemas.openxmlformats.org/officeDocument/2006/relationships/hyperlink" Target="https://rliving.com.mt/" TargetMode="External"/><Relationship Id="rId511" Type="http://schemas.openxmlformats.org/officeDocument/2006/relationships/hyperlink" Target="https://tabletsandmoreelectronics.com/" TargetMode="External"/><Relationship Id="rId85" Type="http://schemas.openxmlformats.org/officeDocument/2006/relationships/hyperlink" Target="MAILTO:seguna@onvol.net" TargetMode="External"/><Relationship Id="rId150" Type="http://schemas.openxmlformats.org/officeDocument/2006/relationships/hyperlink" Target="MAILTO:rotunda@maltanet.net" TargetMode="External"/><Relationship Id="rId192" Type="http://schemas.openxmlformats.org/officeDocument/2006/relationships/hyperlink" Target="https://www.google.com/maps/search/?api=1&amp;query=Triq%20Papa%20Gwanni%20Pawlu%20ll%2C%20Victoria-Gozo%2C%20Gozo%20VCT%209046" TargetMode="External"/><Relationship Id="rId206" Type="http://schemas.openxmlformats.org/officeDocument/2006/relationships/hyperlink" Target="https://www.google.com/maps/search/?api=1&amp;query=91%20Triq%20il-Kbira%20San%20Guzepp%2C%20Hamrun%2C%20Malta%20HMR%201017" TargetMode="External"/><Relationship Id="rId413" Type="http://schemas.openxmlformats.org/officeDocument/2006/relationships/hyperlink" Target="https://abra.com.mt/" TargetMode="External"/><Relationship Id="rId248" Type="http://schemas.openxmlformats.org/officeDocument/2006/relationships/hyperlink" Target="https://www.google.com/maps/search/?api=1&amp;query=San%20Gwakkin%20Building%20Triq%20Gwakkin%20Central%20Business%20District%2C%20B%27Kara%2C%20Malta%20CBD%204020" TargetMode="External"/><Relationship Id="rId455" Type="http://schemas.openxmlformats.org/officeDocument/2006/relationships/hyperlink" Target="https://rightdealmalta.com/" TargetMode="External"/><Relationship Id="rId497" Type="http://schemas.openxmlformats.org/officeDocument/2006/relationships/hyperlink" Target="https://divine.com.mt/" TargetMode="External"/><Relationship Id="rId12" Type="http://schemas.openxmlformats.org/officeDocument/2006/relationships/hyperlink" Target="MAILTO:info@core.com.mt" TargetMode="External"/><Relationship Id="rId108" Type="http://schemas.openxmlformats.org/officeDocument/2006/relationships/hyperlink" Target="MAILTO:info@forestals.com" TargetMode="External"/><Relationship Id="rId315" Type="http://schemas.openxmlformats.org/officeDocument/2006/relationships/hyperlink" Target="https://www.google.com/maps/search/?api=1&amp;query=220%20Triq%20in-Naxxar%2C%20San%20Gwann%2C%20Malta%20SGN%209030" TargetMode="External"/><Relationship Id="rId357" Type="http://schemas.openxmlformats.org/officeDocument/2006/relationships/hyperlink" Target="https://www.google.com/maps/search/?api=1&amp;query=Valley%20Road%2C%20Birkirkara" TargetMode="External"/><Relationship Id="rId522" Type="http://schemas.openxmlformats.org/officeDocument/2006/relationships/hyperlink" Target="https://itc-malta.com/" TargetMode="External"/><Relationship Id="rId54" Type="http://schemas.openxmlformats.org/officeDocument/2006/relationships/hyperlink" Target="MAILTO:sales@maltashopper.com" TargetMode="External"/><Relationship Id="rId96" Type="http://schemas.openxmlformats.org/officeDocument/2006/relationships/hyperlink" Target="MAILTO:camrugun@hotmail.com" TargetMode="External"/><Relationship Id="rId161" Type="http://schemas.openxmlformats.org/officeDocument/2006/relationships/hyperlink" Target="MAILTO:cutajarhifivideocentre@outlook.com" TargetMode="External"/><Relationship Id="rId217" Type="http://schemas.openxmlformats.org/officeDocument/2006/relationships/hyperlink" Target="https://www.google.com/maps/search/?api=1&amp;query=Triq%20il-Wied%20Ta%27%20L-Imsida%2C%20B%27Kara%2C%20Malta%20BKR%209025" TargetMode="External"/><Relationship Id="rId399" Type="http://schemas.openxmlformats.org/officeDocument/2006/relationships/hyperlink" Target="https://kubekgroup.com/" TargetMode="External"/><Relationship Id="rId259" Type="http://schemas.openxmlformats.org/officeDocument/2006/relationships/hyperlink" Target="https://www.google.com/maps/search/?api=1&amp;query=154%20Triq%20il-Kappilan%20Mifsud%2C%20Sta%20Venera%2C%20Malta" TargetMode="External"/><Relationship Id="rId424" Type="http://schemas.openxmlformats.org/officeDocument/2006/relationships/hyperlink" Target="https://facebook.com/woodworksfava/" TargetMode="External"/><Relationship Id="rId466" Type="http://schemas.openxmlformats.org/officeDocument/2006/relationships/hyperlink" Target="https://hotpointmalta.com/" TargetMode="External"/><Relationship Id="rId23" Type="http://schemas.openxmlformats.org/officeDocument/2006/relationships/hyperlink" Target="MAILTO:info@treedfurniture.com" TargetMode="External"/><Relationship Id="rId119" Type="http://schemas.openxmlformats.org/officeDocument/2006/relationships/hyperlink" Target="MAILTO:info@kcl.com.mt" TargetMode="External"/><Relationship Id="rId270" Type="http://schemas.openxmlformats.org/officeDocument/2006/relationships/hyperlink" Target="https://www.google.com/maps/search/?api=1&amp;query=Triq%20il-Wied%20ta%27%20I-Imsida%2C%20Msida%2C%20Malta%20MSD%209022" TargetMode="External"/><Relationship Id="rId326" Type="http://schemas.openxmlformats.org/officeDocument/2006/relationships/hyperlink" Target="https://www.google.com/maps/search/?api=1&amp;query=Triq%20il-Wied%2C%20B%27Kara" TargetMode="External"/><Relationship Id="rId65" Type="http://schemas.openxmlformats.org/officeDocument/2006/relationships/hyperlink" Target="MAILTO:fava@maltanet.net" TargetMode="External"/><Relationship Id="rId130" Type="http://schemas.openxmlformats.org/officeDocument/2006/relationships/hyperlink" Target="MAILTO:rotunda@maltanet.net" TargetMode="External"/><Relationship Id="rId368" Type="http://schemas.openxmlformats.org/officeDocument/2006/relationships/hyperlink" Target="https://domestica.com.mt/" TargetMode="External"/><Relationship Id="rId172" Type="http://schemas.openxmlformats.org/officeDocument/2006/relationships/hyperlink" Target="MAILTO:info@fairdealfurniture.com.mt" TargetMode="External"/><Relationship Id="rId228" Type="http://schemas.openxmlformats.org/officeDocument/2006/relationships/hyperlink" Target="https://www.google.com/maps/search/?api=1&amp;query=13%20Censu%20Bugeja%2C%20L-Iklin%20BZN%201170" TargetMode="External"/><Relationship Id="rId435" Type="http://schemas.openxmlformats.org/officeDocument/2006/relationships/hyperlink" Target="https://jysk.com.mt/" TargetMode="External"/><Relationship Id="rId477" Type="http://schemas.openxmlformats.org/officeDocument/2006/relationships/hyperlink" Target="https://fb.com/ComfortekMalta" TargetMode="External"/><Relationship Id="rId281" Type="http://schemas.openxmlformats.org/officeDocument/2006/relationships/hyperlink" Target="https://www.google.com/maps/search/?api=1&amp;query=Vjal%20I-Infiprndenza%2C%20Mosta" TargetMode="External"/><Relationship Id="rId337" Type="http://schemas.openxmlformats.org/officeDocument/2006/relationships/hyperlink" Target="https://www.google.com/maps/search/?api=1&amp;query=12%20Triq%20il-Hammieri%2C%20Qormi%2C%20Malta" TargetMode="External"/><Relationship Id="rId502" Type="http://schemas.openxmlformats.org/officeDocument/2006/relationships/hyperlink" Target="https://itc-malta.com/" TargetMode="External"/><Relationship Id="rId34" Type="http://schemas.openxmlformats.org/officeDocument/2006/relationships/hyperlink" Target="MAILTO:info@desanamarbles.com" TargetMode="External"/><Relationship Id="rId76" Type="http://schemas.openxmlformats.org/officeDocument/2006/relationships/hyperlink" Target="MAILTO:sales@fxb.com.mt" TargetMode="External"/><Relationship Id="rId141" Type="http://schemas.openxmlformats.org/officeDocument/2006/relationships/hyperlink" Target="MAILTO:cutajarhifivideocentre@outlook.com" TargetMode="External"/><Relationship Id="rId379" Type="http://schemas.openxmlformats.org/officeDocument/2006/relationships/hyperlink" Target="https://oxfordhouse.com.mt/" TargetMode="External"/><Relationship Id="rId7" Type="http://schemas.openxmlformats.org/officeDocument/2006/relationships/hyperlink" Target="MAILTO:arnold@lowcostfurniture.com.mt" TargetMode="External"/><Relationship Id="rId183" Type="http://schemas.openxmlformats.org/officeDocument/2006/relationships/hyperlink" Target="https://www.google.com/maps/search/?api=1&amp;query=Triq%20I-Imdina%2C%20Zebbug%2C%20Malta%20ZBG%204351" TargetMode="External"/><Relationship Id="rId239" Type="http://schemas.openxmlformats.org/officeDocument/2006/relationships/hyperlink" Target="https://www.google.com/maps/search/?api=1&amp;query=Triq%20tal-Balal%2C%20San%20Gwann%2C%20Malta%20SGN%209016" TargetMode="External"/><Relationship Id="rId390" Type="http://schemas.openxmlformats.org/officeDocument/2006/relationships/hyperlink" Target="https://promaninteriors.com/" TargetMode="External"/><Relationship Id="rId404" Type="http://schemas.openxmlformats.org/officeDocument/2006/relationships/hyperlink" Target="https://silvioschairs.com/" TargetMode="External"/><Relationship Id="rId446" Type="http://schemas.openxmlformats.org/officeDocument/2006/relationships/hyperlink" Target="https://facebook.com/treedfurnituremalta?locale=nn_NO" TargetMode="External"/><Relationship Id="rId250" Type="http://schemas.openxmlformats.org/officeDocument/2006/relationships/hyperlink" Target="https://www.google.com/maps/search/?api=1&amp;query=Triq%20il-Pitkali%2C%20Attard%2C%20Malta" TargetMode="External"/><Relationship Id="rId292" Type="http://schemas.openxmlformats.org/officeDocument/2006/relationships/hyperlink" Target="https://www.google.com/maps/search/?api=1&amp;query=Misrah%20Gavino%20Gulia%2C%20Bormla" TargetMode="External"/><Relationship Id="rId306" Type="http://schemas.openxmlformats.org/officeDocument/2006/relationships/hyperlink" Target="https://www.google.com/maps/search/?api=1&amp;query=Triq%20Nazzjonali%20Blata%20L-Blajda%2C%20Hamrun%2C%20Malta%20HMR%209012" TargetMode="External"/><Relationship Id="rId488" Type="http://schemas.openxmlformats.org/officeDocument/2006/relationships/hyperlink" Target="https://kcl.com.mt/" TargetMode="External"/><Relationship Id="rId45" Type="http://schemas.openxmlformats.org/officeDocument/2006/relationships/hyperlink" Target="MAILTO:mchire4@gmail.com" TargetMode="External"/><Relationship Id="rId87" Type="http://schemas.openxmlformats.org/officeDocument/2006/relationships/hyperlink" Target="MAILTO:info@spaces.com.mt" TargetMode="External"/><Relationship Id="rId110" Type="http://schemas.openxmlformats.org/officeDocument/2006/relationships/hyperlink" Target="MAILTO:gdatrade@waldonet.net.mt" TargetMode="External"/><Relationship Id="rId348" Type="http://schemas.openxmlformats.org/officeDocument/2006/relationships/hyperlink" Target="https://www.google.com/maps/search/?api=1&amp;query=Triq%20Nazzjonali%20Blata%20L-Blajda%2C%20Hamrun%2C%20Malta%20HMR%209012" TargetMode="External"/><Relationship Id="rId513" Type="http://schemas.openxmlformats.org/officeDocument/2006/relationships/hyperlink" Target="https://facebook.com/akkwist" TargetMode="External"/><Relationship Id="rId152" Type="http://schemas.openxmlformats.org/officeDocument/2006/relationships/hyperlink" Target="MAILTO:x.treme@onvol.net" TargetMode="External"/><Relationship Id="rId194" Type="http://schemas.openxmlformats.org/officeDocument/2006/relationships/hyperlink" Target="https://www.google.com/maps/search/?api=1&amp;query=A%2023%20Triq%20Giuseppe%20Garibaldi%2C%20Marsa%2C%20Malta%20MRS%209082" TargetMode="External"/><Relationship Id="rId208" Type="http://schemas.openxmlformats.org/officeDocument/2006/relationships/hyperlink" Target="https://www.google.com/maps/search/?api=1&amp;query=Triq%20il-Wied%2C%20B%27Kara%2C%20Malta%20BKR%209021" TargetMode="External"/><Relationship Id="rId415" Type="http://schemas.openxmlformats.org/officeDocument/2006/relationships/hyperlink" Target="https://patroleamalta.com/" TargetMode="External"/><Relationship Id="rId457" Type="http://schemas.openxmlformats.org/officeDocument/2006/relationships/hyperlink" Target="https://facebook.com/futurahomeappliances/" TargetMode="External"/><Relationship Id="rId261" Type="http://schemas.openxmlformats.org/officeDocument/2006/relationships/hyperlink" Target="https://www.google.com/maps/search/?api=1&amp;query=Qasam%20Industrijali%20Ta%27%20Qali%2C%20Attard%2C%20Malta%20ATD%204000" TargetMode="External"/><Relationship Id="rId499" Type="http://schemas.openxmlformats.org/officeDocument/2006/relationships/hyperlink" Target="https://foresaksgroup.com/" TargetMode="External"/><Relationship Id="rId14" Type="http://schemas.openxmlformats.org/officeDocument/2006/relationships/hyperlink" Target="MAILTO:info@distincthomes.com.mt" TargetMode="External"/><Relationship Id="rId56" Type="http://schemas.openxmlformats.org/officeDocument/2006/relationships/hyperlink" Target="MAILTO:info@fino.com.mt" TargetMode="External"/><Relationship Id="rId317" Type="http://schemas.openxmlformats.org/officeDocument/2006/relationships/hyperlink" Target="https://www.google.com/maps/search/?api=1&amp;query=10%20Misrah%20I%27%20Isle%20Adam%2C%20Rabat%2C%20Malta%20RBT%201169" TargetMode="External"/><Relationship Id="rId359" Type="http://schemas.openxmlformats.org/officeDocument/2006/relationships/hyperlink" Target="https://styleinterni.com/" TargetMode="External"/><Relationship Id="rId524" Type="http://schemas.openxmlformats.org/officeDocument/2006/relationships/hyperlink" Target="https://rightdealmalta.com/" TargetMode="External"/><Relationship Id="rId98" Type="http://schemas.openxmlformats.org/officeDocument/2006/relationships/hyperlink" Target="MAILTO:etv@etvhomeline.com" TargetMode="External"/><Relationship Id="rId121" Type="http://schemas.openxmlformats.org/officeDocument/2006/relationships/hyperlink" Target="MAILTO:futurahomeappliances@gmail.com" TargetMode="External"/><Relationship Id="rId163" Type="http://schemas.openxmlformats.org/officeDocument/2006/relationships/hyperlink" Target="MAILTO:sales@flamingo.com.mt" TargetMode="External"/><Relationship Id="rId219" Type="http://schemas.openxmlformats.org/officeDocument/2006/relationships/hyperlink" Target="https://www.google.com/maps/search/?api=1&amp;query=HF%205A%20Qasam%20Industrijali%2C%20Hal%20Far%2C%20B%27Bugia%2C%20Malta%20BBG%203000" TargetMode="External"/><Relationship Id="rId370" Type="http://schemas.openxmlformats.org/officeDocument/2006/relationships/hyperlink" Target="https://dinofino.com/" TargetMode="External"/><Relationship Id="rId426" Type="http://schemas.openxmlformats.org/officeDocument/2006/relationships/hyperlink" Target="https://casconehome.com/" TargetMode="External"/><Relationship Id="rId230" Type="http://schemas.openxmlformats.org/officeDocument/2006/relationships/hyperlink" Target="https://www.google.com/maps/search/?api=1&amp;query=1%2C%20Triq%20Pietru%20Felici%2C%20Qormi%2C%20Malta" TargetMode="External"/><Relationship Id="rId468" Type="http://schemas.openxmlformats.org/officeDocument/2006/relationships/hyperlink" Target="https://oxfordhouse.com.mt/" TargetMode="External"/><Relationship Id="rId25" Type="http://schemas.openxmlformats.org/officeDocument/2006/relationships/hyperlink" Target="MAILTO:jasoakwalnut@yahoo.com" TargetMode="External"/><Relationship Id="rId67" Type="http://schemas.openxmlformats.org/officeDocument/2006/relationships/hyperlink" Target="MAILTO:casaform@onvol.net" TargetMode="External"/><Relationship Id="rId272" Type="http://schemas.openxmlformats.org/officeDocument/2006/relationships/hyperlink" Target="https://www.google.com/maps/search/?api=1&amp;query=22%2C%20Triq%20Sant%27%20Elija%2C%20B%27Kara%2C%20Malta%20BKR%202064" TargetMode="External"/><Relationship Id="rId328" Type="http://schemas.openxmlformats.org/officeDocument/2006/relationships/hyperlink" Target="https://www.google.com/maps/search/?api=1&amp;query=71%20Triq%20il-Buqexrem%2C%20Fgura" TargetMode="External"/><Relationship Id="rId132" Type="http://schemas.openxmlformats.org/officeDocument/2006/relationships/hyperlink" Target="MAILTO:info@soundsmart.com.mt" TargetMode="External"/><Relationship Id="rId174" Type="http://schemas.openxmlformats.org/officeDocument/2006/relationships/hyperlink" Target="MAILTO:contactus@theatrium.com.mt" TargetMode="External"/><Relationship Id="rId381" Type="http://schemas.openxmlformats.org/officeDocument/2006/relationships/hyperlink" Target="https://casaformfurniture.com/" TargetMode="External"/><Relationship Id="rId241" Type="http://schemas.openxmlformats.org/officeDocument/2006/relationships/hyperlink" Target="https://www.google.com/maps/search/?api=1&amp;query=33%20Triq%20l-Oleandru%2C%20San%20Giljan%2C%20Malta" TargetMode="External"/><Relationship Id="rId437" Type="http://schemas.openxmlformats.org/officeDocument/2006/relationships/hyperlink" Target="https://mucciomobili.it/" TargetMode="External"/><Relationship Id="rId479" Type="http://schemas.openxmlformats.org/officeDocument/2006/relationships/hyperlink" Target="https://foresaksgroup.com/" TargetMode="External"/><Relationship Id="rId36" Type="http://schemas.openxmlformats.org/officeDocument/2006/relationships/hyperlink" Target="MAILTO:info@brands.com.mt" TargetMode="External"/><Relationship Id="rId283" Type="http://schemas.openxmlformats.org/officeDocument/2006/relationships/hyperlink" Target="https://www.google.com/maps/search/?api=1&amp;query=Triq%20it-Tabib%20Nikol%20Zammit%2C%20Siggiewi%2C%20Malta%20SHW%203075" TargetMode="External"/><Relationship Id="rId339" Type="http://schemas.openxmlformats.org/officeDocument/2006/relationships/hyperlink" Target="https://www.google.com/maps/search/?api=1&amp;query=18%20Wesghat%20il-Knisja%20tan-Nattivita%2C%20Bormla%2C%20Malta%20BML%201650" TargetMode="External"/><Relationship Id="rId490" Type="http://schemas.openxmlformats.org/officeDocument/2006/relationships/hyperlink" Target="https://facebook.com/futurahomeappliances/" TargetMode="External"/><Relationship Id="rId504" Type="http://schemas.openxmlformats.org/officeDocument/2006/relationships/hyperlink" Target="https://rightdealmalta.com/" TargetMode="External"/><Relationship Id="rId78" Type="http://schemas.openxmlformats.org/officeDocument/2006/relationships/hyperlink" Target="MAILTO:info@jdsfurniture.com" TargetMode="External"/><Relationship Id="rId101" Type="http://schemas.openxmlformats.org/officeDocument/2006/relationships/hyperlink" Target="MAILTO:futurahomeappliances@gmail.com" TargetMode="External"/><Relationship Id="rId143" Type="http://schemas.openxmlformats.org/officeDocument/2006/relationships/hyperlink" Target="MAILTO:sales@flamingo.com.mt" TargetMode="External"/><Relationship Id="rId185" Type="http://schemas.openxmlformats.org/officeDocument/2006/relationships/hyperlink" Target="https://www.google.com/maps/search/?api=1&amp;query=Triq%20I-Imdina%2C%20Zebbug%2C%20Malta" TargetMode="External"/><Relationship Id="rId350" Type="http://schemas.openxmlformats.org/officeDocument/2006/relationships/hyperlink" Target="https://www.google.com/maps/search/?api=1&amp;query=Misrah%20Gavino%20Gulia%2C%20Bormla" TargetMode="External"/><Relationship Id="rId406" Type="http://schemas.openxmlformats.org/officeDocument/2006/relationships/hyperlink" Target="https://facebook.com/mfcompanyltd" TargetMode="External"/><Relationship Id="rId9" Type="http://schemas.openxmlformats.org/officeDocument/2006/relationships/hyperlink" Target="MAILTO:topdrawer@topdrawermalta.com" TargetMode="External"/><Relationship Id="rId210" Type="http://schemas.openxmlformats.org/officeDocument/2006/relationships/hyperlink" Target="https://www.google.com/maps/search/?api=1&amp;query=Proman%20Interiors%2C%0A115%2C%20Valley%20Road%2C%0AB%27Kara.%20BKR%209022.%0AMalta" TargetMode="External"/><Relationship Id="rId392" Type="http://schemas.openxmlformats.org/officeDocument/2006/relationships/hyperlink" Target="https://fairdealfurniture.com.mt/" TargetMode="External"/><Relationship Id="rId448" Type="http://schemas.openxmlformats.org/officeDocument/2006/relationships/hyperlink" Target="https://petroni.com.mt/" TargetMode="External"/><Relationship Id="rId252" Type="http://schemas.openxmlformats.org/officeDocument/2006/relationships/hyperlink" Target="https://www.google.com/maps/search/?api=1&amp;query=Triq%20il-Wied%20Ta%27%20L-Imsida%2C%20B%27Kara%2C%20Malta%20BKR%209025" TargetMode="External"/><Relationship Id="rId294" Type="http://schemas.openxmlformats.org/officeDocument/2006/relationships/hyperlink" Target="https://www.google.com/maps/search/?api=1&amp;query=Triq%20Salvu%20Busuttil%2C%20San%20Gwann" TargetMode="External"/><Relationship Id="rId308" Type="http://schemas.openxmlformats.org/officeDocument/2006/relationships/hyperlink" Target="https://www.google.com/maps/search/?api=1&amp;query=Misrah%20Gavino%20Gulia%2C%20Bormla" TargetMode="External"/><Relationship Id="rId515" Type="http://schemas.openxmlformats.org/officeDocument/2006/relationships/hyperlink" Target="https://consiglio.com.mt/" TargetMode="External"/><Relationship Id="rId47" Type="http://schemas.openxmlformats.org/officeDocument/2006/relationships/hyperlink" Target="MAILTO:info@farrugiagroup.com" TargetMode="External"/><Relationship Id="rId89" Type="http://schemas.openxmlformats.org/officeDocument/2006/relationships/hyperlink" Target="MAILTO:marketing@tal-lira.com" TargetMode="External"/><Relationship Id="rId112" Type="http://schemas.openxmlformats.org/officeDocument/2006/relationships/hyperlink" Target="MAILTO:showroom@itc-malta.com" TargetMode="External"/><Relationship Id="rId154" Type="http://schemas.openxmlformats.org/officeDocument/2006/relationships/hyperlink" Target="MAILTO:info@soundsmart.com.mt" TargetMode="External"/><Relationship Id="rId361" Type="http://schemas.openxmlformats.org/officeDocument/2006/relationships/hyperlink" Target="https://desanamarbles.com/" TargetMode="External"/><Relationship Id="rId196" Type="http://schemas.openxmlformats.org/officeDocument/2006/relationships/hyperlink" Target="https://www.google.com/maps/search/?api=1&amp;query=HF%205A%20Qasam%20Industrijali%2C%20Hal%20Far%2C%20B%27Bugia%2C%20Malta%20BBG%203000" TargetMode="External"/><Relationship Id="rId417" Type="http://schemas.openxmlformats.org/officeDocument/2006/relationships/hyperlink" Target="https://newline.com.mt/" TargetMode="External"/><Relationship Id="rId459" Type="http://schemas.openxmlformats.org/officeDocument/2006/relationships/hyperlink" Target="https://fb.com/ComfortekMalta" TargetMode="External"/><Relationship Id="rId16" Type="http://schemas.openxmlformats.org/officeDocument/2006/relationships/hyperlink" Target="MAILTO:info@jdsfurniture.com" TargetMode="External"/><Relationship Id="rId221" Type="http://schemas.openxmlformats.org/officeDocument/2006/relationships/hyperlink" Target="https://www.google.com/maps/search/?api=1&amp;query=Factory%20M%2010%2C%20Zone%204%20Triq%20ll-Furnara%20Central%20Business%20District" TargetMode="External"/><Relationship Id="rId263" Type="http://schemas.openxmlformats.org/officeDocument/2006/relationships/hyperlink" Target="https://www.google.com/maps/search/?api=1&amp;query=91%20Triq%20il-Kbira%20San%20Guzepp%2C%20Hamrun%2C%20Malta%20HMR%201017" TargetMode="External"/><Relationship Id="rId319" Type="http://schemas.openxmlformats.org/officeDocument/2006/relationships/hyperlink" Target="https://www.google.com/maps/search/?api=1&amp;query=Vjal%20I-Infiprndenza%2C%20Mosta" TargetMode="External"/><Relationship Id="rId470" Type="http://schemas.openxmlformats.org/officeDocument/2006/relationships/hyperlink" Target="https://ultimate.com.mt/" TargetMode="External"/><Relationship Id="rId526" Type="http://schemas.openxmlformats.org/officeDocument/2006/relationships/hyperlink" Target="https://fairdealfurniture.com.mt/contact-us/" TargetMode="External"/><Relationship Id="rId58" Type="http://schemas.openxmlformats.org/officeDocument/2006/relationships/hyperlink" Target="MAILTO:newlineliving@gmail.com" TargetMode="External"/><Relationship Id="rId123" Type="http://schemas.openxmlformats.org/officeDocument/2006/relationships/hyperlink" Target="MAILTO:consigliohomeappliances@gmail.com" TargetMode="External"/><Relationship Id="rId330" Type="http://schemas.openxmlformats.org/officeDocument/2006/relationships/hyperlink" Target="https://www.google.com/maps/search/?api=1&amp;query=7%2C%209%20Rotunda%20Dept%20Stores%20Triq%20il-Kungress%20Ewkaristiku%2C%20Mosta" TargetMode="External"/><Relationship Id="rId165" Type="http://schemas.openxmlformats.org/officeDocument/2006/relationships/hyperlink" Target="MAILTO:gdatrade@waldonet.net.mt" TargetMode="External"/><Relationship Id="rId372" Type="http://schemas.openxmlformats.org/officeDocument/2006/relationships/hyperlink" Target="https://grixtimobili.com/" TargetMode="External"/><Relationship Id="rId428" Type="http://schemas.openxmlformats.org/officeDocument/2006/relationships/hyperlink" Target="https://ecasa.com.mt/" TargetMode="External"/><Relationship Id="rId232" Type="http://schemas.openxmlformats.org/officeDocument/2006/relationships/hyperlink" Target="https://www.google.com/maps/search/?api=1&amp;query=ABRA%2C%20Triq%20L-Imdina%20ATTARD%2C%20ATD%209037" TargetMode="External"/><Relationship Id="rId274" Type="http://schemas.openxmlformats.org/officeDocument/2006/relationships/hyperlink" Target="https://www.google.com/maps/search/?api=1&amp;query=18%20Wesghat%20il-Knisja%20tan-Nattivita%2C%20Bormla%2C%20Malta%20BML%201650" TargetMode="External"/><Relationship Id="rId481" Type="http://schemas.openxmlformats.org/officeDocument/2006/relationships/hyperlink" Target="https://hotpointmalta.com/" TargetMode="External"/><Relationship Id="rId27" Type="http://schemas.openxmlformats.org/officeDocument/2006/relationships/hyperlink" Target="MAILTO:jysk@jysk.com.mt" TargetMode="External"/><Relationship Id="rId69" Type="http://schemas.openxmlformats.org/officeDocument/2006/relationships/hyperlink" Target="MAILTO:jasoakwalnut@yahoo.com" TargetMode="External"/><Relationship Id="rId134" Type="http://schemas.openxmlformats.org/officeDocument/2006/relationships/hyperlink" Target="MAILTO:tabletsandmoreelectronics@yahoo.com" TargetMode="External"/><Relationship Id="rId80" Type="http://schemas.openxmlformats.org/officeDocument/2006/relationships/hyperlink" Target="MAILTO:info@mobiliapenza.com" TargetMode="External"/><Relationship Id="rId176" Type="http://schemas.openxmlformats.org/officeDocument/2006/relationships/hyperlink" Target="MAILTO:info@fino.com.mt" TargetMode="External"/><Relationship Id="rId341" Type="http://schemas.openxmlformats.org/officeDocument/2006/relationships/hyperlink" Target="https://www.google.com/maps/search/?api=1&amp;query=Triq%20Valetta%2C%20Mosta%2C%20Malta" TargetMode="External"/><Relationship Id="rId383" Type="http://schemas.openxmlformats.org/officeDocument/2006/relationships/hyperlink" Target="https://danielwoodworksmalta.com/" TargetMode="External"/><Relationship Id="rId439" Type="http://schemas.openxmlformats.org/officeDocument/2006/relationships/hyperlink" Target="https://facebook.com/Orienta.mt/" TargetMode="External"/><Relationship Id="rId201" Type="http://schemas.openxmlformats.org/officeDocument/2006/relationships/hyperlink" Target="https://www.google.com/maps/search/?api=1&amp;query=Triq%20L-Imdina%2C%20Zone%202%2C%20Central%20Business%20District%2C%20Birkirkara%20CBD%202010%2C%20Malta" TargetMode="External"/><Relationship Id="rId243" Type="http://schemas.openxmlformats.org/officeDocument/2006/relationships/hyperlink" Target="https://www.google.com/maps/search/?api=1&amp;query=KW%2017b%20Qasam%20Industrijali%2C%20Kordin%2C%20Paola%2C%20Malta%20PLA%203000" TargetMode="External"/><Relationship Id="rId285" Type="http://schemas.openxmlformats.org/officeDocument/2006/relationships/hyperlink" Target="https://www.google.com/maps/search/?api=1&amp;query=Zone%205%20Triq%20ll-Kanun%20Central%20Business%20District%2C%20Qormi%2C%20Malta%20CBD%205060" TargetMode="External"/><Relationship Id="rId450" Type="http://schemas.openxmlformats.org/officeDocument/2006/relationships/hyperlink" Target="https://kcl.com.mt/" TargetMode="External"/><Relationship Id="rId506" Type="http://schemas.openxmlformats.org/officeDocument/2006/relationships/hyperlink" Target="https://xtmalta.com/" TargetMode="External"/><Relationship Id="rId38" Type="http://schemas.openxmlformats.org/officeDocument/2006/relationships/hyperlink" Target="MAILTO:topdrawer@topdrawermalta.com" TargetMode="External"/><Relationship Id="rId103" Type="http://schemas.openxmlformats.org/officeDocument/2006/relationships/hyperlink" Target="MAILTO:dpcomfortek@gmail.com" TargetMode="External"/><Relationship Id="rId310" Type="http://schemas.openxmlformats.org/officeDocument/2006/relationships/hyperlink" Target="https://www.google.com/maps/search/?api=1&amp;query=BLB%20021%20Qasam%20Industrijali%2C%20Bulebel%2C%20Zejtun%2C%20Malta%20ZTN%203000" TargetMode="External"/><Relationship Id="rId492" Type="http://schemas.openxmlformats.org/officeDocument/2006/relationships/hyperlink" Target="https://facebook.com/TaGulinu/info?tab=page%5Cuinfo" TargetMode="External"/><Relationship Id="rId91" Type="http://schemas.openxmlformats.org/officeDocument/2006/relationships/hyperlink" Target="MAILTO:info@treedfurniture.com" TargetMode="External"/><Relationship Id="rId145" Type="http://schemas.openxmlformats.org/officeDocument/2006/relationships/hyperlink" Target="MAILTO:freddies@onvol.net" TargetMode="External"/><Relationship Id="rId187" Type="http://schemas.openxmlformats.org/officeDocument/2006/relationships/hyperlink" Target="https://www.google.com/maps/search/?api=1&amp;query=Triq%20il-Kappar%2C%20Mosta%2C%20Malta%20MST%204003" TargetMode="External"/><Relationship Id="rId352" Type="http://schemas.openxmlformats.org/officeDocument/2006/relationships/hyperlink" Target="https://www.google.com/maps/search/?api=1&amp;query=3%2C%20Triq%20il%20Gibjun%2C%20San%20Gwann%2C%20SGN%20052%2C%20Malta" TargetMode="External"/><Relationship Id="rId394" Type="http://schemas.openxmlformats.org/officeDocument/2006/relationships/hyperlink" Target="https://fvcarpentry.com/" TargetMode="External"/><Relationship Id="rId408" Type="http://schemas.openxmlformats.org/officeDocument/2006/relationships/hyperlink" Target="https://oxfordhouse.com.mt/" TargetMode="External"/><Relationship Id="rId212" Type="http://schemas.openxmlformats.org/officeDocument/2006/relationships/hyperlink" Target="https://www.google.com/maps/search/?api=1&amp;query=Triq%20I-Imdina%2C%20Zebbug%2C%20Malta%20ZBG%204351" TargetMode="External"/><Relationship Id="rId254" Type="http://schemas.openxmlformats.org/officeDocument/2006/relationships/hyperlink" Target="https://www.google.com/maps/search/?api=1&amp;query=346%20Triq%20I-Imdina%2C%20Qormi%2C%20Malta%20QRM%209014" TargetMode="External"/><Relationship Id="rId49" Type="http://schemas.openxmlformats.org/officeDocument/2006/relationships/hyperlink" Target="MAILTO:jysk@jysk.com.mt" TargetMode="External"/><Relationship Id="rId114" Type="http://schemas.openxmlformats.org/officeDocument/2006/relationships/hyperlink" Target="MAILTO:rightdealcosp@onvol.net" TargetMode="External"/><Relationship Id="rId296" Type="http://schemas.openxmlformats.org/officeDocument/2006/relationships/hyperlink" Target="https://www.google.com/maps/search/?api=1&amp;query=Triq%20il-Wied%20ta%27%20I-Imsida%2C%20Msida%2C%20Malta%20MSD%209022" TargetMode="External"/><Relationship Id="rId461" Type="http://schemas.openxmlformats.org/officeDocument/2006/relationships/hyperlink" Target="https://cutajarhifi.com/" TargetMode="External"/><Relationship Id="rId517" Type="http://schemas.openxmlformats.org/officeDocument/2006/relationships/hyperlink" Target="https://divine.com.mt/" TargetMode="External"/><Relationship Id="rId60" Type="http://schemas.openxmlformats.org/officeDocument/2006/relationships/hyperlink" Target="MAILTO:topdrawer@topdrawermalta.com" TargetMode="External"/><Relationship Id="rId156" Type="http://schemas.openxmlformats.org/officeDocument/2006/relationships/hyperlink" Target="MAILTO:tabletsandmoreelectronics@yahoo.com" TargetMode="External"/><Relationship Id="rId198" Type="http://schemas.openxmlformats.org/officeDocument/2006/relationships/hyperlink" Target="https://www.google.com/maps/search/?api=1&amp;query=Triq%20il-Wied%20ta%27%20I-Imsida%2C%20Msida%2C%20Malta%20MSD%209022" TargetMode="External"/><Relationship Id="rId321" Type="http://schemas.openxmlformats.org/officeDocument/2006/relationships/hyperlink" Target="https://www.google.com/maps/search/?api=1&amp;query=91%20Triq%20is-Santwarju%2C%20Zabbar" TargetMode="External"/><Relationship Id="rId363" Type="http://schemas.openxmlformats.org/officeDocument/2006/relationships/hyperlink" Target="https://artathomemalta.com/" TargetMode="External"/><Relationship Id="rId419" Type="http://schemas.openxmlformats.org/officeDocument/2006/relationships/hyperlink" Target="https://facebook.com/people/Top-Drawer-Ltd/100057222588942/" TargetMode="External"/><Relationship Id="rId223" Type="http://schemas.openxmlformats.org/officeDocument/2006/relationships/hyperlink" Target="https://www.google.com/maps/search/?api=1&amp;query=25%20Triq%20il-Kataniz%2C%20Zebbug%2C%20Malta%20ZBG%202831" TargetMode="External"/><Relationship Id="rId430" Type="http://schemas.openxmlformats.org/officeDocument/2006/relationships/hyperlink" Target="https://fg.com.mt/" TargetMode="External"/><Relationship Id="rId18" Type="http://schemas.openxmlformats.org/officeDocument/2006/relationships/hyperlink" Target="MAILTO:info@kubekgroup.com" TargetMode="External"/><Relationship Id="rId265" Type="http://schemas.openxmlformats.org/officeDocument/2006/relationships/hyperlink" Target="https://www.google.com/maps/search/?api=1&amp;query=Triq%20il-Wied%2C%20B%27Kara%2C%20Malta%20BKR%209021" TargetMode="External"/><Relationship Id="rId472" Type="http://schemas.openxmlformats.org/officeDocument/2006/relationships/hyperlink" Target="https://petroni.com.mt/" TargetMode="External"/><Relationship Id="rId528" Type="http://schemas.openxmlformats.org/officeDocument/2006/relationships/hyperlink" Target="https://theatrium.com.mt/contact-us" TargetMode="External"/><Relationship Id="rId125" Type="http://schemas.openxmlformats.org/officeDocument/2006/relationships/hyperlink" Target="MAILTO:freddies@onvol.net" TargetMode="External"/><Relationship Id="rId167" Type="http://schemas.openxmlformats.org/officeDocument/2006/relationships/hyperlink" Target="MAILTO:showroom@itc-malta.com" TargetMode="External"/><Relationship Id="rId332" Type="http://schemas.openxmlformats.org/officeDocument/2006/relationships/hyperlink" Target="https://www.google.com/maps/search/?api=1&amp;query=Triq%20Gorg%20Borg%20Olivier%2C%20Victoria-Gozo%2C%20Gozo%20VCT%202514" TargetMode="External"/><Relationship Id="rId374" Type="http://schemas.openxmlformats.org/officeDocument/2006/relationships/hyperlink" Target="https://krea.com.mt/" TargetMode="External"/><Relationship Id="rId71" Type="http://schemas.openxmlformats.org/officeDocument/2006/relationships/hyperlink" Target="MAILTO:info@constructfurniture.com.mt" TargetMode="External"/><Relationship Id="rId234" Type="http://schemas.openxmlformats.org/officeDocument/2006/relationships/hyperlink" Target="https://www.google.com/maps/search/?api=1&amp;query=Triq%20I-Isof%20Labini%2C%20B%27Kara%2C%20Malta%20BKR%201275" TargetMode="External"/><Relationship Id="rId2" Type="http://schemas.openxmlformats.org/officeDocument/2006/relationships/hyperlink" Target="MAILTO:info@styleinterni.com" TargetMode="External"/><Relationship Id="rId29" Type="http://schemas.openxmlformats.org/officeDocument/2006/relationships/hyperlink" Target="MAILTO:info@rusticahome.com.mt" TargetMode="External"/><Relationship Id="rId276" Type="http://schemas.openxmlformats.org/officeDocument/2006/relationships/hyperlink" Target="https://www.google.com/maps/search/?api=1&amp;query=Triq%20San%20Tumas%2C%20Luqa%2C%20Malta%20LQA%209031" TargetMode="External"/><Relationship Id="rId441" Type="http://schemas.openxmlformats.org/officeDocument/2006/relationships/hyperlink" Target="https://lepseg.wix.com/richard-furniture" TargetMode="External"/><Relationship Id="rId483" Type="http://schemas.openxmlformats.org/officeDocument/2006/relationships/hyperlink" Target="https://facebook.com/p/JS-Household-100063545924453/" TargetMode="External"/><Relationship Id="rId40" Type="http://schemas.openxmlformats.org/officeDocument/2006/relationships/hyperlink" Target="MAILTO:info@dinofino.com" TargetMode="External"/><Relationship Id="rId136" Type="http://schemas.openxmlformats.org/officeDocument/2006/relationships/hyperlink" Target="MAILTO:camrugun@hotmail.com" TargetMode="External"/><Relationship Id="rId178" Type="http://schemas.openxmlformats.org/officeDocument/2006/relationships/hyperlink" Target="MAILTO:info@carmelodelia.com" TargetMode="External"/><Relationship Id="rId301" Type="http://schemas.openxmlformats.org/officeDocument/2006/relationships/hyperlink" Target="https://www.google.com/maps/search/?api=1&amp;query=Vjal%20I-Infiprndenza%2C%20Mosta" TargetMode="External"/><Relationship Id="rId343" Type="http://schemas.openxmlformats.org/officeDocument/2006/relationships/hyperlink" Target="https://www.google.com/maps/search/?api=1&amp;query=Triq%20Gorg%20Borg%20Olivier%2C%20Victoria-Gozo%2C%20Gozo%20VCT%202514" TargetMode="External"/><Relationship Id="rId82" Type="http://schemas.openxmlformats.org/officeDocument/2006/relationships/hyperlink" Target="MAILTO:info@onepercent.com.mt" TargetMode="External"/><Relationship Id="rId203" Type="http://schemas.openxmlformats.org/officeDocument/2006/relationships/hyperlink" Target="https://www.google.com/maps/search/?api=1&amp;query=Triq%20l-Isqof%20Buhagiar%2C%20Paola%2C%20Malta%20PLA%201111" TargetMode="External"/><Relationship Id="rId385" Type="http://schemas.openxmlformats.org/officeDocument/2006/relationships/hyperlink" Target="https://lepseg.wix.com/richard-furniture" TargetMode="External"/><Relationship Id="rId245" Type="http://schemas.openxmlformats.org/officeDocument/2006/relationships/hyperlink" Target="https://www.google.com/maps/search/?api=1&amp;query=T%2FG%20fi%20triq%20l-Imdina%2C%20Zebbug%2C%20Malta%20ZBG%205011" TargetMode="External"/><Relationship Id="rId287" Type="http://schemas.openxmlformats.org/officeDocument/2006/relationships/hyperlink" Target="https://www.google.com/maps/search/?api=1&amp;query=Triq%20il-Kungress%20Ewkaristiku%2C%20Mosta" TargetMode="External"/><Relationship Id="rId410" Type="http://schemas.openxmlformats.org/officeDocument/2006/relationships/hyperlink" Target="https://dinofino.com/" TargetMode="External"/><Relationship Id="rId452" Type="http://schemas.openxmlformats.org/officeDocument/2006/relationships/hyperlink" Target="https://facebook.com/akkwist" TargetMode="External"/><Relationship Id="rId494" Type="http://schemas.openxmlformats.org/officeDocument/2006/relationships/hyperlink" Target="https://fb.com/ComfortekMalta" TargetMode="External"/><Relationship Id="rId508" Type="http://schemas.openxmlformats.org/officeDocument/2006/relationships/hyperlink" Target="https://petroni.com.mt/" TargetMode="External"/><Relationship Id="rId105" Type="http://schemas.openxmlformats.org/officeDocument/2006/relationships/hyperlink" Target="MAILTO:bakerspoint1@gmail.com" TargetMode="External"/><Relationship Id="rId147" Type="http://schemas.openxmlformats.org/officeDocument/2006/relationships/hyperlink" Target="MAILTO:showroom@itc-malta.com" TargetMode="External"/><Relationship Id="rId312" Type="http://schemas.openxmlformats.org/officeDocument/2006/relationships/hyperlink" Target="https://www.google.com/maps/search/?api=1&amp;query=Triq%20il-Kostituzzjoni%2C%20Mosta%2C%20Malta%20MST%209050" TargetMode="External"/><Relationship Id="rId354" Type="http://schemas.openxmlformats.org/officeDocument/2006/relationships/hyperlink" Target="https://www.google.com/maps/search/?api=1&amp;query=JoinwellFXB%2C%0ATriq%20il-Mithna%2C%20Central%20Business%20District%2C%0AQormi%2C%20CBD%205090" TargetMode="External"/><Relationship Id="rId51" Type="http://schemas.openxmlformats.org/officeDocument/2006/relationships/hyperlink" Target="MAILTO:sales@powerhousemalta.eu" TargetMode="External"/><Relationship Id="rId93" Type="http://schemas.openxmlformats.org/officeDocument/2006/relationships/hyperlink" Target="MAILTO:info@soundsmart.com.mt" TargetMode="External"/><Relationship Id="rId189" Type="http://schemas.openxmlformats.org/officeDocument/2006/relationships/hyperlink" Target="https://www.google.com/maps/search/?api=1&amp;query=Triq%20il-Wied%20ta%27%20I-Imsida%2C%20Msida%2C%20Malta%20MSD%209091" TargetMode="External"/><Relationship Id="rId396" Type="http://schemas.openxmlformats.org/officeDocument/2006/relationships/hyperlink" Target="https://domestica.com.mt/" TargetMode="External"/><Relationship Id="rId214" Type="http://schemas.openxmlformats.org/officeDocument/2006/relationships/hyperlink" Target="https://www.google.com/maps/search/?api=1&amp;query=42%20Triq%20ix-Xwieni%20Albert%20Town%2C%20Marsa%2C%20Malta" TargetMode="External"/><Relationship Id="rId256" Type="http://schemas.openxmlformats.org/officeDocument/2006/relationships/hyperlink" Target="https://www.google.com/maps/search/?api=1&amp;query=Triq%20il-Kbira%2C%20Mellieha%2C%20Malta%20MLH%202317" TargetMode="External"/><Relationship Id="rId298" Type="http://schemas.openxmlformats.org/officeDocument/2006/relationships/hyperlink" Target="https://www.google.com/maps/search/?api=1&amp;query=22%2C%20Triq%20Sant%27%20Elija%2C%20B%27Kara%2C%20Malta%20BKR%202064" TargetMode="External"/><Relationship Id="rId421" Type="http://schemas.openxmlformats.org/officeDocument/2006/relationships/hyperlink" Target="https://indexmalta.com/" TargetMode="External"/><Relationship Id="rId463" Type="http://schemas.openxmlformats.org/officeDocument/2006/relationships/hyperlink" Target="https://forestalsgroup.com/" TargetMode="External"/><Relationship Id="rId519" Type="http://schemas.openxmlformats.org/officeDocument/2006/relationships/hyperlink" Target="https://facebook.com/people/Freddies-Household/100063498252557/?utm_source=Yellow&amp;utm_medium=Yellow-Website&amp;utm_campaign=Landing-Page" TargetMode="External"/><Relationship Id="rId116" Type="http://schemas.openxmlformats.org/officeDocument/2006/relationships/hyperlink" Target="MAILTO:info@ultimate.com.mt" TargetMode="External"/><Relationship Id="rId158" Type="http://schemas.openxmlformats.org/officeDocument/2006/relationships/hyperlink" Target="MAILTO:camrugun@hotmail.com" TargetMode="External"/><Relationship Id="rId323" Type="http://schemas.openxmlformats.org/officeDocument/2006/relationships/hyperlink" Target="https://www.google.com/maps/search/?api=1&amp;query=Zone%205%20Triq%20ll-Kanun%20Central%20Business%20District%2C%20Qormi%2C%20Malta%20CBD%205060" TargetMode="External"/><Relationship Id="rId530" Type="http://schemas.openxmlformats.org/officeDocument/2006/relationships/hyperlink" Target="https://fino.com.mt/" TargetMode="External"/><Relationship Id="rId20" Type="http://schemas.openxmlformats.org/officeDocument/2006/relationships/hyperlink" Target="MAILTO:snfgrima@maltanet.net" TargetMode="External"/><Relationship Id="rId62" Type="http://schemas.openxmlformats.org/officeDocument/2006/relationships/hyperlink" Target="MAILTO:info@indexmalta.com" TargetMode="External"/><Relationship Id="rId365" Type="http://schemas.openxmlformats.org/officeDocument/2006/relationships/hyperlink" Target="https://fvcarpentry.com/" TargetMode="External"/><Relationship Id="rId225" Type="http://schemas.openxmlformats.org/officeDocument/2006/relationships/hyperlink" Target="https://www.google.com/maps/search/?api=1&amp;query=184%2C%20186%20Triq%20Qormi%2C%20Marsa%2C%20Malta%20MRS%209044" TargetMode="External"/><Relationship Id="rId267" Type="http://schemas.openxmlformats.org/officeDocument/2006/relationships/hyperlink" Target="https://www.google.com/maps/search/?api=1&amp;query=Triq%20Ponosonby%2C%20Mosta%2C%20Malta%20MST%204039" TargetMode="External"/><Relationship Id="rId432" Type="http://schemas.openxmlformats.org/officeDocument/2006/relationships/hyperlink" Target="https://fxb.com.mt/" TargetMode="External"/><Relationship Id="rId474" Type="http://schemas.openxmlformats.org/officeDocument/2006/relationships/hyperlink" Target="https://kcl.com.mt/" TargetMode="External"/><Relationship Id="rId127" Type="http://schemas.openxmlformats.org/officeDocument/2006/relationships/hyperlink" Target="MAILTO:showroom@itc-malta.com" TargetMode="External"/><Relationship Id="rId31" Type="http://schemas.openxmlformats.org/officeDocument/2006/relationships/hyperlink" Target="MAILTO:stephen@rliving.com.mt" TargetMode="External"/><Relationship Id="rId73" Type="http://schemas.openxmlformats.org/officeDocument/2006/relationships/hyperlink" Target="MAILTO:info@farrugiagroup.com" TargetMode="External"/><Relationship Id="rId169" Type="http://schemas.openxmlformats.org/officeDocument/2006/relationships/hyperlink" Target="MAILTO:rightdealcosp@onvol.net" TargetMode="External"/><Relationship Id="rId334" Type="http://schemas.openxmlformats.org/officeDocument/2006/relationships/hyperlink" Target="https://www.google.com/maps/search/?api=1&amp;query=Triq%20il-Wied%20ta%27%20I-Imsida%2C%20Msida%2C%20Malta%20MSD%209022" TargetMode="External"/><Relationship Id="rId376" Type="http://schemas.openxmlformats.org/officeDocument/2006/relationships/hyperlink" Target="https://petroni.com.mt/" TargetMode="External"/><Relationship Id="rId4" Type="http://schemas.openxmlformats.org/officeDocument/2006/relationships/hyperlink" Target="MAILTO:info@desanamarbles.com" TargetMode="External"/><Relationship Id="rId180" Type="http://schemas.openxmlformats.org/officeDocument/2006/relationships/hyperlink" Target="https://www.google.com/maps/search/?api=1&amp;query=260%20Old%20Railway%20Track%2C%20Santa%20Venera%20SVR%209019" TargetMode="External"/><Relationship Id="rId236" Type="http://schemas.openxmlformats.org/officeDocument/2006/relationships/hyperlink" Target="https://www.google.com/maps/search/?api=1&amp;query=Triq%20Papa%20Gwanni%20Pawlu%20ll%2C%20Victoria-Gozo%2C%20Gozo%20VCT%209046" TargetMode="External"/><Relationship Id="rId278" Type="http://schemas.openxmlformats.org/officeDocument/2006/relationships/hyperlink" Target="https://www.google.com/maps/search/?api=1&amp;query=280%20Triq%20il-Kbira%20San%20Guzepp%2C%20Hamrun" TargetMode="External"/><Relationship Id="rId401" Type="http://schemas.openxmlformats.org/officeDocument/2006/relationships/hyperlink" Target="https://facebook.com/treedfurnituremalta?locale=nn_NO" TargetMode="External"/><Relationship Id="rId443" Type="http://schemas.openxmlformats.org/officeDocument/2006/relationships/hyperlink" Target="https://stylefurnituremalta.com/" TargetMode="External"/><Relationship Id="rId303" Type="http://schemas.openxmlformats.org/officeDocument/2006/relationships/hyperlink" Target="https://www.google.com/maps/search/?api=1&amp;query=Zone%203%20Triq%20L-Intornjatur%20Central%20Business%20District%2C%20B%27Kara%2C%20Malta%20CBD%203050" TargetMode="External"/><Relationship Id="rId485" Type="http://schemas.openxmlformats.org/officeDocument/2006/relationships/hyperlink" Target="https://venturamalta.com/" TargetMode="External"/><Relationship Id="rId42" Type="http://schemas.openxmlformats.org/officeDocument/2006/relationships/hyperlink" Target="MAILTO:info@kubekgroup.com" TargetMode="External"/><Relationship Id="rId84" Type="http://schemas.openxmlformats.org/officeDocument/2006/relationships/hyperlink" Target="MAILTO:info@queensfurniture.com" TargetMode="External"/><Relationship Id="rId138" Type="http://schemas.openxmlformats.org/officeDocument/2006/relationships/hyperlink" Target="MAILTO:sales@jjscerri.com" TargetMode="External"/><Relationship Id="rId345" Type="http://schemas.openxmlformats.org/officeDocument/2006/relationships/hyperlink" Target="https://www.google.com/maps/search/?api=1&amp;query=Triq%20il-Kungress%20Ewkaristiku%2C%20Mosta" TargetMode="External"/><Relationship Id="rId387" Type="http://schemas.openxmlformats.org/officeDocument/2006/relationships/hyperlink" Target="https://spaces.com.mt/" TargetMode="External"/><Relationship Id="rId510" Type="http://schemas.openxmlformats.org/officeDocument/2006/relationships/hyperlink" Target="https://kcl.com.mt/" TargetMode="External"/><Relationship Id="rId191" Type="http://schemas.openxmlformats.org/officeDocument/2006/relationships/hyperlink" Target="https://www.google.com/maps/search/?api=1&amp;query=Triq%20il-Wied%20Ta%27%20L-Imsida%2C%20B%27Kara%2C%20Malta%20BKR%209025" TargetMode="External"/><Relationship Id="rId205" Type="http://schemas.openxmlformats.org/officeDocument/2006/relationships/hyperlink" Target="https://www.google.com/maps/search/?api=1&amp;query=Triq%20il-Mosta%2C%20Lija%2C%20Malta%20LIJA%209012" TargetMode="External"/><Relationship Id="rId247" Type="http://schemas.openxmlformats.org/officeDocument/2006/relationships/hyperlink" Target="https://www.google.com/maps/search/?api=1&amp;query=Triq%20I-Isqof%20Buhagiar%2C%20Paola%2C%20Malta%20PLA%201111" TargetMode="External"/><Relationship Id="rId412" Type="http://schemas.openxmlformats.org/officeDocument/2006/relationships/hyperlink" Target="https://maltashopper.com/" TargetMode="External"/><Relationship Id="rId107" Type="http://schemas.openxmlformats.org/officeDocument/2006/relationships/hyperlink" Target="MAILTO:sales@flamingo.com.mt" TargetMode="External"/><Relationship Id="rId289" Type="http://schemas.openxmlformats.org/officeDocument/2006/relationships/hyperlink" Target="https://www.google.com/maps/search/?api=1&amp;query=Triq%20il-Wied%2C%20B%27Kara" TargetMode="External"/><Relationship Id="rId454" Type="http://schemas.openxmlformats.org/officeDocument/2006/relationships/hyperlink" Target="https://triplealuqa.com/" TargetMode="External"/><Relationship Id="rId496" Type="http://schemas.openxmlformats.org/officeDocument/2006/relationships/hyperlink" Target="https://cutajarhifi.com/" TargetMode="External"/><Relationship Id="rId11" Type="http://schemas.openxmlformats.org/officeDocument/2006/relationships/hyperlink" Target="MAILTO:igor@domestica.com.mt" TargetMode="External"/><Relationship Id="rId53" Type="http://schemas.openxmlformats.org/officeDocument/2006/relationships/hyperlink" Target="MAILTO:info@bdi.com.mt" TargetMode="External"/><Relationship Id="rId149" Type="http://schemas.openxmlformats.org/officeDocument/2006/relationships/hyperlink" Target="MAILTO:rightdealcosp@onvol.net" TargetMode="External"/><Relationship Id="rId314" Type="http://schemas.openxmlformats.org/officeDocument/2006/relationships/hyperlink" Target="https://www.google.com/maps/search/?api=1&amp;query=12%20Triq%20il-Hammieri%2C%20Qormi%2C%20Malta" TargetMode="External"/><Relationship Id="rId356" Type="http://schemas.openxmlformats.org/officeDocument/2006/relationships/hyperlink" Target="https://www.google.com/maps/search/?api=1&amp;query=Birkirkara%20by-pass%2C%20Birkirkara%2C%20Malta%2C%20BKR%209037%0ALinks" TargetMode="External"/><Relationship Id="rId398" Type="http://schemas.openxmlformats.org/officeDocument/2006/relationships/hyperlink" Target="https://grixtimobili.com/" TargetMode="External"/><Relationship Id="rId521" Type="http://schemas.openxmlformats.org/officeDocument/2006/relationships/hyperlink" Target="https://hotpointmalta.com/" TargetMode="External"/><Relationship Id="rId95" Type="http://schemas.openxmlformats.org/officeDocument/2006/relationships/hyperlink" Target="MAILTO:tabletsandmoreelectronics@yahoo.com" TargetMode="External"/><Relationship Id="rId160" Type="http://schemas.openxmlformats.org/officeDocument/2006/relationships/hyperlink" Target="MAILTO:consigliohomeappliances@gmail.com" TargetMode="External"/><Relationship Id="rId216" Type="http://schemas.openxmlformats.org/officeDocument/2006/relationships/hyperlink" Target="https://www.google.com/maps/search/?api=1&amp;query=Triq%20il-Wied%20ta%27%20I-Imsida%2C%20Msida%2C%20Malta%20MSD%209091" TargetMode="External"/><Relationship Id="rId423" Type="http://schemas.openxmlformats.org/officeDocument/2006/relationships/hyperlink" Target="https://rliving.com.mt/" TargetMode="External"/><Relationship Id="rId258" Type="http://schemas.openxmlformats.org/officeDocument/2006/relationships/hyperlink" Target="https://www.google.com/maps/search/?api=1&amp;query=Qasam%20Industrijali%2C%20Luqa%20Malta%20LQA%203000" TargetMode="External"/><Relationship Id="rId465" Type="http://schemas.openxmlformats.org/officeDocument/2006/relationships/hyperlink" Target="https://gda.com.mt/" TargetMode="External"/><Relationship Id="rId22" Type="http://schemas.openxmlformats.org/officeDocument/2006/relationships/hyperlink" Target="MAILTO:info@oxfordhouse.com.mt" TargetMode="External"/><Relationship Id="rId64" Type="http://schemas.openxmlformats.org/officeDocument/2006/relationships/hyperlink" Target="MAILTO:stephen@rliving.com.mt" TargetMode="External"/><Relationship Id="rId118" Type="http://schemas.openxmlformats.org/officeDocument/2006/relationships/hyperlink" Target="MAILTO:info@soundsmart.com.mt" TargetMode="External"/><Relationship Id="rId325" Type="http://schemas.openxmlformats.org/officeDocument/2006/relationships/hyperlink" Target="https://www.google.com/maps/search/?api=1&amp;query=Triq%20il-Kungress%20Ewkaristiku%2C%20Mosta" TargetMode="External"/><Relationship Id="rId367" Type="http://schemas.openxmlformats.org/officeDocument/2006/relationships/hyperlink" Target="https://brands.com.mt/" TargetMode="External"/><Relationship Id="rId532" Type="http://schemas.openxmlformats.org/officeDocument/2006/relationships/hyperlink" Target="https://carmelodelia.com/contact" TargetMode="External"/><Relationship Id="rId171" Type="http://schemas.openxmlformats.org/officeDocument/2006/relationships/hyperlink" Target="MAILTO:sales@shaker.com.mt" TargetMode="External"/><Relationship Id="rId227" Type="http://schemas.openxmlformats.org/officeDocument/2006/relationships/hyperlink" Target="https://www.google.com/maps/search/?api=1&amp;query=Triq%20L-Imdina%2C%20Zone%202%2C%20Central%20Business%20District%2C%20Birkirkara%20CBD%202010%2C%20Malta" TargetMode="External"/><Relationship Id="rId269" Type="http://schemas.openxmlformats.org/officeDocument/2006/relationships/hyperlink" Target="https://www.google.com/maps/search/?api=1&amp;query=BLB%20021%20Qasam%20Industrijali%2C%20Bulebel%2C%20Zejtun%2C%20Malta%20ZTN%203000" TargetMode="External"/><Relationship Id="rId434" Type="http://schemas.openxmlformats.org/officeDocument/2006/relationships/hyperlink" Target="https://jdsfurniture.com/" TargetMode="External"/><Relationship Id="rId476" Type="http://schemas.openxmlformats.org/officeDocument/2006/relationships/hyperlink" Target="https://facebook.com/futurahomeappliances/" TargetMode="External"/><Relationship Id="rId33" Type="http://schemas.openxmlformats.org/officeDocument/2006/relationships/hyperlink" Target="MAILTO:info@promaninteriors.com" TargetMode="External"/><Relationship Id="rId129" Type="http://schemas.openxmlformats.org/officeDocument/2006/relationships/hyperlink" Target="MAILTO:rightdealcosp@onvol.net" TargetMode="External"/><Relationship Id="rId280" Type="http://schemas.openxmlformats.org/officeDocument/2006/relationships/hyperlink" Target="https://www.google.com/maps/search/?api=1&amp;query=Triq%20il-Kappillan%20Mifsud%2C%20Sta%20Venera" TargetMode="External"/><Relationship Id="rId336" Type="http://schemas.openxmlformats.org/officeDocument/2006/relationships/hyperlink" Target="https://www.google.com/maps/search/?api=1&amp;query=22%2C%20Triq%20Sant%27%20Elija%2C%20B%27Kara%2C%20Malta%20BKR%202064" TargetMode="External"/><Relationship Id="rId501" Type="http://schemas.openxmlformats.org/officeDocument/2006/relationships/hyperlink" Target="https://hotpointmalta.com/" TargetMode="External"/><Relationship Id="rId75" Type="http://schemas.openxmlformats.org/officeDocument/2006/relationships/hyperlink" Target="MAILTO:agius65@hotmail.com" TargetMode="External"/><Relationship Id="rId140" Type="http://schemas.openxmlformats.org/officeDocument/2006/relationships/hyperlink" Target="MAILTO:consigliohomeappliances@gmail.com" TargetMode="External"/><Relationship Id="rId182" Type="http://schemas.openxmlformats.org/officeDocument/2006/relationships/hyperlink" Target="https://www.google.com/maps/search/?api=1&amp;query=Triq%20il-Buskett%2C%20Dingli%2C%20Malta%20DGL%202709" TargetMode="External"/><Relationship Id="rId378" Type="http://schemas.openxmlformats.org/officeDocument/2006/relationships/hyperlink" Target="https://wellmadewoodworks.com.mt/" TargetMode="External"/><Relationship Id="rId403" Type="http://schemas.openxmlformats.org/officeDocument/2006/relationships/hyperlink" Target="https://merciecaeventsuppliers.com/" TargetMode="External"/><Relationship Id="rId6" Type="http://schemas.openxmlformats.org/officeDocument/2006/relationships/hyperlink" Target="MAILTO:artathomeltd@gmail.com" TargetMode="External"/><Relationship Id="rId238" Type="http://schemas.openxmlformats.org/officeDocument/2006/relationships/hyperlink" Target="https://www.google.com/maps/search/?api=1&amp;query=Triq%20il-Kappar%2C%20Mosta%2C%20Malta%20MST%204003" TargetMode="External"/><Relationship Id="rId445" Type="http://schemas.openxmlformats.org/officeDocument/2006/relationships/hyperlink" Target="https://tornelloarredamenti.it/" TargetMode="External"/><Relationship Id="rId487" Type="http://schemas.openxmlformats.org/officeDocument/2006/relationships/hyperlink" Target="https://soundsmart.com.mt/" TargetMode="External"/><Relationship Id="rId291" Type="http://schemas.openxmlformats.org/officeDocument/2006/relationships/hyperlink" Target="https://www.google.com/maps/search/?api=1&amp;query=Zone%202%20Triq%20L-Imdina%20Central%20Business%20District%2C%20B%27Kara%2C%20Malta%20CBD%202010" TargetMode="External"/><Relationship Id="rId305" Type="http://schemas.openxmlformats.org/officeDocument/2006/relationships/hyperlink" Target="https://www.google.com/maps/search/?api=1&amp;query=Triq%20il-Wied%2C%20B%27Kara" TargetMode="External"/><Relationship Id="rId347" Type="http://schemas.openxmlformats.org/officeDocument/2006/relationships/hyperlink" Target="https://www.google.com/maps/search/?api=1&amp;query=Triq%20il-Wied%2C%20B%27Kara" TargetMode="External"/><Relationship Id="rId512" Type="http://schemas.openxmlformats.org/officeDocument/2006/relationships/hyperlink" Target="https://facebook.com/futurahomeappliances/" TargetMode="External"/><Relationship Id="rId44" Type="http://schemas.openxmlformats.org/officeDocument/2006/relationships/hyperlink" Target="MAILTO:info@treedfurniture.com" TargetMode="External"/><Relationship Id="rId86" Type="http://schemas.openxmlformats.org/officeDocument/2006/relationships/hyperlink" Target="MAILTO:ronaldmarmara@gmail.com" TargetMode="External"/><Relationship Id="rId151" Type="http://schemas.openxmlformats.org/officeDocument/2006/relationships/hyperlink" Target="MAILTO:info@topchoice.com.mt" TargetMode="External"/><Relationship Id="rId389" Type="http://schemas.openxmlformats.org/officeDocument/2006/relationships/hyperlink" Target="https://facebook.com/treedfurnituremalta?locale=nn_NO" TargetMode="External"/><Relationship Id="rId193" Type="http://schemas.openxmlformats.org/officeDocument/2006/relationships/hyperlink" Target="https://www.google.com/maps/search/?api=1&amp;query=1%20Triq%20il-Kanun%2C%20Qormi%2C%20Malta%20QRM%209036" TargetMode="External"/><Relationship Id="rId207" Type="http://schemas.openxmlformats.org/officeDocument/2006/relationships/hyperlink" Target="https://www.google.com/maps/search/?api=1&amp;query=32%20ll-Moll%20tal-Hatab%2C%20Marsa%2C%20Malta%20MRS%201440" TargetMode="External"/><Relationship Id="rId249" Type="http://schemas.openxmlformats.org/officeDocument/2006/relationships/hyperlink" Target="https://www.google.com/maps/search/?api=1&amp;query=40%20Qasam%20Industrijali%2C%20Luqa%2C%20Malta%20LQA%203000" TargetMode="External"/><Relationship Id="rId414" Type="http://schemas.openxmlformats.org/officeDocument/2006/relationships/hyperlink" Target="https://fino.com.mt/" TargetMode="External"/><Relationship Id="rId456" Type="http://schemas.openxmlformats.org/officeDocument/2006/relationships/hyperlink" Target="https://topchoice.com.mt/" TargetMode="External"/><Relationship Id="rId498" Type="http://schemas.openxmlformats.org/officeDocument/2006/relationships/hyperlink" Target="https://flamingo.com.mt/" TargetMode="External"/><Relationship Id="rId13" Type="http://schemas.openxmlformats.org/officeDocument/2006/relationships/hyperlink" Target="MAILTO:info@dinofino.com" TargetMode="External"/><Relationship Id="rId109" Type="http://schemas.openxmlformats.org/officeDocument/2006/relationships/hyperlink" Target="MAILTO:freddies@onvol.net" TargetMode="External"/><Relationship Id="rId260" Type="http://schemas.openxmlformats.org/officeDocument/2006/relationships/hyperlink" Target="https://www.google.com/maps/search/?api=1&amp;query=Triq%20il-Wied%20ta%27%20I-Imsida%2C%20Msida%2C%20Malta%20MSD%209022" TargetMode="External"/><Relationship Id="rId316" Type="http://schemas.openxmlformats.org/officeDocument/2006/relationships/hyperlink" Target="https://www.google.com/maps/search/?api=1&amp;query=18%20Wesghat%20il-Knisja%20tan-Nattivita%2C%20Bormla%2C%20Malta%20BML%201650" TargetMode="External"/><Relationship Id="rId523" Type="http://schemas.openxmlformats.org/officeDocument/2006/relationships/hyperlink" Target="https://refcold.com.mt/" TargetMode="External"/><Relationship Id="rId55" Type="http://schemas.openxmlformats.org/officeDocument/2006/relationships/hyperlink" Target="MAILTO:info@abra.com.mt" TargetMode="External"/><Relationship Id="rId97" Type="http://schemas.openxmlformats.org/officeDocument/2006/relationships/hyperlink" Target="MAILTO:tagulinu@onvol.net" TargetMode="External"/><Relationship Id="rId120" Type="http://schemas.openxmlformats.org/officeDocument/2006/relationships/hyperlink" Target="MAILTO:tabletsandmoreelectronics@yahoo.com" TargetMode="External"/><Relationship Id="rId358" Type="http://schemas.openxmlformats.org/officeDocument/2006/relationships/hyperlink" Target="https://ferraramalta.com/" TargetMode="External"/><Relationship Id="rId162" Type="http://schemas.openxmlformats.org/officeDocument/2006/relationships/hyperlink" Target="MAILTO:info@divine.com.mt" TargetMode="External"/><Relationship Id="rId218" Type="http://schemas.openxmlformats.org/officeDocument/2006/relationships/hyperlink" Target="https://www.google.com/maps/search/?api=1&amp;query=1%20Triq%20il-Kanun%2C%20Qormi%2C%20Malta%20QRM%209036" TargetMode="External"/><Relationship Id="rId425" Type="http://schemas.openxmlformats.org/officeDocument/2006/relationships/hyperlink" Target="https://casaformfurniture.com/" TargetMode="External"/><Relationship Id="rId467" Type="http://schemas.openxmlformats.org/officeDocument/2006/relationships/hyperlink" Target="https://itc-malta.com/" TargetMode="External"/><Relationship Id="rId271" Type="http://schemas.openxmlformats.org/officeDocument/2006/relationships/hyperlink" Target="https://www.google.com/maps/search/?api=1&amp;query=Triq%20il-Kostituzzjoni%2C%20Mosta%2C%20Malta%20MST%209050" TargetMode="External"/><Relationship Id="rId24" Type="http://schemas.openxmlformats.org/officeDocument/2006/relationships/hyperlink" Target="MAILTO:casaform@onvol.net" TargetMode="External"/><Relationship Id="rId66" Type="http://schemas.openxmlformats.org/officeDocument/2006/relationships/hyperlink" Target="MAILTO:acf1@melita.com" TargetMode="External"/><Relationship Id="rId131" Type="http://schemas.openxmlformats.org/officeDocument/2006/relationships/hyperlink" Target="MAILTO:info@petroni.com.mt" TargetMode="External"/><Relationship Id="rId327" Type="http://schemas.openxmlformats.org/officeDocument/2006/relationships/hyperlink" Target="https://www.google.com/maps/search/?api=1&amp;query=Triq%20Nazzjonali%20Blata%20L-Blajda%2C%20Hamrun%2C%20Malta%20HMR%209012" TargetMode="External"/><Relationship Id="rId369" Type="http://schemas.openxmlformats.org/officeDocument/2006/relationships/hyperlink" Target="https://core.com.mt/" TargetMode="External"/><Relationship Id="rId173" Type="http://schemas.openxmlformats.org/officeDocument/2006/relationships/hyperlink" Target="MAILTO:info@joinwellfxb.com" TargetMode="External"/><Relationship Id="rId229" Type="http://schemas.openxmlformats.org/officeDocument/2006/relationships/hyperlink" Target="https://www.google.com/maps/search/?api=1&amp;query=Triq%20il-Wied%20Ta%27%20L-Imsida%2C%20B%27Kara%2C%20Malta%20BKR%209025" TargetMode="External"/><Relationship Id="rId380" Type="http://schemas.openxmlformats.org/officeDocument/2006/relationships/hyperlink" Target="https://facebook.com/treedfurnituremalta?locale=nn_NO" TargetMode="External"/><Relationship Id="rId436" Type="http://schemas.openxmlformats.org/officeDocument/2006/relationships/hyperlink" Target="https://mobiliapenza.com/" TargetMode="External"/><Relationship Id="rId240" Type="http://schemas.openxmlformats.org/officeDocument/2006/relationships/hyperlink" Target="https://www.google.com/maps/search/?api=1&amp;query=Tip%20Top%20Bldgs%20Triq%20Haz-Zabbar" TargetMode="External"/><Relationship Id="rId478" Type="http://schemas.openxmlformats.org/officeDocument/2006/relationships/hyperlink" Target="https://consiglio.com.mt/" TargetMode="External"/><Relationship Id="rId35" Type="http://schemas.openxmlformats.org/officeDocument/2006/relationships/hyperlink" Target="MAILTO:info@fairdealfurniture.com.mt" TargetMode="External"/><Relationship Id="rId77" Type="http://schemas.openxmlformats.org/officeDocument/2006/relationships/hyperlink" Target="MAILTO:info@gozoarts.com.mt" TargetMode="External"/><Relationship Id="rId100" Type="http://schemas.openxmlformats.org/officeDocument/2006/relationships/hyperlink" Target="MAILTO:info@topchoice.com.mt" TargetMode="External"/><Relationship Id="rId282" Type="http://schemas.openxmlformats.org/officeDocument/2006/relationships/hyperlink" Target="https://www.google.com/maps/search/?api=1&amp;query=Triq%20Valetta%2C%20Mosta%2C%20Malta" TargetMode="External"/><Relationship Id="rId338" Type="http://schemas.openxmlformats.org/officeDocument/2006/relationships/hyperlink" Target="https://www.google.com/maps/search/?api=1&amp;query=220%20Triq%20in-Naxxar%2C%20San%20Gwann%2C%20Malta%20SGN%209030" TargetMode="External"/><Relationship Id="rId503" Type="http://schemas.openxmlformats.org/officeDocument/2006/relationships/hyperlink" Target="https://facebook.com/p/JS-Household-100063545924453/" TargetMode="External"/><Relationship Id="rId8" Type="http://schemas.openxmlformats.org/officeDocument/2006/relationships/hyperlink" Target="MAILTO:fran@fvcarpentry.com" TargetMode="External"/><Relationship Id="rId142" Type="http://schemas.openxmlformats.org/officeDocument/2006/relationships/hyperlink" Target="MAILTO:info@divine.com.mt" TargetMode="External"/><Relationship Id="rId184" Type="http://schemas.openxmlformats.org/officeDocument/2006/relationships/hyperlink" Target="https://www.google.com/maps/search/?api=1&amp;query=Triq%20I-Imdina%2C%20Attard%2C%20Malta%20ATD%209037" TargetMode="External"/><Relationship Id="rId391" Type="http://schemas.openxmlformats.org/officeDocument/2006/relationships/hyperlink" Target="https://desanamarbles.com/" TargetMode="External"/><Relationship Id="rId405" Type="http://schemas.openxmlformats.org/officeDocument/2006/relationships/hyperlink" Target="https://fg.com.mt/" TargetMode="External"/><Relationship Id="rId447" Type="http://schemas.openxmlformats.org/officeDocument/2006/relationships/hyperlink" Target="https://venturamalta.com/" TargetMode="External"/><Relationship Id="rId251" Type="http://schemas.openxmlformats.org/officeDocument/2006/relationships/hyperlink" Target="https://www.google.com/maps/search/?api=1&amp;query=61%20St%20Liberata%20Triq%20Santa%20Liberata%2C%20Kalkara%2C%20Malta%20KKR%201612" TargetMode="External"/><Relationship Id="rId489" Type="http://schemas.openxmlformats.org/officeDocument/2006/relationships/hyperlink" Target="https://tabletsandmoreelectronics.com/" TargetMode="External"/><Relationship Id="rId46" Type="http://schemas.openxmlformats.org/officeDocument/2006/relationships/hyperlink" Target="MAILTO:silviochairs@gmail.com" TargetMode="External"/><Relationship Id="rId293" Type="http://schemas.openxmlformats.org/officeDocument/2006/relationships/hyperlink" Target="https://www.google.com/maps/search/?api=1&amp;query=7%2C%209%20Rotunda%20Dept%20Stores%20Triq%20il-Kungress%20Ewkaristiku%2C%20Mosta" TargetMode="External"/><Relationship Id="rId307" Type="http://schemas.openxmlformats.org/officeDocument/2006/relationships/hyperlink" Target="https://www.google.com/maps/search/?api=1&amp;query=71%20Triq%20il-Buqexrem%2C%20Fgura" TargetMode="External"/><Relationship Id="rId349" Type="http://schemas.openxmlformats.org/officeDocument/2006/relationships/hyperlink" Target="https://www.google.com/maps/search/?api=1&amp;query=Triq%20Fortunato%20Mizzi%2C%20Victoria-Gozo" TargetMode="External"/><Relationship Id="rId514" Type="http://schemas.openxmlformats.org/officeDocument/2006/relationships/hyperlink" Target="https://centrocasalinga.com/" TargetMode="External"/><Relationship Id="rId88" Type="http://schemas.openxmlformats.org/officeDocument/2006/relationships/hyperlink" Target="MAILTO:info@stylefurnituremalta.com" TargetMode="External"/><Relationship Id="rId111" Type="http://schemas.openxmlformats.org/officeDocument/2006/relationships/hyperlink" Target="MAILTO:info@hotpointmalta.com" TargetMode="External"/><Relationship Id="rId153" Type="http://schemas.openxmlformats.org/officeDocument/2006/relationships/hyperlink" Target="MAILTO:info@petroni.com.mt" TargetMode="External"/><Relationship Id="rId195" Type="http://schemas.openxmlformats.org/officeDocument/2006/relationships/hyperlink" Target="https://www.google.com/maps/search/?api=1&amp;query=Triq%20I-Imdina%2C%20Qormi%2C%20Malta%20QRM%209011" TargetMode="External"/><Relationship Id="rId209" Type="http://schemas.openxmlformats.org/officeDocument/2006/relationships/hyperlink" Target="https://www.google.com/maps/search/?api=1&amp;query=Dawert%20I-Imriehel%2C%20Qormi%2C%20Malta%20QRM%209052" TargetMode="External"/><Relationship Id="rId360" Type="http://schemas.openxmlformats.org/officeDocument/2006/relationships/hyperlink" Target="https://sghendo.com/" TargetMode="External"/><Relationship Id="rId416" Type="http://schemas.openxmlformats.org/officeDocument/2006/relationships/hyperlink" Target="https://fairdealfurniture.com.mt/" TargetMode="External"/><Relationship Id="rId220" Type="http://schemas.openxmlformats.org/officeDocument/2006/relationships/hyperlink" Target="https://www.google.com/maps/search/?api=1&amp;query=Triq%20il-Wied%20ta%27%20I-Imsida%2C%20Msida%2C%20Malta%20MSD%209022" TargetMode="External"/><Relationship Id="rId458" Type="http://schemas.openxmlformats.org/officeDocument/2006/relationships/hyperlink" Target="https://centrocasalinga.com/" TargetMode="External"/><Relationship Id="rId15" Type="http://schemas.openxmlformats.org/officeDocument/2006/relationships/hyperlink" Target="MAILTO:sales@grixtimobili.com" TargetMode="External"/><Relationship Id="rId57" Type="http://schemas.openxmlformats.org/officeDocument/2006/relationships/hyperlink" Target="MAILTO:info@fairdealfurniture.com.mt" TargetMode="External"/><Relationship Id="rId262" Type="http://schemas.openxmlformats.org/officeDocument/2006/relationships/hyperlink" Target="https://www.google.com/maps/search/?api=1&amp;query=Kw%2019D%20Qasam%20Industrijali%2C%20Kordin%2C%20Paola%2C%20Malta%20PLA%203000" TargetMode="External"/><Relationship Id="rId318" Type="http://schemas.openxmlformats.org/officeDocument/2006/relationships/hyperlink" Target="https://www.google.com/maps/search/?api=1&amp;query=Triq%20il-Kappillan%20Mifsud%2C%20Sta%20Venera" TargetMode="External"/><Relationship Id="rId525" Type="http://schemas.openxmlformats.org/officeDocument/2006/relationships/hyperlink" Target="https://shaker.com.mt/" TargetMode="External"/><Relationship Id="rId99" Type="http://schemas.openxmlformats.org/officeDocument/2006/relationships/hyperlink" Target="MAILTO:rightdealcosp@onvol.net" TargetMode="External"/><Relationship Id="rId122" Type="http://schemas.openxmlformats.org/officeDocument/2006/relationships/hyperlink" Target="MAILTO:dpcomfortek@gmail.com" TargetMode="External"/><Relationship Id="rId164" Type="http://schemas.openxmlformats.org/officeDocument/2006/relationships/hyperlink" Target="MAILTO:freddies@onvol.net" TargetMode="External"/><Relationship Id="rId371" Type="http://schemas.openxmlformats.org/officeDocument/2006/relationships/hyperlink" Target="https://distincthomes.com.mt/" TargetMode="External"/><Relationship Id="rId427" Type="http://schemas.openxmlformats.org/officeDocument/2006/relationships/hyperlink" Target="https://ciantarwoodworks.com/" TargetMode="External"/><Relationship Id="rId469" Type="http://schemas.openxmlformats.org/officeDocument/2006/relationships/hyperlink" Target="https://rightdealmalta.com/" TargetMode="External"/><Relationship Id="rId26" Type="http://schemas.openxmlformats.org/officeDocument/2006/relationships/hyperlink" Target="MAILTO:jasoakwalnut@yahoo.com" TargetMode="External"/><Relationship Id="rId231" Type="http://schemas.openxmlformats.org/officeDocument/2006/relationships/hyperlink" Target="https://www.google.com/maps/search/?api=1&amp;query=162%20Cannon%20Road%2C%20Santa%20Venera%2C%20SVR%209034%2C%20Malta" TargetMode="External"/><Relationship Id="rId273" Type="http://schemas.openxmlformats.org/officeDocument/2006/relationships/hyperlink" Target="https://www.google.com/maps/search/?api=1&amp;query=12%20Triq%20il-Hammieri%2C%20Qormi%2C%20Malta" TargetMode="External"/><Relationship Id="rId329" Type="http://schemas.openxmlformats.org/officeDocument/2006/relationships/hyperlink" Target="https://www.google.com/maps/search/?api=1&amp;query=Misrah%20Gavino%20Gulia%2C%20Bormla" TargetMode="External"/><Relationship Id="rId480" Type="http://schemas.openxmlformats.org/officeDocument/2006/relationships/hyperlink" Target="https://facebook.com/people/Freddies-Household/100063498252557/?utm_source=Yellow&amp;utm_medium=Yellow-Website&amp;utm_campaign=Landing-Page" TargetMode="External"/><Relationship Id="rId68" Type="http://schemas.openxmlformats.org/officeDocument/2006/relationships/hyperlink" Target="MAILTO:info@casconehome.com" TargetMode="External"/><Relationship Id="rId133" Type="http://schemas.openxmlformats.org/officeDocument/2006/relationships/hyperlink" Target="MAILTO:info@kcl.com.mt" TargetMode="External"/><Relationship Id="rId175" Type="http://schemas.openxmlformats.org/officeDocument/2006/relationships/hyperlink" Target="MAILTO:infodesk@form.com.mt" TargetMode="External"/><Relationship Id="rId340" Type="http://schemas.openxmlformats.org/officeDocument/2006/relationships/hyperlink" Target="https://www.google.com/maps/search/?api=1&amp;query=Triq%20il-Kappillan%20Mifsud%2C%20Sta%20Venera" TargetMode="External"/><Relationship Id="rId200" Type="http://schemas.openxmlformats.org/officeDocument/2006/relationships/hyperlink" Target="https://www.google.com/maps/search/?api=1&amp;query=Triq%20Valletta%20Mosta%20Technopark%2C%20Mosta%2C%20Malta%20MST%203000" TargetMode="External"/><Relationship Id="rId382" Type="http://schemas.openxmlformats.org/officeDocument/2006/relationships/hyperlink" Target="https://ciantarwoodworks.com/" TargetMode="External"/><Relationship Id="rId438" Type="http://schemas.openxmlformats.org/officeDocument/2006/relationships/hyperlink" Target="https://onepercent.com.mt/" TargetMode="External"/><Relationship Id="rId242" Type="http://schemas.openxmlformats.org/officeDocument/2006/relationships/hyperlink" Target="https://www.google.com/maps/search/?api=1&amp;query=Dawert%20I-Imriehel%2C%20Qormi%2C%20Malta%20QRM%209052" TargetMode="External"/><Relationship Id="rId284" Type="http://schemas.openxmlformats.org/officeDocument/2006/relationships/hyperlink" Target="https://www.google.com/maps/search/?api=1&amp;query=91%20Triq%20is-Santwarju%2C%20Zabbar" TargetMode="External"/><Relationship Id="rId491" Type="http://schemas.openxmlformats.org/officeDocument/2006/relationships/hyperlink" Target="https://facebook.com/akkwist" TargetMode="External"/><Relationship Id="rId505" Type="http://schemas.openxmlformats.org/officeDocument/2006/relationships/hyperlink" Target="https://topchoice.com.mt/" TargetMode="External"/><Relationship Id="rId37" Type="http://schemas.openxmlformats.org/officeDocument/2006/relationships/hyperlink" Target="MAILTO:fran@fvcarpentry.com" TargetMode="External"/><Relationship Id="rId79" Type="http://schemas.openxmlformats.org/officeDocument/2006/relationships/hyperlink" Target="MAILTO:jysk@jysk.com.mt" TargetMode="External"/><Relationship Id="rId102" Type="http://schemas.openxmlformats.org/officeDocument/2006/relationships/hyperlink" Target="MAILTO:sales@jjscerri.com" TargetMode="External"/><Relationship Id="rId144" Type="http://schemas.openxmlformats.org/officeDocument/2006/relationships/hyperlink" Target="MAILTO:info@forestals.com" TargetMode="External"/><Relationship Id="rId90" Type="http://schemas.openxmlformats.org/officeDocument/2006/relationships/hyperlink" Target="MAILTO:info@tornelli.net" TargetMode="External"/><Relationship Id="rId186" Type="http://schemas.openxmlformats.org/officeDocument/2006/relationships/hyperlink" Target="https://www.google.com/maps/search/?api=1&amp;query=42%20Triq%20ix-Xwieni%20Albert%20Town%2C%20Marsa%2C%20Malta" TargetMode="External"/><Relationship Id="rId351" Type="http://schemas.openxmlformats.org/officeDocument/2006/relationships/hyperlink" Target="https://www.google.com/maps/search/?api=1&amp;query=7%2C%209%20Rotunda%20Dept%20Stores%20Triq%20il-Kungress%20Ewkaristiku%2C%20Mosta" TargetMode="External"/><Relationship Id="rId393" Type="http://schemas.openxmlformats.org/officeDocument/2006/relationships/hyperlink" Target="https://brands.com.mt/" TargetMode="External"/><Relationship Id="rId407" Type="http://schemas.openxmlformats.org/officeDocument/2006/relationships/hyperlink" Target="https://jysk.com.mt/" TargetMode="External"/><Relationship Id="rId449" Type="http://schemas.openxmlformats.org/officeDocument/2006/relationships/hyperlink" Target="https://soundsmart.com.mt/" TargetMode="External"/><Relationship Id="rId211" Type="http://schemas.openxmlformats.org/officeDocument/2006/relationships/hyperlink" Target="https://www.google.com/maps/search/?api=1&amp;query=Triq%20il-Buskett%2C%20Dingli%2C%20Malta%20DGL%202709" TargetMode="External"/><Relationship Id="rId253" Type="http://schemas.openxmlformats.org/officeDocument/2006/relationships/hyperlink" Target="https://www.google.com/maps/search/?api=1&amp;query=69%20Triq%20Hal%20Qormi%2C%20Hamrun%2C%20Malta%20HMR%202183" TargetMode="External"/><Relationship Id="rId295" Type="http://schemas.openxmlformats.org/officeDocument/2006/relationships/hyperlink" Target="https://www.google.com/maps/search/?api=1&amp;query=BLB%20021%20Qasam%20Industrijali%2C%20Bulebel%2C%20Zejtun%2C%20Malta%20ZTN%203000" TargetMode="External"/><Relationship Id="rId309" Type="http://schemas.openxmlformats.org/officeDocument/2006/relationships/hyperlink" Target="https://www.google.com/maps/search/?api=1&amp;query=7%2C%209%20Rotunda%20Dept%20Stores%20Triq%20il-Kungress%20Ewkaristiku%2C%20Mosta" TargetMode="External"/><Relationship Id="rId460" Type="http://schemas.openxmlformats.org/officeDocument/2006/relationships/hyperlink" Target="https://consiglio.com.mt/" TargetMode="External"/><Relationship Id="rId516" Type="http://schemas.openxmlformats.org/officeDocument/2006/relationships/hyperlink" Target="https://cutajarhifi.com/" TargetMode="External"/><Relationship Id="rId48" Type="http://schemas.openxmlformats.org/officeDocument/2006/relationships/hyperlink" Target="MAILTO:office.mfcoltd@gmail.com" TargetMode="External"/><Relationship Id="rId113" Type="http://schemas.openxmlformats.org/officeDocument/2006/relationships/hyperlink" Target="MAILTO:info@oxfordhouse.com.mt" TargetMode="External"/><Relationship Id="rId320" Type="http://schemas.openxmlformats.org/officeDocument/2006/relationships/hyperlink" Target="https://www.google.com/maps/search/?api=1&amp;query=Triq%20Valetta%2C%20Mosta%2C%20Malta" TargetMode="External"/><Relationship Id="rId155" Type="http://schemas.openxmlformats.org/officeDocument/2006/relationships/hyperlink" Target="MAILTO:info@kcl.com.mt" TargetMode="External"/><Relationship Id="rId197" Type="http://schemas.openxmlformats.org/officeDocument/2006/relationships/hyperlink" Target="https://www.google.com/maps/search/?api=1&amp;query=135%20Triq%20il-Kuncizzjoni%2C%20Qala-Gozo%2C%20Gozo%20QLA%201701" TargetMode="External"/><Relationship Id="rId362" Type="http://schemas.openxmlformats.org/officeDocument/2006/relationships/hyperlink" Target="https://fairdealfurniture.com.mt/" TargetMode="External"/><Relationship Id="rId418" Type="http://schemas.openxmlformats.org/officeDocument/2006/relationships/hyperlink" Target="https://brands.com.mt/" TargetMode="External"/><Relationship Id="rId222" Type="http://schemas.openxmlformats.org/officeDocument/2006/relationships/hyperlink" Target="https://www.google.com/maps/search/?api=1&amp;query=Casa%20Santa%20Rita%20Triq%20Santa%20Marta%2C%20Victoria-Gozo%2C%20Gozo%20VCT%202552" TargetMode="External"/><Relationship Id="rId264" Type="http://schemas.openxmlformats.org/officeDocument/2006/relationships/hyperlink" Target="https://www.google.com/maps/search/?api=1&amp;query=210%20Triq%20il-Ferrovija%2C%20Sta%20Venera%2C%20Malta%20SVR%209019" TargetMode="External"/><Relationship Id="rId471" Type="http://schemas.openxmlformats.org/officeDocument/2006/relationships/hyperlink" Target="https://venturamalta.com/" TargetMode="External"/><Relationship Id="rId17" Type="http://schemas.openxmlformats.org/officeDocument/2006/relationships/hyperlink" Target="MAILTO:info@krea.com.mt" TargetMode="External"/><Relationship Id="rId59" Type="http://schemas.openxmlformats.org/officeDocument/2006/relationships/hyperlink" Target="MAILTO:info@brands.com.mt" TargetMode="External"/><Relationship Id="rId124" Type="http://schemas.openxmlformats.org/officeDocument/2006/relationships/hyperlink" Target="MAILTO:info@forestals.com" TargetMode="External"/><Relationship Id="rId527" Type="http://schemas.openxmlformats.org/officeDocument/2006/relationships/hyperlink" Target="https://joinwell.com.mt/contact-us/" TargetMode="External"/><Relationship Id="rId70" Type="http://schemas.openxmlformats.org/officeDocument/2006/relationships/hyperlink" Target="MAILTO:info@ecasa.com.mt" TargetMode="External"/><Relationship Id="rId166" Type="http://schemas.openxmlformats.org/officeDocument/2006/relationships/hyperlink" Target="MAILTO:info@hotpointmalta.com" TargetMode="External"/><Relationship Id="rId331" Type="http://schemas.openxmlformats.org/officeDocument/2006/relationships/hyperlink" Target="https://www.google.com/maps/search/?api=1&amp;query=280%20Triq%20il-Kbira%20San%20Guzepp%2C%20Hamrun" TargetMode="External"/><Relationship Id="rId373" Type="http://schemas.openxmlformats.org/officeDocument/2006/relationships/hyperlink" Target="https://jdsfurniture.com/" TargetMode="External"/><Relationship Id="rId429" Type="http://schemas.openxmlformats.org/officeDocument/2006/relationships/hyperlink" Target="https://constructfurniture.com.mt/" TargetMode="External"/><Relationship Id="rId1" Type="http://schemas.openxmlformats.org/officeDocument/2006/relationships/hyperlink" Target="MAILTO:info@ferraramalta.com" TargetMode="External"/><Relationship Id="rId233" Type="http://schemas.openxmlformats.org/officeDocument/2006/relationships/hyperlink" Target="https://www.google.com/maps/search/?api=1&amp;query=Fino%20Buildings%2C%0ATriq%20l-Imdina%2C%20Zone%204%2C%0AMriehel%2FCentral%20Business%20District%0ACBD%204010%2C%20Malta" TargetMode="External"/><Relationship Id="rId440" Type="http://schemas.openxmlformats.org/officeDocument/2006/relationships/hyperlink" Target="https://facebook.com/queensfurnitureltd/" TargetMode="External"/><Relationship Id="rId28" Type="http://schemas.openxmlformats.org/officeDocument/2006/relationships/hyperlink" Target="MAILTO:seguna@onvol.net" TargetMode="External"/><Relationship Id="rId275" Type="http://schemas.openxmlformats.org/officeDocument/2006/relationships/hyperlink" Target="https://www.google.com/maps/search/?api=1&amp;query=10%20Misrah%20I%27%20Isle%20Adam%2C%20Rabat%2C%20Malta%20RBT%201169" TargetMode="External"/><Relationship Id="rId300" Type="http://schemas.openxmlformats.org/officeDocument/2006/relationships/hyperlink" Target="https://www.google.com/maps/search/?api=1&amp;query=220%20Triq%20in-Naxxar%2C%20San%20Gwann%2C%20Malta%20SGN%209030" TargetMode="External"/><Relationship Id="rId482" Type="http://schemas.openxmlformats.org/officeDocument/2006/relationships/hyperlink" Target="https://itc-malta.com/" TargetMode="External"/><Relationship Id="rId81" Type="http://schemas.openxmlformats.org/officeDocument/2006/relationships/hyperlink" Target="MAILTO:info@mucciomobili.it" TargetMode="External"/><Relationship Id="rId135" Type="http://schemas.openxmlformats.org/officeDocument/2006/relationships/hyperlink" Target="MAILTO:futurahomeappliances@gmail.com" TargetMode="External"/><Relationship Id="rId177" Type="http://schemas.openxmlformats.org/officeDocument/2006/relationships/hyperlink" Target="MAILTO:info@scavolini.mt" TargetMode="External"/><Relationship Id="rId342" Type="http://schemas.openxmlformats.org/officeDocument/2006/relationships/hyperlink" Target="https://www.google.com/maps/search/?api=1&amp;query=91%20Triq%20is-Santwarju%2C%20Zabbar" TargetMode="External"/><Relationship Id="rId384" Type="http://schemas.openxmlformats.org/officeDocument/2006/relationships/hyperlink" Target="https://jysk.com.mt/" TargetMode="External"/><Relationship Id="rId202" Type="http://schemas.openxmlformats.org/officeDocument/2006/relationships/hyperlink" Target="https://www.google.com/maps/search/?api=1&amp;query=T%2FG%20fi%20triq%20l-Imdina%2C%20Zebbug%2C%20Malta%20ZBG%205011" TargetMode="External"/><Relationship Id="rId244" Type="http://schemas.openxmlformats.org/officeDocument/2006/relationships/hyperlink" Target="https://www.google.com/maps/search/?api=1&amp;query=117%20Dalli%20Yard%20Triq%20Hal%20Tarxien%2C%20Gudja%2C%20Malta" TargetMode="External"/><Relationship Id="rId39" Type="http://schemas.openxmlformats.org/officeDocument/2006/relationships/hyperlink" Target="MAILTO:igor@domestica.com.mt" TargetMode="External"/><Relationship Id="rId286" Type="http://schemas.openxmlformats.org/officeDocument/2006/relationships/hyperlink" Target="https://www.google.com/maps/search/?api=1&amp;query=Zone%203%20Triq%20L-Intornjatur%20Central%20Business%20District%2C%20B%27Kara%2C%20Malta%20CBD%203050" TargetMode="External"/><Relationship Id="rId451" Type="http://schemas.openxmlformats.org/officeDocument/2006/relationships/hyperlink" Target="https://tabletsandmoreelectronics.com/" TargetMode="External"/><Relationship Id="rId493" Type="http://schemas.openxmlformats.org/officeDocument/2006/relationships/hyperlink" Target="https://centrocasalinga.com/" TargetMode="External"/><Relationship Id="rId507" Type="http://schemas.openxmlformats.org/officeDocument/2006/relationships/hyperlink" Target="https://venturamalta.com/" TargetMode="External"/><Relationship Id="rId50" Type="http://schemas.openxmlformats.org/officeDocument/2006/relationships/hyperlink" Target="MAILTO:info@oxfordhouse.com.mt" TargetMode="External"/><Relationship Id="rId104" Type="http://schemas.openxmlformats.org/officeDocument/2006/relationships/hyperlink" Target="MAILTO:consigliohomeappliances@gmail.com" TargetMode="External"/><Relationship Id="rId146" Type="http://schemas.openxmlformats.org/officeDocument/2006/relationships/hyperlink" Target="MAILTO:info@hotpointmalta.com" TargetMode="External"/><Relationship Id="rId188" Type="http://schemas.openxmlformats.org/officeDocument/2006/relationships/hyperlink" Target="https://www.google.com/maps/search/?api=1&amp;query=Triq%20tal-Balal%2C%20San%20Gwann%2C%20Malta%20SGN%209016" TargetMode="External"/><Relationship Id="rId311" Type="http://schemas.openxmlformats.org/officeDocument/2006/relationships/hyperlink" Target="https://www.google.com/maps/search/?api=1&amp;query=Triq%20il-Wied%20ta%27%20I-Imsida%2C%20Msida%2C%20Malta%20MSD%209022" TargetMode="External"/><Relationship Id="rId353" Type="http://schemas.openxmlformats.org/officeDocument/2006/relationships/hyperlink" Target="https://www.google.com/maps/search/?api=1&amp;query=Fairdeal%20Furniture%20Malta%20LTD%0AMdina%20Road%0AZebbug%2C%20Malta" TargetMode="External"/><Relationship Id="rId395" Type="http://schemas.openxmlformats.org/officeDocument/2006/relationships/hyperlink" Target="https://facebook.com/people/Top-Drawer-Ltd/100057222588942/" TargetMode="External"/><Relationship Id="rId409" Type="http://schemas.openxmlformats.org/officeDocument/2006/relationships/hyperlink" Target="https://powerhousemalta.eu/" TargetMode="External"/><Relationship Id="rId92" Type="http://schemas.openxmlformats.org/officeDocument/2006/relationships/hyperlink" Target="MAILTO:info@petroni.com.mt" TargetMode="External"/><Relationship Id="rId213" Type="http://schemas.openxmlformats.org/officeDocument/2006/relationships/hyperlink" Target="https://www.google.com/maps/search/?api=1&amp;query=Triq%20tal-Balal%2C%20San%20Gwann%2C%20Malta%20SGN%209016" TargetMode="External"/><Relationship Id="rId420" Type="http://schemas.openxmlformats.org/officeDocument/2006/relationships/hyperlink" Target="https://boconcept.com/en-mt/" TargetMode="External"/><Relationship Id="rId255" Type="http://schemas.openxmlformats.org/officeDocument/2006/relationships/hyperlink" Target="https://www.google.com/maps/search/?api=1&amp;query=Triq%20Gorg%20Borg%20Olivier%2C%20Vicotria-Gozo%2C%20Gozo%20VCT%202515" TargetMode="External"/><Relationship Id="rId297" Type="http://schemas.openxmlformats.org/officeDocument/2006/relationships/hyperlink" Target="https://www.google.com/maps/search/?api=1&amp;query=Triq%20il-Kostituzzjoni%2C%20Mosta%2C%20Malta%20MST%209050" TargetMode="External"/><Relationship Id="rId462" Type="http://schemas.openxmlformats.org/officeDocument/2006/relationships/hyperlink" Target="https://flamingo.com.mt/" TargetMode="External"/><Relationship Id="rId518" Type="http://schemas.openxmlformats.org/officeDocument/2006/relationships/hyperlink" Target="https://flamingo.com.mt/" TargetMode="External"/><Relationship Id="rId115" Type="http://schemas.openxmlformats.org/officeDocument/2006/relationships/hyperlink" Target="MAILTO:rotunda@maltanet.net" TargetMode="External"/><Relationship Id="rId157" Type="http://schemas.openxmlformats.org/officeDocument/2006/relationships/hyperlink" Target="MAILTO:futurahomeappliances@gmail.com" TargetMode="External"/><Relationship Id="rId322" Type="http://schemas.openxmlformats.org/officeDocument/2006/relationships/hyperlink" Target="https://www.google.com/maps/search/?api=1&amp;query=Triq%20Gorg%20Borg%20Olivier%2C%20Victoria-Gozo%2C%20Gozo%20VCT%202514" TargetMode="External"/><Relationship Id="rId364" Type="http://schemas.openxmlformats.org/officeDocument/2006/relationships/hyperlink" Target="https://lowcostfurniture.com.mt/" TargetMode="External"/><Relationship Id="rId61" Type="http://schemas.openxmlformats.org/officeDocument/2006/relationships/hyperlink" Target="MAILTO:info@boconcept.com.mt" TargetMode="External"/><Relationship Id="rId199" Type="http://schemas.openxmlformats.org/officeDocument/2006/relationships/hyperlink" Target="https://www.google.com/maps/search/?api=1&amp;query=G%20G%20X%200053%20Qasam%20Industrijali%2C%20Xewkija-Gozo%2C%20Gozo%20XWK%203000" TargetMode="External"/><Relationship Id="rId19" Type="http://schemas.openxmlformats.org/officeDocument/2006/relationships/hyperlink" Target="MAILTO:info@petroni.com.mt" TargetMode="External"/><Relationship Id="rId224" Type="http://schemas.openxmlformats.org/officeDocument/2006/relationships/hyperlink" Target="https://www.google.com/maps/search/?api=1&amp;query=61%20St%20Liberata%20Triq%20Santa%20Liberata%2C%20Kalkara%2C%20Malta%20KKR%201612" TargetMode="External"/><Relationship Id="rId266" Type="http://schemas.openxmlformats.org/officeDocument/2006/relationships/hyperlink" Target="https://www.google.com/maps/search/?api=1&amp;query=Triq%20il-Ferrovija%2C%20Sta%20Venera%2C%20Malta%20SVR%209019" TargetMode="External"/><Relationship Id="rId431" Type="http://schemas.openxmlformats.org/officeDocument/2006/relationships/hyperlink" Target="https://dinofino.com/" TargetMode="External"/><Relationship Id="rId473" Type="http://schemas.openxmlformats.org/officeDocument/2006/relationships/hyperlink" Target="https://soundsmart.com.mt/" TargetMode="External"/><Relationship Id="rId529" Type="http://schemas.openxmlformats.org/officeDocument/2006/relationships/hyperlink" Target="https://form.com.mt/contact-us/" TargetMode="External"/><Relationship Id="rId30" Type="http://schemas.openxmlformats.org/officeDocument/2006/relationships/hyperlink" Target="MAILTO:info@spaces.com.mt" TargetMode="External"/><Relationship Id="rId126" Type="http://schemas.openxmlformats.org/officeDocument/2006/relationships/hyperlink" Target="MAILTO:info@hotpointmalta.com" TargetMode="External"/><Relationship Id="rId168" Type="http://schemas.openxmlformats.org/officeDocument/2006/relationships/hyperlink" Target="MAILTO:refcold@maltanet.net" TargetMode="External"/><Relationship Id="rId333" Type="http://schemas.openxmlformats.org/officeDocument/2006/relationships/hyperlink" Target="https://www.google.com/maps/search/?api=1&amp;query=BLB%20021%20Qasam%20Industrijali%2C%20Bulebel%2C%20Zejtun%2C%20Malta%20ZTN%203000" TargetMode="External"/><Relationship Id="rId72" Type="http://schemas.openxmlformats.org/officeDocument/2006/relationships/hyperlink" Target="MAILTO:epack@onvol.net" TargetMode="External"/><Relationship Id="rId375" Type="http://schemas.openxmlformats.org/officeDocument/2006/relationships/hyperlink" Target="https://kubekgroup.com/" TargetMode="External"/><Relationship Id="rId3" Type="http://schemas.openxmlformats.org/officeDocument/2006/relationships/hyperlink" Target="MAILTO:info@sghendowoodworks.com" TargetMode="External"/><Relationship Id="rId235" Type="http://schemas.openxmlformats.org/officeDocument/2006/relationships/hyperlink" Target="https://www.google.com/maps/search/?api=1&amp;query=Triq%20I-Imdina%2C%20Zebbug%2C%20Malta%20ZBG%204351" TargetMode="External"/><Relationship Id="rId277" Type="http://schemas.openxmlformats.org/officeDocument/2006/relationships/hyperlink" Target="https://www.google.com/maps/search/?api=1&amp;query=Misrah%20Gavino%20Gulia%2C%20Bormla" TargetMode="External"/><Relationship Id="rId400" Type="http://schemas.openxmlformats.org/officeDocument/2006/relationships/hyperlink" Target="https://petroni.com.mt/" TargetMode="External"/><Relationship Id="rId442" Type="http://schemas.openxmlformats.org/officeDocument/2006/relationships/hyperlink" Target="https://spaces.com.mt/" TargetMode="External"/><Relationship Id="rId484" Type="http://schemas.openxmlformats.org/officeDocument/2006/relationships/hyperlink" Target="https://rightdealmalta.com/" TargetMode="External"/><Relationship Id="rId137" Type="http://schemas.openxmlformats.org/officeDocument/2006/relationships/hyperlink" Target="MAILTO:tagulinu@onvol.net" TargetMode="External"/><Relationship Id="rId302" Type="http://schemas.openxmlformats.org/officeDocument/2006/relationships/hyperlink" Target="https://www.google.com/maps/search/?api=1&amp;query=Triq%20Valetta%2C%20Mosta%2C%20Malta" TargetMode="External"/><Relationship Id="rId344" Type="http://schemas.openxmlformats.org/officeDocument/2006/relationships/hyperlink" Target="https://www.google.com/maps/search/?api=1&amp;query=Zone%205%20Triq%20ll-Kanun%20Central%20Business%20District%2C%20Qormi%2C%20Malta%20CBD%205060" TargetMode="External"/><Relationship Id="rId41" Type="http://schemas.openxmlformats.org/officeDocument/2006/relationships/hyperlink" Target="MAILTO:sales@grixtimobili.com" TargetMode="External"/><Relationship Id="rId83" Type="http://schemas.openxmlformats.org/officeDocument/2006/relationships/hyperlink" Target="MAILTO:info@orienta.com.mt" TargetMode="External"/><Relationship Id="rId179" Type="http://schemas.openxmlformats.org/officeDocument/2006/relationships/hyperlink" Target="https://www.google.com/maps/search/?api=1&amp;query=Ferraracasa%20Warehouse%0ATriq%20is-Salib%20ta%20l-Mriehel%0ACBD3020%20Birkirkara%0AMalta" TargetMode="External"/><Relationship Id="rId386" Type="http://schemas.openxmlformats.org/officeDocument/2006/relationships/hyperlink" Target="https://rusticahome.com.mt/site/" TargetMode="External"/><Relationship Id="rId190" Type="http://schemas.openxmlformats.org/officeDocument/2006/relationships/hyperlink" Target="https://www.google.com/maps/search/?api=1&amp;query=Triq%20Mannarino%2C%20B%27Kara%2C%20Malta%20BKR%209085" TargetMode="External"/><Relationship Id="rId204" Type="http://schemas.openxmlformats.org/officeDocument/2006/relationships/hyperlink" Target="https://www.google.com/maps/search/?api=1&amp;query=86%20Triq%20Vallettaa%2C%20Luqa%2C%20Malta%20LQA%201762" TargetMode="External"/><Relationship Id="rId246" Type="http://schemas.openxmlformats.org/officeDocument/2006/relationships/hyperlink" Target="https://www.google.com/maps/search/?api=1&amp;query=Triq%20il-Wied%20Ta%27%20L-Imsida%2C%20B%27Kara%2C%20Malta%20BKR%209022" TargetMode="External"/><Relationship Id="rId288" Type="http://schemas.openxmlformats.org/officeDocument/2006/relationships/hyperlink" Target="https://www.google.com/maps/search/?api=1&amp;query=146%20Triq%20Sant%27%20Orsla%20Victoria-Gozo" TargetMode="External"/><Relationship Id="rId411" Type="http://schemas.openxmlformats.org/officeDocument/2006/relationships/hyperlink" Target="https://homesbybdi.com/" TargetMode="External"/><Relationship Id="rId453" Type="http://schemas.openxmlformats.org/officeDocument/2006/relationships/hyperlink" Target="https://facebook.com/TaGulinu/info?tab=page%5Cuinfo" TargetMode="External"/><Relationship Id="rId509" Type="http://schemas.openxmlformats.org/officeDocument/2006/relationships/hyperlink" Target="https://soundsmart.com.mt/" TargetMode="External"/><Relationship Id="rId106" Type="http://schemas.openxmlformats.org/officeDocument/2006/relationships/hyperlink" Target="MAILTO:cutajarhifivideocentre@outlook.com" TargetMode="External"/><Relationship Id="rId313" Type="http://schemas.openxmlformats.org/officeDocument/2006/relationships/hyperlink" Target="https://www.google.com/maps/search/?api=1&amp;query=22%2C%20Triq%20Sant%27%20Elija%2C%20B%27Kara%2C%20Malta%20BKR%202064" TargetMode="External"/><Relationship Id="rId495" Type="http://schemas.openxmlformats.org/officeDocument/2006/relationships/hyperlink" Target="https://consiglio.com.mt/" TargetMode="External"/><Relationship Id="rId10" Type="http://schemas.openxmlformats.org/officeDocument/2006/relationships/hyperlink" Target="MAILTO:info@brands.com.mt" TargetMode="External"/><Relationship Id="rId52" Type="http://schemas.openxmlformats.org/officeDocument/2006/relationships/hyperlink" Target="MAILTO:info@dinofino.com" TargetMode="External"/><Relationship Id="rId94" Type="http://schemas.openxmlformats.org/officeDocument/2006/relationships/hyperlink" Target="MAILTO:info@kcl.com.mt" TargetMode="External"/><Relationship Id="rId148" Type="http://schemas.openxmlformats.org/officeDocument/2006/relationships/hyperlink" Target="MAILTO:info@jshousehold.com" TargetMode="External"/><Relationship Id="rId355" Type="http://schemas.openxmlformats.org/officeDocument/2006/relationships/hyperlink" Target="https://www.google.com/maps/search/?api=1&amp;query=Triq%20Il-Wied%20Ta%E2%80%99%20L-Imsida%2C%20L-Imsida" TargetMode="External"/><Relationship Id="rId397" Type="http://schemas.openxmlformats.org/officeDocument/2006/relationships/hyperlink" Target="https://dinofino.com/" TargetMode="External"/><Relationship Id="rId520" Type="http://schemas.openxmlformats.org/officeDocument/2006/relationships/hyperlink" Target="https://gda.com.mt/" TargetMode="External"/><Relationship Id="rId215" Type="http://schemas.openxmlformats.org/officeDocument/2006/relationships/hyperlink" Target="https://www.google.com/maps/search/?api=1&amp;query=Triq%20il-Kappar%2C%20Mosta%2C%20Malta%20MST%204003" TargetMode="External"/><Relationship Id="rId257" Type="http://schemas.openxmlformats.org/officeDocument/2006/relationships/hyperlink" Target="https://www.google.com/maps/search/?api=1&amp;query=Triq%20il-Mosta%2C%20Lija%2C%20Malta%20LIJA%209012" TargetMode="External"/><Relationship Id="rId422" Type="http://schemas.openxmlformats.org/officeDocument/2006/relationships/hyperlink" Target="https://malta-design.com/" TargetMode="External"/><Relationship Id="rId464" Type="http://schemas.openxmlformats.org/officeDocument/2006/relationships/hyperlink" Target="https://facebook.com/people/Freddies-Household/100063498252557/?utm_source=Yellow&amp;utm_medium=Yellow-Website&amp;utm_campaign=Landing-Page" TargetMode="External"/><Relationship Id="rId299" Type="http://schemas.openxmlformats.org/officeDocument/2006/relationships/hyperlink" Target="https://www.google.com/maps/search/?api=1&amp;query=12%20Triq%20il-Hammieri%2C%20Qormi%2C%20Malta" TargetMode="External"/><Relationship Id="rId63" Type="http://schemas.openxmlformats.org/officeDocument/2006/relationships/hyperlink" Target="MAILTO:sales@malta-design.com" TargetMode="External"/><Relationship Id="rId159" Type="http://schemas.openxmlformats.org/officeDocument/2006/relationships/hyperlink" Target="MAILTO:sales@jjscerri.com" TargetMode="External"/><Relationship Id="rId366" Type="http://schemas.openxmlformats.org/officeDocument/2006/relationships/hyperlink" Target="https://facebook.com/people/Top-Drawer-Ltd/100057222588942/" TargetMode="External"/><Relationship Id="rId226" Type="http://schemas.openxmlformats.org/officeDocument/2006/relationships/hyperlink" Target="https://www.google.com/maps/search/?api=1&amp;query=Triq%20il-Mosta%2C%20Lija%2C%20Malta%20LIJA%209012" TargetMode="External"/><Relationship Id="rId433" Type="http://schemas.openxmlformats.org/officeDocument/2006/relationships/hyperlink" Target="https://gozoarts.com.mt/" TargetMode="External"/><Relationship Id="rId74" Type="http://schemas.openxmlformats.org/officeDocument/2006/relationships/hyperlink" Target="MAILTO:info@dinofino.com" TargetMode="External"/><Relationship Id="rId377" Type="http://schemas.openxmlformats.org/officeDocument/2006/relationships/hyperlink" Target="https://sgwoodworks.com/" TargetMode="External"/><Relationship Id="rId500" Type="http://schemas.openxmlformats.org/officeDocument/2006/relationships/hyperlink" Target="https://facebook.com/people/Freddies-Household/100063498252557/?utm_source=Yellow&amp;utm_medium=Yellow-Website&amp;utm_campaign=Landing-Page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@multitrademalta.com" TargetMode="External"/><Relationship Id="rId18" Type="http://schemas.openxmlformats.org/officeDocument/2006/relationships/hyperlink" Target="https://www.google.com/maps/search/?api=1&amp;query=40%2C%20Balzan%20Valley%20Road%2C%20Balzan%20BZN%201407%20-%20Malta" TargetMode="External"/><Relationship Id="rId26" Type="http://schemas.openxmlformats.org/officeDocument/2006/relationships/hyperlink" Target="https://vicalinteriors.com/" TargetMode="External"/><Relationship Id="rId21" Type="http://schemas.openxmlformats.org/officeDocument/2006/relationships/hyperlink" Target="https://www.google.com/maps/search/?api=1&amp;query=Mdina%20Road%2C%0AZebbug%2C%20Malta%2C%0AZBG%209019" TargetMode="External"/><Relationship Id="rId34" Type="http://schemas.openxmlformats.org/officeDocument/2006/relationships/hyperlink" Target="https://evolve.com.mt/products/wall-decor-malta/" TargetMode="External"/><Relationship Id="rId7" Type="http://schemas.openxmlformats.org/officeDocument/2006/relationships/hyperlink" Target="MAILTO:info@devalier.com.mt" TargetMode="External"/><Relationship Id="rId12" Type="http://schemas.openxmlformats.org/officeDocument/2006/relationships/hyperlink" Target="MAILTO:info@rsgroup.com.mt" TargetMode="External"/><Relationship Id="rId17" Type="http://schemas.openxmlformats.org/officeDocument/2006/relationships/hyperlink" Target="https://www.google.com/maps/search/?api=1&amp;query=Triq%20Il-Vitorja%2C%20%C4%A6al%20Qormi%20QRM%202504" TargetMode="External"/><Relationship Id="rId25" Type="http://schemas.openxmlformats.org/officeDocument/2006/relationships/hyperlink" Target="https://facebook.com/profile.php?id=61561349402968" TargetMode="External"/><Relationship Id="rId33" Type="http://schemas.openxmlformats.org/officeDocument/2006/relationships/hyperlink" Target="https://homemate.com.mt/product-category/feature-wall-planks" TargetMode="External"/><Relationship Id="rId2" Type="http://schemas.openxmlformats.org/officeDocument/2006/relationships/hyperlink" Target="MAILTO:info@megahome.mt" TargetMode="External"/><Relationship Id="rId16" Type="http://schemas.openxmlformats.org/officeDocument/2006/relationships/hyperlink" Target="https://www.google.com/maps/search/?api=1&amp;query=No.1%2C%20Triq%20Daniel%20Sammut%2C%20Lija%2C%20c%2Fw%20Triq%20l-Gherusija%2C%20Balzan" TargetMode="External"/><Relationship Id="rId20" Type="http://schemas.openxmlformats.org/officeDocument/2006/relationships/hyperlink" Target="https://www.google.com/maps/search/?api=1&amp;query=Industrial%20Zone%2C%20ATD%204000%20Ta%27%20Qali" TargetMode="External"/><Relationship Id="rId29" Type="http://schemas.openxmlformats.org/officeDocument/2006/relationships/hyperlink" Target="https://dv.mt/showroom-category/3d-panels/" TargetMode="External"/><Relationship Id="rId1" Type="http://schemas.openxmlformats.org/officeDocument/2006/relationships/hyperlink" Target="MAILTO:info@nineyards.com.mt" TargetMode="External"/><Relationship Id="rId6" Type="http://schemas.openxmlformats.org/officeDocument/2006/relationships/hyperlink" Target="MAILTO:info@bigmatmalta.com" TargetMode="External"/><Relationship Id="rId11" Type="http://schemas.openxmlformats.org/officeDocument/2006/relationships/hyperlink" Target="MAILTO:customercare@homemate.com.mt" TargetMode="External"/><Relationship Id="rId24" Type="http://schemas.openxmlformats.org/officeDocument/2006/relationships/hyperlink" Target="https://bfmarbles.com/" TargetMode="External"/><Relationship Id="rId32" Type="http://schemas.openxmlformats.org/officeDocument/2006/relationships/hyperlink" Target="https://aphomesmalta.com/store/c3/PVC_panels.html" TargetMode="External"/><Relationship Id="rId37" Type="http://schemas.openxmlformats.org/officeDocument/2006/relationships/hyperlink" Target="https://theatrium.com.mt/search-site-results?nostock=0&amp;search=panel" TargetMode="External"/><Relationship Id="rId5" Type="http://schemas.openxmlformats.org/officeDocument/2006/relationships/hyperlink" Target="MAILTO:sales@maltadiy.com" TargetMode="External"/><Relationship Id="rId15" Type="http://schemas.openxmlformats.org/officeDocument/2006/relationships/hyperlink" Target="MAILTO:contactus@theatrium.com.mt" TargetMode="External"/><Relationship Id="rId23" Type="http://schemas.openxmlformats.org/officeDocument/2006/relationships/hyperlink" Target="https://megahome.mt/product/3d-wall-panels/" TargetMode="External"/><Relationship Id="rId28" Type="http://schemas.openxmlformats.org/officeDocument/2006/relationships/hyperlink" Target="https://bigmatmalta.com/collections/wall-panels?utm_source=chatgpt.com" TargetMode="External"/><Relationship Id="rId36" Type="http://schemas.openxmlformats.org/officeDocument/2006/relationships/hyperlink" Target="https://facebook.com/profile.php?id=100091956755959" TargetMode="External"/><Relationship Id="rId10" Type="http://schemas.openxmlformats.org/officeDocument/2006/relationships/hyperlink" Target="MAILTO:info@aphomes.com.mt" TargetMode="External"/><Relationship Id="rId19" Type="http://schemas.openxmlformats.org/officeDocument/2006/relationships/hyperlink" Target="https://www.google.com/maps/search/?api=1&amp;query=84%2C%20Qormi%20Road%2C%20Hamrun" TargetMode="External"/><Relationship Id="rId31" Type="http://schemas.openxmlformats.org/officeDocument/2006/relationships/hyperlink" Target="https://panelshubmalta.com/flexible-panels/" TargetMode="External"/><Relationship Id="rId4" Type="http://schemas.openxmlformats.org/officeDocument/2006/relationships/hyperlink" Target="MAILTO:info@vicalinteriors.com" TargetMode="External"/><Relationship Id="rId9" Type="http://schemas.openxmlformats.org/officeDocument/2006/relationships/hyperlink" Target="MAILTO:sales@panelshubmalta.com" TargetMode="External"/><Relationship Id="rId14" Type="http://schemas.openxmlformats.org/officeDocument/2006/relationships/hyperlink" Target="MAILTO:info@ksprojects.mt" TargetMode="External"/><Relationship Id="rId22" Type="http://schemas.openxmlformats.org/officeDocument/2006/relationships/hyperlink" Target="https://nineyards.com.mt/" TargetMode="External"/><Relationship Id="rId27" Type="http://schemas.openxmlformats.org/officeDocument/2006/relationships/hyperlink" Target="https://maltadiy.com/product-category/floors-walls/walls/3d-wall-panels/?utm_source=chatgpt.com" TargetMode="External"/><Relationship Id="rId30" Type="http://schemas.openxmlformats.org/officeDocument/2006/relationships/hyperlink" Target="https://gypsumworksmalta.com/store/c14/Panels" TargetMode="External"/><Relationship Id="rId35" Type="http://schemas.openxmlformats.org/officeDocument/2006/relationships/hyperlink" Target="https://multitrademalta.com/product-tag/corrugated-sheet/?utm_source=chatgpt.com" TargetMode="External"/><Relationship Id="rId8" Type="http://schemas.openxmlformats.org/officeDocument/2006/relationships/hyperlink" Target="MAILTO:info@aptc.com.mt" TargetMode="External"/><Relationship Id="rId3" Type="http://schemas.openxmlformats.org/officeDocument/2006/relationships/hyperlink" Target="MAILTO:info@bfmarbles.com" TargetMode="External"/></Relationships>
</file>

<file path=xl/worksheets/_rels/sheet3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/><Relationship Id="rId18" Type="http://schemas.openxmlformats.org/officeDocument/2006/relationships/hyperlink" Target="https://www.google.com/maps/search/?api=1&amp;query=Anthony%20Valletta%20Street%2C%20Swatar" TargetMode="External"/><Relationship Id="rId26" Type="http://schemas.openxmlformats.org/officeDocument/2006/relationships/hyperlink" Target="https://brands.com.mt/" TargetMode="External"/><Relationship Id="rId21" Type="http://schemas.openxmlformats.org/officeDocument/2006/relationships/hyperlink" Target="https://www.google.com/maps/search/?api=1&amp;query=122%2C%20Valley%20Road%20Birkirkara%2C%20BKR%209024" TargetMode="External"/><Relationship Id="rId34" Type="http://schemas.openxmlformats.org/officeDocument/2006/relationships/hyperlink" Target="https://megastore.com.mt/en_MT/p/MITTZON-Conference-table%2C-round-walnut-veneerblack%2C-120x75-cm/2145800" TargetMode="External"/><Relationship Id="rId7" Type="http://schemas.openxmlformats.org/officeDocument/2006/relationships/hyperlink" Target="MAILTO:info@officelinemalta.com" TargetMode="External"/><Relationship Id="rId12" Type="http://schemas.openxmlformats.org/officeDocument/2006/relationships/hyperlink" Target="https://www.google.com/maps/search/?api=1&amp;query=Ramilene%20Office%20Supplies%20Ltd%0A50%2F51%20Ramilene%20Building%0ATriq%20it-Torri%2C%20Swatar%20%E2%80%93%20B%E2%80%99Kara%0ABKR%204011%2C%20Malta" TargetMode="External"/><Relationship Id="rId17" Type="http://schemas.openxmlformats.org/officeDocument/2006/relationships/hyperlink" Target="https://www.google.com/maps/search/?api=1&amp;query=Ferraracasa%20Warehouse%0ATriq%20is-Salib%20ta%20l-Mriehel%0ACBD3020%20Birkirkara%0AMalta" TargetMode="External"/><Relationship Id="rId25" Type="http://schemas.openxmlformats.org/officeDocument/2006/relationships/hyperlink" Target="https://malta-design.com/" TargetMode="External"/><Relationship Id="rId33" Type="http://schemas.openxmlformats.org/officeDocument/2006/relationships/hyperlink" Target="https://satariano.com/products/room/tables/" TargetMode="External"/><Relationship Id="rId38" Type="http://schemas.openxmlformats.org/officeDocument/2006/relationships/hyperlink" Target="https://megastore.com.mt/en_MT/p/VIHALS-Table%2C-whitewhite%2C-107-cm/2237008" TargetMode="External"/><Relationship Id="rId2" Type="http://schemas.openxmlformats.org/officeDocument/2006/relationships/hyperlink" Target="MAILTO:info@devalier.com.mt" TargetMode="External"/><Relationship Id="rId16" Type="http://schemas.openxmlformats.org/officeDocument/2006/relationships/hyperlink" Target="https://www.google.com/maps/search/?api=1&amp;query=Baldacchino%20Building%20B%2C%20Triq%20Il-Belt%20Valletta%2C%20Zurrieq" TargetMode="External"/><Relationship Id="rId20" Type="http://schemas.openxmlformats.org/officeDocument/2006/relationships/hyperlink" Target="https://www.google.com/maps/search/?api=1&amp;query=Mdina%20Road%2C%20Qormi%2C%20QRM%209011%2C%20Malta" TargetMode="External"/><Relationship Id="rId29" Type="http://schemas.openxmlformats.org/officeDocument/2006/relationships/hyperlink" Target="https://officelinemalta.com/" TargetMode="External"/><Relationship Id="rId1" Type="http://schemas.openxmlformats.org/officeDocument/2006/relationships/hyperlink" Target="MAILTO:info@ramilenemalta.com" TargetMode="External"/><Relationship Id="rId6" Type="http://schemas.openxmlformats.org/officeDocument/2006/relationships/hyperlink" Target="MAILTO:info@ferraramalta.com" TargetMode="External"/><Relationship Id="rId11" Type="http://schemas.openxmlformats.org/officeDocument/2006/relationships/hyperlink" Target="MAILTO:contactus@theatrium.com.mt" TargetMode="External"/><Relationship Id="rId24" Type="http://schemas.openxmlformats.org/officeDocument/2006/relationships/hyperlink" Target="https://dv.mt/" TargetMode="External"/><Relationship Id="rId32" Type="http://schemas.openxmlformats.org/officeDocument/2006/relationships/hyperlink" Target="https://ikea.com/it/it/p/mariedamm-tavolo-grigio-scuro-50441510/" TargetMode="External"/><Relationship Id="rId37" Type="http://schemas.openxmlformats.org/officeDocument/2006/relationships/hyperlink" Target="https://theatrium.com.mt/dining/dining-tables/heaven-round-dining-table-with-clear-tempered-glass-top-and-thick-black-metal-legs/Item?c=512388" TargetMode="External"/><Relationship Id="rId5" Type="http://schemas.openxmlformats.org/officeDocument/2006/relationships/hyperlink" Target="MAILTO:sales@maltadiy.com" TargetMode="External"/><Relationship Id="rId15" Type="http://schemas.openxmlformats.org/officeDocument/2006/relationships/hyperlink" Target="https://www.google.com/maps/search/?api=1&amp;query=Triq%20tal-Balal%2C%20San%20Gwann%2C%20Malta" TargetMode="External"/><Relationship Id="rId23" Type="http://schemas.openxmlformats.org/officeDocument/2006/relationships/hyperlink" Target="https://ramilenemalta.com/" TargetMode="External"/><Relationship Id="rId28" Type="http://schemas.openxmlformats.org/officeDocument/2006/relationships/hyperlink" Target="https://ferraramalta.com/" TargetMode="External"/><Relationship Id="rId36" Type="http://schemas.openxmlformats.org/officeDocument/2006/relationships/hyperlink" Target="https://theatrium.com.mt/dining/dining-tables/roxby-dining-table-black-oak-105cm/Item?c=267474" TargetMode="External"/><Relationship Id="rId10" Type="http://schemas.openxmlformats.org/officeDocument/2006/relationships/hyperlink" Target="MAILTO:info@satariano.com" TargetMode="External"/><Relationship Id="rId19" Type="http://schemas.openxmlformats.org/officeDocument/2006/relationships/hyperlink" Target="https://www.google.com/maps/search/?api=1&amp;query=70%2C%20Ta%27%20Xbiex%20Seafront%20%2C%20Msida%2C%20Malta" TargetMode="External"/><Relationship Id="rId31" Type="http://schemas.openxmlformats.org/officeDocument/2006/relationships/hyperlink" Target="https://vivendo.mt/" TargetMode="External"/><Relationship Id="rId4" Type="http://schemas.openxmlformats.org/officeDocument/2006/relationships/hyperlink" Target="MAILTO:info@brands.com.mt" TargetMode="External"/><Relationship Id="rId9" Type="http://schemas.openxmlformats.org/officeDocument/2006/relationships/hyperlink" Target="MAILTO:info@vivendo.mt" TargetMode="External"/><Relationship Id="rId14" Type="http://schemas.openxmlformats.org/officeDocument/2006/relationships/hyperlink" Target="https://www.google.com/maps/search/?api=1&amp;query=Malta%20Design%0A33%20Triq%20l-Oleandru%20%2C%0ASan%20Giljan%2C%20Malta" TargetMode="External"/><Relationship Id="rId22" Type="http://schemas.openxmlformats.org/officeDocument/2006/relationships/hyperlink" Target="https://www.google.com/maps/search/?api=1&amp;query=Central%20Business%20District%2C%20Giovanni%20Felice%20Street%20-%20Zone%203%2C%20Birkirkara%20CBD%203120%2C%20Malta" TargetMode="External"/><Relationship Id="rId27" Type="http://schemas.openxmlformats.org/officeDocument/2006/relationships/hyperlink" Target="https://maltadiy.com/product-category/lights-and-tech/lights/" TargetMode="External"/><Relationship Id="rId30" Type="http://schemas.openxmlformats.org/officeDocument/2006/relationships/hyperlink" Target="https://linkprojects.com.mt/" TargetMode="External"/><Relationship Id="rId35" Type="http://schemas.openxmlformats.org/officeDocument/2006/relationships/hyperlink" Target="https://theatrium.com.mt/dining/dining-tables/atmosphera-ostras-dining-table-diameter-120cm-glass/Item?c=528741" TargetMode="External"/><Relationship Id="rId8" Type="http://schemas.openxmlformats.org/officeDocument/2006/relationships/hyperlink" Target="MAILTO:info@linkprojects.com.mt" TargetMode="External"/><Relationship Id="rId3" Type="http://schemas.openxmlformats.org/officeDocument/2006/relationships/hyperlink" Target="MAILTO:sales@malta-design.com" TargetMode="External"/></Relationships>
</file>

<file path=xl/worksheets/_rels/sheet32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ferraramalta.com" TargetMode="External"/><Relationship Id="rId117" Type="http://schemas.openxmlformats.org/officeDocument/2006/relationships/hyperlink" Target="https://luksfurniture.com/" TargetMode="External"/><Relationship Id="rId21" Type="http://schemas.openxmlformats.org/officeDocument/2006/relationships/hyperlink" Target="MAILTO:sales@karrari.shop" TargetMode="External"/><Relationship Id="rId42" Type="http://schemas.openxmlformats.org/officeDocument/2006/relationships/hyperlink" Target="MAILTO:pdgl1969@gmail.com" TargetMode="External"/><Relationship Id="rId47" Type="http://schemas.openxmlformats.org/officeDocument/2006/relationships/hyperlink" Target="https://www.google.com/maps/search/?api=1&amp;query=Proman%20Interiors%2C%0A115%2C%20Valley%20Road%2C%0AB%27Kara.%20BKR%209022.%0AMalta." TargetMode="External"/><Relationship Id="rId63" Type="http://schemas.openxmlformats.org/officeDocument/2006/relationships/hyperlink" Target="https://www.google.com/maps/search/?api=1&amp;query=122%2C%20Msida%20Valley%20Road%20B%E2%80%99kara%20BKR%209024" TargetMode="External"/><Relationship Id="rId68" Type="http://schemas.openxmlformats.org/officeDocument/2006/relationships/hyperlink" Target="https://www.google.com/maps/search/?api=1&amp;query=Ferraracasa%20Warehouse%0ATriq%20is-Salib%20ta%20l-Mriehel%0ACBD3020%20Birkirkara%0AMalta" TargetMode="External"/><Relationship Id="rId84" Type="http://schemas.openxmlformats.org/officeDocument/2006/relationships/hyperlink" Target="https://brands.com.mt/" TargetMode="External"/><Relationship Id="rId89" Type="http://schemas.openxmlformats.org/officeDocument/2006/relationships/hyperlink" Target="https://domestica.com.mt/" TargetMode="External"/><Relationship Id="rId112" Type="http://schemas.openxmlformats.org/officeDocument/2006/relationships/hyperlink" Target="https://danielwoodworksmalta.com/en/home.htm" TargetMode="External"/><Relationship Id="rId16" Type="http://schemas.openxmlformats.org/officeDocument/2006/relationships/hyperlink" Target="MAILTO:service@oxfordhouse.com.mt" TargetMode="External"/><Relationship Id="rId107" Type="http://schemas.openxmlformats.org/officeDocument/2006/relationships/hyperlink" Target="https://ferraramalta.com/" TargetMode="External"/><Relationship Id="rId11" Type="http://schemas.openxmlformats.org/officeDocument/2006/relationships/hyperlink" Target="MAILTO:info@indexmalta.com" TargetMode="External"/><Relationship Id="rId32" Type="http://schemas.openxmlformats.org/officeDocument/2006/relationships/hyperlink" Target="MAILTO:sales@maltadiy.com" TargetMode="External"/><Relationship Id="rId37" Type="http://schemas.openxmlformats.org/officeDocument/2006/relationships/hyperlink" Target="MAILTO:sales@euroimjsm.com" TargetMode="External"/><Relationship Id="rId53" Type="http://schemas.openxmlformats.org/officeDocument/2006/relationships/hyperlink" Target="https://www.google.com/maps/search/?api=1&amp;query=Mdina%20Road%2C%20Attard" TargetMode="External"/><Relationship Id="rId58" Type="http://schemas.openxmlformats.org/officeDocument/2006/relationships/hyperlink" Target="https://www.google.com/maps/search/?api=1&amp;query=Triq%20il-Wied%20Ta%27%20L-Imsida%2C%20L-Imsida" TargetMode="External"/><Relationship Id="rId74" Type="http://schemas.openxmlformats.org/officeDocument/2006/relationships/hyperlink" Target="https://www.google.com/maps/search/?api=1&amp;query=Baldacchino%20Building%20B%2C%20Triq%20Il-Belt%20Valletta%2C%20Zurrieq" TargetMode="External"/><Relationship Id="rId79" Type="http://schemas.openxmlformats.org/officeDocument/2006/relationships/hyperlink" Target="https://www.google.com/maps/search/?api=1&amp;query=2%2C%20Industrial%20Estate%0AMdina%20Road%0AAttard%2C%20ATD3000" TargetMode="External"/><Relationship Id="rId102" Type="http://schemas.openxmlformats.org/officeDocument/2006/relationships/hyperlink" Target="https://karrari.shop/" TargetMode="External"/><Relationship Id="rId5" Type="http://schemas.openxmlformats.org/officeDocument/2006/relationships/hyperlink" Target="MAILTO:info@fino.com.mt" TargetMode="External"/><Relationship Id="rId90" Type="http://schemas.openxmlformats.org/officeDocument/2006/relationships/hyperlink" Target="https://onepercent.com.mt/" TargetMode="External"/><Relationship Id="rId95" Type="http://schemas.openxmlformats.org/officeDocument/2006/relationships/hyperlink" Target="https://homemate.com.mt/" TargetMode="External"/><Relationship Id="rId22" Type="http://schemas.openxmlformats.org/officeDocument/2006/relationships/hyperlink" Target="MAILTO:info@dinofino.com" TargetMode="External"/><Relationship Id="rId27" Type="http://schemas.openxmlformats.org/officeDocument/2006/relationships/hyperlink" Target="MAILTO:info@constructfurniture.com.mt" TargetMode="External"/><Relationship Id="rId43" Type="http://schemas.openxmlformats.org/officeDocument/2006/relationships/hyperlink" Target="MAILTO:newlineliving@gmail.com" TargetMode="External"/><Relationship Id="rId48" Type="http://schemas.openxmlformats.org/officeDocument/2006/relationships/hyperlink" Target="https://www.google.com/maps/search/?api=1&amp;query=Fino%20Buildings%2C%0ATriq%20l-Imdina%2C%20Zone%204%2C%0AMriehel%2FCentral%20Business%20District%0ACBD%204010%2C%20Malta" TargetMode="External"/><Relationship Id="rId64" Type="http://schemas.openxmlformats.org/officeDocument/2006/relationships/hyperlink" Target="https://www.google.com/maps/search/?api=1&amp;query=Karrari%20%28Showroom%29%2C%20Avenue%2077%2C%20Commerce%20Street%2C%20Central%20Business%20District%2C%20%2C%20Birkirkara%2C%20Malta" TargetMode="External"/><Relationship Id="rId69" Type="http://schemas.openxmlformats.org/officeDocument/2006/relationships/hyperlink" Target="https://www.google.com/maps/search/?api=1&amp;query=40%2C%20Industrial%20Estate%2C%20Luqa%0ALQA%203000%2C%20Malta" TargetMode="External"/><Relationship Id="rId113" Type="http://schemas.openxmlformats.org/officeDocument/2006/relationships/hyperlink" Target="https://maltadiy.com/product-category/lights-and-tech/lights/" TargetMode="External"/><Relationship Id="rId118" Type="http://schemas.openxmlformats.org/officeDocument/2006/relationships/hyperlink" Target="https://euroimjsm.com/" TargetMode="External"/><Relationship Id="rId80" Type="http://schemas.openxmlformats.org/officeDocument/2006/relationships/hyperlink" Target="https://www.google.com/maps/search/?api=1&amp;query=Triq%20L-Mdina%2C%20Haz-Zebbug%2C%20ZBG09018" TargetMode="External"/><Relationship Id="rId85" Type="http://schemas.openxmlformats.org/officeDocument/2006/relationships/hyperlink" Target="https://promaninteriors.com/" TargetMode="External"/><Relationship Id="rId12" Type="http://schemas.openxmlformats.org/officeDocument/2006/relationships/hyperlink" Target="MAILTO:info@okhome.com.mt" TargetMode="External"/><Relationship Id="rId17" Type="http://schemas.openxmlformats.org/officeDocument/2006/relationships/hyperlink" Target="MAILTO:jysk@jysk.com.mt" TargetMode="External"/><Relationship Id="rId33" Type="http://schemas.openxmlformats.org/officeDocument/2006/relationships/hyperlink" Target="MAILTO:homistic@yahoo.com" TargetMode="External"/><Relationship Id="rId38" Type="http://schemas.openxmlformats.org/officeDocument/2006/relationships/hyperlink" Target="MAILTO:info@luxonas.com" TargetMode="External"/><Relationship Id="rId59" Type="http://schemas.openxmlformats.org/officeDocument/2006/relationships/hyperlink" Target="https://www.google.com/maps/search/?api=1&amp;query=Triq%20L-Imdina%2C%0AZone%202%2C%20Central%20Business%20District%2C%0ABirkirkara%20CBD%202010%2C%20Malta" TargetMode="External"/><Relationship Id="rId103" Type="http://schemas.openxmlformats.org/officeDocument/2006/relationships/hyperlink" Target="https://dinofino.com/" TargetMode="External"/><Relationship Id="rId108" Type="http://schemas.openxmlformats.org/officeDocument/2006/relationships/hyperlink" Target="https://constructfurniture.com.mt/contact-us/" TargetMode="External"/><Relationship Id="rId54" Type="http://schemas.openxmlformats.org/officeDocument/2006/relationships/hyperlink" Target="https://www.google.com/maps/search/?api=1&amp;query=159%2C%20Tip%20Top%20Buildings%2C%0ASt%20Thomas%20Street%2C%20Fgura%2C%20%20FGR1605" TargetMode="External"/><Relationship Id="rId70" Type="http://schemas.openxmlformats.org/officeDocument/2006/relationships/hyperlink" Target="https://www.google.com/maps/search/?api=1&amp;query=162%20Cannon%20Road%2C%20Santa%20Venera%2C%0ASVR%209034%2C%20Malta" TargetMode="External"/><Relationship Id="rId75" Type="http://schemas.openxmlformats.org/officeDocument/2006/relationships/hyperlink" Target="https://www.google.com/maps/search/?api=1&amp;query=22%2F23%20Triq%20hal%20mula%20Haz-zebbug%20ZBG" TargetMode="External"/><Relationship Id="rId91" Type="http://schemas.openxmlformats.org/officeDocument/2006/relationships/hyperlink" Target="https://distincthomes.com.mt/" TargetMode="External"/><Relationship Id="rId96" Type="http://schemas.openxmlformats.org/officeDocument/2006/relationships/hyperlink" Target="https://form.com.mt/living/" TargetMode="External"/><Relationship Id="rId1" Type="http://schemas.openxmlformats.org/officeDocument/2006/relationships/hyperlink" Target="MAILTO:sales@malta-design.com" TargetMode="External"/><Relationship Id="rId6" Type="http://schemas.openxmlformats.org/officeDocument/2006/relationships/hyperlink" Target="MAILTO:sales@powerhousemalta.eu" TargetMode="External"/><Relationship Id="rId23" Type="http://schemas.openxmlformats.org/officeDocument/2006/relationships/hyperlink" Target="MAILTO:info@borgegroup.com" TargetMode="External"/><Relationship Id="rId28" Type="http://schemas.openxmlformats.org/officeDocument/2006/relationships/hyperlink" Target="MAILTO:sales@maltashopper.com" TargetMode="External"/><Relationship Id="rId49" Type="http://schemas.openxmlformats.org/officeDocument/2006/relationships/hyperlink" Target="https://www.google.com/maps/search/?api=1&amp;query=Power%20House%2C%2013%2C%0ACensu%20Bugeja%20Street%2C%0ABirkirkara%2C%20Malta" TargetMode="External"/><Relationship Id="rId114" Type="http://schemas.openxmlformats.org/officeDocument/2006/relationships/hyperlink" Target="https://homisticrooms.com/" TargetMode="External"/><Relationship Id="rId119" Type="http://schemas.openxmlformats.org/officeDocument/2006/relationships/hyperlink" Target="https://luxonas.com/" TargetMode="External"/><Relationship Id="rId44" Type="http://schemas.openxmlformats.org/officeDocument/2006/relationships/hyperlink" Target="https://www.google.com/maps/search/?api=1&amp;query=Malta%20Design%0A33%20Triq%20l-Oleandru%20%2C%0ASan%20Giljan%2C%20Malta" TargetMode="External"/><Relationship Id="rId60" Type="http://schemas.openxmlformats.org/officeDocument/2006/relationships/hyperlink" Target="https://www.google.com/maps/search/?api=1&amp;query=Triq-Il%20Mosta%2C%20Lija%2C%20Malta" TargetMode="External"/><Relationship Id="rId65" Type="http://schemas.openxmlformats.org/officeDocument/2006/relationships/hyperlink" Target="https://www.google.com/maps/search/?api=1&amp;query=Dino%20Fino%20Home%20%2B%20Contract%2C%20Msida%2C%20Valley%20Road%2C%20Birkirkara%2C%20Birkirkara%2C%20Malta" TargetMode="External"/><Relationship Id="rId81" Type="http://schemas.openxmlformats.org/officeDocument/2006/relationships/hyperlink" Target="https://www.google.com/maps/search/?api=1&amp;query=27%20Triq%20Wignacourt%2C%20Birkirkara" TargetMode="External"/><Relationship Id="rId86" Type="http://schemas.openxmlformats.org/officeDocument/2006/relationships/hyperlink" Target="https://fino.com.mt/" TargetMode="External"/><Relationship Id="rId4" Type="http://schemas.openxmlformats.org/officeDocument/2006/relationships/hyperlink" Target="MAILTO:info@promaninteriors.com" TargetMode="External"/><Relationship Id="rId9" Type="http://schemas.openxmlformats.org/officeDocument/2006/relationships/hyperlink" Target="MAILTO:info@onepercent.com.mt" TargetMode="External"/><Relationship Id="rId13" Type="http://schemas.openxmlformats.org/officeDocument/2006/relationships/hyperlink" Target="MAILTO:contactus@theatrium.com.mt" TargetMode="External"/><Relationship Id="rId18" Type="http://schemas.openxmlformats.org/officeDocument/2006/relationships/hyperlink" Target="MAILTO:info@bdi.com.mt" TargetMode="External"/><Relationship Id="rId39" Type="http://schemas.openxmlformats.org/officeDocument/2006/relationships/hyperlink" Target="MAILTO:sales@lingonberries.eu" TargetMode="External"/><Relationship Id="rId109" Type="http://schemas.openxmlformats.org/officeDocument/2006/relationships/hyperlink" Target="https://maltashopper.com/" TargetMode="External"/><Relationship Id="rId34" Type="http://schemas.openxmlformats.org/officeDocument/2006/relationships/hyperlink" Target="MAILTO:info@styleinterni.com" TargetMode="External"/><Relationship Id="rId50" Type="http://schemas.openxmlformats.org/officeDocument/2006/relationships/hyperlink" Target="https://www.google.com/maps/search/?api=1&amp;query=Fairdeal%20Furniture%20Malta%20LTD%0AMdina%20Road%0AZebbug%2C%20Malta" TargetMode="External"/><Relationship Id="rId55" Type="http://schemas.openxmlformats.org/officeDocument/2006/relationships/hyperlink" Target="https://www.google.com/maps/search/?api=1&amp;query=OK%20Home%2C%20Pantar%20Road%2C%0ALija%2C%20Malta" TargetMode="External"/><Relationship Id="rId76" Type="http://schemas.openxmlformats.org/officeDocument/2006/relationships/hyperlink" Target="https://www.google.com/maps/search/?api=1&amp;query=260%20Old%20Railway%20Track%2C%20Santa%20Venera%20SVR%209019" TargetMode="External"/><Relationship Id="rId97" Type="http://schemas.openxmlformats.org/officeDocument/2006/relationships/hyperlink" Target="https://oxfordhouse.com.mt/" TargetMode="External"/><Relationship Id="rId104" Type="http://schemas.openxmlformats.org/officeDocument/2006/relationships/hyperlink" Target="https://borgegroup.com/" TargetMode="External"/><Relationship Id="rId120" Type="http://schemas.openxmlformats.org/officeDocument/2006/relationships/hyperlink" Target="https://lingonberries.mt/" TargetMode="External"/><Relationship Id="rId7" Type="http://schemas.openxmlformats.org/officeDocument/2006/relationships/hyperlink" Target="MAILTO:info@fairdealfurniture.com.mt" TargetMode="External"/><Relationship Id="rId71" Type="http://schemas.openxmlformats.org/officeDocument/2006/relationships/hyperlink" Target="https://www.google.com/maps/search/?api=1&amp;query=Triq%20L-Imdina%2C%20Zone%202%20Central%20Business%20District%2C%20Birkirkara%20CBD%202010%2C%20Malta" TargetMode="External"/><Relationship Id="rId92" Type="http://schemas.openxmlformats.org/officeDocument/2006/relationships/hyperlink" Target="https://indexmalta.com/" TargetMode="External"/><Relationship Id="rId2" Type="http://schemas.openxmlformats.org/officeDocument/2006/relationships/hyperlink" Target="MAILTO:info@joinwell.com.mt" TargetMode="External"/><Relationship Id="rId29" Type="http://schemas.openxmlformats.org/officeDocument/2006/relationships/hyperlink" Target="MAILTO:info@orienta.com.mt" TargetMode="External"/><Relationship Id="rId24" Type="http://schemas.openxmlformats.org/officeDocument/2006/relationships/hyperlink" Target="MAILTO:info@bondsmalta.com" TargetMode="External"/><Relationship Id="rId40" Type="http://schemas.openxmlformats.org/officeDocument/2006/relationships/hyperlink" Target="MAILTO:info@boconcept.com.mt" TargetMode="External"/><Relationship Id="rId45" Type="http://schemas.openxmlformats.org/officeDocument/2006/relationships/hyperlink" Target="https://www.google.com/maps/search/?api=1&amp;query=JoinwellFXB%2C%0ATriq%20il-Mithna%2C%20Central%20Business%20District%2C%0AQormi%2C%20CBD%205090" TargetMode="External"/><Relationship Id="rId66" Type="http://schemas.openxmlformats.org/officeDocument/2006/relationships/hyperlink" Target="https://www.google.com/maps/search/?api=1&amp;query=Bond%E2%80%99s%20Limited%20Mdina%20Road%2C%20Attard%2C%20ATD%209039" TargetMode="External"/><Relationship Id="rId87" Type="http://schemas.openxmlformats.org/officeDocument/2006/relationships/hyperlink" Target="https://powerhousemalta.eu/" TargetMode="External"/><Relationship Id="rId110" Type="http://schemas.openxmlformats.org/officeDocument/2006/relationships/hyperlink" Target="https://orienta.mt/" TargetMode="External"/><Relationship Id="rId115" Type="http://schemas.openxmlformats.org/officeDocument/2006/relationships/hyperlink" Target="https://styleinterni.com/" TargetMode="External"/><Relationship Id="rId61" Type="http://schemas.openxmlformats.org/officeDocument/2006/relationships/hyperlink" Target="https://www.google.com/maps/search/?api=1&amp;query=BDI%2C%201%2C%20Triq%20Pietru%20Felici%2C%20Qormi%2C%20Malta" TargetMode="External"/><Relationship Id="rId82" Type="http://schemas.openxmlformats.org/officeDocument/2006/relationships/hyperlink" Target="https://malta-design.com/" TargetMode="External"/><Relationship Id="rId19" Type="http://schemas.openxmlformats.org/officeDocument/2006/relationships/hyperlink" Target="MAILTO:info@dari.mt" TargetMode="External"/><Relationship Id="rId14" Type="http://schemas.openxmlformats.org/officeDocument/2006/relationships/hyperlink" Target="MAILTO:customercare@homemate.com.mt" TargetMode="External"/><Relationship Id="rId30" Type="http://schemas.openxmlformats.org/officeDocument/2006/relationships/hyperlink" Target="MAILTO:info@azeta.com.mt" TargetMode="External"/><Relationship Id="rId35" Type="http://schemas.openxmlformats.org/officeDocument/2006/relationships/hyperlink" Target="MAILTO:info@arkomalta.com" TargetMode="External"/><Relationship Id="rId56" Type="http://schemas.openxmlformats.org/officeDocument/2006/relationships/hyperlink" Target="https://www.google.com/maps/search/?api=1&amp;query=The%20Atrium%2C%20Giovanni%20Felice%20Street%2C%20Zone%203%2C%20Central%20Business%20District%2C%20Birkirkara%20CBD%203120" TargetMode="External"/><Relationship Id="rId77" Type="http://schemas.openxmlformats.org/officeDocument/2006/relationships/hyperlink" Target="https://www.google.com/maps/search/?api=1&amp;query=Triq%20is-Salib%20Ta%27%20l-Imriehel%0ABusiness%20District%0AMriehel" TargetMode="External"/><Relationship Id="rId100" Type="http://schemas.openxmlformats.org/officeDocument/2006/relationships/hyperlink" Target="https://dari.mt/living-rooms/" TargetMode="External"/><Relationship Id="rId105" Type="http://schemas.openxmlformats.org/officeDocument/2006/relationships/hyperlink" Target="https://bondsmalta.com/" TargetMode="External"/><Relationship Id="rId8" Type="http://schemas.openxmlformats.org/officeDocument/2006/relationships/hyperlink" Target="MAILTO:info@domestica.com.mt" TargetMode="External"/><Relationship Id="rId51" Type="http://schemas.openxmlformats.org/officeDocument/2006/relationships/hyperlink" Target="https://www.google.com/maps/search/?api=1&amp;query=Domestica%20Complex%2C%20Level%201%2C%20Valley%20Road%0AMsida%2C%20MSD%209091%2C%20Malta" TargetMode="External"/><Relationship Id="rId72" Type="http://schemas.openxmlformats.org/officeDocument/2006/relationships/hyperlink" Target="https://www.google.com/maps/search/?api=1&amp;query=Azeta%20Limited%0A354%20Cannon%20Road%2C%0ASt%20Venera%0ASVR9033%0AMalta" TargetMode="External"/><Relationship Id="rId93" Type="http://schemas.openxmlformats.org/officeDocument/2006/relationships/hyperlink" Target="https://okhome.com.mt/" TargetMode="External"/><Relationship Id="rId98" Type="http://schemas.openxmlformats.org/officeDocument/2006/relationships/hyperlink" Target="https://jysk.com.mt/" TargetMode="External"/><Relationship Id="rId121" Type="http://schemas.openxmlformats.org/officeDocument/2006/relationships/hyperlink" Target="https://boconcept.com/en-mt/" TargetMode="External"/><Relationship Id="rId3" Type="http://schemas.openxmlformats.org/officeDocument/2006/relationships/hyperlink" Target="MAILTO:info@brands.com.mt" TargetMode="External"/><Relationship Id="rId25" Type="http://schemas.openxmlformats.org/officeDocument/2006/relationships/hyperlink" Target="MAILTO:info@immaginecasamalta.com" TargetMode="External"/><Relationship Id="rId46" Type="http://schemas.openxmlformats.org/officeDocument/2006/relationships/hyperlink" Target="https://www.google.com/maps/search/?api=1&amp;query=Triq%20tal-Balal%2C%20San%20Gwann%2C%20Malta" TargetMode="External"/><Relationship Id="rId67" Type="http://schemas.openxmlformats.org/officeDocument/2006/relationships/hyperlink" Target="https://www.google.com/maps/search/?api=1&amp;query=Valley%20Road%2C%20Birkirkara%2C%20Malta." TargetMode="External"/><Relationship Id="rId116" Type="http://schemas.openxmlformats.org/officeDocument/2006/relationships/hyperlink" Target="https://arkomalta.com/" TargetMode="External"/><Relationship Id="rId20" Type="http://schemas.openxmlformats.org/officeDocument/2006/relationships/hyperlink" Target="MAILTO:info@satariano.com" TargetMode="External"/><Relationship Id="rId41" Type="http://schemas.openxmlformats.org/officeDocument/2006/relationships/hyperlink" Target="MAILTO:info@loft.com.mt" TargetMode="External"/><Relationship Id="rId62" Type="http://schemas.openxmlformats.org/officeDocument/2006/relationships/hyperlink" Target="https://www.google.com/maps/search/?api=1&amp;query=Industrial%20Estate%0A%C4%A6andaq%20Qormi%2C%0AQRM%204000%2C%20Malta" TargetMode="External"/><Relationship Id="rId83" Type="http://schemas.openxmlformats.org/officeDocument/2006/relationships/hyperlink" Target="https://joinwell.com.mt/" TargetMode="External"/><Relationship Id="rId88" Type="http://schemas.openxmlformats.org/officeDocument/2006/relationships/hyperlink" Target="https://fairdealfurniture.com.mt/" TargetMode="External"/><Relationship Id="rId111" Type="http://schemas.openxmlformats.org/officeDocument/2006/relationships/hyperlink" Target="https://azeta.com.mt/pages/contact" TargetMode="External"/><Relationship Id="rId15" Type="http://schemas.openxmlformats.org/officeDocument/2006/relationships/hyperlink" Target="MAILTO:infodesk@form.com.mt" TargetMode="External"/><Relationship Id="rId36" Type="http://schemas.openxmlformats.org/officeDocument/2006/relationships/hyperlink" Target="MAILTO:info@luksfurniture.com" TargetMode="External"/><Relationship Id="rId57" Type="http://schemas.openxmlformats.org/officeDocument/2006/relationships/hyperlink" Target="https://www.google.com/maps/search/?api=1&amp;query=Homemate%20Mriehel" TargetMode="External"/><Relationship Id="rId106" Type="http://schemas.openxmlformats.org/officeDocument/2006/relationships/hyperlink" Target="https://immaginecasamalta.com/living-2/" TargetMode="External"/><Relationship Id="rId10" Type="http://schemas.openxmlformats.org/officeDocument/2006/relationships/hyperlink" Target="MAILTO:info@distincthomes.com.mt" TargetMode="External"/><Relationship Id="rId31" Type="http://schemas.openxmlformats.org/officeDocument/2006/relationships/hyperlink" Target="MAILTO:danwoodworks@yahoo.co.uk" TargetMode="External"/><Relationship Id="rId52" Type="http://schemas.openxmlformats.org/officeDocument/2006/relationships/hyperlink" Target="https://www.google.com/maps/search/?api=1&amp;query=Valley%20Road%0AMsida%20MSD%209022" TargetMode="External"/><Relationship Id="rId73" Type="http://schemas.openxmlformats.org/officeDocument/2006/relationships/hyperlink" Target="https://www.google.com/maps/search/?api=1&amp;query=86%0ATriq%20Valletta%0AHal%20Luqa%0AMalta%20%20LQA%201762" TargetMode="External"/><Relationship Id="rId78" Type="http://schemas.openxmlformats.org/officeDocument/2006/relationships/hyperlink" Target="https://www.google.com/maps/search/?api=1&amp;query=Luks%20Furniture%2C%20Triq%20L-Imdina%2C%20Attard" TargetMode="External"/><Relationship Id="rId94" Type="http://schemas.openxmlformats.org/officeDocument/2006/relationships/hyperlink" Target="https://theatrium.com.mt/living" TargetMode="External"/><Relationship Id="rId99" Type="http://schemas.openxmlformats.org/officeDocument/2006/relationships/hyperlink" Target="https://homesbybdi.com/en/home" TargetMode="External"/><Relationship Id="rId101" Type="http://schemas.openxmlformats.org/officeDocument/2006/relationships/hyperlink" Target="https://satariano.com/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metsfurniture.com" TargetMode="External"/><Relationship Id="rId13" Type="http://schemas.openxmlformats.org/officeDocument/2006/relationships/hyperlink" Target="MAILTO:contact@kibitec.com" TargetMode="External"/><Relationship Id="rId18" Type="http://schemas.openxmlformats.org/officeDocument/2006/relationships/hyperlink" Target="MAILTO:info@trendsltdmalta.com" TargetMode="External"/><Relationship Id="rId3" Type="http://schemas.openxmlformats.org/officeDocument/2006/relationships/hyperlink" Target="MAILTO:customer@devalier.com.mt" TargetMode="External"/><Relationship Id="rId21" Type="http://schemas.openxmlformats.org/officeDocument/2006/relationships/hyperlink" Target="MAILTO:info@fairdealfurniture.com.mt" TargetMode="External"/><Relationship Id="rId7" Type="http://schemas.openxmlformats.org/officeDocument/2006/relationships/hyperlink" Target="MAILTO:thecustomworkshop@gmail.com" TargetMode="External"/><Relationship Id="rId12" Type="http://schemas.openxmlformats.org/officeDocument/2006/relationships/hyperlink" Target="MAILTO:candmww@gmail.com" TargetMode="External"/><Relationship Id="rId17" Type="http://schemas.openxmlformats.org/officeDocument/2006/relationships/hyperlink" Target="MAILTO:info@dari.mt" TargetMode="External"/><Relationship Id="rId2" Type="http://schemas.openxmlformats.org/officeDocument/2006/relationships/hyperlink" Target="MAILTO:info@designhubmalta.com.mt" TargetMode="External"/><Relationship Id="rId16" Type="http://schemas.openxmlformats.org/officeDocument/2006/relationships/hyperlink" Target="MAILTO:info@lupa.mt" TargetMode="External"/><Relationship Id="rId20" Type="http://schemas.openxmlformats.org/officeDocument/2006/relationships/hyperlink" Target="MAILTO:info@paultarget.com" TargetMode="External"/><Relationship Id="rId1" Type="http://schemas.openxmlformats.org/officeDocument/2006/relationships/hyperlink" Target="MAILTO:sales@pmhobby.com.mt" TargetMode="External"/><Relationship Id="rId6" Type="http://schemas.openxmlformats.org/officeDocument/2006/relationships/hyperlink" Target="MAILTO:info@jcrfurniture.com" TargetMode="External"/><Relationship Id="rId11" Type="http://schemas.openxmlformats.org/officeDocument/2006/relationships/hyperlink" Target="MAILTO:jasoakwalnut@yahoo.com" TargetMode="External"/><Relationship Id="rId24" Type="http://schemas.openxmlformats.org/officeDocument/2006/relationships/hyperlink" Target="MAILTO:monlung@onvol.net" TargetMode="External"/><Relationship Id="rId5" Type="http://schemas.openxmlformats.org/officeDocument/2006/relationships/hyperlink" Target="MAILTO:info@constructfurniture.com.mt" TargetMode="External"/><Relationship Id="rId15" Type="http://schemas.openxmlformats.org/officeDocument/2006/relationships/hyperlink" Target="MAILTO:kasa.arreda@gmail.com" TargetMode="External"/><Relationship Id="rId23" Type="http://schemas.openxmlformats.org/officeDocument/2006/relationships/hyperlink" Target="MAILTO:info@dinofino.com" TargetMode="External"/><Relationship Id="rId10" Type="http://schemas.openxmlformats.org/officeDocument/2006/relationships/hyperlink" Target="MAILTO:info@jdsfurniture.com" TargetMode="External"/><Relationship Id="rId19" Type="http://schemas.openxmlformats.org/officeDocument/2006/relationships/hyperlink" Target="MAILTO:chrissaliba295@gmail.com" TargetMode="External"/><Relationship Id="rId4" Type="http://schemas.openxmlformats.org/officeDocument/2006/relationships/hyperlink" Target="MAILTO:info@deffurniture.com" TargetMode="External"/><Relationship Id="rId9" Type="http://schemas.openxmlformats.org/officeDocument/2006/relationships/hyperlink" Target="MAILTO:info@ts-malta.com" TargetMode="External"/><Relationship Id="rId14" Type="http://schemas.openxmlformats.org/officeDocument/2006/relationships/hyperlink" Target="MAILTO:infodesk@form.com.mt" TargetMode="External"/><Relationship Id="rId22" Type="http://schemas.openxmlformats.org/officeDocument/2006/relationships/hyperlink" Target="MAILTO:info@ferraramalta.com" TargetMode="External"/></Relationships>
</file>

<file path=xl/worksheets/_rels/sheet3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Industrial%20Zone%2C%20ATD%204000%20Ta%27%20Qali" TargetMode="External"/><Relationship Id="rId21" Type="http://schemas.openxmlformats.org/officeDocument/2006/relationships/hyperlink" Target="MAILTO:info@pcs.com.mt" TargetMode="External"/><Relationship Id="rId42" Type="http://schemas.openxmlformats.org/officeDocument/2006/relationships/hyperlink" Target="MAILTO:info@khsmalta.com" TargetMode="External"/><Relationship Id="rId63" Type="http://schemas.openxmlformats.org/officeDocument/2006/relationships/hyperlink" Target="MAILTO:info@flowerzonemalta.com" TargetMode="External"/><Relationship Id="rId84" Type="http://schemas.openxmlformats.org/officeDocument/2006/relationships/hyperlink" Target="https://www.google.com/maps/search/?api=1&amp;query=Giovanni%20Felice%20Street%2C%20Zone%203%2C%20Central%20Business%20District%2C%20Birkirkara%20CBD%203120" TargetMode="External"/><Relationship Id="rId138" Type="http://schemas.openxmlformats.org/officeDocument/2006/relationships/hyperlink" Target="https://www.google.com/maps/search/?api=1&amp;query=Triq%20L-Imprendituri%2C%20Industrial%20Zone%203%2C%20Central%20business%20district%2C%20Birkirkara%2C%20CBD%203090" TargetMode="External"/><Relationship Id="rId159" Type="http://schemas.openxmlformats.org/officeDocument/2006/relationships/hyperlink" Target="https://patroleamalta.com/" TargetMode="External"/><Relationship Id="rId170" Type="http://schemas.openxmlformats.org/officeDocument/2006/relationships/hyperlink" Target="https://hometrends.com.mt/" TargetMode="External"/><Relationship Id="rId191" Type="http://schemas.openxmlformats.org/officeDocument/2006/relationships/hyperlink" Target="https://hometrends.com.mt/" TargetMode="External"/><Relationship Id="rId205" Type="http://schemas.openxmlformats.org/officeDocument/2006/relationships/hyperlink" Target="https://facebook.com/@protrademalta/" TargetMode="External"/><Relationship Id="rId226" Type="http://schemas.openxmlformats.org/officeDocument/2006/relationships/hyperlink" Target="https://sherriesestates.com/" TargetMode="External"/><Relationship Id="rId107" Type="http://schemas.openxmlformats.org/officeDocument/2006/relationships/hyperlink" Target="https://www.google.com/maps/search/?api=1&amp;query=Zone%205%20Triq%20Is-Sebh%20Central%20Business%20District%2C%20Qormi" TargetMode="External"/><Relationship Id="rId11" Type="http://schemas.openxmlformats.org/officeDocument/2006/relationships/hyperlink" Target="MAILTO:home@jpitre.com" TargetMode="External"/><Relationship Id="rId32" Type="http://schemas.openxmlformats.org/officeDocument/2006/relationships/hyperlink" Target="MAILTO:sciclunarennie@gmail.com" TargetMode="External"/><Relationship Id="rId53" Type="http://schemas.openxmlformats.org/officeDocument/2006/relationships/hyperlink" Target="MAILTO:sciclunarennie@gmail.com" TargetMode="External"/><Relationship Id="rId74" Type="http://schemas.openxmlformats.org/officeDocument/2006/relationships/hyperlink" Target="MAILTO:projects@garlandmalta.com" TargetMode="External"/><Relationship Id="rId128" Type="http://schemas.openxmlformats.org/officeDocument/2006/relationships/hyperlink" Target="https://www.google.com/maps/search/?api=1&amp;query=Triq%20Pantar%2C%20Lija" TargetMode="External"/><Relationship Id="rId149" Type="http://schemas.openxmlformats.org/officeDocument/2006/relationships/hyperlink" Target="https://www.google.com/maps/search/?api=1&amp;query=The%20Elysium%20Tree%20Nursery%20And%20Visitors%20Centre%20Triq%20in-Nahhalija%20Ghajn%20Tuffieha%2C%20Mellieha" TargetMode="External"/><Relationship Id="rId5" Type="http://schemas.openxmlformats.org/officeDocument/2006/relationships/hyperlink" Target="MAILTO:you@camilleriparismode.com" TargetMode="External"/><Relationship Id="rId95" Type="http://schemas.openxmlformats.org/officeDocument/2006/relationships/hyperlink" Target="https://www.google.com/maps/search/?api=1&amp;query=Triq%20L-Imprendituri%2C%20Industrial%20Zone%203%2C%20Central%20business%20district%2C%20Birkirkara%2C%20CBD%203090" TargetMode="External"/><Relationship Id="rId160" Type="http://schemas.openxmlformats.org/officeDocument/2006/relationships/hyperlink" Target="https://jysk.com.mt/" TargetMode="External"/><Relationship Id="rId181" Type="http://schemas.openxmlformats.org/officeDocument/2006/relationships/hyperlink" Target="https://fbpmalta.com/index.php/products/household/chairs-tables" TargetMode="External"/><Relationship Id="rId216" Type="http://schemas.openxmlformats.org/officeDocument/2006/relationships/hyperlink" Target="https://tabonedirect.com/" TargetMode="External"/><Relationship Id="rId22" Type="http://schemas.openxmlformats.org/officeDocument/2006/relationships/hyperlink" Target="MAILTO:info@arkomalta.com" TargetMode="External"/><Relationship Id="rId43" Type="http://schemas.openxmlformats.org/officeDocument/2006/relationships/hyperlink" Target="MAILTO:info@pcs.com.mt" TargetMode="External"/><Relationship Id="rId64" Type="http://schemas.openxmlformats.org/officeDocument/2006/relationships/hyperlink" Target="MAILTO:parisio@maltanet.net" TargetMode="External"/><Relationship Id="rId118" Type="http://schemas.openxmlformats.org/officeDocument/2006/relationships/hyperlink" Target="https://www.google.com/maps/search/?api=1&amp;query=Triq%20il-Wied%20Ta%27%20L-Imsida%2C%20B%27Kara%2C%20Malta%20BKR%209025" TargetMode="External"/><Relationship Id="rId139" Type="http://schemas.openxmlformats.org/officeDocument/2006/relationships/hyperlink" Target="https://www.google.com/maps/search/?api=1&amp;query=UB%2019%20Qasam%20Industrijali%2C%20San%20Gwann" TargetMode="External"/><Relationship Id="rId85" Type="http://schemas.openxmlformats.org/officeDocument/2006/relationships/hyperlink" Target="https://www.google.com/maps/search/?api=1&amp;query=Triq%20Toni%20Camilleri%2C%20Burmarrad" TargetMode="External"/><Relationship Id="rId150" Type="http://schemas.openxmlformats.org/officeDocument/2006/relationships/hyperlink" Target="https://www.google.com/maps/search/?api=1&amp;query=Zebbug%20Road%20Attard" TargetMode="External"/><Relationship Id="rId171" Type="http://schemas.openxmlformats.org/officeDocument/2006/relationships/hyperlink" Target="https://sherriesestates.com/" TargetMode="External"/><Relationship Id="rId192" Type="http://schemas.openxmlformats.org/officeDocument/2006/relationships/hyperlink" Target="https://okhome.com.mt/" TargetMode="External"/><Relationship Id="rId206" Type="http://schemas.openxmlformats.org/officeDocument/2006/relationships/hyperlink" Target="https://okhome.com.mt/" TargetMode="External"/><Relationship Id="rId227" Type="http://schemas.openxmlformats.org/officeDocument/2006/relationships/hyperlink" Target="https://projectgaia.org/" TargetMode="External"/><Relationship Id="rId12" Type="http://schemas.openxmlformats.org/officeDocument/2006/relationships/hyperlink" Target="MAILTO:info@chlmalta.com" TargetMode="External"/><Relationship Id="rId33" Type="http://schemas.openxmlformats.org/officeDocument/2006/relationships/hyperlink" Target="MAILTO:info@chlmalta.com" TargetMode="External"/><Relationship Id="rId108" Type="http://schemas.openxmlformats.org/officeDocument/2006/relationships/hyperlink" Target="https://www.google.com/maps/search/?api=1&amp;query=Triq%20Toni%20Camilleri%2C%20Burmarrad" TargetMode="External"/><Relationship Id="rId129" Type="http://schemas.openxmlformats.org/officeDocument/2006/relationships/hyperlink" Target="https://www.google.com/maps/search/?api=1&amp;query=Vjal%2025%20ta%27%20Novembru%2C%20Tal-Barrani%2C%20Zejtun" TargetMode="External"/><Relationship Id="rId54" Type="http://schemas.openxmlformats.org/officeDocument/2006/relationships/hyperlink" Target="MAILTO:sales@patroleamalta.com" TargetMode="External"/><Relationship Id="rId75" Type="http://schemas.openxmlformats.org/officeDocument/2006/relationships/hyperlink" Target="MAILTO:customercare@allseasons.mt" TargetMode="External"/><Relationship Id="rId96" Type="http://schemas.openxmlformats.org/officeDocument/2006/relationships/hyperlink" Target="https://www.google.com/maps/search/?api=1&amp;query=54%2C%20Castaldi%20Street%2C%20Zabbar" TargetMode="External"/><Relationship Id="rId140" Type="http://schemas.openxmlformats.org/officeDocument/2006/relationships/hyperlink" Target="https://www.google.com/maps/search/?api=1&amp;query=Triq%20Toni%20Camilleri%2C%20Burmarrad" TargetMode="External"/><Relationship Id="rId161" Type="http://schemas.openxmlformats.org/officeDocument/2006/relationships/hyperlink" Target="https://facebook.com/maltawarehousesale/" TargetMode="External"/><Relationship Id="rId182" Type="http://schemas.openxmlformats.org/officeDocument/2006/relationships/hyperlink" Target="https://camilleriparismode.com/" TargetMode="External"/><Relationship Id="rId217" Type="http://schemas.openxmlformats.org/officeDocument/2006/relationships/hyperlink" Target="https://facebook.com/people/Zet-Ltd/61555689586816/" TargetMode="External"/><Relationship Id="rId6" Type="http://schemas.openxmlformats.org/officeDocument/2006/relationships/hyperlink" Target="MAILTO:sales@patroleamalta.com" TargetMode="External"/><Relationship Id="rId23" Type="http://schemas.openxmlformats.org/officeDocument/2006/relationships/hyperlink" Target="MAILTO:ronaldmarmara@gmail.com" TargetMode="External"/><Relationship Id="rId119" Type="http://schemas.openxmlformats.org/officeDocument/2006/relationships/hyperlink" Target="https://www.google.com/maps/search/?api=1&amp;query=54%2C%20Castaldi%20Street%2C%20Zabbar" TargetMode="External"/><Relationship Id="rId44" Type="http://schemas.openxmlformats.org/officeDocument/2006/relationships/hyperlink" Target="MAILTO:ronaldmarmara@gmail.com" TargetMode="External"/><Relationship Id="rId65" Type="http://schemas.openxmlformats.org/officeDocument/2006/relationships/hyperlink" Target="MAILTO:samoaattard14@gmail.com" TargetMode="External"/><Relationship Id="rId86" Type="http://schemas.openxmlformats.org/officeDocument/2006/relationships/hyperlink" Target="https://www.google.com/maps/search/?api=1&amp;query=Birkirkara" TargetMode="External"/><Relationship Id="rId130" Type="http://schemas.openxmlformats.org/officeDocument/2006/relationships/hyperlink" Target="https://www.google.com/maps/search/?api=1&amp;query=Triq%20il-Mosta%2C%20Lija%2C%20Malta%20LIJA%209012" TargetMode="External"/><Relationship Id="rId151" Type="http://schemas.openxmlformats.org/officeDocument/2006/relationships/hyperlink" Target="https://www.google.com/maps/search/?api=1&amp;query=Triq%20L-Imqabba%2C%20Is-Siggiewi" TargetMode="External"/><Relationship Id="rId172" Type="http://schemas.openxmlformats.org/officeDocument/2006/relationships/hyperlink" Target="https://homemate.com.mt/" TargetMode="External"/><Relationship Id="rId193" Type="http://schemas.openxmlformats.org/officeDocument/2006/relationships/hyperlink" Target="https://facebook.com/@protrademalta/" TargetMode="External"/><Relationship Id="rId207" Type="http://schemas.openxmlformats.org/officeDocument/2006/relationships/hyperlink" Target="https://homemate.com.mt/" TargetMode="External"/><Relationship Id="rId228" Type="http://schemas.openxmlformats.org/officeDocument/2006/relationships/hyperlink" Target="https://greenscapes.com.mt/" TargetMode="External"/><Relationship Id="rId13" Type="http://schemas.openxmlformats.org/officeDocument/2006/relationships/hyperlink" Target="MAILTO:info@rattatanshop.mt" TargetMode="External"/><Relationship Id="rId109" Type="http://schemas.openxmlformats.org/officeDocument/2006/relationships/hyperlink" Target="https://www.google.com/maps/search/?api=1&amp;query=Triq%20Hal%20Resqun%2C%20Gudja" TargetMode="External"/><Relationship Id="rId34" Type="http://schemas.openxmlformats.org/officeDocument/2006/relationships/hyperlink" Target="MAILTO:peter@gdl.com.mt" TargetMode="External"/><Relationship Id="rId55" Type="http://schemas.openxmlformats.org/officeDocument/2006/relationships/hyperlink" Target="MAILTO:info@brands.com.mt" TargetMode="External"/><Relationship Id="rId76" Type="http://schemas.openxmlformats.org/officeDocument/2006/relationships/hyperlink" Target="https://www.google.com/maps/search/?api=1&amp;query=Triq%20tal-Balal%2C%20San%20Gwann" TargetMode="External"/><Relationship Id="rId97" Type="http://schemas.openxmlformats.org/officeDocument/2006/relationships/hyperlink" Target="https://www.google.com/maps/search/?api=1&amp;query=31%2C%20Cross%20Road%2C%20Marsa" TargetMode="External"/><Relationship Id="rId120" Type="http://schemas.openxmlformats.org/officeDocument/2006/relationships/hyperlink" Target="https://www.google.com/maps/search/?api=1&amp;query=Birkirkara" TargetMode="External"/><Relationship Id="rId141" Type="http://schemas.openxmlformats.org/officeDocument/2006/relationships/hyperlink" Target="https://www.google.com/maps/search/?api=1&amp;query=Triq%20Toni%20Camilleri%2C%20Burmarrad" TargetMode="External"/><Relationship Id="rId7" Type="http://schemas.openxmlformats.org/officeDocument/2006/relationships/hyperlink" Target="MAILTO:jysk@jysk.com.mt" TargetMode="External"/><Relationship Id="rId162" Type="http://schemas.openxmlformats.org/officeDocument/2006/relationships/hyperlink" Target="https://theatrium.com.mt/" TargetMode="External"/><Relationship Id="rId183" Type="http://schemas.openxmlformats.org/officeDocument/2006/relationships/hyperlink" Target="https://patroleamalta.com/" TargetMode="External"/><Relationship Id="rId218" Type="http://schemas.openxmlformats.org/officeDocument/2006/relationships/hyperlink" Target="https://piscopogardens.com/" TargetMode="External"/><Relationship Id="rId24" Type="http://schemas.openxmlformats.org/officeDocument/2006/relationships/hyperlink" Target="MAILTO:info@bigmatmalta.com" TargetMode="External"/><Relationship Id="rId45" Type="http://schemas.openxmlformats.org/officeDocument/2006/relationships/hyperlink" Target="MAILTO:info@fbpmalta.com" TargetMode="External"/><Relationship Id="rId66" Type="http://schemas.openxmlformats.org/officeDocument/2006/relationships/hyperlink" Target="MAILTO:info@innogreens.com" TargetMode="External"/><Relationship Id="rId87" Type="http://schemas.openxmlformats.org/officeDocument/2006/relationships/hyperlink" Target="https://www.google.com/maps/search/?api=1&amp;query=Mdina%20Road%2C%20Qormi" TargetMode="External"/><Relationship Id="rId110" Type="http://schemas.openxmlformats.org/officeDocument/2006/relationships/hyperlink" Target="https://www.google.com/maps/search/?api=1&amp;query=Kampanja%20Triq%20in-Nigret%2C%20Rabat" TargetMode="External"/><Relationship Id="rId131" Type="http://schemas.openxmlformats.org/officeDocument/2006/relationships/hyperlink" Target="https://www.google.com/maps/search/?api=1&amp;query=Triq%20Hal%20Resqun%2C%20Gudja" TargetMode="External"/><Relationship Id="rId152" Type="http://schemas.openxmlformats.org/officeDocument/2006/relationships/hyperlink" Target="https://www.google.com/maps/search/?api=1&amp;query=Triq%20L-Imdina%2C%20Zebbug" TargetMode="External"/><Relationship Id="rId173" Type="http://schemas.openxmlformats.org/officeDocument/2006/relationships/hyperlink" Target="https://tabonedirect.com/" TargetMode="External"/><Relationship Id="rId194" Type="http://schemas.openxmlformats.org/officeDocument/2006/relationships/hyperlink" Target="https://tabonedirect.com/" TargetMode="External"/><Relationship Id="rId208" Type="http://schemas.openxmlformats.org/officeDocument/2006/relationships/hyperlink" Target="https://jysk.com.mt/" TargetMode="External"/><Relationship Id="rId229" Type="http://schemas.openxmlformats.org/officeDocument/2006/relationships/hyperlink" Target="https://callusgardencentre.com/" TargetMode="External"/><Relationship Id="rId14" Type="http://schemas.openxmlformats.org/officeDocument/2006/relationships/hyperlink" Target="MAILTO:dicalgroup@gmail.com" TargetMode="External"/><Relationship Id="rId35" Type="http://schemas.openxmlformats.org/officeDocument/2006/relationships/hyperlink" Target="MAILTO:dicalgroup@gmail.com" TargetMode="External"/><Relationship Id="rId56" Type="http://schemas.openxmlformats.org/officeDocument/2006/relationships/hyperlink" Target="MAILTO:shop@hometrends.com.mt" TargetMode="External"/><Relationship Id="rId77" Type="http://schemas.openxmlformats.org/officeDocument/2006/relationships/hyperlink" Target="https://www.google.com/maps/search/?api=1&amp;query=Triq%20Pantar%2C%20Lija" TargetMode="External"/><Relationship Id="rId100" Type="http://schemas.openxmlformats.org/officeDocument/2006/relationships/hyperlink" Target="https://www.google.com/maps/search/?api=1&amp;query=Industrial%20Zone%2C%20ATD%204000%20Ta%27%20Qali" TargetMode="External"/><Relationship Id="rId8" Type="http://schemas.openxmlformats.org/officeDocument/2006/relationships/hyperlink" Target="MAILTO:peter@gdl.com.mt" TargetMode="External"/><Relationship Id="rId98" Type="http://schemas.openxmlformats.org/officeDocument/2006/relationships/hyperlink" Target="https://www.google.com/maps/search/?api=1&amp;query=Triq%20is-Salib%20Ta%27%20I-Imriehel%20Business%20District%20Mriehel" TargetMode="External"/><Relationship Id="rId121" Type="http://schemas.openxmlformats.org/officeDocument/2006/relationships/hyperlink" Target="https://www.google.com/maps/search/?api=1&amp;query=31%2C%20Cross%20Road%2C%20Marsa" TargetMode="External"/><Relationship Id="rId142" Type="http://schemas.openxmlformats.org/officeDocument/2006/relationships/hyperlink" Target="https://www.google.com/maps/search/?api=1&amp;query=Triq%20ta%27%20Dun%20Luqa%2C%20Sannat-Gozo" TargetMode="External"/><Relationship Id="rId163" Type="http://schemas.openxmlformats.org/officeDocument/2006/relationships/hyperlink" Target="https://piscopogardens.com/" TargetMode="External"/><Relationship Id="rId184" Type="http://schemas.openxmlformats.org/officeDocument/2006/relationships/hyperlink" Target="https://malta-design.com/" TargetMode="External"/><Relationship Id="rId219" Type="http://schemas.openxmlformats.org/officeDocument/2006/relationships/hyperlink" Target="https://piscopogardens.com/" TargetMode="External"/><Relationship Id="rId230" Type="http://schemas.openxmlformats.org/officeDocument/2006/relationships/hyperlink" Target="https://bssagri.com/" TargetMode="External"/><Relationship Id="rId25" Type="http://schemas.openxmlformats.org/officeDocument/2006/relationships/hyperlink" Target="MAILTO:customercare@butlers.com.mt" TargetMode="External"/><Relationship Id="rId46" Type="http://schemas.openxmlformats.org/officeDocument/2006/relationships/hyperlink" Target="MAILTO:sales@patroleamalta.com" TargetMode="External"/><Relationship Id="rId67" Type="http://schemas.openxmlformats.org/officeDocument/2006/relationships/hyperlink" Target="MAILTO:info@jardinland.com.mt" TargetMode="External"/><Relationship Id="rId20" Type="http://schemas.openxmlformats.org/officeDocument/2006/relationships/hyperlink" Target="MAILTO:info@khsmalta.com" TargetMode="External"/><Relationship Id="rId41" Type="http://schemas.openxmlformats.org/officeDocument/2006/relationships/hyperlink" Target="MAILTO:info@dinofino.com" TargetMode="External"/><Relationship Id="rId62" Type="http://schemas.openxmlformats.org/officeDocument/2006/relationships/hyperlink" Target="MAILTO:info@piscopogardens.com" TargetMode="External"/><Relationship Id="rId83" Type="http://schemas.openxmlformats.org/officeDocument/2006/relationships/hyperlink" Target="https://www.google.com/maps/search/?api=1&amp;query=70%20Triq%20is-Salib%20tal-Marsa" TargetMode="External"/><Relationship Id="rId88" Type="http://schemas.openxmlformats.org/officeDocument/2006/relationships/hyperlink" Target="https://www.google.com/maps/search/?api=1&amp;query=Kampanja%20Triq%20in-Nigret%2C%20Rabat" TargetMode="External"/><Relationship Id="rId111" Type="http://schemas.openxmlformats.org/officeDocument/2006/relationships/hyperlink" Target="https://www.google.com/maps/search/?api=1&amp;query=70%20Triq%20is-Salib%20tal-Marsa" TargetMode="External"/><Relationship Id="rId132" Type="http://schemas.openxmlformats.org/officeDocument/2006/relationships/hyperlink" Target="https://www.google.com/maps/search/?api=1&amp;query=Triq%20il-Wied%20ta%27%20I-Imsida%2C%20Msida" TargetMode="External"/><Relationship Id="rId153" Type="http://schemas.openxmlformats.org/officeDocument/2006/relationships/hyperlink" Target="https://www.google.com/maps/search/?api=1&amp;query=71%20Canon%20Road%2C%20Qormi" TargetMode="External"/><Relationship Id="rId174" Type="http://schemas.openxmlformats.org/officeDocument/2006/relationships/hyperlink" Target="https://khsmalta.com/" TargetMode="External"/><Relationship Id="rId179" Type="http://schemas.openxmlformats.org/officeDocument/2006/relationships/hyperlink" Target="https://butlers.com.mt/" TargetMode="External"/><Relationship Id="rId195" Type="http://schemas.openxmlformats.org/officeDocument/2006/relationships/hyperlink" Target="https://bigmatmalta.com/" TargetMode="External"/><Relationship Id="rId209" Type="http://schemas.openxmlformats.org/officeDocument/2006/relationships/hyperlink" Target="https://sciclunarennie.com/" TargetMode="External"/><Relationship Id="rId190" Type="http://schemas.openxmlformats.org/officeDocument/2006/relationships/hyperlink" Target="https://facebook.com/p/Garden-House-100066818242898/" TargetMode="External"/><Relationship Id="rId204" Type="http://schemas.openxmlformats.org/officeDocument/2006/relationships/hyperlink" Target="https://hometrends.com.mt/" TargetMode="External"/><Relationship Id="rId220" Type="http://schemas.openxmlformats.org/officeDocument/2006/relationships/hyperlink" Target="https://flowerzonemalta.com/" TargetMode="External"/><Relationship Id="rId225" Type="http://schemas.openxmlformats.org/officeDocument/2006/relationships/hyperlink" Target="https://facebook.com/secretgardenmalta?utm_source=Yellow&amp;utm_medium=Yellow-Website&amp;utm_campaign=Landing-Page" TargetMode="External"/><Relationship Id="rId15" Type="http://schemas.openxmlformats.org/officeDocument/2006/relationships/hyperlink" Target="MAILTO:sales@maltashopper.com" TargetMode="External"/><Relationship Id="rId36" Type="http://schemas.openxmlformats.org/officeDocument/2006/relationships/hyperlink" Target="MAILTO:shop@hometrends.com.mt" TargetMode="External"/><Relationship Id="rId57" Type="http://schemas.openxmlformats.org/officeDocument/2006/relationships/hyperlink" Target="MAILTO:info@calypsomfg.com" TargetMode="External"/><Relationship Id="rId106" Type="http://schemas.openxmlformats.org/officeDocument/2006/relationships/hyperlink" Target="https://www.google.com/maps/search/?api=1&amp;query=Birkirkara" TargetMode="External"/><Relationship Id="rId127" Type="http://schemas.openxmlformats.org/officeDocument/2006/relationships/hyperlink" Target="https://www.google.com/maps/search/?api=1&amp;query=Zone%205%20Triq%20Is-Sebh%20Central%20Business%20District%2C%20Qormi" TargetMode="External"/><Relationship Id="rId10" Type="http://schemas.openxmlformats.org/officeDocument/2006/relationships/hyperlink" Target="MAILTO:info@piscopogardens.com" TargetMode="External"/><Relationship Id="rId31" Type="http://schemas.openxmlformats.org/officeDocument/2006/relationships/hyperlink" Target="MAILTO:info@piscopogardens.com" TargetMode="External"/><Relationship Id="rId52" Type="http://schemas.openxmlformats.org/officeDocument/2006/relationships/hyperlink" Target="MAILTO:jysk@jysk.com.mt" TargetMode="External"/><Relationship Id="rId73" Type="http://schemas.openxmlformats.org/officeDocument/2006/relationships/hyperlink" Target="MAILTO:info@bssagri.com" TargetMode="External"/><Relationship Id="rId78" Type="http://schemas.openxmlformats.org/officeDocument/2006/relationships/hyperlink" Target="https://www.google.com/maps/search/?api=1&amp;query=Zone%205%20Triq%20Is-Sebh%20Central%20Business%20District%2C%20Qormi" TargetMode="External"/><Relationship Id="rId94" Type="http://schemas.openxmlformats.org/officeDocument/2006/relationships/hyperlink" Target="https://www.google.com/maps/search/?api=1&amp;query=Vjal%2025%20ta%27%20Novembru%2C%20Tal-Barrani%2C%20Zejtun" TargetMode="External"/><Relationship Id="rId99" Type="http://schemas.openxmlformats.org/officeDocument/2006/relationships/hyperlink" Target="https://www.google.com/maps/search/?api=1&amp;query=210%20Old%20Railway%20Track%2C%20Santa%20Venera" TargetMode="External"/><Relationship Id="rId101" Type="http://schemas.openxmlformats.org/officeDocument/2006/relationships/hyperlink" Target="https://www.google.com/maps/search/?api=1&amp;query=Pjazza%20A%20De%20Paule%20Rahal%20Gdid%2C%20PLA%201269" TargetMode="External"/><Relationship Id="rId122" Type="http://schemas.openxmlformats.org/officeDocument/2006/relationships/hyperlink" Target="https://www.google.com/maps/search/?api=1&amp;query=210%20Old%20Railway%20Track%2C%20Santa%20Venera" TargetMode="External"/><Relationship Id="rId143" Type="http://schemas.openxmlformats.org/officeDocument/2006/relationships/hyperlink" Target="https://www.google.com/maps/search/?api=1&amp;query=73%20Triq%20Sir%20Ugo%20Mifsud%2C%20Lija" TargetMode="External"/><Relationship Id="rId148" Type="http://schemas.openxmlformats.org/officeDocument/2006/relationships/hyperlink" Target="https://www.google.com/maps/search/?api=1&amp;query=Burmarrad%20Road%2C%20Burmarrad" TargetMode="External"/><Relationship Id="rId164" Type="http://schemas.openxmlformats.org/officeDocument/2006/relationships/hyperlink" Target="https://malta-design.com/" TargetMode="External"/><Relationship Id="rId169" Type="http://schemas.openxmlformats.org/officeDocument/2006/relationships/hyperlink" Target="https://maltashopper.com/" TargetMode="External"/><Relationship Id="rId185" Type="http://schemas.openxmlformats.org/officeDocument/2006/relationships/hyperlink" Target="https://facebook.com/@protrademalta/" TargetMode="External"/><Relationship Id="rId4" Type="http://schemas.openxmlformats.org/officeDocument/2006/relationships/hyperlink" Target="MAILTO:info@dinofino.com" TargetMode="External"/><Relationship Id="rId9" Type="http://schemas.openxmlformats.org/officeDocument/2006/relationships/hyperlink" Target="MAILTO:contactus@theatrium.com.mt" TargetMode="External"/><Relationship Id="rId180" Type="http://schemas.openxmlformats.org/officeDocument/2006/relationships/hyperlink" Target="https://newline.com.mt/" TargetMode="External"/><Relationship Id="rId210" Type="http://schemas.openxmlformats.org/officeDocument/2006/relationships/hyperlink" Target="https://patroleamalta.com/" TargetMode="External"/><Relationship Id="rId215" Type="http://schemas.openxmlformats.org/officeDocument/2006/relationships/hyperlink" Target="https://facebook.com/@protrademalta/" TargetMode="External"/><Relationship Id="rId26" Type="http://schemas.openxmlformats.org/officeDocument/2006/relationships/hyperlink" Target="MAILTO:newlineliving@gmail.com" TargetMode="External"/><Relationship Id="rId231" Type="http://schemas.openxmlformats.org/officeDocument/2006/relationships/hyperlink" Target="https://derekmalta.com/" TargetMode="External"/><Relationship Id="rId47" Type="http://schemas.openxmlformats.org/officeDocument/2006/relationships/hyperlink" Target="MAILTO:dicalgroup@gmail.com" TargetMode="External"/><Relationship Id="rId68" Type="http://schemas.openxmlformats.org/officeDocument/2006/relationships/hyperlink" Target="MAILTO:alanmifsudmt@gmail.com" TargetMode="External"/><Relationship Id="rId89" Type="http://schemas.openxmlformats.org/officeDocument/2006/relationships/hyperlink" Target="https://www.google.com/maps/search/?api=1&amp;query=Sliema%2C%20Malta" TargetMode="External"/><Relationship Id="rId112" Type="http://schemas.openxmlformats.org/officeDocument/2006/relationships/hyperlink" Target="https://www.google.com/maps/search/?api=1&amp;query=Triq%20Sant%27%20Anton%20Abbati%2C%20Mosta" TargetMode="External"/><Relationship Id="rId133" Type="http://schemas.openxmlformats.org/officeDocument/2006/relationships/hyperlink" Target="https://www.google.com/maps/search/?api=1&amp;query=Triq%20tal-Balal%2C%20San%20Gwann" TargetMode="External"/><Relationship Id="rId154" Type="http://schemas.openxmlformats.org/officeDocument/2006/relationships/hyperlink" Target="https://brands.com.mt/" TargetMode="External"/><Relationship Id="rId175" Type="http://schemas.openxmlformats.org/officeDocument/2006/relationships/hyperlink" Target="https://pcs.com.mt/" TargetMode="External"/><Relationship Id="rId196" Type="http://schemas.openxmlformats.org/officeDocument/2006/relationships/hyperlink" Target="https://dinofino.com/" TargetMode="External"/><Relationship Id="rId200" Type="http://schemas.openxmlformats.org/officeDocument/2006/relationships/hyperlink" Target="https://facebook.com/gejtumarmara/" TargetMode="External"/><Relationship Id="rId16" Type="http://schemas.openxmlformats.org/officeDocument/2006/relationships/hyperlink" Target="MAILTO:shop@hometrends.com.mt" TargetMode="External"/><Relationship Id="rId221" Type="http://schemas.openxmlformats.org/officeDocument/2006/relationships/hyperlink" Target="https://facebook.com/p/Parisio-Nursery-Garden-Centre-100057061346114/" TargetMode="External"/><Relationship Id="rId37" Type="http://schemas.openxmlformats.org/officeDocument/2006/relationships/hyperlink" Target="MAILTO:info@okhome.com.mt" TargetMode="External"/><Relationship Id="rId58" Type="http://schemas.openxmlformats.org/officeDocument/2006/relationships/hyperlink" Target="MAILTO:info@devalier.com.mt" TargetMode="External"/><Relationship Id="rId79" Type="http://schemas.openxmlformats.org/officeDocument/2006/relationships/hyperlink" Target="https://www.google.com/maps/search/?api=1&amp;query=Triq%20il-Wied%20Ta%27%20L-Imsida%2C%20B%27Kara%2C%20Malta%20BKR%209025" TargetMode="External"/><Relationship Id="rId102" Type="http://schemas.openxmlformats.org/officeDocument/2006/relationships/hyperlink" Target="https://www.google.com/maps/search/?api=1&amp;query=Triq%20Papa%20Gwanni%20Pawlu%20ll%2C%20Victoria-Gozo%2C%20Gozo%20VCT%209046" TargetMode="External"/><Relationship Id="rId123" Type="http://schemas.openxmlformats.org/officeDocument/2006/relationships/hyperlink" Target="https://www.google.com/maps/search/?api=1&amp;query=139%2C%20Bajada%20Street%2C%20Zabbar%2C%20Malta" TargetMode="External"/><Relationship Id="rId144" Type="http://schemas.openxmlformats.org/officeDocument/2006/relationships/hyperlink" Target="https://www.google.com/maps/search/?api=1&amp;query=Redentur%20Triq%20San%20Gilijan%2C%20B%27Kara" TargetMode="External"/><Relationship Id="rId90" Type="http://schemas.openxmlformats.org/officeDocument/2006/relationships/hyperlink" Target="https://www.google.com/maps/search/?api=1&amp;query=Triq%20Sant%27%20Anton%20Abbati%2C%20Mosta" TargetMode="External"/><Relationship Id="rId165" Type="http://schemas.openxmlformats.org/officeDocument/2006/relationships/hyperlink" Target="https://pitreonline.com/" TargetMode="External"/><Relationship Id="rId186" Type="http://schemas.openxmlformats.org/officeDocument/2006/relationships/hyperlink" Target="https://piscopogardens.com/" TargetMode="External"/><Relationship Id="rId211" Type="http://schemas.openxmlformats.org/officeDocument/2006/relationships/hyperlink" Target="https://brands.com.mt/" TargetMode="External"/><Relationship Id="rId232" Type="http://schemas.openxmlformats.org/officeDocument/2006/relationships/hyperlink" Target="https://garlandmalta.com/" TargetMode="External"/><Relationship Id="rId27" Type="http://schemas.openxmlformats.org/officeDocument/2006/relationships/hyperlink" Target="MAILTO:info@fbpmalta.com" TargetMode="External"/><Relationship Id="rId48" Type="http://schemas.openxmlformats.org/officeDocument/2006/relationships/hyperlink" Target="MAILTO:shop@hometrends.com.mt" TargetMode="External"/><Relationship Id="rId69" Type="http://schemas.openxmlformats.org/officeDocument/2006/relationships/hyperlink" Target="MAILTO:info@sherriesestates.com" TargetMode="External"/><Relationship Id="rId113" Type="http://schemas.openxmlformats.org/officeDocument/2006/relationships/hyperlink" Target="https://www.google.com/maps/search/?api=1&amp;query=JPR%20Bldgs%20Qasam%20Industrijali%2C%20San%20Gwann" TargetMode="External"/><Relationship Id="rId134" Type="http://schemas.openxmlformats.org/officeDocument/2006/relationships/hyperlink" Target="https://www.google.com/maps/search/?api=1&amp;query=JPR%20Bldgs%20Qasam%20Industrijali%2C%20San%20Gwann" TargetMode="External"/><Relationship Id="rId80" Type="http://schemas.openxmlformats.org/officeDocument/2006/relationships/hyperlink" Target="https://www.google.com/maps/search/?api=1&amp;query=54%20Triq%20Santa%20Katerina%2C%20Rabat" TargetMode="External"/><Relationship Id="rId155" Type="http://schemas.openxmlformats.org/officeDocument/2006/relationships/hyperlink" Target="https://okhome.com.mt/" TargetMode="External"/><Relationship Id="rId176" Type="http://schemas.openxmlformats.org/officeDocument/2006/relationships/hyperlink" Target="https://arkomalta.com/" TargetMode="External"/><Relationship Id="rId197" Type="http://schemas.openxmlformats.org/officeDocument/2006/relationships/hyperlink" Target="https://khsmalta.com/" TargetMode="External"/><Relationship Id="rId201" Type="http://schemas.openxmlformats.org/officeDocument/2006/relationships/hyperlink" Target="https://fbpmalta.com/index.php/products/household/chairs-tables" TargetMode="External"/><Relationship Id="rId222" Type="http://schemas.openxmlformats.org/officeDocument/2006/relationships/hyperlink" Target="https://facebook.com/fmagius/?utm_source=Yellow&amp;utm_medium=Yellow-Website&amp;utm_campaign=Landing-Page" TargetMode="External"/><Relationship Id="rId17" Type="http://schemas.openxmlformats.org/officeDocument/2006/relationships/hyperlink" Target="MAILTO:info@sherriesestates.com" TargetMode="External"/><Relationship Id="rId38" Type="http://schemas.openxmlformats.org/officeDocument/2006/relationships/hyperlink" Target="MAILTO:protrade@protrademalta.com" TargetMode="External"/><Relationship Id="rId59" Type="http://schemas.openxmlformats.org/officeDocument/2006/relationships/hyperlink" Target="MAILTO:protrade@protrademalta.com" TargetMode="External"/><Relationship Id="rId103" Type="http://schemas.openxmlformats.org/officeDocument/2006/relationships/hyperlink" Target="https://www.google.com/maps/search/?api=1&amp;query=139%2C%20Bajada%20Street%2C%20Zabbar%2C%20Malta" TargetMode="External"/><Relationship Id="rId124" Type="http://schemas.openxmlformats.org/officeDocument/2006/relationships/hyperlink" Target="https://www.google.com/maps/search/?api=1&amp;query=Triq%20il-Wied%20ta%27%20I-Imsida%2C%20Msida" TargetMode="External"/><Relationship Id="rId70" Type="http://schemas.openxmlformats.org/officeDocument/2006/relationships/hyperlink" Target="MAILTO:admin@projectgaia.org" TargetMode="External"/><Relationship Id="rId91" Type="http://schemas.openxmlformats.org/officeDocument/2006/relationships/hyperlink" Target="https://www.google.com/maps/search/?api=1&amp;query=Ta%20Ghadajma%20l%2Fo%20Mqabba" TargetMode="External"/><Relationship Id="rId145" Type="http://schemas.openxmlformats.org/officeDocument/2006/relationships/hyperlink" Target="https://www.google.com/maps/search/?api=1&amp;query=22%20Triq%20il-Belt%20Valletta%2C%20Qormi" TargetMode="External"/><Relationship Id="rId166" Type="http://schemas.openxmlformats.org/officeDocument/2006/relationships/hyperlink" Target="https://chlmalta.com/" TargetMode="External"/><Relationship Id="rId187" Type="http://schemas.openxmlformats.org/officeDocument/2006/relationships/hyperlink" Target="https://sciclunarennie.com/" TargetMode="External"/><Relationship Id="rId1" Type="http://schemas.openxmlformats.org/officeDocument/2006/relationships/hyperlink" Target="MAILTO:info@brands.com.mt" TargetMode="External"/><Relationship Id="rId212" Type="http://schemas.openxmlformats.org/officeDocument/2006/relationships/hyperlink" Target="https://hometrends.com.mt/" TargetMode="External"/><Relationship Id="rId233" Type="http://schemas.openxmlformats.org/officeDocument/2006/relationships/hyperlink" Target="https://allseasons.mt/" TargetMode="External"/><Relationship Id="rId28" Type="http://schemas.openxmlformats.org/officeDocument/2006/relationships/hyperlink" Target="MAILTO:you@camilleriparismode.com" TargetMode="External"/><Relationship Id="rId49" Type="http://schemas.openxmlformats.org/officeDocument/2006/relationships/hyperlink" Target="MAILTO:protrade@protrademalta.com" TargetMode="External"/><Relationship Id="rId114" Type="http://schemas.openxmlformats.org/officeDocument/2006/relationships/hyperlink" Target="https://www.google.com/maps/search/?api=1&amp;query=Triq%20Pantar%2C%20Lija" TargetMode="External"/><Relationship Id="rId60" Type="http://schemas.openxmlformats.org/officeDocument/2006/relationships/hyperlink" Target="MAILTO:sales@tabonedirect.com" TargetMode="External"/><Relationship Id="rId81" Type="http://schemas.openxmlformats.org/officeDocument/2006/relationships/hyperlink" Target="https://www.google.com/maps/search/?api=1&amp;query=Triq%20il-Wied%20ta%27%20I-Imsida%2C%20Msida" TargetMode="External"/><Relationship Id="rId135" Type="http://schemas.openxmlformats.org/officeDocument/2006/relationships/hyperlink" Target="https://www.google.com/maps/search/?api=1&amp;query=5%20Triq%20Cospicua%2C%20Fgura" TargetMode="External"/><Relationship Id="rId156" Type="http://schemas.openxmlformats.org/officeDocument/2006/relationships/hyperlink" Target="https://facebook.com/@protrademalta/" TargetMode="External"/><Relationship Id="rId177" Type="http://schemas.openxmlformats.org/officeDocument/2006/relationships/hyperlink" Target="https://facebook.com/gejtumarmara/" TargetMode="External"/><Relationship Id="rId198" Type="http://schemas.openxmlformats.org/officeDocument/2006/relationships/hyperlink" Target="https://malta-design.com/" TargetMode="External"/><Relationship Id="rId202" Type="http://schemas.openxmlformats.org/officeDocument/2006/relationships/hyperlink" Target="https://patroleamalta.com/" TargetMode="External"/><Relationship Id="rId223" Type="http://schemas.openxmlformats.org/officeDocument/2006/relationships/hyperlink" Target="https://innogreens.com/" TargetMode="External"/><Relationship Id="rId18" Type="http://schemas.openxmlformats.org/officeDocument/2006/relationships/hyperlink" Target="MAILTO:mosta@homemate.com.mt" TargetMode="External"/><Relationship Id="rId39" Type="http://schemas.openxmlformats.org/officeDocument/2006/relationships/hyperlink" Target="MAILTO:sales@tabonedirect.com" TargetMode="External"/><Relationship Id="rId50" Type="http://schemas.openxmlformats.org/officeDocument/2006/relationships/hyperlink" Target="MAILTO:info@okhome.com.mt" TargetMode="External"/><Relationship Id="rId104" Type="http://schemas.openxmlformats.org/officeDocument/2006/relationships/hyperlink" Target="https://www.google.com/maps/search/?api=1&amp;query=54%20Triq%20Santa%20Katerina%2C%20Rabat" TargetMode="External"/><Relationship Id="rId125" Type="http://schemas.openxmlformats.org/officeDocument/2006/relationships/hyperlink" Target="https://www.google.com/maps/search/?api=1&amp;query=Triq%20Sant%27%20Anton%20Abbati%2C%20Mosta" TargetMode="External"/><Relationship Id="rId146" Type="http://schemas.openxmlformats.org/officeDocument/2006/relationships/hyperlink" Target="https://www.google.com/maps/search/?api=1&amp;query=Triq%20Ghajn%20Tuffieha%2C%20San%20Pawl%20ll-Bahar" TargetMode="External"/><Relationship Id="rId167" Type="http://schemas.openxmlformats.org/officeDocument/2006/relationships/hyperlink" Target="https://rattatanshop.mt/" TargetMode="External"/><Relationship Id="rId188" Type="http://schemas.openxmlformats.org/officeDocument/2006/relationships/hyperlink" Target="https://chlmalta.com/" TargetMode="External"/><Relationship Id="rId71" Type="http://schemas.openxmlformats.org/officeDocument/2006/relationships/hyperlink" Target="MAILTO:info@greenscapes.com.mt" TargetMode="External"/><Relationship Id="rId92" Type="http://schemas.openxmlformats.org/officeDocument/2006/relationships/hyperlink" Target="https://www.google.com/maps/search/?api=1&amp;query=JPR%20Bldgs%20Qasam%20Industrijali%2C%20San%20Gwann" TargetMode="External"/><Relationship Id="rId213" Type="http://schemas.openxmlformats.org/officeDocument/2006/relationships/hyperlink" Target="https://calypsomfg.com/" TargetMode="External"/><Relationship Id="rId2" Type="http://schemas.openxmlformats.org/officeDocument/2006/relationships/hyperlink" Target="MAILTO:info@okhome.com.mt" TargetMode="External"/><Relationship Id="rId29" Type="http://schemas.openxmlformats.org/officeDocument/2006/relationships/hyperlink" Target="MAILTO:sales@patroleamalta.com" TargetMode="External"/><Relationship Id="rId40" Type="http://schemas.openxmlformats.org/officeDocument/2006/relationships/hyperlink" Target="MAILTO:info@bigmatmalta.com" TargetMode="External"/><Relationship Id="rId115" Type="http://schemas.openxmlformats.org/officeDocument/2006/relationships/hyperlink" Target="https://www.google.com/maps/search/?api=1&amp;query=Zone%205%20Triq%20Is-Sebh%20Central%20Business%20District%2C%20Qormi" TargetMode="External"/><Relationship Id="rId136" Type="http://schemas.openxmlformats.org/officeDocument/2006/relationships/hyperlink" Target="https://www.google.com/maps/search/?api=1&amp;query=The%20Old%20Factory%2C%20Zone%203%20Triq%20San%20Gwakkin%20Central%20Business%20District%2C%20B%27Kara" TargetMode="External"/><Relationship Id="rId157" Type="http://schemas.openxmlformats.org/officeDocument/2006/relationships/hyperlink" Target="https://dinofino.com/" TargetMode="External"/><Relationship Id="rId178" Type="http://schemas.openxmlformats.org/officeDocument/2006/relationships/hyperlink" Target="https://bigmatmalta.com/" TargetMode="External"/><Relationship Id="rId61" Type="http://schemas.openxmlformats.org/officeDocument/2006/relationships/hyperlink" Target="MAILTO:info@piscopogardens.com" TargetMode="External"/><Relationship Id="rId82" Type="http://schemas.openxmlformats.org/officeDocument/2006/relationships/hyperlink" Target="https://www.google.com/maps/search/?api=1&amp;query=Triq%20il-Mosta%2C%20Lija%2C%20Malta%20LIJA%209012" TargetMode="External"/><Relationship Id="rId199" Type="http://schemas.openxmlformats.org/officeDocument/2006/relationships/hyperlink" Target="https://pcs.com.mt/" TargetMode="External"/><Relationship Id="rId203" Type="http://schemas.openxmlformats.org/officeDocument/2006/relationships/hyperlink" Target="https://facebook.com/p/Garden-House-100066818242898/" TargetMode="External"/><Relationship Id="rId19" Type="http://schemas.openxmlformats.org/officeDocument/2006/relationships/hyperlink" Target="MAILTO:sales@tabonedirect.com" TargetMode="External"/><Relationship Id="rId224" Type="http://schemas.openxmlformats.org/officeDocument/2006/relationships/hyperlink" Target="https://jardinland.com.mt/" TargetMode="External"/><Relationship Id="rId30" Type="http://schemas.openxmlformats.org/officeDocument/2006/relationships/hyperlink" Target="MAILTO:protrade@protrademalta.com" TargetMode="External"/><Relationship Id="rId105" Type="http://schemas.openxmlformats.org/officeDocument/2006/relationships/hyperlink" Target="https://www.google.com/maps/search/?api=1&amp;query=Triq%20il-Wied%20ta%27%20I-Imsida%2C%20Msida" TargetMode="External"/><Relationship Id="rId126" Type="http://schemas.openxmlformats.org/officeDocument/2006/relationships/hyperlink" Target="https://www.google.com/maps/search/?api=1&amp;query=JPR%20Bldgs%20Qasam%20Industrijali%2C%20San%20Gwann" TargetMode="External"/><Relationship Id="rId147" Type="http://schemas.openxmlformats.org/officeDocument/2006/relationships/hyperlink" Target="https://www.google.com/maps/search/?api=1&amp;query=153%20Triq%20il-Kappilan%20Mifsud%2C%20Sta%20Venera" TargetMode="External"/><Relationship Id="rId168" Type="http://schemas.openxmlformats.org/officeDocument/2006/relationships/hyperlink" Target="https://facebook.com/p/Garden-House-100066818242898/" TargetMode="External"/><Relationship Id="rId51" Type="http://schemas.openxmlformats.org/officeDocument/2006/relationships/hyperlink" Target="MAILTO:mosta@homemate.com.mt" TargetMode="External"/><Relationship Id="rId72" Type="http://schemas.openxmlformats.org/officeDocument/2006/relationships/hyperlink" Target="MAILTO:info@callusgardencentre.com" TargetMode="External"/><Relationship Id="rId93" Type="http://schemas.openxmlformats.org/officeDocument/2006/relationships/hyperlink" Target="https://www.google.com/maps/search/?api=1&amp;query=Burmarrad%20Road%2C%20Burmarrad" TargetMode="External"/><Relationship Id="rId189" Type="http://schemas.openxmlformats.org/officeDocument/2006/relationships/hyperlink" Target="https://facebook.com/maltawarehousesale/" TargetMode="External"/><Relationship Id="rId3" Type="http://schemas.openxmlformats.org/officeDocument/2006/relationships/hyperlink" Target="MAILTO:protrade@protrademalta.com" TargetMode="External"/><Relationship Id="rId214" Type="http://schemas.openxmlformats.org/officeDocument/2006/relationships/hyperlink" Target="https://devalier.com.mt/" TargetMode="External"/><Relationship Id="rId116" Type="http://schemas.openxmlformats.org/officeDocument/2006/relationships/hyperlink" Target="https://www.google.com/maps/search/?api=1&amp;query=Triq%20L-Imprendituri%2C%20Industrial%20Zone%203%2C%20Central%20business%20district%2C%20Birkirkara%2C%20CBD%203090" TargetMode="External"/><Relationship Id="rId137" Type="http://schemas.openxmlformats.org/officeDocument/2006/relationships/hyperlink" Target="https://www.google.com/maps/search/?api=1&amp;query=Zone%205%20Triq%20Is-Sebh%20Central%20Business%20District%2C%20Qormi" TargetMode="External"/><Relationship Id="rId158" Type="http://schemas.openxmlformats.org/officeDocument/2006/relationships/hyperlink" Target="https://camilleriparismode.com/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Pitre%20Home%20Ltd%2C%20Mdina%20Road%2C%20Qormi" TargetMode="External"/><Relationship Id="rId13" Type="http://schemas.openxmlformats.org/officeDocument/2006/relationships/hyperlink" Target="https://pitreonline.com/" TargetMode="External"/><Relationship Id="rId3" Type="http://schemas.openxmlformats.org/officeDocument/2006/relationships/hyperlink" Target="MAILTO:info@brands.com.mt" TargetMode="External"/><Relationship Id="rId7" Type="http://schemas.openxmlformats.org/officeDocument/2006/relationships/hyperlink" Target="https://www.google.com/maps/search/?api=1&amp;query=Malta%20Design%0A33%20Triq%20l-Oleandru%20%2C%0ASan%20Giljan%2C%20Malta" TargetMode="External"/><Relationship Id="rId12" Type="http://schemas.openxmlformats.org/officeDocument/2006/relationships/hyperlink" Target="https://malta-design.com/" TargetMode="External"/><Relationship Id="rId17" Type="http://schemas.openxmlformats.org/officeDocument/2006/relationships/hyperlink" Target="https://allseasons.mt/" TargetMode="External"/><Relationship Id="rId2" Type="http://schemas.openxmlformats.org/officeDocument/2006/relationships/hyperlink" Target="MAILTO:home@jpitre.com" TargetMode="External"/><Relationship Id="rId16" Type="http://schemas.openxmlformats.org/officeDocument/2006/relationships/hyperlink" Target="https://styleinterni.com/" TargetMode="External"/><Relationship Id="rId1" Type="http://schemas.openxmlformats.org/officeDocument/2006/relationships/hyperlink" Target="MAILTO:sales@malta-design.com" TargetMode="External"/><Relationship Id="rId6" Type="http://schemas.openxmlformats.org/officeDocument/2006/relationships/hyperlink" Target="MAILTO:customercare@allseasons.mt" TargetMode="External"/><Relationship Id="rId11" Type="http://schemas.openxmlformats.org/officeDocument/2006/relationships/hyperlink" Target="https://www.google.com/maps/search/?api=1&amp;query=260%20Old%20Railway%20Track%2C%20Santa%20Venera%20SVR%209019" TargetMode="External"/><Relationship Id="rId5" Type="http://schemas.openxmlformats.org/officeDocument/2006/relationships/hyperlink" Target="MAILTO:info@styleinterni.com" TargetMode="External"/><Relationship Id="rId15" Type="http://schemas.openxmlformats.org/officeDocument/2006/relationships/hyperlink" Target="https://fino.com.mt/" TargetMode="External"/><Relationship Id="rId10" Type="http://schemas.openxmlformats.org/officeDocument/2006/relationships/hyperlink" Target="https://www.google.com/maps/search/?api=1&amp;query=Fino%20Buildings%2C%0ATriq%20l-Imdina%2C%20Zone%204%2C%0AMriehel%2FCentral%20Business%20District%0ACBD%204010%2C%20Malta" TargetMode="External"/><Relationship Id="rId4" Type="http://schemas.openxmlformats.org/officeDocument/2006/relationships/hyperlink" Target="MAILTO:info@fino.com.mt" TargetMode="External"/><Relationship Id="rId9" Type="http://schemas.openxmlformats.org/officeDocument/2006/relationships/hyperlink" Target="https://www.google.com/maps/search/?api=1&amp;query=Triq%20tal-Balal%2C%20San%20Gwann%2C%20Malta" TargetMode="External"/><Relationship Id="rId14" Type="http://schemas.openxmlformats.org/officeDocument/2006/relationships/hyperlink" Target="https://brands.com.mt/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102%20Palm%20Street%2C%0APLA1414%20Paola%20MALTA." TargetMode="External"/><Relationship Id="rId13" Type="http://schemas.openxmlformats.org/officeDocument/2006/relationships/hyperlink" Target="https://spotonmalta.com/" TargetMode="External"/><Relationship Id="rId3" Type="http://schemas.openxmlformats.org/officeDocument/2006/relationships/hyperlink" Target="MAILTO:info@megahome.mt" TargetMode="External"/><Relationship Id="rId7" Type="http://schemas.openxmlformats.org/officeDocument/2006/relationships/hyperlink" Target="https://www.google.com/maps/search/?api=1&amp;query=260%20Old%20Railway%20Track%2C%20Santa%20Venera%20SVR%209019" TargetMode="External"/><Relationship Id="rId12" Type="http://schemas.openxmlformats.org/officeDocument/2006/relationships/hyperlink" Target="https://styleinterni.com/" TargetMode="External"/><Relationship Id="rId17" Type="http://schemas.openxmlformats.org/officeDocument/2006/relationships/hyperlink" Target="https://bigbeninteriors.com.mt/" TargetMode="External"/><Relationship Id="rId2" Type="http://schemas.openxmlformats.org/officeDocument/2006/relationships/hyperlink" Target="MAILTO:info@spotonmalta.com" TargetMode="External"/><Relationship Id="rId16" Type="http://schemas.openxmlformats.org/officeDocument/2006/relationships/hyperlink" Target="https://lingonberries.mt/" TargetMode="External"/><Relationship Id="rId1" Type="http://schemas.openxmlformats.org/officeDocument/2006/relationships/hyperlink" Target="MAILTO:info@styleinterni.com" TargetMode="External"/><Relationship Id="rId6" Type="http://schemas.openxmlformats.org/officeDocument/2006/relationships/hyperlink" Target="MAILTO:info@bigbeninteriors.com.mt" TargetMode="External"/><Relationship Id="rId11" Type="http://schemas.openxmlformats.org/officeDocument/2006/relationships/hyperlink" Target="https://www.google.com/maps/search/?api=1&amp;query=Naxxar%20Road%2C%20Birkirkara%2C%0AMalta%2C%20BKR%209045" TargetMode="External"/><Relationship Id="rId5" Type="http://schemas.openxmlformats.org/officeDocument/2006/relationships/hyperlink" Target="MAILTO:sales@lingonberries.eu" TargetMode="External"/><Relationship Id="rId15" Type="http://schemas.openxmlformats.org/officeDocument/2006/relationships/hyperlink" Target="https://bfmarbles.com/" TargetMode="External"/><Relationship Id="rId10" Type="http://schemas.openxmlformats.org/officeDocument/2006/relationships/hyperlink" Target="https://www.google.com/maps/search/?api=1&amp;query=27%20Triq%20Wignacourt%2C%20Birkirkara" TargetMode="External"/><Relationship Id="rId4" Type="http://schemas.openxmlformats.org/officeDocument/2006/relationships/hyperlink" Target="MAILTO:info@bfmarbles.com" TargetMode="External"/><Relationship Id="rId9" Type="http://schemas.openxmlformats.org/officeDocument/2006/relationships/hyperlink" Target="https://www.google.com/maps/search/?api=1&amp;query=Triq%20Il-Vitorja%2C%20%C4%A6al%20Qormi%20QRM%202504" TargetMode="External"/><Relationship Id="rId14" Type="http://schemas.openxmlformats.org/officeDocument/2006/relationships/hyperlink" Target="https://megahome.mt/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soll.mt/" TargetMode="External"/><Relationship Id="rId3" Type="http://schemas.openxmlformats.org/officeDocument/2006/relationships/hyperlink" Target="MAILTO:info@soll.mt" TargetMode="External"/><Relationship Id="rId7" Type="http://schemas.openxmlformats.org/officeDocument/2006/relationships/hyperlink" Target="https://bfmarbles.com/" TargetMode="External"/><Relationship Id="rId2" Type="http://schemas.openxmlformats.org/officeDocument/2006/relationships/hyperlink" Target="MAILTO:info@bfmarbles.com" TargetMode="External"/><Relationship Id="rId1" Type="http://schemas.openxmlformats.org/officeDocument/2006/relationships/hyperlink" Target="MAILTO:info@megahome.mt" TargetMode="External"/><Relationship Id="rId6" Type="http://schemas.openxmlformats.org/officeDocument/2006/relationships/hyperlink" Target="https://megahome.mt/" TargetMode="External"/><Relationship Id="rId5" Type="http://schemas.openxmlformats.org/officeDocument/2006/relationships/hyperlink" Target="https://www.google.com/maps/search/?api=1&amp;query=B1%2C%20Midland%20Enterprise%20Park%0ABurmarrad%20Road%2C%0ANaxxar%2C%20Malta" TargetMode="External"/><Relationship Id="rId4" Type="http://schemas.openxmlformats.org/officeDocument/2006/relationships/hyperlink" Target="https://www.google.com/maps/search/?api=1&amp;query=Triq%20Il-Vitorja%2C%20%C4%A6al%20Qormi%20QRM%202504" TargetMode="External"/><Relationship Id="rId9" Type="http://schemas.openxmlformats.org/officeDocument/2006/relationships/hyperlink" Target="https://facebook.com/profile.php?id=61561349402968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Baldacchino%20Building%20B%2C%20Triq%20Il-Belt%20Valletta%2C%20Zurrieq" TargetMode="External"/><Relationship Id="rId13" Type="http://schemas.openxmlformats.org/officeDocument/2006/relationships/hyperlink" Target="https://www.google.com/maps/search/?api=1&amp;query=Triq%20L-Mdina%2C%20Haz-Zebbug%2C%20ZBG09018" TargetMode="External"/><Relationship Id="rId18" Type="http://schemas.openxmlformats.org/officeDocument/2006/relationships/hyperlink" Target="https://facebook.com/venezianocreazioni/?locale=it_IT" TargetMode="External"/><Relationship Id="rId3" Type="http://schemas.openxmlformats.org/officeDocument/2006/relationships/hyperlink" Target="MAILTO:info@ferraramalta.com" TargetMode="External"/><Relationship Id="rId21" Type="http://schemas.openxmlformats.org/officeDocument/2006/relationships/hyperlink" Target="https://lingonberries.mt/" TargetMode="External"/><Relationship Id="rId7" Type="http://schemas.openxmlformats.org/officeDocument/2006/relationships/hyperlink" Target="MAILTO:sales@lingonberries.eu" TargetMode="External"/><Relationship Id="rId12" Type="http://schemas.openxmlformats.org/officeDocument/2006/relationships/hyperlink" Target="https://www.google.com/maps/search/?api=1&amp;query=Triq%20Il-Vitorja%2C%20%C4%A6al%20Qormi%20QRM%202504" TargetMode="External"/><Relationship Id="rId17" Type="http://schemas.openxmlformats.org/officeDocument/2006/relationships/hyperlink" Target="https://ferraramalta.com/" TargetMode="External"/><Relationship Id="rId2" Type="http://schemas.openxmlformats.org/officeDocument/2006/relationships/hyperlink" Target="MAILTO:info@styleinterni.com" TargetMode="External"/><Relationship Id="rId16" Type="http://schemas.openxmlformats.org/officeDocument/2006/relationships/hyperlink" Target="https://styleinterni.com/" TargetMode="External"/><Relationship Id="rId20" Type="http://schemas.openxmlformats.org/officeDocument/2006/relationships/hyperlink" Target="https://luxonas.com/" TargetMode="External"/><Relationship Id="rId1" Type="http://schemas.openxmlformats.org/officeDocument/2006/relationships/hyperlink" Target="MAILTO:sales@maltadiy.com" TargetMode="External"/><Relationship Id="rId6" Type="http://schemas.openxmlformats.org/officeDocument/2006/relationships/hyperlink" Target="MAILTO:info@luxonas.com" TargetMode="External"/><Relationship Id="rId11" Type="http://schemas.openxmlformats.org/officeDocument/2006/relationships/hyperlink" Target="https://www.google.com/maps/search/?api=1&amp;query=Mosta%2C%20Malta" TargetMode="External"/><Relationship Id="rId5" Type="http://schemas.openxmlformats.org/officeDocument/2006/relationships/hyperlink" Target="MAILTO:info@megahome.mt" TargetMode="External"/><Relationship Id="rId15" Type="http://schemas.openxmlformats.org/officeDocument/2006/relationships/hyperlink" Target="https://maltadiy.com/product-category/lights-and-tech/lights/" TargetMode="External"/><Relationship Id="rId10" Type="http://schemas.openxmlformats.org/officeDocument/2006/relationships/hyperlink" Target="https://www.google.com/maps/search/?api=1&amp;query=Ferraracasa%20Warehouse%0ATriq%20is-Salib%20ta%20l-Mriehel%0ACBD3020%20Birkirkara%0AMalta" TargetMode="External"/><Relationship Id="rId19" Type="http://schemas.openxmlformats.org/officeDocument/2006/relationships/hyperlink" Target="https://megahome.mt/" TargetMode="External"/><Relationship Id="rId4" Type="http://schemas.openxmlformats.org/officeDocument/2006/relationships/hyperlink" Target="MAILTO:venezianocreazioni@gmail.com" TargetMode="External"/><Relationship Id="rId9" Type="http://schemas.openxmlformats.org/officeDocument/2006/relationships/hyperlink" Target="https://www.google.com/maps/search/?api=1&amp;query=260%20Old%20Railway%20Track%2C%20Santa%20Venera%20SVR%209019" TargetMode="External"/><Relationship Id="rId14" Type="http://schemas.openxmlformats.org/officeDocument/2006/relationships/hyperlink" Target="https://www.google.com/maps/search/?api=1&amp;query=27%20Triq%20Wignacourt%2C%20Birkirkara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turbosignsmalta.com/" TargetMode="External"/><Relationship Id="rId2" Type="http://schemas.openxmlformats.org/officeDocument/2006/relationships/hyperlink" Target="https://www.google.com/maps/search/?api=1&amp;query=Parades%20Street%2C%20St%20Paul%27s%20Bay" TargetMode="External"/><Relationship Id="rId1" Type="http://schemas.openxmlformats.org/officeDocument/2006/relationships/hyperlink" Target="MAILTO:turbosigns@outlook.com" TargetMode="External"/></Relationships>
</file>

<file path=xl/worksheets/_rels/sheet4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amingo.com.mt/" TargetMode="External"/><Relationship Id="rId21" Type="http://schemas.openxmlformats.org/officeDocument/2006/relationships/hyperlink" Target="MAILTO:info@oxfordhouse.com.mt" TargetMode="External"/><Relationship Id="rId42" Type="http://schemas.openxmlformats.org/officeDocument/2006/relationships/hyperlink" Target="MAILTO:gdatrade@waldonet.net.mt" TargetMode="External"/><Relationship Id="rId63" Type="http://schemas.openxmlformats.org/officeDocument/2006/relationships/hyperlink" Target="https://www.google.com/maps/search/?api=1&amp;query=Vjal%20I-Infiprndenza%2C%20Mosta" TargetMode="External"/><Relationship Id="rId84" Type="http://schemas.openxmlformats.org/officeDocument/2006/relationships/hyperlink" Target="https://www.google.com/maps/search/?api=1&amp;query=12%20Triq%20il-Hammieri%2C%20Qormi%2C%20Malta" TargetMode="External"/><Relationship Id="rId138" Type="http://schemas.openxmlformats.org/officeDocument/2006/relationships/hyperlink" Target="https://consiglio.com.mt/" TargetMode="External"/><Relationship Id="rId107" Type="http://schemas.openxmlformats.org/officeDocument/2006/relationships/hyperlink" Target="https://kcl.com.mt/" TargetMode="External"/><Relationship Id="rId11" Type="http://schemas.openxmlformats.org/officeDocument/2006/relationships/hyperlink" Target="MAILTO:dpcomfortek@gmail.com" TargetMode="External"/><Relationship Id="rId32" Type="http://schemas.openxmlformats.org/officeDocument/2006/relationships/hyperlink" Target="MAILTO:tabletsandmoreelectronics@yahoo.com" TargetMode="External"/><Relationship Id="rId53" Type="http://schemas.openxmlformats.org/officeDocument/2006/relationships/hyperlink" Target="https://www.google.com/maps/search/?api=1&amp;query=Triq%20il-Wied%20ta%27%20I-Imsida%2C%20Msida%2C%20Malta%20MSD%209022" TargetMode="External"/><Relationship Id="rId74" Type="http://schemas.openxmlformats.org/officeDocument/2006/relationships/hyperlink" Target="https://www.google.com/maps/search/?api=1&amp;query=Triq%20Fortunato%20Mizzi%2C%20Victoria-Gozo" TargetMode="External"/><Relationship Id="rId128" Type="http://schemas.openxmlformats.org/officeDocument/2006/relationships/hyperlink" Target="https://xtmalta.com/" TargetMode="External"/><Relationship Id="rId149" Type="http://schemas.openxmlformats.org/officeDocument/2006/relationships/hyperlink" Target="https://xtmalta.com/" TargetMode="External"/><Relationship Id="rId5" Type="http://schemas.openxmlformats.org/officeDocument/2006/relationships/hyperlink" Target="MAILTO:tabletsandmoreelectronics@yahoo.com" TargetMode="External"/><Relationship Id="rId95" Type="http://schemas.openxmlformats.org/officeDocument/2006/relationships/hyperlink" Target="https://www.google.com/maps/search/?api=1&amp;query=191%20Triq%20Hal%20Qormi%2C%20Marsa" TargetMode="External"/><Relationship Id="rId22" Type="http://schemas.openxmlformats.org/officeDocument/2006/relationships/hyperlink" Target="MAILTO:refcold@maltanet.net" TargetMode="External"/><Relationship Id="rId27" Type="http://schemas.openxmlformats.org/officeDocument/2006/relationships/hyperlink" Target="MAILTO:x.treme@onvol.net" TargetMode="External"/><Relationship Id="rId43" Type="http://schemas.openxmlformats.org/officeDocument/2006/relationships/hyperlink" Target="MAILTO:georgetvhifi@gmail.com" TargetMode="External"/><Relationship Id="rId48" Type="http://schemas.openxmlformats.org/officeDocument/2006/relationships/hyperlink" Target="MAILTO:rotunda@maltanet.net" TargetMode="External"/><Relationship Id="rId64" Type="http://schemas.openxmlformats.org/officeDocument/2006/relationships/hyperlink" Target="https://www.google.com/maps/search/?api=1&amp;query=Triq%20Valetta%2C%20Mosta%2C%20Malta" TargetMode="External"/><Relationship Id="rId69" Type="http://schemas.openxmlformats.org/officeDocument/2006/relationships/hyperlink" Target="https://www.google.com/maps/search/?api=1&amp;query=146%20Triq%20Sant%27%20Orsla%20Victoria-Gozo" TargetMode="External"/><Relationship Id="rId113" Type="http://schemas.openxmlformats.org/officeDocument/2006/relationships/hyperlink" Target="https://facebook.com/cathshome" TargetMode="External"/><Relationship Id="rId118" Type="http://schemas.openxmlformats.org/officeDocument/2006/relationships/hyperlink" Target="https://foresaksgroup.com/" TargetMode="External"/><Relationship Id="rId134" Type="http://schemas.openxmlformats.org/officeDocument/2006/relationships/hyperlink" Target="https://facebook.com/akkwist" TargetMode="External"/><Relationship Id="rId139" Type="http://schemas.openxmlformats.org/officeDocument/2006/relationships/hyperlink" Target="https://cutajarhifi.com/" TargetMode="External"/><Relationship Id="rId80" Type="http://schemas.openxmlformats.org/officeDocument/2006/relationships/hyperlink" Target="https://www.google.com/maps/search/?api=1&amp;query=Triq%20il-Wied%20ta%27%20I-Imsida%2C%20Msida%2C%20Malta%20MSD%209022" TargetMode="External"/><Relationship Id="rId85" Type="http://schemas.openxmlformats.org/officeDocument/2006/relationships/hyperlink" Target="https://www.google.com/maps/search/?api=1&amp;query=18%20Wesghat%20il-Knisja%20tan-Nattivita%2C%20Bormla%2C%20Malta%20BML%201650" TargetMode="External"/><Relationship Id="rId12" Type="http://schemas.openxmlformats.org/officeDocument/2006/relationships/hyperlink" Target="MAILTO:consigliohomeappliances@gmail.com" TargetMode="External"/><Relationship Id="rId17" Type="http://schemas.openxmlformats.org/officeDocument/2006/relationships/hyperlink" Target="MAILTO:gdatrade@waldonet.net.mt" TargetMode="External"/><Relationship Id="rId33" Type="http://schemas.openxmlformats.org/officeDocument/2006/relationships/hyperlink" Target="MAILTO:camrugun@hotmail.com" TargetMode="External"/><Relationship Id="rId38" Type="http://schemas.openxmlformats.org/officeDocument/2006/relationships/hyperlink" Target="MAILTO:cutajarhifivideocentre@outlook.com" TargetMode="External"/><Relationship Id="rId59" Type="http://schemas.openxmlformats.org/officeDocument/2006/relationships/hyperlink" Target="https://www.google.com/maps/search/?api=1&amp;query=10%20Misrah%20I%27%20Isle%20Adam%2C%20Rabat%2C%20Malta%20RBT%201169" TargetMode="External"/><Relationship Id="rId103" Type="http://schemas.openxmlformats.org/officeDocument/2006/relationships/hyperlink" Target="https://www.google.com/maps/search/?api=1&amp;query=Triq%20Gorg%20Borg%20Olivier%2C%20Victoria-Gozo%2C%20Gozo%20VCT%202514" TargetMode="External"/><Relationship Id="rId108" Type="http://schemas.openxmlformats.org/officeDocument/2006/relationships/hyperlink" Target="https://facebook.com/futurahomeappliances/" TargetMode="External"/><Relationship Id="rId124" Type="http://schemas.openxmlformats.org/officeDocument/2006/relationships/hyperlink" Target="https://refcold.com.mt/" TargetMode="External"/><Relationship Id="rId129" Type="http://schemas.openxmlformats.org/officeDocument/2006/relationships/hyperlink" Target="https://petroni.com.mt/" TargetMode="External"/><Relationship Id="rId54" Type="http://schemas.openxmlformats.org/officeDocument/2006/relationships/hyperlink" Target="https://www.google.com/maps/search/?api=1&amp;query=Triq%20il-Kostituzzjoni%2C%20Mosta%2C%20Malta%20MST%209050" TargetMode="External"/><Relationship Id="rId70" Type="http://schemas.openxmlformats.org/officeDocument/2006/relationships/hyperlink" Target="https://www.google.com/maps/search/?api=1&amp;query=191%20Triq%20Hal%20Qormi%2C%20Marsa" TargetMode="External"/><Relationship Id="rId75" Type="http://schemas.openxmlformats.org/officeDocument/2006/relationships/hyperlink" Target="https://www.google.com/maps/search/?api=1&amp;query=Misrah%20Gavino%20Gulia%2C%20Bormla" TargetMode="External"/><Relationship Id="rId91" Type="http://schemas.openxmlformats.org/officeDocument/2006/relationships/hyperlink" Target="https://www.google.com/maps/search/?api=1&amp;query=Zone%205%20Triq%20ll-Kanun%20Central%20Business%20District%2C%20Qormi%2C%20Malta%20CBD%205060" TargetMode="External"/><Relationship Id="rId96" Type="http://schemas.openxmlformats.org/officeDocument/2006/relationships/hyperlink" Target="https://www.google.com/maps/search/?api=1&amp;query=Triq%20il-Wied%2C%20B%27Kara" TargetMode="External"/><Relationship Id="rId140" Type="http://schemas.openxmlformats.org/officeDocument/2006/relationships/hyperlink" Target="https://flamingo.com.mt/" TargetMode="External"/><Relationship Id="rId145" Type="http://schemas.openxmlformats.org/officeDocument/2006/relationships/hyperlink" Target="https://itc-malta.com/" TargetMode="External"/><Relationship Id="rId1" Type="http://schemas.openxmlformats.org/officeDocument/2006/relationships/hyperlink" Target="MAILTO:info@petroni.com.mt" TargetMode="External"/><Relationship Id="rId6" Type="http://schemas.openxmlformats.org/officeDocument/2006/relationships/hyperlink" Target="MAILTO:camrugun@hotmail.com" TargetMode="External"/><Relationship Id="rId23" Type="http://schemas.openxmlformats.org/officeDocument/2006/relationships/hyperlink" Target="MAILTO:rightdealcosp@onvol.net" TargetMode="External"/><Relationship Id="rId28" Type="http://schemas.openxmlformats.org/officeDocument/2006/relationships/hyperlink" Target="MAILTO:info@petroni.com.mt" TargetMode="External"/><Relationship Id="rId49" Type="http://schemas.openxmlformats.org/officeDocument/2006/relationships/hyperlink" Target="MAILTO:admin@stopshopmt.com" TargetMode="External"/><Relationship Id="rId114" Type="http://schemas.openxmlformats.org/officeDocument/2006/relationships/hyperlink" Target="https://fb.com/ComfortekMalta" TargetMode="External"/><Relationship Id="rId119" Type="http://schemas.openxmlformats.org/officeDocument/2006/relationships/hyperlink" Target="https://facebook.com/people/Freddies-Household/100063498252557/?utm_source=Yellow&amp;utm_medium=Yellow-Website&amp;utm_campaign=Landing-Page" TargetMode="External"/><Relationship Id="rId44" Type="http://schemas.openxmlformats.org/officeDocument/2006/relationships/hyperlink" Target="MAILTO:info@hotpointmalta.com" TargetMode="External"/><Relationship Id="rId60" Type="http://schemas.openxmlformats.org/officeDocument/2006/relationships/hyperlink" Target="https://www.google.com/maps/search/?api=1&amp;query=Triq%20San%20Tumas%2C%20Luqa%2C%20Malta%20LQA%209031" TargetMode="External"/><Relationship Id="rId65" Type="http://schemas.openxmlformats.org/officeDocument/2006/relationships/hyperlink" Target="https://www.google.com/maps/search/?api=1&amp;query=Triq%20Gorg%20Borg%20Olivier%2C%20Victoria-Gozo%2C%20Gozo%20VCT%202514" TargetMode="External"/><Relationship Id="rId81" Type="http://schemas.openxmlformats.org/officeDocument/2006/relationships/hyperlink" Target="https://www.google.com/maps/search/?api=1&amp;query=Triq%20il-Kostituzzjoni%2C%20Mosta%2C%20Malta%20MST%209050" TargetMode="External"/><Relationship Id="rId86" Type="http://schemas.openxmlformats.org/officeDocument/2006/relationships/hyperlink" Target="https://www.google.com/maps/search/?api=1&amp;query=10%20Misrah%20I%27%20Isle%20Adam%2C%20Rabat%2C%20Malta%20RBT%201169" TargetMode="External"/><Relationship Id="rId130" Type="http://schemas.openxmlformats.org/officeDocument/2006/relationships/hyperlink" Target="https://soundsmart.com.mt/" TargetMode="External"/><Relationship Id="rId135" Type="http://schemas.openxmlformats.org/officeDocument/2006/relationships/hyperlink" Target="https://facebook.com/TaGulinu/info?tab=page%5Cuinfo" TargetMode="External"/><Relationship Id="rId13" Type="http://schemas.openxmlformats.org/officeDocument/2006/relationships/hyperlink" Target="MAILTO:info@divine.com.mt" TargetMode="External"/><Relationship Id="rId18" Type="http://schemas.openxmlformats.org/officeDocument/2006/relationships/hyperlink" Target="MAILTO:georgetvhifi@gmail.com" TargetMode="External"/><Relationship Id="rId39" Type="http://schemas.openxmlformats.org/officeDocument/2006/relationships/hyperlink" Target="MAILTO:sales@flamingo.com.mt" TargetMode="External"/><Relationship Id="rId109" Type="http://schemas.openxmlformats.org/officeDocument/2006/relationships/hyperlink" Target="https://tabletsandmoreelectronics.com/" TargetMode="External"/><Relationship Id="rId34" Type="http://schemas.openxmlformats.org/officeDocument/2006/relationships/hyperlink" Target="MAILTO:tagulinu@onvol.net" TargetMode="External"/><Relationship Id="rId50" Type="http://schemas.openxmlformats.org/officeDocument/2006/relationships/hyperlink" Target="MAILTO:info@topchoice.com.mt" TargetMode="External"/><Relationship Id="rId55" Type="http://schemas.openxmlformats.org/officeDocument/2006/relationships/hyperlink" Target="https://www.google.com/maps/search/?api=1&amp;query=22%2C%20Triq%20Sant%27%20Elija%2C%20B%27Kara%2C%20Malta%20BKR%202064" TargetMode="External"/><Relationship Id="rId76" Type="http://schemas.openxmlformats.org/officeDocument/2006/relationships/hyperlink" Target="https://www.google.com/maps/search/?api=1&amp;query=7%2C%209%20Rotunda%20Dept%20Stores%20Triq%20il-Kungress%20Ewkaristiku%2C%20Mosta" TargetMode="External"/><Relationship Id="rId97" Type="http://schemas.openxmlformats.org/officeDocument/2006/relationships/hyperlink" Target="https://www.google.com/maps/search/?api=1&amp;query=Triq%20Nazzjonali%20Blata%20L-Blajda%2C%20Hamrun%2C%20Malta%20HMR%209012" TargetMode="External"/><Relationship Id="rId104" Type="http://schemas.openxmlformats.org/officeDocument/2006/relationships/hyperlink" Target="https://venturamalta.com/" TargetMode="External"/><Relationship Id="rId120" Type="http://schemas.openxmlformats.org/officeDocument/2006/relationships/hyperlink" Target="https://gda.com.mt/" TargetMode="External"/><Relationship Id="rId125" Type="http://schemas.openxmlformats.org/officeDocument/2006/relationships/hyperlink" Target="https://rightdealmalta.com/" TargetMode="External"/><Relationship Id="rId141" Type="http://schemas.openxmlformats.org/officeDocument/2006/relationships/hyperlink" Target="https://forestalsgroup.com/" TargetMode="External"/><Relationship Id="rId146" Type="http://schemas.openxmlformats.org/officeDocument/2006/relationships/hyperlink" Target="https://facebook.com/p/JS-Household-100063545924453/" TargetMode="External"/><Relationship Id="rId7" Type="http://schemas.openxmlformats.org/officeDocument/2006/relationships/hyperlink" Target="MAILTO:tagulinu@onvol.net" TargetMode="External"/><Relationship Id="rId71" Type="http://schemas.openxmlformats.org/officeDocument/2006/relationships/hyperlink" Target="https://www.google.com/maps/search/?api=1&amp;query=Triq%20il-Wied%2C%20B%27Kara" TargetMode="External"/><Relationship Id="rId92" Type="http://schemas.openxmlformats.org/officeDocument/2006/relationships/hyperlink" Target="https://www.google.com/maps/search/?api=1&amp;query=Zone%203%20Triq%20L-Intornjatur%20Central%20Business%20District%2C%20B%27Kara%2C%20Malta%20CBD%203050" TargetMode="External"/><Relationship Id="rId2" Type="http://schemas.openxmlformats.org/officeDocument/2006/relationships/hyperlink" Target="MAILTO:info@soundsmart.com.mt" TargetMode="External"/><Relationship Id="rId29" Type="http://schemas.openxmlformats.org/officeDocument/2006/relationships/hyperlink" Target="MAILTO:info@soundsmart.com.mt" TargetMode="External"/><Relationship Id="rId24" Type="http://schemas.openxmlformats.org/officeDocument/2006/relationships/hyperlink" Target="MAILTO:rotunda@maltanet.net" TargetMode="External"/><Relationship Id="rId40" Type="http://schemas.openxmlformats.org/officeDocument/2006/relationships/hyperlink" Target="MAILTO:info@forestals.com" TargetMode="External"/><Relationship Id="rId45" Type="http://schemas.openxmlformats.org/officeDocument/2006/relationships/hyperlink" Target="MAILTO:showroom@itc-malta.com" TargetMode="External"/><Relationship Id="rId66" Type="http://schemas.openxmlformats.org/officeDocument/2006/relationships/hyperlink" Target="https://www.google.com/maps/search/?api=1&amp;query=Zone%205%20Triq%20ll-Kanun%20Central%20Business%20District%2C%20Qormi%2C%20Malta%20CBD%205060" TargetMode="External"/><Relationship Id="rId87" Type="http://schemas.openxmlformats.org/officeDocument/2006/relationships/hyperlink" Target="https://www.google.com/maps/search/?api=1&amp;query=Triq%20il-Kappillan%20Mifsud%2C%20Sta%20Venera" TargetMode="External"/><Relationship Id="rId110" Type="http://schemas.openxmlformats.org/officeDocument/2006/relationships/hyperlink" Target="https://facebook.com/akkwist" TargetMode="External"/><Relationship Id="rId115" Type="http://schemas.openxmlformats.org/officeDocument/2006/relationships/hyperlink" Target="https://consiglio.com.mt/" TargetMode="External"/><Relationship Id="rId131" Type="http://schemas.openxmlformats.org/officeDocument/2006/relationships/hyperlink" Target="https://kcl.com.mt/" TargetMode="External"/><Relationship Id="rId136" Type="http://schemas.openxmlformats.org/officeDocument/2006/relationships/hyperlink" Target="https://centrocasalinga.com/" TargetMode="External"/><Relationship Id="rId61" Type="http://schemas.openxmlformats.org/officeDocument/2006/relationships/hyperlink" Target="https://www.google.com/maps/search/?api=1&amp;query=Triq%20it-Tabib%20Nikol%20Zammit%2C%20Siggiewi%2C%20Malta%20SHW%203075" TargetMode="External"/><Relationship Id="rId82" Type="http://schemas.openxmlformats.org/officeDocument/2006/relationships/hyperlink" Target="https://www.google.com/maps/search/?api=1&amp;query=22%2C%20Triq%20Sant%27%20Elija%2C%20B%27Kara%2C%20Malta%20BKR%202064" TargetMode="External"/><Relationship Id="rId19" Type="http://schemas.openxmlformats.org/officeDocument/2006/relationships/hyperlink" Target="MAILTO:info@hotpointmalta.com" TargetMode="External"/><Relationship Id="rId14" Type="http://schemas.openxmlformats.org/officeDocument/2006/relationships/hyperlink" Target="MAILTO:sales@flamingo.com.mt" TargetMode="External"/><Relationship Id="rId30" Type="http://schemas.openxmlformats.org/officeDocument/2006/relationships/hyperlink" Target="MAILTO:info@kcl.com.mt" TargetMode="External"/><Relationship Id="rId35" Type="http://schemas.openxmlformats.org/officeDocument/2006/relationships/hyperlink" Target="MAILTO:sales@jjscerri.com" TargetMode="External"/><Relationship Id="rId56" Type="http://schemas.openxmlformats.org/officeDocument/2006/relationships/hyperlink" Target="https://www.google.com/maps/search/?api=1&amp;query=220%20Triq%20in-Naxxar%2C%20San%20Gwann%2C%20Malta%20SGN%209030" TargetMode="External"/><Relationship Id="rId77" Type="http://schemas.openxmlformats.org/officeDocument/2006/relationships/hyperlink" Target="https://www.google.com/maps/search/?api=1&amp;query=280%20Triq%20il-Kbira%20San%20Guzepp%2C%20Hamrun" TargetMode="External"/><Relationship Id="rId100" Type="http://schemas.openxmlformats.org/officeDocument/2006/relationships/hyperlink" Target="https://www.google.com/maps/search/?api=1&amp;query=7%2C%209%20Rotunda%20Dept%20Stores%20Triq%20il-Kungress%20Ewkaristiku%2C%20Mosta" TargetMode="External"/><Relationship Id="rId105" Type="http://schemas.openxmlformats.org/officeDocument/2006/relationships/hyperlink" Target="https://petroni.com.mt/" TargetMode="External"/><Relationship Id="rId126" Type="http://schemas.openxmlformats.org/officeDocument/2006/relationships/hyperlink" Target="https://topchoice.com.mt/" TargetMode="External"/><Relationship Id="rId147" Type="http://schemas.openxmlformats.org/officeDocument/2006/relationships/hyperlink" Target="https://rightdealmalta.com/" TargetMode="External"/><Relationship Id="rId8" Type="http://schemas.openxmlformats.org/officeDocument/2006/relationships/hyperlink" Target="MAILTO:etv@etvhomeline.com" TargetMode="External"/><Relationship Id="rId51" Type="http://schemas.openxmlformats.org/officeDocument/2006/relationships/hyperlink" Target="MAILTO:x.treme@onvol.net" TargetMode="External"/><Relationship Id="rId72" Type="http://schemas.openxmlformats.org/officeDocument/2006/relationships/hyperlink" Target="https://www.google.com/maps/search/?api=1&amp;query=Triq%20Nazzjonali%20Blata%20L-Blajda%2C%20Hamrun%2C%20Malta%20HMR%209012" TargetMode="External"/><Relationship Id="rId93" Type="http://schemas.openxmlformats.org/officeDocument/2006/relationships/hyperlink" Target="https://www.google.com/maps/search/?api=1&amp;query=Triq%20il-Kungress%20Ewkaristiku%2C%20Mosta" TargetMode="External"/><Relationship Id="rId98" Type="http://schemas.openxmlformats.org/officeDocument/2006/relationships/hyperlink" Target="https://www.google.com/maps/search/?api=1&amp;query=71%20Triq%20il-Buqexrem%2C%20Fgura" TargetMode="External"/><Relationship Id="rId121" Type="http://schemas.openxmlformats.org/officeDocument/2006/relationships/hyperlink" Target="https://hotpointmalta.com/" TargetMode="External"/><Relationship Id="rId142" Type="http://schemas.openxmlformats.org/officeDocument/2006/relationships/hyperlink" Target="https://facebook.com/people/Freddies-Household/100063498252557/?utm_source=Yellow&amp;utm_medium=Yellow-Website&amp;utm_campaign=Landing-Page" TargetMode="External"/><Relationship Id="rId3" Type="http://schemas.openxmlformats.org/officeDocument/2006/relationships/hyperlink" Target="MAILTO:info@kcl.com.mt" TargetMode="External"/><Relationship Id="rId25" Type="http://schemas.openxmlformats.org/officeDocument/2006/relationships/hyperlink" Target="MAILTO:info@topchoice.com.mt" TargetMode="External"/><Relationship Id="rId46" Type="http://schemas.openxmlformats.org/officeDocument/2006/relationships/hyperlink" Target="MAILTO:info@jshousehold.com" TargetMode="External"/><Relationship Id="rId67" Type="http://schemas.openxmlformats.org/officeDocument/2006/relationships/hyperlink" Target="https://www.google.com/maps/search/?api=1&amp;query=Zone%203%20Triq%20L-Intornjatur%20Central%20Business%20District%2C%20B%27Kara%2C%20Malta%20CBD%203050" TargetMode="External"/><Relationship Id="rId116" Type="http://schemas.openxmlformats.org/officeDocument/2006/relationships/hyperlink" Target="https://divine.com.mt/" TargetMode="External"/><Relationship Id="rId137" Type="http://schemas.openxmlformats.org/officeDocument/2006/relationships/hyperlink" Target="https://fb.com/ComfortekMalta" TargetMode="External"/><Relationship Id="rId20" Type="http://schemas.openxmlformats.org/officeDocument/2006/relationships/hyperlink" Target="MAILTO:showroom@itc-malta.com" TargetMode="External"/><Relationship Id="rId41" Type="http://schemas.openxmlformats.org/officeDocument/2006/relationships/hyperlink" Target="MAILTO:freddies@onvol.net" TargetMode="External"/><Relationship Id="rId62" Type="http://schemas.openxmlformats.org/officeDocument/2006/relationships/hyperlink" Target="https://www.google.com/maps/search/?api=1&amp;query=Triq%20il-Gzira%2C%20Malta%20GZR%201312" TargetMode="External"/><Relationship Id="rId83" Type="http://schemas.openxmlformats.org/officeDocument/2006/relationships/hyperlink" Target="https://www.google.com/maps/search/?api=1&amp;query=220%20Triq%20in-Naxxar%2C%20San%20Gwann%2C%20Malta%20SGN%209030" TargetMode="External"/><Relationship Id="rId88" Type="http://schemas.openxmlformats.org/officeDocument/2006/relationships/hyperlink" Target="https://www.google.com/maps/search/?api=1&amp;query=Vjal%20I-Infiprndenza%2C%20Mosta" TargetMode="External"/><Relationship Id="rId111" Type="http://schemas.openxmlformats.org/officeDocument/2006/relationships/hyperlink" Target="https://facebook.com/TaGulinu/info?tab=page%5Cuinfo" TargetMode="External"/><Relationship Id="rId132" Type="http://schemas.openxmlformats.org/officeDocument/2006/relationships/hyperlink" Target="https://facebook.com/futurahomeappliances/" TargetMode="External"/><Relationship Id="rId15" Type="http://schemas.openxmlformats.org/officeDocument/2006/relationships/hyperlink" Target="MAILTO:info@forestals.com" TargetMode="External"/><Relationship Id="rId36" Type="http://schemas.openxmlformats.org/officeDocument/2006/relationships/hyperlink" Target="MAILTO:dpcomfortek@gmail.com" TargetMode="External"/><Relationship Id="rId57" Type="http://schemas.openxmlformats.org/officeDocument/2006/relationships/hyperlink" Target="https://www.google.com/maps/search/?api=1&amp;query=12%20Triq%20il-Hammieri%2C%20Qormi%2C%20Malta" TargetMode="External"/><Relationship Id="rId106" Type="http://schemas.openxmlformats.org/officeDocument/2006/relationships/hyperlink" Target="https://soundsmart.com.mt/" TargetMode="External"/><Relationship Id="rId127" Type="http://schemas.openxmlformats.org/officeDocument/2006/relationships/hyperlink" Target="https://ultimate.com.mt/" TargetMode="External"/><Relationship Id="rId10" Type="http://schemas.openxmlformats.org/officeDocument/2006/relationships/hyperlink" Target="MAILTO:caths@melita.com" TargetMode="External"/><Relationship Id="rId31" Type="http://schemas.openxmlformats.org/officeDocument/2006/relationships/hyperlink" Target="MAILTO:futurahomeappliances@gmail.com" TargetMode="External"/><Relationship Id="rId52" Type="http://schemas.openxmlformats.org/officeDocument/2006/relationships/hyperlink" Target="https://www.google.com/maps/search/?api=1&amp;query=BLB%20021%20Qasam%20Industrijali%2C%20Bulebel%2C%20Zejtun%2C%20Malta%20ZTN%203000" TargetMode="External"/><Relationship Id="rId73" Type="http://schemas.openxmlformats.org/officeDocument/2006/relationships/hyperlink" Target="https://www.google.com/maps/search/?api=1&amp;query=Zone%202%20Triq%20L-Imdina%20Central%20Business%20District%2C%20B%27Kara%2C%20Malta%20CBD%202010" TargetMode="External"/><Relationship Id="rId78" Type="http://schemas.openxmlformats.org/officeDocument/2006/relationships/hyperlink" Target="https://www.google.com/maps/search/?api=1&amp;query=Triq%20Salvu%20Busuttil%2C%20San%20Gwann" TargetMode="External"/><Relationship Id="rId94" Type="http://schemas.openxmlformats.org/officeDocument/2006/relationships/hyperlink" Target="https://www.google.com/maps/search/?api=1&amp;query=146%20Triq%20Sant%27%20Orsla%20Victoria-Gozo" TargetMode="External"/><Relationship Id="rId99" Type="http://schemas.openxmlformats.org/officeDocument/2006/relationships/hyperlink" Target="https://www.google.com/maps/search/?api=1&amp;query=Misrah%20Gavino%20Gulia%2C%20Bormla" TargetMode="External"/><Relationship Id="rId101" Type="http://schemas.openxmlformats.org/officeDocument/2006/relationships/hyperlink" Target="https://www.google.com/maps/search/?api=1&amp;query=Triq%20il-Lampuki%2C%20San%20Pawl%20ll-Bahar" TargetMode="External"/><Relationship Id="rId122" Type="http://schemas.openxmlformats.org/officeDocument/2006/relationships/hyperlink" Target="https://itc-malta.com/" TargetMode="External"/><Relationship Id="rId143" Type="http://schemas.openxmlformats.org/officeDocument/2006/relationships/hyperlink" Target="https://gda.com.mt/" TargetMode="External"/><Relationship Id="rId148" Type="http://schemas.openxmlformats.org/officeDocument/2006/relationships/hyperlink" Target="https://topchoice.com.mt/" TargetMode="External"/><Relationship Id="rId4" Type="http://schemas.openxmlformats.org/officeDocument/2006/relationships/hyperlink" Target="MAILTO:futurahomeappliances@gmail.com" TargetMode="External"/><Relationship Id="rId9" Type="http://schemas.openxmlformats.org/officeDocument/2006/relationships/hyperlink" Target="MAILTO:bakerspoint1@gmail.com" TargetMode="External"/><Relationship Id="rId26" Type="http://schemas.openxmlformats.org/officeDocument/2006/relationships/hyperlink" Target="MAILTO:info@ultimate.com.mt" TargetMode="External"/><Relationship Id="rId47" Type="http://schemas.openxmlformats.org/officeDocument/2006/relationships/hyperlink" Target="MAILTO:rightdealcosp@onvol.net" TargetMode="External"/><Relationship Id="rId68" Type="http://schemas.openxmlformats.org/officeDocument/2006/relationships/hyperlink" Target="https://www.google.com/maps/search/?api=1&amp;query=Triq%20il-Kungress%20Ewkaristiku%2C%20Mosta" TargetMode="External"/><Relationship Id="rId89" Type="http://schemas.openxmlformats.org/officeDocument/2006/relationships/hyperlink" Target="https://www.google.com/maps/search/?api=1&amp;query=Triq%20Valetta%2C%20Mosta%2C%20Malta" TargetMode="External"/><Relationship Id="rId112" Type="http://schemas.openxmlformats.org/officeDocument/2006/relationships/hyperlink" Target="https://triplealuqa.com/" TargetMode="External"/><Relationship Id="rId133" Type="http://schemas.openxmlformats.org/officeDocument/2006/relationships/hyperlink" Target="https://tabletsandmoreelectronics.com/" TargetMode="External"/><Relationship Id="rId16" Type="http://schemas.openxmlformats.org/officeDocument/2006/relationships/hyperlink" Target="MAILTO:freddies@onvol.net" TargetMode="External"/><Relationship Id="rId37" Type="http://schemas.openxmlformats.org/officeDocument/2006/relationships/hyperlink" Target="MAILTO:consigliohomeappliances@gmail.com" TargetMode="External"/><Relationship Id="rId58" Type="http://schemas.openxmlformats.org/officeDocument/2006/relationships/hyperlink" Target="https://www.google.com/maps/search/?api=1&amp;query=18%20Wesghat%20il-Knisja%20tan-Nattivita%2C%20Bormla%2C%20Malta%20BML%201650" TargetMode="External"/><Relationship Id="rId79" Type="http://schemas.openxmlformats.org/officeDocument/2006/relationships/hyperlink" Target="https://www.google.com/maps/search/?api=1&amp;query=Triq%20Gorg%20Borg%20Olivier%2C%20Victoria-Gozo%2C%20Gozo%20VCT%202514" TargetMode="External"/><Relationship Id="rId102" Type="http://schemas.openxmlformats.org/officeDocument/2006/relationships/hyperlink" Target="https://www.google.com/maps/search/?api=1&amp;query=280%20Triq%20il-Kbira%20San%20Guzepp%2C%20Hamrun" TargetMode="External"/><Relationship Id="rId123" Type="http://schemas.openxmlformats.org/officeDocument/2006/relationships/hyperlink" Target="https://oxfordhouse.com.mt/" TargetMode="External"/><Relationship Id="rId144" Type="http://schemas.openxmlformats.org/officeDocument/2006/relationships/hyperlink" Target="https://hotpointmalta.com/" TargetMode="External"/><Relationship Id="rId90" Type="http://schemas.openxmlformats.org/officeDocument/2006/relationships/hyperlink" Target="https://www.google.com/maps/search/?api=1&amp;query=91%20Triq%20is-Santwarju%2C%20Zabbar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grfmalta.com" TargetMode="External"/><Relationship Id="rId13" Type="http://schemas.openxmlformats.org/officeDocument/2006/relationships/hyperlink" Target="https://www.google.com/maps/search/?api=1&amp;query=112%20Industrial%20Estate%20%2C%20%C4%A6al%20Luqa%2C%20Malta" TargetMode="External"/><Relationship Id="rId18" Type="http://schemas.openxmlformats.org/officeDocument/2006/relationships/hyperlink" Target="https://solartech.com.mt/" TargetMode="External"/><Relationship Id="rId26" Type="http://schemas.openxmlformats.org/officeDocument/2006/relationships/hyperlink" Target="https://opaquemalta.com/" TargetMode="External"/><Relationship Id="rId3" Type="http://schemas.openxmlformats.org/officeDocument/2006/relationships/hyperlink" Target="MAILTO:info@signworldmalta.com" TargetMode="External"/><Relationship Id="rId21" Type="http://schemas.openxmlformats.org/officeDocument/2006/relationships/hyperlink" Target="https://pplmalta.com/" TargetMode="External"/><Relationship Id="rId7" Type="http://schemas.openxmlformats.org/officeDocument/2006/relationships/hyperlink" Target="MAILTO:admin@zaffarese.com" TargetMode="External"/><Relationship Id="rId12" Type="http://schemas.openxmlformats.org/officeDocument/2006/relationships/hyperlink" Target="https://www.google.com/maps/search/?api=1&amp;query=Triq%20il-Frangiskani%2C%20L-Imsida%0AMSD%201120%2C%20Malta" TargetMode="External"/><Relationship Id="rId17" Type="http://schemas.openxmlformats.org/officeDocument/2006/relationships/hyperlink" Target="https://www.google.com/maps/search/?api=1&amp;query=117%20Triq%20L-Assemblea%20Nazzjonali%2C%0ASan%20Gwann%20SGN%203034%2C%20Malta" TargetMode="External"/><Relationship Id="rId25" Type="http://schemas.openxmlformats.org/officeDocument/2006/relationships/hyperlink" Target="https://grfmalta.com/" TargetMode="External"/><Relationship Id="rId2" Type="http://schemas.openxmlformats.org/officeDocument/2006/relationships/hyperlink" Target="MAILTO:info@recowatt.com" TargetMode="External"/><Relationship Id="rId16" Type="http://schemas.openxmlformats.org/officeDocument/2006/relationships/hyperlink" Target="https://www.google.com/maps/search/?api=1&amp;query=CCG%20Building%2C%20Triq%203%20Ta%E2%80%99%20Settembru%201798%0AZone%203%2C%20Central%20Business%20District%2C%20Birkirkara%0ACBD%203100%20Malta" TargetMode="External"/><Relationship Id="rId20" Type="http://schemas.openxmlformats.org/officeDocument/2006/relationships/hyperlink" Target="https://signworldmalta.com/" TargetMode="External"/><Relationship Id="rId1" Type="http://schemas.openxmlformats.org/officeDocument/2006/relationships/hyperlink" Target="MAILTO:solartechmalta@gmail.com" TargetMode="External"/><Relationship Id="rId6" Type="http://schemas.openxmlformats.org/officeDocument/2006/relationships/hyperlink" Target="MAILTO:info@justltdmalta.com" TargetMode="External"/><Relationship Id="rId11" Type="http://schemas.openxmlformats.org/officeDocument/2006/relationships/hyperlink" Target="https://www.google.com/maps/search/?api=1&amp;query=Triq%20L-Imdina%2C%20%C4%A6a%C5%BC-%C5%BBebbu%C4%A1%20ZBG%209019%2C%20Malta" TargetMode="External"/><Relationship Id="rId24" Type="http://schemas.openxmlformats.org/officeDocument/2006/relationships/hyperlink" Target="https://zaffarese.com/" TargetMode="External"/><Relationship Id="rId5" Type="http://schemas.openxmlformats.org/officeDocument/2006/relationships/hyperlink" Target="MAILTO:turbosigns@outlook.com" TargetMode="External"/><Relationship Id="rId15" Type="http://schemas.openxmlformats.org/officeDocument/2006/relationships/hyperlink" Target="https://www.google.com/maps/search/?api=1&amp;query=194%2C%20Luqa%20Briffa%20Street%2C%20Gzira%20GZR1504%2C%20Malta" TargetMode="External"/><Relationship Id="rId23" Type="http://schemas.openxmlformats.org/officeDocument/2006/relationships/hyperlink" Target="https://justltdmalta.com/home.html" TargetMode="External"/><Relationship Id="rId10" Type="http://schemas.openxmlformats.org/officeDocument/2006/relationships/hyperlink" Target="https://www.google.com/maps/search/?api=1&amp;query=12%2C%20SolarTech%2C%20Triq%20il-Masgar%0AQormi%2C%20QRM%203217%2C%20Malta" TargetMode="External"/><Relationship Id="rId19" Type="http://schemas.openxmlformats.org/officeDocument/2006/relationships/hyperlink" Target="https://recowatt.com/" TargetMode="External"/><Relationship Id="rId4" Type="http://schemas.openxmlformats.org/officeDocument/2006/relationships/hyperlink" Target="MAILTO:ppl@pplmalta.com" TargetMode="External"/><Relationship Id="rId9" Type="http://schemas.openxmlformats.org/officeDocument/2006/relationships/hyperlink" Target="MAILTO:contact@opaque.mt" TargetMode="External"/><Relationship Id="rId14" Type="http://schemas.openxmlformats.org/officeDocument/2006/relationships/hyperlink" Target="https://www.google.com/maps/search/?api=1&amp;query=Parades%20Street%2C%20St%20Paul%27s%20Bay" TargetMode="External"/><Relationship Id="rId22" Type="http://schemas.openxmlformats.org/officeDocument/2006/relationships/hyperlink" Target="https://turbosignsmalta.com/" TargetMode="External"/></Relationships>
</file>

<file path=xl/worksheets/_rels/sheet43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budgetblindsmalta@gmail.com" TargetMode="External"/><Relationship Id="rId21" Type="http://schemas.openxmlformats.org/officeDocument/2006/relationships/hyperlink" Target="MAILTO:info@davidinteriors.com" TargetMode="External"/><Relationship Id="rId42" Type="http://schemas.openxmlformats.org/officeDocument/2006/relationships/hyperlink" Target="https://www.google.com/maps/search/?api=1&amp;query=219%2C%20Sanctuary%20Street%2C%20Zabbar%2C%20Malta" TargetMode="External"/><Relationship Id="rId47" Type="http://schemas.openxmlformats.org/officeDocument/2006/relationships/hyperlink" Target="https://www.google.com/maps/search/?api=1&amp;query=Triq-il%20Bufura%20l-Hamra%2C%20Mosta" TargetMode="External"/><Relationship Id="rId63" Type="http://schemas.openxmlformats.org/officeDocument/2006/relationships/hyperlink" Target="https://megastore.com.mt/" TargetMode="External"/><Relationship Id="rId68" Type="http://schemas.openxmlformats.org/officeDocument/2006/relationships/hyperlink" Target="https://micasasolutions.eu/" TargetMode="External"/><Relationship Id="rId2" Type="http://schemas.openxmlformats.org/officeDocument/2006/relationships/hyperlink" Target="MAILTO:info@sunlockblinds.com" TargetMode="External"/><Relationship Id="rId16" Type="http://schemas.openxmlformats.org/officeDocument/2006/relationships/hyperlink" Target="MAILTO:info@bigbeninteriors.com.mt" TargetMode="External"/><Relationship Id="rId29" Type="http://schemas.openxmlformats.org/officeDocument/2006/relationships/hyperlink" Target="https://www.google.com/maps/search/?api=1&amp;query=Triq%20l-Imdina%2C%20%C5%BBebbu%C4%A1%2C%20ZBG%209016%2C%20Malta" TargetMode="External"/><Relationship Id="rId11" Type="http://schemas.openxmlformats.org/officeDocument/2006/relationships/hyperlink" Target="MAILTO:hello@latenda.com.mt" TargetMode="External"/><Relationship Id="rId24" Type="http://schemas.openxmlformats.org/officeDocument/2006/relationships/hyperlink" Target="MAILTO:sales@maltadiy.com" TargetMode="External"/><Relationship Id="rId32" Type="http://schemas.openxmlformats.org/officeDocument/2006/relationships/hyperlink" Target="https://www.google.com/maps/search/?api=1&amp;query=Mriehel%2C%20Malta" TargetMode="External"/><Relationship Id="rId37" Type="http://schemas.openxmlformats.org/officeDocument/2006/relationships/hyperlink" Target="https://www.google.com/maps/search/?api=1&amp;query=84%2C%20Qormi%20Road%2C%20Hamrun" TargetMode="External"/><Relationship Id="rId40" Type="http://schemas.openxmlformats.org/officeDocument/2006/relationships/hyperlink" Target="https://www.google.com/maps/search/?api=1&amp;query=HML%20Workshop%2C%20Cannon%20Road%20Qormi" TargetMode="External"/><Relationship Id="rId45" Type="http://schemas.openxmlformats.org/officeDocument/2006/relationships/hyperlink" Target="https://www.google.com/maps/search/?api=1&amp;query=L%2C%2052%20Triq%20Il-%20Muzika%2C%20Iklin%20IKL%201091" TargetMode="External"/><Relationship Id="rId53" Type="http://schemas.openxmlformats.org/officeDocument/2006/relationships/hyperlink" Target="https://nigeldimech.com/" TargetMode="External"/><Relationship Id="rId58" Type="http://schemas.openxmlformats.org/officeDocument/2006/relationships/hyperlink" Target="https://jysk.com.mt/" TargetMode="External"/><Relationship Id="rId66" Type="http://schemas.openxmlformats.org/officeDocument/2006/relationships/hyperlink" Target="https://dimech-ent.com/" TargetMode="External"/><Relationship Id="rId74" Type="http://schemas.openxmlformats.org/officeDocument/2006/relationships/hyperlink" Target="https://budgetblinds.mt/" TargetMode="External"/><Relationship Id="rId5" Type="http://schemas.openxmlformats.org/officeDocument/2006/relationships/hyperlink" Target="MAILTO:info@nigeldimech.com" TargetMode="External"/><Relationship Id="rId61" Type="http://schemas.openxmlformats.org/officeDocument/2006/relationships/hyperlink" Target="https://theatrium.com.mt/living" TargetMode="External"/><Relationship Id="rId19" Type="http://schemas.openxmlformats.org/officeDocument/2006/relationships/hyperlink" Target="MAILTO:nblindsmalta@gmail.com" TargetMode="External"/><Relationship Id="rId14" Type="http://schemas.openxmlformats.org/officeDocument/2006/relationships/hyperlink" Target="MAILTO:info@vicalinteriors.com" TargetMode="External"/><Relationship Id="rId22" Type="http://schemas.openxmlformats.org/officeDocument/2006/relationships/hyperlink" Target="MAILTO:sales@pvcmalta.com" TargetMode="External"/><Relationship Id="rId27" Type="http://schemas.openxmlformats.org/officeDocument/2006/relationships/hyperlink" Target="MAILTO:info@royaltyscreens.com" TargetMode="External"/><Relationship Id="rId30" Type="http://schemas.openxmlformats.org/officeDocument/2006/relationships/hyperlink" Target="https://www.google.com/maps/search/?api=1&amp;query=MG%20Home%20Interiors%20Ltd%2C%202%20Triq%20San%20Tumas%2C%20%C4%A6al%20Luqa" TargetMode="External"/><Relationship Id="rId35" Type="http://schemas.openxmlformats.org/officeDocument/2006/relationships/hyperlink" Target="https://www.google.com/maps/search/?api=1&amp;query=58%2C%20Daddy%E2%80%99s%20Court%20Flat%201%2C%20Triq%20Il-Pitkali%2C%20Attard" TargetMode="External"/><Relationship Id="rId43" Type="http://schemas.openxmlformats.org/officeDocument/2006/relationships/hyperlink" Target="https://www.google.com/maps/search/?api=1&amp;query=156%20Triq%20Ganu%2C%20Birkirkara%2C%20Malta" TargetMode="External"/><Relationship Id="rId48" Type="http://schemas.openxmlformats.org/officeDocument/2006/relationships/hyperlink" Target="https://www.google.com/maps/search/?api=1&amp;query=Zircon%20Suites%20Triq%20ta%27%20Zejfa%2CMosta%2C%20Malta." TargetMode="External"/><Relationship Id="rId56" Type="http://schemas.openxmlformats.org/officeDocument/2006/relationships/hyperlink" Target="https://homemate.com.mt/" TargetMode="External"/><Relationship Id="rId64" Type="http://schemas.openxmlformats.org/officeDocument/2006/relationships/hyperlink" Target="https://bigbeninteriors.com.mt/" TargetMode="External"/><Relationship Id="rId69" Type="http://schemas.openxmlformats.org/officeDocument/2006/relationships/hyperlink" Target="https://davidinteriors.com/en/home.htm" TargetMode="External"/><Relationship Id="rId8" Type="http://schemas.openxmlformats.org/officeDocument/2006/relationships/hyperlink" Target="MAILTO:customercare@homemate.com.mt" TargetMode="External"/><Relationship Id="rId51" Type="http://schemas.openxmlformats.org/officeDocument/2006/relationships/hyperlink" Target="https://gozoverticals.com/" TargetMode="External"/><Relationship Id="rId72" Type="http://schemas.openxmlformats.org/officeDocument/2006/relationships/hyperlink" Target="https://maltadiy.com/" TargetMode="External"/><Relationship Id="rId3" Type="http://schemas.openxmlformats.org/officeDocument/2006/relationships/hyperlink" Target="MAILTO:info@gozoverticals.com" TargetMode="External"/><Relationship Id="rId12" Type="http://schemas.openxmlformats.org/officeDocument/2006/relationships/hyperlink" Target="MAILTO:info@yourblindsmalta.com" TargetMode="External"/><Relationship Id="rId17" Type="http://schemas.openxmlformats.org/officeDocument/2006/relationships/hyperlink" Target="MAILTO:info@hml.com.mt" TargetMode="External"/><Relationship Id="rId25" Type="http://schemas.openxmlformats.org/officeDocument/2006/relationships/hyperlink" Target="MAILTO:info@jbstores.com" TargetMode="External"/><Relationship Id="rId33" Type="http://schemas.openxmlformats.org/officeDocument/2006/relationships/hyperlink" Target="https://www.google.com/maps/search/?api=1&amp;query=Industrial%20Estate%20%0ABulebel%2C%20Zejtun%0AZTN%203000%0AMalta" TargetMode="External"/><Relationship Id="rId38" Type="http://schemas.openxmlformats.org/officeDocument/2006/relationships/hyperlink" Target="https://www.google.com/maps/search/?api=1&amp;query=Warehouse%20No.%2025%2C%20Hard%20Rocks%20Industrial%20Park%2C%20Burmarrad%20Road%2C%20Naxxar%2C%20Malta" TargetMode="External"/><Relationship Id="rId46" Type="http://schemas.openxmlformats.org/officeDocument/2006/relationships/hyperlink" Target="https://www.google.com/maps/search/?api=1&amp;query=JB%20Stores%2C%20JB%20House%2C%20Iklin%20Road%2C%20Iklin" TargetMode="External"/><Relationship Id="rId59" Type="http://schemas.openxmlformats.org/officeDocument/2006/relationships/hyperlink" Target="https://latenda.com.mt/" TargetMode="External"/><Relationship Id="rId67" Type="http://schemas.openxmlformats.org/officeDocument/2006/relationships/hyperlink" Target="https://facebook.com/nblindsmalta/?utm_source=chatgpt.com" TargetMode="External"/><Relationship Id="rId20" Type="http://schemas.openxmlformats.org/officeDocument/2006/relationships/hyperlink" Target="MAILTO:micasasolutions3@gmail.com" TargetMode="External"/><Relationship Id="rId41" Type="http://schemas.openxmlformats.org/officeDocument/2006/relationships/hyperlink" Target="https://www.google.com/maps/search/?api=1&amp;query=Dimech%20Enterprises%20Ltd%0ACentre%20Point%2C%20Triq%20Valletta%0ALuqa%20%0AMalta%20LQA%201762" TargetMode="External"/><Relationship Id="rId54" Type="http://schemas.openxmlformats.org/officeDocument/2006/relationships/hyperlink" Target="https://facebook.com/blinds4allmalta" TargetMode="External"/><Relationship Id="rId62" Type="http://schemas.openxmlformats.org/officeDocument/2006/relationships/hyperlink" Target="https://vicalinteriors.com/" TargetMode="External"/><Relationship Id="rId70" Type="http://schemas.openxmlformats.org/officeDocument/2006/relationships/hyperlink" Target="https://pvcmalta.com/en/home.htm" TargetMode="External"/><Relationship Id="rId75" Type="http://schemas.openxmlformats.org/officeDocument/2006/relationships/hyperlink" Target="https://royaltyscreens.com/contact-us" TargetMode="External"/><Relationship Id="rId1" Type="http://schemas.openxmlformats.org/officeDocument/2006/relationships/hyperlink" Target="MAILTO:sales@blindsandmore.com.mt" TargetMode="External"/><Relationship Id="rId6" Type="http://schemas.openxmlformats.org/officeDocument/2006/relationships/hyperlink" Target="MAILTO:sales@blinds4all.mt" TargetMode="External"/><Relationship Id="rId15" Type="http://schemas.openxmlformats.org/officeDocument/2006/relationships/hyperlink" Target="MAILTO:shop@megastore.com.mt" TargetMode="External"/><Relationship Id="rId23" Type="http://schemas.openxmlformats.org/officeDocument/2006/relationships/hyperlink" Target="MAILTO:zebrablindsmalta@gmail.com" TargetMode="External"/><Relationship Id="rId28" Type="http://schemas.openxmlformats.org/officeDocument/2006/relationships/hyperlink" Target="https://www.google.com/maps/search/?api=1&amp;query=41%20Triq%20in-Naxxar%2C%20San%20%C4%A0wann%2C%20Malta%20SGN%209030" TargetMode="External"/><Relationship Id="rId36" Type="http://schemas.openxmlformats.org/officeDocument/2006/relationships/hyperlink" Target="https://www.google.com/maps/search/?api=1&amp;query=The%20Atrium%2C%20Giovanni%20Felice%20Street%2C%20Zone%203%2C%20Central%20Business%20District%2C%20Birkirkara%20CBD%203120" TargetMode="External"/><Relationship Id="rId49" Type="http://schemas.openxmlformats.org/officeDocument/2006/relationships/hyperlink" Target="https://blindsandmore.com.mt/" TargetMode="External"/><Relationship Id="rId57" Type="http://schemas.openxmlformats.org/officeDocument/2006/relationships/hyperlink" Target="https://bdblinds.mt/" TargetMode="External"/><Relationship Id="rId10" Type="http://schemas.openxmlformats.org/officeDocument/2006/relationships/hyperlink" Target="MAILTO:jysk@jysk.com.mt" TargetMode="External"/><Relationship Id="rId31" Type="http://schemas.openxmlformats.org/officeDocument/2006/relationships/hyperlink" Target="https://www.google.com/maps/search/?api=1&amp;query=KKW%20721%2C%20Corradino%20%0AIndustrial%20Estate%0APaola%2C%20PLA%203000%2C%20Malta" TargetMode="External"/><Relationship Id="rId44" Type="http://schemas.openxmlformats.org/officeDocument/2006/relationships/hyperlink" Target="https://www.google.com/maps/search/?api=1&amp;query=David%20Interiors%2C%20161%2C%20St.%20Edwards%20Street%2C%20Qormi" TargetMode="External"/><Relationship Id="rId52" Type="http://schemas.openxmlformats.org/officeDocument/2006/relationships/hyperlink" Target="https://mghomeinteriors.com/" TargetMode="External"/><Relationship Id="rId60" Type="http://schemas.openxmlformats.org/officeDocument/2006/relationships/hyperlink" Target="https://yourblindsmalta.com/" TargetMode="External"/><Relationship Id="rId65" Type="http://schemas.openxmlformats.org/officeDocument/2006/relationships/hyperlink" Target="https://hml.com.mt/" TargetMode="External"/><Relationship Id="rId73" Type="http://schemas.openxmlformats.org/officeDocument/2006/relationships/hyperlink" Target="https://jbstoresonline.com/" TargetMode="External"/><Relationship Id="rId4" Type="http://schemas.openxmlformats.org/officeDocument/2006/relationships/hyperlink" Target="MAILTO:mghomeinteriorsltd@gmail.com" TargetMode="External"/><Relationship Id="rId9" Type="http://schemas.openxmlformats.org/officeDocument/2006/relationships/hyperlink" Target="MAILTO:info@bdblinds.mt" TargetMode="External"/><Relationship Id="rId13" Type="http://schemas.openxmlformats.org/officeDocument/2006/relationships/hyperlink" Target="MAILTO:contactus@theatrium.com.mt" TargetMode="External"/><Relationship Id="rId18" Type="http://schemas.openxmlformats.org/officeDocument/2006/relationships/hyperlink" Target="MAILTO:sales@dimech-ent.com" TargetMode="External"/><Relationship Id="rId39" Type="http://schemas.openxmlformats.org/officeDocument/2006/relationships/hyperlink" Target="https://www.google.com/maps/search/?api=1&amp;query=Naxxar%20Road%2C%20Birkirkara%2C%0AMalta%2C%20BKR%209045" TargetMode="External"/><Relationship Id="rId34" Type="http://schemas.openxmlformats.org/officeDocument/2006/relationships/hyperlink" Target="https://www.google.com/maps/search/?api=1&amp;query=Triq-Il%20Mosta%2C%20Lija%2C%20Malta" TargetMode="External"/><Relationship Id="rId50" Type="http://schemas.openxmlformats.org/officeDocument/2006/relationships/hyperlink" Target="https://sunlockblinds.com/" TargetMode="External"/><Relationship Id="rId55" Type="http://schemas.openxmlformats.org/officeDocument/2006/relationships/hyperlink" Target="https://kulurimalta.com/" TargetMode="External"/><Relationship Id="rId7" Type="http://schemas.openxmlformats.org/officeDocument/2006/relationships/hyperlink" Target="MAILTO:kulurimalta@gmail.com" TargetMode="External"/><Relationship Id="rId71" Type="http://schemas.openxmlformats.org/officeDocument/2006/relationships/hyperlink" Target="https://zebrablindsmalta.com/" TargetMode="External"/></Relationships>
</file>

<file path=xl/worksheets/_rels/sheet4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curtek.com/home" TargetMode="External"/><Relationship Id="rId21" Type="http://schemas.openxmlformats.org/officeDocument/2006/relationships/hyperlink" Target="MAILTO:ecom@ecommalta.com" TargetMode="External"/><Relationship Id="rId42" Type="http://schemas.openxmlformats.org/officeDocument/2006/relationships/hyperlink" Target="MAILTO:info@czsmarttech.com" TargetMode="External"/><Relationship Id="rId63" Type="http://schemas.openxmlformats.org/officeDocument/2006/relationships/hyperlink" Target="https://www.google.com/maps/search/?api=1&amp;query=9%20Triq%20in-Narcis%2C%20San%20Gwann" TargetMode="External"/><Relationship Id="rId84" Type="http://schemas.openxmlformats.org/officeDocument/2006/relationships/hyperlink" Target="https://www.google.com/maps/search/?api=1&amp;query=24%20Triq%20il-Kissier%2C%20Mosta" TargetMode="External"/><Relationship Id="rId138" Type="http://schemas.openxmlformats.org/officeDocument/2006/relationships/hyperlink" Target="https://elektroservices.com.mt/" TargetMode="External"/><Relationship Id="rId159" Type="http://schemas.openxmlformats.org/officeDocument/2006/relationships/hyperlink" Target="https://powerplus.com/" TargetMode="External"/><Relationship Id="rId107" Type="http://schemas.openxmlformats.org/officeDocument/2006/relationships/hyperlink" Target="https://www.google.com/maps/search/?api=1&amp;query=Green%20Business%20Comples%20Triq%20il-Hofor%2C%20Qormi" TargetMode="External"/><Relationship Id="rId11" Type="http://schemas.openxmlformats.org/officeDocument/2006/relationships/hyperlink" Target="MAILTO:info@aeco.com.mt" TargetMode="External"/><Relationship Id="rId32" Type="http://schemas.openxmlformats.org/officeDocument/2006/relationships/hyperlink" Target="MAILTO:umsmalta@gmail.com" TargetMode="External"/><Relationship Id="rId53" Type="http://schemas.openxmlformats.org/officeDocument/2006/relationships/hyperlink" Target="MAILTO:info@llt.com.mt" TargetMode="External"/><Relationship Id="rId74" Type="http://schemas.openxmlformats.org/officeDocument/2006/relationships/hyperlink" Target="https://www.google.com/maps/search/?api=1&amp;query=Triq%20il-Belt%20Valletta%2C%20Luqa" TargetMode="External"/><Relationship Id="rId128" Type="http://schemas.openxmlformats.org/officeDocument/2006/relationships/hyperlink" Target="https://ecommalta.com/" TargetMode="External"/><Relationship Id="rId149" Type="http://schemas.openxmlformats.org/officeDocument/2006/relationships/hyperlink" Target="https://alternativetechnologies.com.mt/" TargetMode="External"/><Relationship Id="rId5" Type="http://schemas.openxmlformats.org/officeDocument/2006/relationships/hyperlink" Target="MAILTO:info@soteria.com.mt" TargetMode="External"/><Relationship Id="rId95" Type="http://schemas.openxmlformats.org/officeDocument/2006/relationships/hyperlink" Target="https://www.google.com/maps/search/?api=1&amp;query=Zone%205%2C%20Central%20Business%20District%2C%0A99%20Triq%20il-Mit%C4%A7na%2C%20Qormi%20CBD%205090" TargetMode="External"/><Relationship Id="rId160" Type="http://schemas.openxmlformats.org/officeDocument/2006/relationships/hyperlink" Target="https://unitenergysolar.com/" TargetMode="External"/><Relationship Id="rId22" Type="http://schemas.openxmlformats.org/officeDocument/2006/relationships/hyperlink" Target="MAILTO:alarms@maltanet.net" TargetMode="External"/><Relationship Id="rId43" Type="http://schemas.openxmlformats.org/officeDocument/2006/relationships/hyperlink" Target="MAILTO:sales@aqsmed.com" TargetMode="External"/><Relationship Id="rId64" Type="http://schemas.openxmlformats.org/officeDocument/2006/relationships/hyperlink" Target="https://www.google.com/maps/search/?api=1&amp;query=130%2C%20Triq%20Salvu%20Psaila%2C%20B%27Kara" TargetMode="External"/><Relationship Id="rId118" Type="http://schemas.openxmlformats.org/officeDocument/2006/relationships/hyperlink" Target="https://jgrima.com/" TargetMode="External"/><Relationship Id="rId139" Type="http://schemas.openxmlformats.org/officeDocument/2006/relationships/hyperlink" Target="https://intercoms.com.mt/" TargetMode="External"/><Relationship Id="rId85" Type="http://schemas.openxmlformats.org/officeDocument/2006/relationships/hyperlink" Target="https://www.google.com/maps/search/?api=1&amp;query=127%20l-etoile%20Triq%20il-Garni%2C%20Mellieha" TargetMode="External"/><Relationship Id="rId150" Type="http://schemas.openxmlformats.org/officeDocument/2006/relationships/hyperlink" Target="https://solarsolutions.com.mt/" TargetMode="External"/><Relationship Id="rId12" Type="http://schemas.openxmlformats.org/officeDocument/2006/relationships/hyperlink" Target="MAILTO:info@alarmtechmalta.com" TargetMode="External"/><Relationship Id="rId17" Type="http://schemas.openxmlformats.org/officeDocument/2006/relationships/hyperlink" Target="MAILTO:sales@dmicros.com.mt" TargetMode="External"/><Relationship Id="rId33" Type="http://schemas.openxmlformats.org/officeDocument/2006/relationships/hyperlink" Target="MAILTO:info@elektroservices.com.mt" TargetMode="External"/><Relationship Id="rId38" Type="http://schemas.openxmlformats.org/officeDocument/2006/relationships/hyperlink" Target="MAILTO:info@securevision.com.mt" TargetMode="External"/><Relationship Id="rId59" Type="http://schemas.openxmlformats.org/officeDocument/2006/relationships/hyperlink" Target="https://www.google.com/maps/search/?api=1&amp;query=10%20Triq%20Amabile%20Sisner%2C%20Fgura" TargetMode="External"/><Relationship Id="rId103" Type="http://schemas.openxmlformats.org/officeDocument/2006/relationships/hyperlink" Target="https://www.google.com/maps/search/?api=1&amp;query=133%20CSTS%20Ltd%20Triq%20il-Koppla%2C%20Fgura" TargetMode="External"/><Relationship Id="rId108" Type="http://schemas.openxmlformats.org/officeDocument/2006/relationships/hyperlink" Target="https://www.google.com/maps/search/?api=1&amp;query=20%2C%20Triq%20Pietru%20Xuereb%2C%20Pieta%27" TargetMode="External"/><Relationship Id="rId124" Type="http://schemas.openxmlformats.org/officeDocument/2006/relationships/hyperlink" Target="https://facebook.com/p/Craud-Security-100083313423806/" TargetMode="External"/><Relationship Id="rId129" Type="http://schemas.openxmlformats.org/officeDocument/2006/relationships/hyperlink" Target="https://facebook.com/hcinstallationsltd/" TargetMode="External"/><Relationship Id="rId54" Type="http://schemas.openxmlformats.org/officeDocument/2006/relationships/hyperlink" Target="MAILTO:info@powerplusltd.com" TargetMode="External"/><Relationship Id="rId70" Type="http://schemas.openxmlformats.org/officeDocument/2006/relationships/hyperlink" Target="https://www.google.com/maps/search/?api=1&amp;query=258%20Triq%20is-Sur%2C%20Fgura" TargetMode="External"/><Relationship Id="rId75" Type="http://schemas.openxmlformats.org/officeDocument/2006/relationships/hyperlink" Target="https://www.google.com/maps/search/?api=1&amp;query=Triq%20in-Nafra%2C%20Naxxar" TargetMode="External"/><Relationship Id="rId91" Type="http://schemas.openxmlformats.org/officeDocument/2006/relationships/hyperlink" Target="https://www.google.com/maps/search/?api=1&amp;query=Triq%20San%20Gwakkin%2C%20Zone%203%2C%0ACentral%20Business%20District%2C%20Birkirkara%2C%0ACBD%203030%2C%20Malta" TargetMode="External"/><Relationship Id="rId96" Type="http://schemas.openxmlformats.org/officeDocument/2006/relationships/hyperlink" Target="https://www.google.com/maps/search/?api=1&amp;query=Securich%20Co%20Ltd%0A121%2C%20Mdina%20Road%2C%20Zebbug" TargetMode="External"/><Relationship Id="rId140" Type="http://schemas.openxmlformats.org/officeDocument/2006/relationships/hyperlink" Target="https://alberta.com.mt/products-and-services/cctv-systems-for-your-home/" TargetMode="External"/><Relationship Id="rId145" Type="http://schemas.openxmlformats.org/officeDocument/2006/relationships/hyperlink" Target="https://securichmalta.com/en/services/services/5/cctv-cameras.htm" TargetMode="External"/><Relationship Id="rId161" Type="http://schemas.openxmlformats.org/officeDocument/2006/relationships/hyperlink" Target="https://virtuesolaris.com/" TargetMode="External"/><Relationship Id="rId1" Type="http://schemas.openxmlformats.org/officeDocument/2006/relationships/hyperlink" Target="MAILTO:info@jgrima.com" TargetMode="External"/><Relationship Id="rId6" Type="http://schemas.openxmlformats.org/officeDocument/2006/relationships/hyperlink" Target="MAILTO:info@elektroservices.com.mt" TargetMode="External"/><Relationship Id="rId23" Type="http://schemas.openxmlformats.org/officeDocument/2006/relationships/hyperlink" Target="MAILTO:sales@hc.com.mt" TargetMode="External"/><Relationship Id="rId28" Type="http://schemas.openxmlformats.org/officeDocument/2006/relationships/hyperlink" Target="MAILTO:info@misystemsmalta.com" TargetMode="External"/><Relationship Id="rId49" Type="http://schemas.openxmlformats.org/officeDocument/2006/relationships/hyperlink" Target="MAILTO:josephspiteri.cs@gmail.com" TargetMode="External"/><Relationship Id="rId114" Type="http://schemas.openxmlformats.org/officeDocument/2006/relationships/hyperlink" Target="https://facebook.com/pdsec.malta?utm_source=Yellow&amp;utm_medium=Yellow-Website&amp;utm_campaign=Landing-Page" TargetMode="External"/><Relationship Id="rId119" Type="http://schemas.openxmlformats.org/officeDocument/2006/relationships/hyperlink" Target="https://facebook.com/pdsec.malta?utm_source=Yellow&amp;utm_medium=Yellow-Website&amp;utm_campaign=Landing-Page" TargetMode="External"/><Relationship Id="rId44" Type="http://schemas.openxmlformats.org/officeDocument/2006/relationships/hyperlink" Target="MAILTO:info@alternativetechnologies.com.mt" TargetMode="External"/><Relationship Id="rId60" Type="http://schemas.openxmlformats.org/officeDocument/2006/relationships/hyperlink" Target="https://www.google.com/maps/search/?api=1&amp;query=25%20Triq%20il-Bennej%2C%20Mosta" TargetMode="External"/><Relationship Id="rId65" Type="http://schemas.openxmlformats.org/officeDocument/2006/relationships/hyperlink" Target="https://www.google.com/maps/search/?api=1&amp;query=25%20Triq%20il-Bennej%2C%20Mosta" TargetMode="External"/><Relationship Id="rId81" Type="http://schemas.openxmlformats.org/officeDocument/2006/relationships/hyperlink" Target="https://www.google.com/maps/search/?api=1&amp;query=Triq%20ir-Raghaj%2C%20Qormi" TargetMode="External"/><Relationship Id="rId86" Type="http://schemas.openxmlformats.org/officeDocument/2006/relationships/hyperlink" Target="https://www.google.com/maps/search/?api=1&amp;query=84%20Triq%20Stiefnu%20Zefafa%2C%20Marsa" TargetMode="External"/><Relationship Id="rId130" Type="http://schemas.openxmlformats.org/officeDocument/2006/relationships/hyperlink" Target="https://facebook.com/hisecmalta/" TargetMode="External"/><Relationship Id="rId135" Type="http://schemas.openxmlformats.org/officeDocument/2006/relationships/hyperlink" Target="https://prosolutions.com.mt/" TargetMode="External"/><Relationship Id="rId151" Type="http://schemas.openxmlformats.org/officeDocument/2006/relationships/hyperlink" Target="https://callejaformosaenergysaving.com/" TargetMode="External"/><Relationship Id="rId156" Type="http://schemas.openxmlformats.org/officeDocument/2006/relationships/hyperlink" Target="https://facebook.com/p/Gozo-Solar-Energy-Solar-Panels-and-Solar-Water-Heaters-100057213680113/" TargetMode="External"/><Relationship Id="rId13" Type="http://schemas.openxmlformats.org/officeDocument/2006/relationships/hyperlink" Target="MAILTO:info@cbsecuritymalta.com" TargetMode="External"/><Relationship Id="rId18" Type="http://schemas.openxmlformats.org/officeDocument/2006/relationships/hyperlink" Target="MAILTO:info@darservicesmalta.com" TargetMode="External"/><Relationship Id="rId39" Type="http://schemas.openxmlformats.org/officeDocument/2006/relationships/hyperlink" Target="MAILTO:info@firetech.com.mt" TargetMode="External"/><Relationship Id="rId109" Type="http://schemas.openxmlformats.org/officeDocument/2006/relationships/hyperlink" Target="https://www.google.com/maps/search/?api=1&amp;query=231%20Triq%20il-Kungress%20Ewkaristiku%2C%20Mosta" TargetMode="External"/><Relationship Id="rId34" Type="http://schemas.openxmlformats.org/officeDocument/2006/relationships/hyperlink" Target="MAILTO:info@sml.com.mt" TargetMode="External"/><Relationship Id="rId50" Type="http://schemas.openxmlformats.org/officeDocument/2006/relationships/hyperlink" Target="MAILTO:sales@electrofixgroup.com" TargetMode="External"/><Relationship Id="rId55" Type="http://schemas.openxmlformats.org/officeDocument/2006/relationships/hyperlink" Target="MAILTO:info@unitenergysolar.com" TargetMode="External"/><Relationship Id="rId76" Type="http://schemas.openxmlformats.org/officeDocument/2006/relationships/hyperlink" Target="https://www.google.com/maps/search/?api=1&amp;query=38%20Triq%20I-Ixprunara%2C%20Ghajnsielem-Gozo" TargetMode="External"/><Relationship Id="rId97" Type="http://schemas.openxmlformats.org/officeDocument/2006/relationships/hyperlink" Target="https://www.google.com/maps/search/?api=1&amp;query=9%20Triq%20F%20S%20Caruana%2C%20B%27Kara" TargetMode="External"/><Relationship Id="rId104" Type="http://schemas.openxmlformats.org/officeDocument/2006/relationships/hyperlink" Target="https://www.google.com/maps/search/?api=1&amp;query=Triq%20il-Burdnara%2C%20Qormi" TargetMode="External"/><Relationship Id="rId120" Type="http://schemas.openxmlformats.org/officeDocument/2006/relationships/hyperlink" Target="https://antifire.com.mt/" TargetMode="External"/><Relationship Id="rId125" Type="http://schemas.openxmlformats.org/officeDocument/2006/relationships/hyperlink" Target="https://dedicatedmicros.com/" TargetMode="External"/><Relationship Id="rId141" Type="http://schemas.openxmlformats.org/officeDocument/2006/relationships/hyperlink" Target="https://focaltechmalta.com/solutions/safire-smart-cctv/" TargetMode="External"/><Relationship Id="rId146" Type="http://schemas.openxmlformats.org/officeDocument/2006/relationships/hyperlink" Target="https://cobrainstallations.com/" TargetMode="External"/><Relationship Id="rId7" Type="http://schemas.openxmlformats.org/officeDocument/2006/relationships/hyperlink" Target="MAILTO:info@security.com.mt" TargetMode="External"/><Relationship Id="rId71" Type="http://schemas.openxmlformats.org/officeDocument/2006/relationships/hyperlink" Target="https://www.google.com/maps/search/?api=1&amp;query=Triq%20Felicia%20Abela%2C%20Zejtun" TargetMode="External"/><Relationship Id="rId92" Type="http://schemas.openxmlformats.org/officeDocument/2006/relationships/hyperlink" Target="https://www.google.com/maps/search/?api=1&amp;query=Focal%20Tech%20Malta%0ATriq%20Alfredo%20Cachia%20Zammit.%0AZejtun%2C%20Malta" TargetMode="External"/><Relationship Id="rId2" Type="http://schemas.openxmlformats.org/officeDocument/2006/relationships/hyperlink" Target="MAILTO:info@antifire.com.mt" TargetMode="External"/><Relationship Id="rId29" Type="http://schemas.openxmlformats.org/officeDocument/2006/relationships/hyperlink" Target="MAILTO:info@prosolutions.com.mt" TargetMode="External"/><Relationship Id="rId24" Type="http://schemas.openxmlformats.org/officeDocument/2006/relationships/hyperlink" Target="MAILTO:info@hisecurity.com" TargetMode="External"/><Relationship Id="rId40" Type="http://schemas.openxmlformats.org/officeDocument/2006/relationships/hyperlink" Target="MAILTO:info@securichmalta.com" TargetMode="External"/><Relationship Id="rId45" Type="http://schemas.openxmlformats.org/officeDocument/2006/relationships/hyperlink" Target="MAILTO:info@solarsolutions.com.mt" TargetMode="External"/><Relationship Id="rId66" Type="http://schemas.openxmlformats.org/officeDocument/2006/relationships/hyperlink" Target="https://www.google.com/maps/search/?api=1&amp;query=Triq%20il-Belt%20Valetta%2C%20Qormi" TargetMode="External"/><Relationship Id="rId87" Type="http://schemas.openxmlformats.org/officeDocument/2006/relationships/hyperlink" Target="https://www.google.com/maps/search/?api=1&amp;query=Triq%20il-Kbira%2C%20Lija" TargetMode="External"/><Relationship Id="rId110" Type="http://schemas.openxmlformats.org/officeDocument/2006/relationships/hyperlink" Target="https://www.google.com/maps/search/?api=1&amp;query=Sagra%20Famiglia%20Building%20Triq%20Mro%20Giorgio%20Zarb%2C%20Qormi" TargetMode="External"/><Relationship Id="rId115" Type="http://schemas.openxmlformats.org/officeDocument/2006/relationships/hyperlink" Target="https://soteria.com.mt/" TargetMode="External"/><Relationship Id="rId131" Type="http://schemas.openxmlformats.org/officeDocument/2006/relationships/hyperlink" Target="https://ijsolutions.net/" TargetMode="External"/><Relationship Id="rId136" Type="http://schemas.openxmlformats.org/officeDocument/2006/relationships/hyperlink" Target="https://facebook.com/p/Tech-Advance-100063610688391/" TargetMode="External"/><Relationship Id="rId157" Type="http://schemas.openxmlformats.org/officeDocument/2006/relationships/hyperlink" Target="https://facebook.com/people/JLC-energy-home/100063454366944/?fref=ts%3Futm_source%3DYellow&amp;utm_medium=Yellow-Website&amp;utm_campaign=Landing-Page" TargetMode="External"/><Relationship Id="rId61" Type="http://schemas.openxmlformats.org/officeDocument/2006/relationships/hyperlink" Target="https://www.google.com/maps/search/?api=1&amp;query=Dawert%20Hal%20Ghaxaq" TargetMode="External"/><Relationship Id="rId82" Type="http://schemas.openxmlformats.org/officeDocument/2006/relationships/hyperlink" Target="https://www.google.com/maps/search/?api=1&amp;query=28%20Triq%20Gemma%20Portelli%2C%20Msida" TargetMode="External"/><Relationship Id="rId152" Type="http://schemas.openxmlformats.org/officeDocument/2006/relationships/hyperlink" Target="https://powersolutions.com.mt/" TargetMode="External"/><Relationship Id="rId19" Type="http://schemas.openxmlformats.org/officeDocument/2006/relationships/hyperlink" Target="MAILTO:dlc.cachia@gmail.com" TargetMode="External"/><Relationship Id="rId14" Type="http://schemas.openxmlformats.org/officeDocument/2006/relationships/hyperlink" Target="MAILTO:darren@d-tech.mt" TargetMode="External"/><Relationship Id="rId30" Type="http://schemas.openxmlformats.org/officeDocument/2006/relationships/hyperlink" Target="MAILTO:secom@onvol.net" TargetMode="External"/><Relationship Id="rId35" Type="http://schemas.openxmlformats.org/officeDocument/2006/relationships/hyperlink" Target="MAILTO:info@alberta.com.mt" TargetMode="External"/><Relationship Id="rId56" Type="http://schemas.openxmlformats.org/officeDocument/2006/relationships/hyperlink" Target="MAILTO:info@virtuesolaris.com" TargetMode="External"/><Relationship Id="rId77" Type="http://schemas.openxmlformats.org/officeDocument/2006/relationships/hyperlink" Target="https://www.google.com/maps/search/?api=1&amp;query=Triq%20Adeodato%20Gatt%2C%20Zebbug" TargetMode="External"/><Relationship Id="rId100" Type="http://schemas.openxmlformats.org/officeDocument/2006/relationships/hyperlink" Target="https://www.google.com/maps/search/?api=1&amp;query=Paradise%20Triq%20Fra%20Baskal%2C%20Zebbug-Gozo" TargetMode="External"/><Relationship Id="rId105" Type="http://schemas.openxmlformats.org/officeDocument/2006/relationships/hyperlink" Target="https://www.google.com/maps/search/?api=1&amp;query=Summer%20Set%20House%20Triq%20Dun%20Karlu%20Zimech%20Nadur-Gozo" TargetMode="External"/><Relationship Id="rId126" Type="http://schemas.openxmlformats.org/officeDocument/2006/relationships/hyperlink" Target="https://darservicesmalta.com/" TargetMode="External"/><Relationship Id="rId147" Type="http://schemas.openxmlformats.org/officeDocument/2006/relationships/hyperlink" Target="https://czsmarttech.com/" TargetMode="External"/><Relationship Id="rId8" Type="http://schemas.openxmlformats.org/officeDocument/2006/relationships/hyperlink" Target="MAILTO:info@jgrima.com" TargetMode="External"/><Relationship Id="rId51" Type="http://schemas.openxmlformats.org/officeDocument/2006/relationships/hyperlink" Target="MAILTO:gozo.solar@gmail.com" TargetMode="External"/><Relationship Id="rId72" Type="http://schemas.openxmlformats.org/officeDocument/2006/relationships/hyperlink" Target="https://www.google.com/maps/search/?api=1&amp;query=168%20Triq%20Bajada%2C%20Zabbar" TargetMode="External"/><Relationship Id="rId93" Type="http://schemas.openxmlformats.org/officeDocument/2006/relationships/hyperlink" Target="https://www.google.com/maps/search/?api=1&amp;query=Masco%20House%2C%20Valletta%20Road%2C%20Mosta" TargetMode="External"/><Relationship Id="rId98" Type="http://schemas.openxmlformats.org/officeDocument/2006/relationships/hyperlink" Target="https://www.google.com/maps/search/?api=1&amp;query=1%20triq%20Dun%20Guzepp%20Xerri%2C%20San%20Giljan" TargetMode="External"/><Relationship Id="rId121" Type="http://schemas.openxmlformats.org/officeDocument/2006/relationships/hyperlink" Target="https://aeco.com.mt/" TargetMode="External"/><Relationship Id="rId142" Type="http://schemas.openxmlformats.org/officeDocument/2006/relationships/hyperlink" Target="https://masco.com.mt/contact-us/" TargetMode="External"/><Relationship Id="rId3" Type="http://schemas.openxmlformats.org/officeDocument/2006/relationships/hyperlink" Target="MAILTO:info@aeco.com.mt" TargetMode="External"/><Relationship Id="rId25" Type="http://schemas.openxmlformats.org/officeDocument/2006/relationships/hyperlink" Target="MAILTO:info@ijsolutions.net" TargetMode="External"/><Relationship Id="rId46" Type="http://schemas.openxmlformats.org/officeDocument/2006/relationships/hyperlink" Target="MAILTO:info@callejaformosaenergysaving.com" TargetMode="External"/><Relationship Id="rId67" Type="http://schemas.openxmlformats.org/officeDocument/2006/relationships/hyperlink" Target="https://www.google.com/maps/search/?api=1&amp;query=10%20Triq%20Amabile%20Sisner%2C%20Fgura" TargetMode="External"/><Relationship Id="rId116" Type="http://schemas.openxmlformats.org/officeDocument/2006/relationships/hyperlink" Target="https://elektroservices.com.mt/" TargetMode="External"/><Relationship Id="rId137" Type="http://schemas.openxmlformats.org/officeDocument/2006/relationships/hyperlink" Target="https://universalmicrosecurity.com/" TargetMode="External"/><Relationship Id="rId158" Type="http://schemas.openxmlformats.org/officeDocument/2006/relationships/hyperlink" Target="https://llt.com.mt/" TargetMode="External"/><Relationship Id="rId20" Type="http://schemas.openxmlformats.org/officeDocument/2006/relationships/hyperlink" Target="MAILTO:info@eaglesecurity.com.mt" TargetMode="External"/><Relationship Id="rId41" Type="http://schemas.openxmlformats.org/officeDocument/2006/relationships/hyperlink" Target="MAILTO:kevin@cobrainstallations.com" TargetMode="External"/><Relationship Id="rId62" Type="http://schemas.openxmlformats.org/officeDocument/2006/relationships/hyperlink" Target="https://www.google.com/maps/search/?api=1&amp;query=347%20Triq%20D%E2%80%99Argens%2C%20Il-G%C5%BCira" TargetMode="External"/><Relationship Id="rId83" Type="http://schemas.openxmlformats.org/officeDocument/2006/relationships/hyperlink" Target="https://www.google.com/maps/search/?api=1&amp;query=Triq%20Geronimo%20Abos%2C%20Iklin" TargetMode="External"/><Relationship Id="rId88" Type="http://schemas.openxmlformats.org/officeDocument/2006/relationships/hyperlink" Target="https://www.google.com/maps/search/?api=1&amp;query=Garage%204%20Triq%20Edgar%20Ferro%2C%20Pieta%27" TargetMode="External"/><Relationship Id="rId111" Type="http://schemas.openxmlformats.org/officeDocument/2006/relationships/hyperlink" Target="https://jgrima.com/" TargetMode="External"/><Relationship Id="rId132" Type="http://schemas.openxmlformats.org/officeDocument/2006/relationships/hyperlink" Target="https://ielsecuritymalta.com/" TargetMode="External"/><Relationship Id="rId153" Type="http://schemas.openxmlformats.org/officeDocument/2006/relationships/hyperlink" Target="https://cflgroupmalta.com/" TargetMode="External"/><Relationship Id="rId15" Type="http://schemas.openxmlformats.org/officeDocument/2006/relationships/hyperlink" Target="MAILTO:jmallia@vol.net.mt" TargetMode="External"/><Relationship Id="rId36" Type="http://schemas.openxmlformats.org/officeDocument/2006/relationships/hyperlink" Target="MAILTO:info@focaltechmalta.com" TargetMode="External"/><Relationship Id="rId57" Type="http://schemas.openxmlformats.org/officeDocument/2006/relationships/hyperlink" Target="https://www.google.com/maps/search/?api=1&amp;query=130%2C%20Triq%20Salvu%20Psaila%2C%20B%27Kara" TargetMode="External"/><Relationship Id="rId106" Type="http://schemas.openxmlformats.org/officeDocument/2006/relationships/hyperlink" Target="https://www.google.com/maps/search/?api=1&amp;query=220%20Triq%20Alfredo%20Cachia%20Zammit%2C%20Zejtun" TargetMode="External"/><Relationship Id="rId127" Type="http://schemas.openxmlformats.org/officeDocument/2006/relationships/hyperlink" Target="https://eaglesecurity.com.mt/" TargetMode="External"/><Relationship Id="rId10" Type="http://schemas.openxmlformats.org/officeDocument/2006/relationships/hyperlink" Target="MAILTO:info@antifire.com.mt" TargetMode="External"/><Relationship Id="rId31" Type="http://schemas.openxmlformats.org/officeDocument/2006/relationships/hyperlink" Target="MAILTO:techadvance.security@gmail.com" TargetMode="External"/><Relationship Id="rId52" Type="http://schemas.openxmlformats.org/officeDocument/2006/relationships/hyperlink" Target="MAILTO:jlcenergyhome@gmail.com" TargetMode="External"/><Relationship Id="rId73" Type="http://schemas.openxmlformats.org/officeDocument/2006/relationships/hyperlink" Target="https://www.google.com/maps/search/?api=1&amp;query=BLB%20017%20Qasam%20Industijali%2C%20Bulebel%2C%20Zejtun" TargetMode="External"/><Relationship Id="rId78" Type="http://schemas.openxmlformats.org/officeDocument/2006/relationships/hyperlink" Target="https://www.google.com/maps/search/?api=1&amp;query=22%20Triq%20il-Fieres%2C%20Tarxien" TargetMode="External"/><Relationship Id="rId94" Type="http://schemas.openxmlformats.org/officeDocument/2006/relationships/hyperlink" Target="https://www.google.com/maps/search/?api=1&amp;query=Securevision%2C%0AW.S%20Gauci%20Limited%2C%0AWignacourt%20Street%2C%0ABirkirkara%2C%20BKR%204714%2C%0AMalta" TargetMode="External"/><Relationship Id="rId99" Type="http://schemas.openxmlformats.org/officeDocument/2006/relationships/hyperlink" Target="https://www.google.com/maps/search/?api=1&amp;query=2%2C%203%20Triq%20tal-Balal%20Tax-Xwieki%2C%20Gharghur" TargetMode="External"/><Relationship Id="rId101" Type="http://schemas.openxmlformats.org/officeDocument/2006/relationships/hyperlink" Target="https://www.google.com/maps/search/?api=1&amp;query=Ciancio%20House%2C%20Zone%205%20Triq%20ll-Kanun%20Central%20Business%20District%2C%20Qormi" TargetMode="External"/><Relationship Id="rId122" Type="http://schemas.openxmlformats.org/officeDocument/2006/relationships/hyperlink" Target="https://alarmtechmalta.com/" TargetMode="External"/><Relationship Id="rId143" Type="http://schemas.openxmlformats.org/officeDocument/2006/relationships/hyperlink" Target="https://securevision.com.mt/sv/product-category/security/cctv/" TargetMode="External"/><Relationship Id="rId148" Type="http://schemas.openxmlformats.org/officeDocument/2006/relationships/hyperlink" Target="https://aqsmed.com/" TargetMode="External"/><Relationship Id="rId4" Type="http://schemas.openxmlformats.org/officeDocument/2006/relationships/hyperlink" Target="MAILTO:info@pdsecuritymalta.com" TargetMode="External"/><Relationship Id="rId9" Type="http://schemas.openxmlformats.org/officeDocument/2006/relationships/hyperlink" Target="MAILTO:info@pdsecuritymalta.com" TargetMode="External"/><Relationship Id="rId26" Type="http://schemas.openxmlformats.org/officeDocument/2006/relationships/hyperlink" Target="MAILTO:info@ielmalta.com" TargetMode="External"/><Relationship Id="rId47" Type="http://schemas.openxmlformats.org/officeDocument/2006/relationships/hyperlink" Target="MAILTO:info@powersolutions.com.mt" TargetMode="External"/><Relationship Id="rId68" Type="http://schemas.openxmlformats.org/officeDocument/2006/relationships/hyperlink" Target="https://www.google.com/maps/search/?api=1&amp;query=Sub%20901%20Triq%20F%20S%20Caruana%20Qasam%20Industrijali%2C%20San%20Gwann" TargetMode="External"/><Relationship Id="rId89" Type="http://schemas.openxmlformats.org/officeDocument/2006/relationships/hyperlink" Target="https://www.google.com/maps/search/?api=1&amp;query=347%20Triq%20D%E2%80%99Argens%2C%20Il-G%C5%BCira" TargetMode="External"/><Relationship Id="rId112" Type="http://schemas.openxmlformats.org/officeDocument/2006/relationships/hyperlink" Target="https://antifire.com.mt/" TargetMode="External"/><Relationship Id="rId133" Type="http://schemas.openxmlformats.org/officeDocument/2006/relationships/hyperlink" Target="https://ispyprojects.com/" TargetMode="External"/><Relationship Id="rId154" Type="http://schemas.openxmlformats.org/officeDocument/2006/relationships/hyperlink" Target="https://csts-malta.com/" TargetMode="External"/><Relationship Id="rId16" Type="http://schemas.openxmlformats.org/officeDocument/2006/relationships/hyperlink" Target="MAILTO:craudsecurity@gmail.com" TargetMode="External"/><Relationship Id="rId37" Type="http://schemas.openxmlformats.org/officeDocument/2006/relationships/hyperlink" Target="MAILTO:info@masco.com.mt" TargetMode="External"/><Relationship Id="rId58" Type="http://schemas.openxmlformats.org/officeDocument/2006/relationships/hyperlink" Target="https://www.google.com/maps/search/?api=1&amp;query=Triq%20il-Belt%20Valetta%2C%20Qormi" TargetMode="External"/><Relationship Id="rId79" Type="http://schemas.openxmlformats.org/officeDocument/2006/relationships/hyperlink" Target="https://www.google.com/maps/search/?api=1&amp;query=34%2C%20flat%201%20Triq%20I-Egrett%20Isfar%2C%20Luqa" TargetMode="External"/><Relationship Id="rId102" Type="http://schemas.openxmlformats.org/officeDocument/2006/relationships/hyperlink" Target="https://www.google.com/maps/search/?api=1&amp;query=39%20Triq%20il-Kwartin%2C%20Swieqi" TargetMode="External"/><Relationship Id="rId123" Type="http://schemas.openxmlformats.org/officeDocument/2006/relationships/hyperlink" Target="https://cbsecuritymalta.com/" TargetMode="External"/><Relationship Id="rId144" Type="http://schemas.openxmlformats.org/officeDocument/2006/relationships/hyperlink" Target="https://firetech.com.mt/about-us" TargetMode="External"/><Relationship Id="rId90" Type="http://schemas.openxmlformats.org/officeDocument/2006/relationships/hyperlink" Target="https://www.google.com/maps/search/?api=1&amp;query=Blu%20Building%2C%20Qormi%20Road%2C%20Luqa" TargetMode="External"/><Relationship Id="rId27" Type="http://schemas.openxmlformats.org/officeDocument/2006/relationships/hyperlink" Target="MAILTO:info@ispyprojects.com" TargetMode="External"/><Relationship Id="rId48" Type="http://schemas.openxmlformats.org/officeDocument/2006/relationships/hyperlink" Target="MAILTO:cflgroupmalta@gmail.com" TargetMode="External"/><Relationship Id="rId69" Type="http://schemas.openxmlformats.org/officeDocument/2006/relationships/hyperlink" Target="https://www.google.com/maps/search/?api=1&amp;query=40%20Triq%20il-Konvoj%20Ta%27%20Santa%20Marija%2C%20Mqabba" TargetMode="External"/><Relationship Id="rId113" Type="http://schemas.openxmlformats.org/officeDocument/2006/relationships/hyperlink" Target="https://aeco.com.mt/" TargetMode="External"/><Relationship Id="rId134" Type="http://schemas.openxmlformats.org/officeDocument/2006/relationships/hyperlink" Target="https://facebook.com/misystemsmalta/" TargetMode="External"/><Relationship Id="rId80" Type="http://schemas.openxmlformats.org/officeDocument/2006/relationships/hyperlink" Target="https://www.google.com/maps/search/?api=1&amp;query=25%20Triq%20il-Kullegg%2C%20Rabat" TargetMode="External"/><Relationship Id="rId155" Type="http://schemas.openxmlformats.org/officeDocument/2006/relationships/hyperlink" Target="https://electrofixgroup.com/" TargetMode="External"/></Relationships>
</file>

<file path=xl/worksheets/_rels/sheet45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afs.com.mt" TargetMode="External"/><Relationship Id="rId18" Type="http://schemas.openxmlformats.org/officeDocument/2006/relationships/hyperlink" Target="MAILTO:info@topchoice.com.mt" TargetMode="External"/><Relationship Id="rId26" Type="http://schemas.openxmlformats.org/officeDocument/2006/relationships/hyperlink" Target="MAILTO:info@prochimps.com" TargetMode="External"/><Relationship Id="rId39" Type="http://schemas.openxmlformats.org/officeDocument/2006/relationships/hyperlink" Target="https://www.google.com/maps/search/?api=1&amp;query=242%20Triq%20l-Imdina%20%2C%0AQormi%2C%20Malta%20QRM%209014" TargetMode="External"/><Relationship Id="rId21" Type="http://schemas.openxmlformats.org/officeDocument/2006/relationships/hyperlink" Target="MAILTO:info@bigmatmalta.com" TargetMode="External"/><Relationship Id="rId34" Type="http://schemas.openxmlformats.org/officeDocument/2006/relationships/hyperlink" Target="https://www.google.com/maps/search/?api=1&amp;query=Triq%20Il-Mosta%2C%20Hal%20Lija%2C%20Malta%20LJA%209010" TargetMode="External"/><Relationship Id="rId42" Type="http://schemas.openxmlformats.org/officeDocument/2006/relationships/hyperlink" Target="https://www.google.com/maps/search/?api=1&amp;query=16%20Triq%20Sant%E2%80%99%20Antnin%20%2C%0AM%E2%80%99Skala%2C%20Malta%20MSK%209058" TargetMode="External"/><Relationship Id="rId47" Type="http://schemas.openxmlformats.org/officeDocument/2006/relationships/hyperlink" Target="https://micalleffibreglassworks.com/" TargetMode="External"/><Relationship Id="rId50" Type="http://schemas.openxmlformats.org/officeDocument/2006/relationships/hyperlink" Target="https://thehardwarestoremalta.com/" TargetMode="External"/><Relationship Id="rId55" Type="http://schemas.openxmlformats.org/officeDocument/2006/relationships/hyperlink" Target="https://facebook.com/afsmalta/" TargetMode="External"/><Relationship Id="rId7" Type="http://schemas.openxmlformats.org/officeDocument/2006/relationships/hyperlink" Target="MAILTO:rironmongomery@onvol.net" TargetMode="External"/><Relationship Id="rId2" Type="http://schemas.openxmlformats.org/officeDocument/2006/relationships/hyperlink" Target="MAILTO:info@khsmalta.com" TargetMode="External"/><Relationship Id="rId16" Type="http://schemas.openxmlformats.org/officeDocument/2006/relationships/hyperlink" Target="MAILTO:customercare@homemate.com.mt" TargetMode="External"/><Relationship Id="rId29" Type="http://schemas.openxmlformats.org/officeDocument/2006/relationships/hyperlink" Target="MAILTO:info@attardsmalta.com" TargetMode="External"/><Relationship Id="rId11" Type="http://schemas.openxmlformats.org/officeDocument/2006/relationships/hyperlink" Target="MAILTO:alldecor@maltanet.net" TargetMode="External"/><Relationship Id="rId24" Type="http://schemas.openxmlformats.org/officeDocument/2006/relationships/hyperlink" Target="MAILTO:info@btmalta.com" TargetMode="External"/><Relationship Id="rId32" Type="http://schemas.openxmlformats.org/officeDocument/2006/relationships/hyperlink" Target="https://www.google.com/maps/search/?api=1&amp;query=54%2C%20Castaldi%20Street%2C%20%C5%BBabbar%20ZBR1453%2C%20Malta" TargetMode="External"/><Relationship Id="rId37" Type="http://schemas.openxmlformats.org/officeDocument/2006/relationships/hyperlink" Target="https://www.google.com/maps/search/?api=1&amp;query=222%2C%20224%20Vjal%20il-Wiehed%20U%20Ghoxrin%20Ta%E2%80%99%20Settembru%20%2C%0ANaxxar%2C%20Malta%20NXR%201012" TargetMode="External"/><Relationship Id="rId40" Type="http://schemas.openxmlformats.org/officeDocument/2006/relationships/hyperlink" Target="https://www.google.com/maps/search/?api=1&amp;query=9%20Triq%20Dun%20Nerik%20Cordina%20Perez%20%2C%0AHamrun%2C%20Malta%20HMR%202101" TargetMode="External"/><Relationship Id="rId45" Type="http://schemas.openxmlformats.org/officeDocument/2006/relationships/hyperlink" Target="https://idroplastmalta.com/" TargetMode="External"/><Relationship Id="rId53" Type="http://schemas.openxmlformats.org/officeDocument/2006/relationships/hyperlink" Target="https://wcardonatrading.com/" TargetMode="External"/><Relationship Id="rId5" Type="http://schemas.openxmlformats.org/officeDocument/2006/relationships/hyperlink" Target="MAILTO:info@jwtcaruana.com" TargetMode="External"/><Relationship Id="rId19" Type="http://schemas.openxmlformats.org/officeDocument/2006/relationships/hyperlink" Target="MAILTO:info@atlanticwaterheaters.com.mt" TargetMode="External"/><Relationship Id="rId4" Type="http://schemas.openxmlformats.org/officeDocument/2006/relationships/hyperlink" Target="MAILTO:james@framegrip.com" TargetMode="External"/><Relationship Id="rId9" Type="http://schemas.openxmlformats.org/officeDocument/2006/relationships/hyperlink" Target="MAILTO:wcardonatrading@gmail.com" TargetMode="External"/><Relationship Id="rId14" Type="http://schemas.openxmlformats.org/officeDocument/2006/relationships/hyperlink" Target="MAILTO:info@fbpmalta.com" TargetMode="External"/><Relationship Id="rId22" Type="http://schemas.openxmlformats.org/officeDocument/2006/relationships/hyperlink" Target="MAILTO:info@thermex.com.mt" TargetMode="External"/><Relationship Id="rId27" Type="http://schemas.openxmlformats.org/officeDocument/2006/relationships/hyperlink" Target="MAILTO:info@tarcisiocaruana.com" TargetMode="External"/><Relationship Id="rId30" Type="http://schemas.openxmlformats.org/officeDocument/2006/relationships/hyperlink" Target="MAILTO:info@divine.com.mt" TargetMode="External"/><Relationship Id="rId35" Type="http://schemas.openxmlformats.org/officeDocument/2006/relationships/hyperlink" Target="https://www.google.com/maps/search/?api=1&amp;query=Caruana%20Farm%2C%20Triq%20it-Tnax%20Ta%27%20Mejju%2C%20%C5%BBebbu%C4%A1%2C%20ZBG%201281%2C%20Malta" TargetMode="External"/><Relationship Id="rId43" Type="http://schemas.openxmlformats.org/officeDocument/2006/relationships/hyperlink" Target="https://www.google.com/maps/search/?api=1&amp;query=Triq%20L-Imdina%2C%20%C4%A6%27Attard%2C%20Malta" TargetMode="External"/><Relationship Id="rId48" Type="http://schemas.openxmlformats.org/officeDocument/2006/relationships/hyperlink" Target="https://framegrip.com/" TargetMode="External"/><Relationship Id="rId56" Type="http://schemas.openxmlformats.org/officeDocument/2006/relationships/hyperlink" Target="https://fbpmalta.com/" TargetMode="External"/><Relationship Id="rId8" Type="http://schemas.openxmlformats.org/officeDocument/2006/relationships/hyperlink" Target="MAILTO:deguara24@gmail.com" TargetMode="External"/><Relationship Id="rId51" Type="http://schemas.openxmlformats.org/officeDocument/2006/relationships/hyperlink" Target="https://richiesironmongerymalta.com/" TargetMode="External"/><Relationship Id="rId3" Type="http://schemas.openxmlformats.org/officeDocument/2006/relationships/hyperlink" Target="MAILTO:info@micalleffibreglassworks.com" TargetMode="External"/><Relationship Id="rId12" Type="http://schemas.openxmlformats.org/officeDocument/2006/relationships/hyperlink" Target="MAILTO:kevinbartololtd@gmail.com" TargetMode="External"/><Relationship Id="rId17" Type="http://schemas.openxmlformats.org/officeDocument/2006/relationships/hyperlink" Target="MAILTO:office@tesy.com" TargetMode="External"/><Relationship Id="rId25" Type="http://schemas.openxmlformats.org/officeDocument/2006/relationships/hyperlink" Target="MAILTO:sales@carinibathrooms.com" TargetMode="External"/><Relationship Id="rId33" Type="http://schemas.openxmlformats.org/officeDocument/2006/relationships/hyperlink" Target="https://www.google.com/maps/search/?api=1&amp;query=7%2C%20Sun%20Down%20Yard%2C%20Triq%20il-Burmarrad%2C%20Naxxar%2C%20Malta%20NXR%206345" TargetMode="External"/><Relationship Id="rId38" Type="http://schemas.openxmlformats.org/officeDocument/2006/relationships/hyperlink" Target="https://www.google.com/maps/search/?api=1&amp;query=Triq%20il-Klin%20%2C%0AIklin%2C%20Malta%20IKL%201032" TargetMode="External"/><Relationship Id="rId46" Type="http://schemas.openxmlformats.org/officeDocument/2006/relationships/hyperlink" Target="https://khsmalta.com/" TargetMode="External"/><Relationship Id="rId20" Type="http://schemas.openxmlformats.org/officeDocument/2006/relationships/hyperlink" Target="MAILTO:info@digitalzone.com.mt" TargetMode="External"/><Relationship Id="rId41" Type="http://schemas.openxmlformats.org/officeDocument/2006/relationships/hyperlink" Target="https://www.google.com/maps/search/?api=1&amp;query=166%20Triq%20il-Kullegg%20L-Antik%20%2C%0ASliema%2C%20Malta%20SLM%201373" TargetMode="External"/><Relationship Id="rId54" Type="http://schemas.openxmlformats.org/officeDocument/2006/relationships/hyperlink" Target="https://jcironmongery.com/" TargetMode="External"/><Relationship Id="rId1" Type="http://schemas.openxmlformats.org/officeDocument/2006/relationships/hyperlink" Target="MAILTO:info@idroplastmalta.com" TargetMode="External"/><Relationship Id="rId6" Type="http://schemas.openxmlformats.org/officeDocument/2006/relationships/hyperlink" Target="MAILTO:thehardwarestoremalta@gmail.com" TargetMode="External"/><Relationship Id="rId15" Type="http://schemas.openxmlformats.org/officeDocument/2006/relationships/hyperlink" Target="MAILTO:sales@midea.mt" TargetMode="External"/><Relationship Id="rId23" Type="http://schemas.openxmlformats.org/officeDocument/2006/relationships/hyperlink" Target="MAILTO:sales@flamingo.mt" TargetMode="External"/><Relationship Id="rId28" Type="http://schemas.openxmlformats.org/officeDocument/2006/relationships/hyperlink" Target="MAILTO:team-b2b@atoz.com.mt" TargetMode="External"/><Relationship Id="rId36" Type="http://schemas.openxmlformats.org/officeDocument/2006/relationships/hyperlink" Target="https://www.google.com/maps/search/?api=1&amp;query=31%20Triq%20il-Witja%20%2C%0ATarxien%2C%20Malta%20TXN%202296" TargetMode="External"/><Relationship Id="rId49" Type="http://schemas.openxmlformats.org/officeDocument/2006/relationships/hyperlink" Target="https://jwtcaruana.com/" TargetMode="External"/><Relationship Id="rId57" Type="http://schemas.openxmlformats.org/officeDocument/2006/relationships/hyperlink" Target="https://midea.mt/contact/" TargetMode="External"/><Relationship Id="rId10" Type="http://schemas.openxmlformats.org/officeDocument/2006/relationships/hyperlink" Target="MAILTO:jcironmongomery@mail.com" TargetMode="External"/><Relationship Id="rId31" Type="http://schemas.openxmlformats.org/officeDocument/2006/relationships/hyperlink" Target="https://www.google.com/maps/search/?api=1&amp;query=Factory%20MRA014%2C%20Qasam%20Industrijali%2C%20Marsa%2C%20Malta" TargetMode="External"/><Relationship Id="rId44" Type="http://schemas.openxmlformats.org/officeDocument/2006/relationships/hyperlink" Target="https://www.google.com/maps/search/?api=1&amp;query=139%2C%20Bajada%20Street%2C%20Zabbar%2C%20Malta" TargetMode="External"/><Relationship Id="rId52" Type="http://schemas.openxmlformats.org/officeDocument/2006/relationships/hyperlink" Target="https://facebook.com/1675915686031114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toservicesltd.com" TargetMode="External"/><Relationship Id="rId13" Type="http://schemas.openxmlformats.org/officeDocument/2006/relationships/hyperlink" Target="MAILTO:alexander.sammut.16@gmail.com" TargetMode="External"/><Relationship Id="rId18" Type="http://schemas.openxmlformats.org/officeDocument/2006/relationships/hyperlink" Target="MAILTO:cfperit@gmail.com" TargetMode="External"/><Relationship Id="rId3" Type="http://schemas.openxmlformats.org/officeDocument/2006/relationships/hyperlink" Target="MAILTO:info@retrofit.com.mt" TargetMode="External"/><Relationship Id="rId21" Type="http://schemas.openxmlformats.org/officeDocument/2006/relationships/hyperlink" Target="MAILTO:ingdarioespo@gmail.com" TargetMode="External"/><Relationship Id="rId7" Type="http://schemas.openxmlformats.org/officeDocument/2006/relationships/hyperlink" Target="MAILTO:daniel@dpa.com.mt" TargetMode="External"/><Relationship Id="rId12" Type="http://schemas.openxmlformats.org/officeDocument/2006/relationships/hyperlink" Target="MAILTO:ap@paceadam.com" TargetMode="External"/><Relationship Id="rId17" Type="http://schemas.openxmlformats.org/officeDocument/2006/relationships/hyperlink" Target="MAILTO:christian.attard@gmail.com" TargetMode="External"/><Relationship Id="rId2" Type="http://schemas.openxmlformats.org/officeDocument/2006/relationships/hyperlink" Target="MAILTO:marlon1790@hotmail.com" TargetMode="External"/><Relationship Id="rId16" Type="http://schemas.openxmlformats.org/officeDocument/2006/relationships/hyperlink" Target="MAILTO:cg@techman.com.mt" TargetMode="External"/><Relationship Id="rId20" Type="http://schemas.openxmlformats.org/officeDocument/2006/relationships/hyperlink" Target="MAILTO:clayton.zammit@yahoo.com" TargetMode="External"/><Relationship Id="rId1" Type="http://schemas.openxmlformats.org/officeDocument/2006/relationships/hyperlink" Target="MAILTO:info@maksengmalta.com" TargetMode="External"/><Relationship Id="rId6" Type="http://schemas.openxmlformats.org/officeDocument/2006/relationships/hyperlink" Target="MAILTO:sitetechnicalofficermalta@gmail.com" TargetMode="External"/><Relationship Id="rId11" Type="http://schemas.openxmlformats.org/officeDocument/2006/relationships/hyperlink" Target="MAILTO:adrian180690@gmail.com" TargetMode="External"/><Relationship Id="rId24" Type="http://schemas.openxmlformats.org/officeDocument/2006/relationships/hyperlink" Target="MAILTO:xuereb.george@gmail.com" TargetMode="External"/><Relationship Id="rId5" Type="http://schemas.openxmlformats.org/officeDocument/2006/relationships/hyperlink" Target="MAILTO:rdcmalta@gmail.com" TargetMode="External"/><Relationship Id="rId15" Type="http://schemas.openxmlformats.org/officeDocument/2006/relationships/hyperlink" Target="MAILTO:antdormic@gmail.com" TargetMode="External"/><Relationship Id="rId23" Type="http://schemas.openxmlformats.org/officeDocument/2006/relationships/hyperlink" Target="MAILTO:gorgcauchi@gmail.com" TargetMode="External"/><Relationship Id="rId10" Type="http://schemas.openxmlformats.org/officeDocument/2006/relationships/hyperlink" Target="MAILTO:akarchistudio@gmail.com" TargetMode="External"/><Relationship Id="rId19" Type="http://schemas.openxmlformats.org/officeDocument/2006/relationships/hyperlink" Target="MAILTO:claireghigo@gmail.com" TargetMode="External"/><Relationship Id="rId4" Type="http://schemas.openxmlformats.org/officeDocument/2006/relationships/hyperlink" Target="MAILTO:info@architworks.com" TargetMode="External"/><Relationship Id="rId9" Type="http://schemas.openxmlformats.org/officeDocument/2006/relationships/hyperlink" Target="MAILTO:iagius@aiesltd.com" TargetMode="External"/><Relationship Id="rId14" Type="http://schemas.openxmlformats.org/officeDocument/2006/relationships/hyperlink" Target="MAILTO:antoinebrincat.mlt@gmail.com" TargetMode="External"/><Relationship Id="rId22" Type="http://schemas.openxmlformats.org/officeDocument/2006/relationships/hyperlink" Target="MAILTO:enwar27699@gmail.com" TargetMode="Externa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hyperlink" Target="https://facebook.com/profile.php?id=61571161208722" TargetMode="External"/><Relationship Id="rId1" Type="http://schemas.openxmlformats.org/officeDocument/2006/relationships/hyperlink" Target="MAILTO:aplusmep.ce@gmail.com" TargetMode="External"/></Relationships>
</file>

<file path=xl/worksheets/_rels/sheet48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sslifts.com" TargetMode="External"/><Relationship Id="rId18" Type="http://schemas.openxmlformats.org/officeDocument/2006/relationships/hyperlink" Target="MAILTO:info@qualitymalta.com" TargetMode="External"/><Relationship Id="rId26" Type="http://schemas.openxmlformats.org/officeDocument/2006/relationships/hyperlink" Target="https://www.google.com/maps/search/?api=1&amp;query=Triq%20Piscopo%20Macedonia%2C%20San%20Pawl%20il%E2%80%91Ba%C4%A7ar" TargetMode="External"/><Relationship Id="rId39" Type="http://schemas.openxmlformats.org/officeDocument/2006/relationships/hyperlink" Target="https://etralia.com/" TargetMode="External"/><Relationship Id="rId21" Type="http://schemas.openxmlformats.org/officeDocument/2006/relationships/hyperlink" Target="https://www.google.com/maps/search/?api=1&amp;query=14%2C%20Triq%20San%20Mikiel%2C%20Rabat%20RBT%202440" TargetMode="External"/><Relationship Id="rId34" Type="http://schemas.openxmlformats.org/officeDocument/2006/relationships/hyperlink" Target="https://www.google.com/maps/search/?api=1&amp;query=Factory%20A25F%2C%0AMarsa%20Industrial%20Estate%2C%20Malta" TargetMode="External"/><Relationship Id="rId42" Type="http://schemas.openxmlformats.org/officeDocument/2006/relationships/hyperlink" Target="https://bertulifting.com.mt/" TargetMode="External"/><Relationship Id="rId47" Type="http://schemas.openxmlformats.org/officeDocument/2006/relationships/hyperlink" Target="https://igmlifts.com/" TargetMode="External"/><Relationship Id="rId7" Type="http://schemas.openxmlformats.org/officeDocument/2006/relationships/hyperlink" Target="MAILTO:air&#8209;tro_service@outlook.com" TargetMode="External"/><Relationship Id="rId2" Type="http://schemas.openxmlformats.org/officeDocument/2006/relationships/hyperlink" Target="MAILTO:groffelifts@gmail.com" TargetMode="External"/><Relationship Id="rId16" Type="http://schemas.openxmlformats.org/officeDocument/2006/relationships/hyperlink" Target="MAILTO:info@liftservices.com.mt" TargetMode="External"/><Relationship Id="rId29" Type="http://schemas.openxmlformats.org/officeDocument/2006/relationships/hyperlink" Target="https://www.google.com/maps/search/?api=1&amp;query=2%2C%20Triq%20Roger%20Debattista%2C%20Hamrun%20HMR%201271" TargetMode="External"/><Relationship Id="rId11" Type="http://schemas.openxmlformats.org/officeDocument/2006/relationships/hyperlink" Target="MAILTO:info_malta@schindler.com" TargetMode="External"/><Relationship Id="rId24" Type="http://schemas.openxmlformats.org/officeDocument/2006/relationships/hyperlink" Target="https://www.google.com/maps/search/?api=1&amp;query=Triq%20San%20Filippu%2C%20M%C4%A1arr%2FM%E2%80%99najdra%3F" TargetMode="External"/><Relationship Id="rId32" Type="http://schemas.openxmlformats.org/officeDocument/2006/relationships/hyperlink" Target="https://www.google.com/maps/search/?api=1&amp;query=MRA048D%2C%20Industrial%20Estate%2C%0AMarsa%2C%20MRS3000%2C%20Malta" TargetMode="External"/><Relationship Id="rId37" Type="http://schemas.openxmlformats.org/officeDocument/2006/relationships/hyperlink" Target="https://dslifts.com/" TargetMode="External"/><Relationship Id="rId40" Type="http://schemas.openxmlformats.org/officeDocument/2006/relationships/hyperlink" Target="https://titan.com.mt/" TargetMode="External"/><Relationship Id="rId45" Type="http://schemas.openxmlformats.org/officeDocument/2006/relationships/hyperlink" Target="https://sslifts.com/" TargetMode="External"/><Relationship Id="rId5" Type="http://schemas.openxmlformats.org/officeDocument/2006/relationships/hyperlink" Target="MAILTO:info@titan.mizzi.com.mt" TargetMode="External"/><Relationship Id="rId15" Type="http://schemas.openxmlformats.org/officeDocument/2006/relationships/hyperlink" Target="MAILTO:info@igmlifts.com" TargetMode="External"/><Relationship Id="rId23" Type="http://schemas.openxmlformats.org/officeDocument/2006/relationships/hyperlink" Target="https://www.google.com/maps/search/?api=1&amp;query=The%20Lyric%2C%20Triq%20Antonio%20Bosio%2C%20L%E2%80%91Imsida" TargetMode="External"/><Relationship Id="rId28" Type="http://schemas.openxmlformats.org/officeDocument/2006/relationships/hyperlink" Target="https://www.google.com/maps/search/?api=1&amp;query=Panta%20House%2C%20Triq%20il%E2%80%91Wied%20ta%27%20l%E2%80%91Imsida" TargetMode="External"/><Relationship Id="rId36" Type="http://schemas.openxmlformats.org/officeDocument/2006/relationships/hyperlink" Target="https://www.google.com/maps/search/?api=1&amp;query=Joedi%20Graziella%20Apartments%2C%20Triq%20l%E2%80%91Iskola%2C%20Im%C5%9Bida" TargetMode="External"/><Relationship Id="rId49" Type="http://schemas.openxmlformats.org/officeDocument/2006/relationships/hyperlink" Target="https://elevation.mt/" TargetMode="External"/><Relationship Id="rId10" Type="http://schemas.openxmlformats.org/officeDocument/2006/relationships/hyperlink" Target="MAILTO:enquiries@pantalesco.com" TargetMode="External"/><Relationship Id="rId19" Type="http://schemas.openxmlformats.org/officeDocument/2006/relationships/hyperlink" Target="https://www.google.com/maps/search/?api=1&amp;query=Vjal%20il%E2%80%91Wie%C4%A7ed%20u%20G%C4%A7oxrin%20ta%27%20Settembru%2C%20Naxxar" TargetMode="External"/><Relationship Id="rId31" Type="http://schemas.openxmlformats.org/officeDocument/2006/relationships/hyperlink" Target="https://www.google.com/maps/search/?api=1&amp;query=S.S.%20Lifts%20Orona%2C%0A13%2C%20Triq%20it-Turisti%0AQawra%2C%20SPB1028%0AMalta" TargetMode="External"/><Relationship Id="rId44" Type="http://schemas.openxmlformats.org/officeDocument/2006/relationships/hyperlink" Target="https://pantalesco.com/" TargetMode="External"/><Relationship Id="rId4" Type="http://schemas.openxmlformats.org/officeDocument/2006/relationships/hyperlink" Target="MAILTO:info@etralia.com" TargetMode="External"/><Relationship Id="rId9" Type="http://schemas.openxmlformats.org/officeDocument/2006/relationships/hyperlink" Target="MAILTO:info@highriselifts.com" TargetMode="External"/><Relationship Id="rId14" Type="http://schemas.openxmlformats.org/officeDocument/2006/relationships/hyperlink" Target="MAILTO:info.mt@otis.com" TargetMode="External"/><Relationship Id="rId22" Type="http://schemas.openxmlformats.org/officeDocument/2006/relationships/hyperlink" Target="https://www.google.com/maps/search/?api=1&amp;query=39%2C%20Triq%20San%20%C4%A0akmu%2C%20Luqa%20LQA%201892" TargetMode="External"/><Relationship Id="rId27" Type="http://schemas.openxmlformats.org/officeDocument/2006/relationships/hyperlink" Target="https://www.google.com/maps/search/?api=1&amp;query=Factory%20LQA%205%2F6%2F7%2C%20Luqa%20Industrial%20Estate" TargetMode="External"/><Relationship Id="rId30" Type="http://schemas.openxmlformats.org/officeDocument/2006/relationships/hyperlink" Target="https://www.google.com/maps/search/?api=1&amp;query=Mdina%20Bastions%20Block%20A%2C%20Triq%20Michael%20Bonnici%2C%20%C5%BBebbu%C4%A1" TargetMode="External"/><Relationship Id="rId35" Type="http://schemas.openxmlformats.org/officeDocument/2006/relationships/hyperlink" Target="https://www.google.com/maps/search/?api=1&amp;query=Elevation%20Ltd%0AUpper%20A12%20Midland%20Industrial%20Estate%0ATriq%20Burmarrad%20Naxxar%2C%20NXR%206345%0AMalta" TargetMode="External"/><Relationship Id="rId43" Type="http://schemas.openxmlformats.org/officeDocument/2006/relationships/hyperlink" Target="https://highriselifts.com/" TargetMode="External"/><Relationship Id="rId48" Type="http://schemas.openxmlformats.org/officeDocument/2006/relationships/hyperlink" Target="https://liftservices.com.mt/" TargetMode="External"/><Relationship Id="rId8" Type="http://schemas.openxmlformats.org/officeDocument/2006/relationships/hyperlink" Target="MAILTO:bertulifting@gmail.com" TargetMode="External"/><Relationship Id="rId3" Type="http://schemas.openxmlformats.org/officeDocument/2006/relationships/hyperlink" Target="MAILTO:info@apexlifts.com.mt" TargetMode="External"/><Relationship Id="rId12" Type="http://schemas.openxmlformats.org/officeDocument/2006/relationships/hyperlink" Target="MAILTO:sales@elevaliftsmalta.com" TargetMode="External"/><Relationship Id="rId17" Type="http://schemas.openxmlformats.org/officeDocument/2006/relationships/hyperlink" Target="MAILTO:info@elevation.mt" TargetMode="External"/><Relationship Id="rId25" Type="http://schemas.openxmlformats.org/officeDocument/2006/relationships/hyperlink" Target="https://www.google.com/maps/search/?api=1&amp;query=Triq%20il%E2%80%91Gudja%2C%20%C4%A6al%20G%C4%A7axaq" TargetMode="External"/><Relationship Id="rId33" Type="http://schemas.openxmlformats.org/officeDocument/2006/relationships/hyperlink" Target="https://www.google.com/maps/search/?api=1&amp;query=I%20G%20M%20Lift%20Supplies%20%26%20Services%0ATriq%20Moroni%20%2C%0ASliema%20Malta%20SLM%201210" TargetMode="External"/><Relationship Id="rId38" Type="http://schemas.openxmlformats.org/officeDocument/2006/relationships/hyperlink" Target="https://apexlifts.com.mt/" TargetMode="External"/><Relationship Id="rId46" Type="http://schemas.openxmlformats.org/officeDocument/2006/relationships/hyperlink" Target="https://vertibus.com/" TargetMode="External"/><Relationship Id="rId20" Type="http://schemas.openxmlformats.org/officeDocument/2006/relationships/hyperlink" Target="https://www.google.com/maps/search/?api=1&amp;query=5%2F3%2C%20Triq%20l%E2%80%91Imsida%2C%20G%C5%BCira%20GZR%201401" TargetMode="External"/><Relationship Id="rId41" Type="http://schemas.openxmlformats.org/officeDocument/2006/relationships/hyperlink" Target="https://eni-lift.com/" TargetMode="External"/><Relationship Id="rId1" Type="http://schemas.openxmlformats.org/officeDocument/2006/relationships/hyperlink" Target="MAILTO:info@dslifts.com" TargetMode="External"/><Relationship Id="rId6" Type="http://schemas.openxmlformats.org/officeDocument/2006/relationships/hyperlink" Target="MAILTO:eniliftmalta@gmail.com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Mdina%20Road%2C%20Qormi%2C%20QRM%209011%2C%20Malta" TargetMode="External"/><Relationship Id="rId3" Type="http://schemas.openxmlformats.org/officeDocument/2006/relationships/hyperlink" Target="MAILTO:tuttoparquetmalta@gmail.com" TargetMode="External"/><Relationship Id="rId7" Type="http://schemas.openxmlformats.org/officeDocument/2006/relationships/hyperlink" Target="https://www.google.com/maps/search/?api=1&amp;query=10%2C%20Triq%20Dun%20Karm%0ABirkirkara%2C%20Malta" TargetMode="External"/><Relationship Id="rId12" Type="http://schemas.openxmlformats.org/officeDocument/2006/relationships/hyperlink" Target="https://vivendo.mt/" TargetMode="External"/><Relationship Id="rId2" Type="http://schemas.openxmlformats.org/officeDocument/2006/relationships/hyperlink" Target="MAILTO:info@brands.com.mt" TargetMode="External"/><Relationship Id="rId1" Type="http://schemas.openxmlformats.org/officeDocument/2006/relationships/hyperlink" Target="MAILTO:info@madumahomeinteriors.com" TargetMode="External"/><Relationship Id="rId6" Type="http://schemas.openxmlformats.org/officeDocument/2006/relationships/hyperlink" Target="https://www.google.com/maps/search/?api=1&amp;query=Triq%20tal-Balal%2C%20San%20Gwann%2C%20Malta" TargetMode="External"/><Relationship Id="rId11" Type="http://schemas.openxmlformats.org/officeDocument/2006/relationships/hyperlink" Target="https://tuttoparquetmalta.com/index.html" TargetMode="External"/><Relationship Id="rId5" Type="http://schemas.openxmlformats.org/officeDocument/2006/relationships/hyperlink" Target="https://www.google.com/maps/search/?api=1&amp;query=12%2C%20Triq%20il-Parro%C4%8B%C4%8Ba%20%0ASVR%201262%0ASanta%20Venera" TargetMode="External"/><Relationship Id="rId10" Type="http://schemas.openxmlformats.org/officeDocument/2006/relationships/hyperlink" Target="https://brands.com.mt/" TargetMode="External"/><Relationship Id="rId4" Type="http://schemas.openxmlformats.org/officeDocument/2006/relationships/hyperlink" Target="MAILTO:info@vivendo.mt" TargetMode="External"/><Relationship Id="rId9" Type="http://schemas.openxmlformats.org/officeDocument/2006/relationships/hyperlink" Target="https://madumahomeinteriors.com/" TargetMode="External"/></Relationships>
</file>

<file path=xl/worksheets/_rels/sheet50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absolute.com.mt" TargetMode="External"/><Relationship Id="rId21" Type="http://schemas.openxmlformats.org/officeDocument/2006/relationships/hyperlink" Target="MAILTO:edfinishings1@gmail.com" TargetMode="External"/><Relationship Id="rId34" Type="http://schemas.openxmlformats.org/officeDocument/2006/relationships/hyperlink" Target="https://www.google.com/maps/search/?api=1&amp;query=19%20Garage%20Katarina%20Triq%20Santa%20Klementina%20%2C%0AZurrieq%2C%20Malta%20ZRQ%202510" TargetMode="External"/><Relationship Id="rId42" Type="http://schemas.openxmlformats.org/officeDocument/2006/relationships/hyperlink" Target="https://www.google.com/maps/search/?api=1&amp;query=Divine%20Mercy%20Triq%20Pawlu%20Balzan%20%2C%0AZebbug%2C%20Malta%20ZBG%201490" TargetMode="External"/><Relationship Id="rId47" Type="http://schemas.openxmlformats.org/officeDocument/2006/relationships/hyperlink" Target="https://www.google.com/maps/search/?api=1&amp;query=Ker%C4%8Bem%2C%20Gozo" TargetMode="External"/><Relationship Id="rId50" Type="http://schemas.openxmlformats.org/officeDocument/2006/relationships/hyperlink" Target="https://www.google.com/maps/search/?api=1&amp;query=Triq%20Giovanni%20Maria%20Borg%2C%20Zurrieq%2C%20Malta" TargetMode="External"/><Relationship Id="rId55" Type="http://schemas.openxmlformats.org/officeDocument/2006/relationships/hyperlink" Target="https://www.google.com/maps/search/?api=1&amp;query=Triq%20Pantar%2C%20Hal%20Lija" TargetMode="External"/><Relationship Id="rId63" Type="http://schemas.openxmlformats.org/officeDocument/2006/relationships/hyperlink" Target="https://gad.com.mt/" TargetMode="External"/><Relationship Id="rId68" Type="http://schemas.openxmlformats.org/officeDocument/2006/relationships/hyperlink" Target="https://mrcd.com.mt/en/home.htm" TargetMode="External"/><Relationship Id="rId7" Type="http://schemas.openxmlformats.org/officeDocument/2006/relationships/hyperlink" Target="MAILTO:ivan.busu@hotmail.com" TargetMode="External"/><Relationship Id="rId2" Type="http://schemas.openxmlformats.org/officeDocument/2006/relationships/hyperlink" Target="MAILTO:cmkazammit@gmail.com" TargetMode="External"/><Relationship Id="rId16" Type="http://schemas.openxmlformats.org/officeDocument/2006/relationships/hyperlink" Target="MAILTO:malta.tiling@gmail.com" TargetMode="External"/><Relationship Id="rId29" Type="http://schemas.openxmlformats.org/officeDocument/2006/relationships/hyperlink" Target="MAILTO:tresortradingltd@gmail.com" TargetMode="External"/><Relationship Id="rId11" Type="http://schemas.openxmlformats.org/officeDocument/2006/relationships/hyperlink" Target="MAILTO:fjtiles@gmail.com" TargetMode="External"/><Relationship Id="rId24" Type="http://schemas.openxmlformats.org/officeDocument/2006/relationships/hyperlink" Target="MAILTO:tilingforfuture@gmail.com" TargetMode="External"/><Relationship Id="rId32" Type="http://schemas.openxmlformats.org/officeDocument/2006/relationships/hyperlink" Target="MAILTO:info@mrcd.com.mt" TargetMode="External"/><Relationship Id="rId37" Type="http://schemas.openxmlformats.org/officeDocument/2006/relationships/hyperlink" Target="https://www.google.com/maps/search/?api=1&amp;query=13%20Helen%20Flat%203%20Triq%20Joe%20Sciberras%20%2C%0AHamrun%2C%20Malta%20HMR%201550" TargetMode="External"/><Relationship Id="rId40" Type="http://schemas.openxmlformats.org/officeDocument/2006/relationships/hyperlink" Target="https://www.google.com/maps/search/?api=1&amp;query=22%20April%20May%20Triq%20Gorg%20Borg%20%2C%0AQormi%2C%20Malta%20QRM%201943" TargetMode="External"/><Relationship Id="rId45" Type="http://schemas.openxmlformats.org/officeDocument/2006/relationships/hyperlink" Target="https://www.google.com/maps/search/?api=1&amp;query=58%20Triq%20Dun%20Gwann%20Pullicino%20%2C%0AMosta%2C%20Malta%20MST%202703" TargetMode="External"/><Relationship Id="rId53" Type="http://schemas.openxmlformats.org/officeDocument/2006/relationships/hyperlink" Target="https://www.google.com/maps/search/?api=1&amp;query=Galine%2C%20Josmar%20Complex%2C%20Triq%20Id-Difiza%20Civili%2C%20Il-Mosta%2C%20Malta" TargetMode="External"/><Relationship Id="rId58" Type="http://schemas.openxmlformats.org/officeDocument/2006/relationships/hyperlink" Target="https://www.google.com/maps/search/?api=1&amp;query=J.Micallef%20BOATYARD%20and%20WAREHOUSE%20Ta%20ghadajma%20l%2Fo%20Mqabba%20%28Near%20STMicro%20Eletronics%29%20Malta%2C%20Mqabba%2C%20Malta" TargetMode="External"/><Relationship Id="rId66" Type="http://schemas.openxmlformats.org/officeDocument/2006/relationships/hyperlink" Target="https://facebook.com/showtilesnaxxar/" TargetMode="External"/><Relationship Id="rId5" Type="http://schemas.openxmlformats.org/officeDocument/2006/relationships/hyperlink" Target="MAILTO:jamal82aljanid82@gmail.com" TargetMode="External"/><Relationship Id="rId61" Type="http://schemas.openxmlformats.org/officeDocument/2006/relationships/hyperlink" Target="https://facebook.com/865035916866720%0aSuggest%20update" TargetMode="External"/><Relationship Id="rId19" Type="http://schemas.openxmlformats.org/officeDocument/2006/relationships/hyperlink" Target="MAILTO:stephentilelayer@gmail.com" TargetMode="External"/><Relationship Id="rId14" Type="http://schemas.openxmlformats.org/officeDocument/2006/relationships/hyperlink" Target="MAILTO:salibatilelayer@gmail.com" TargetMode="External"/><Relationship Id="rId22" Type="http://schemas.openxmlformats.org/officeDocument/2006/relationships/hyperlink" Target="MAILTO:clifton_tilelaying@hotmail.com" TargetMode="External"/><Relationship Id="rId27" Type="http://schemas.openxmlformats.org/officeDocument/2006/relationships/hyperlink" Target="MAILTO:alex@gad.com.mt" TargetMode="External"/><Relationship Id="rId30" Type="http://schemas.openxmlformats.org/officeDocument/2006/relationships/hyperlink" Target="MAILTO:showtiles@gmail.com" TargetMode="External"/><Relationship Id="rId35" Type="http://schemas.openxmlformats.org/officeDocument/2006/relationships/hyperlink" Target="https://www.google.com/maps/search/?api=1&amp;query=Private%20Road%2C%20Garage%204%2C%205%20%26%206%20Triq%20l-Irham%20%2C%0AQormi%2C%20Malta" TargetMode="External"/><Relationship Id="rId43" Type="http://schemas.openxmlformats.org/officeDocument/2006/relationships/hyperlink" Target="https://www.google.com/maps/search/?api=1&amp;query=Triq%20il-Bronja%20%2C%0AZurrieq%2C%20Malta" TargetMode="External"/><Relationship Id="rId48" Type="http://schemas.openxmlformats.org/officeDocument/2006/relationships/hyperlink" Target="https://www.google.com/maps/search/?api=1&amp;query=Triq%20Domenico%20Cachia%2054%2C%20Birkirkara%2C%20Malta" TargetMode="External"/><Relationship Id="rId56" Type="http://schemas.openxmlformats.org/officeDocument/2006/relationships/hyperlink" Target="https://www.google.com/maps/search/?api=1&amp;query=21%2C%20Triq%20Gellewza%20Sewda%2C%0AMidland%20Park%2C%20D7%0ABurmarrad%20Road%2C%20Burmarrad%20LO%20Naxxar%0AMalta" TargetMode="External"/><Relationship Id="rId64" Type="http://schemas.openxmlformats.org/officeDocument/2006/relationships/hyperlink" Target="https://promaninteriors.com/" TargetMode="External"/><Relationship Id="rId8" Type="http://schemas.openxmlformats.org/officeDocument/2006/relationships/hyperlink" Target="MAILTO:charliegrech65@gmail.com" TargetMode="External"/><Relationship Id="rId51" Type="http://schemas.openxmlformats.org/officeDocument/2006/relationships/hyperlink" Target="https://www.google.com/maps/search/?api=1&amp;query=115%2C%20Triq%20Il-Bwieraq%2C%20Birkirkara%2C%20Malta" TargetMode="External"/><Relationship Id="rId3" Type="http://schemas.openxmlformats.org/officeDocument/2006/relationships/hyperlink" Target="MAILTO:info@skirting.com.mt" TargetMode="External"/><Relationship Id="rId12" Type="http://schemas.openxmlformats.org/officeDocument/2006/relationships/hyperlink" Target="MAILTO:info@floorsofstone.com.mt" TargetMode="External"/><Relationship Id="rId17" Type="http://schemas.openxmlformats.org/officeDocument/2006/relationships/hyperlink" Target="MAILTO:contact@kibitec.com" TargetMode="External"/><Relationship Id="rId25" Type="http://schemas.openxmlformats.org/officeDocument/2006/relationships/hyperlink" Target="MAILTO:chantellemizzi@hotmail.com" TargetMode="External"/><Relationship Id="rId33" Type="http://schemas.openxmlformats.org/officeDocument/2006/relationships/hyperlink" Target="https://www.google.com/maps/search/?api=1&amp;query=Triq%20John%20Michael%20Testa%20Tal-Handaq%20%2C%0AQormi%2C%20Malta%20QRM%204000" TargetMode="External"/><Relationship Id="rId38" Type="http://schemas.openxmlformats.org/officeDocument/2006/relationships/hyperlink" Target="https://www.google.com/maps/search/?api=1&amp;query=12%20Windrush%20T%2FG%20fi%20triq%20it-Turretta%20%2C%0ADingli%2C%20Malta%20DGL%201731" TargetMode="External"/><Relationship Id="rId46" Type="http://schemas.openxmlformats.org/officeDocument/2006/relationships/hyperlink" Target="https://www.google.com/maps/search/?api=1&amp;query=%C5%BBejtun%2C%20Malta" TargetMode="External"/><Relationship Id="rId59" Type="http://schemas.openxmlformats.org/officeDocument/2006/relationships/hyperlink" Target="https://www.google.com/maps/search/?api=1&amp;query=78%2C%20Triq%20San%20Pawl%20NXR%204016%20Naxxar%2C%20Malta" TargetMode="External"/><Relationship Id="rId67" Type="http://schemas.openxmlformats.org/officeDocument/2006/relationships/hyperlink" Target="https://facebook.com/RGroupMalta" TargetMode="External"/><Relationship Id="rId20" Type="http://schemas.openxmlformats.org/officeDocument/2006/relationships/hyperlink" Target="MAILTO:zltcontractor@gmail.com" TargetMode="External"/><Relationship Id="rId41" Type="http://schemas.openxmlformats.org/officeDocument/2006/relationships/hyperlink" Target="https://www.google.com/maps/search/?api=1&amp;query=35%20Trilogy%2C%20Flt%201%20Triq%20Ganni%20Bonnici%20%2C%0AZebbug%2C%20Malta%20ZBG%202507" TargetMode="External"/><Relationship Id="rId54" Type="http://schemas.openxmlformats.org/officeDocument/2006/relationships/hyperlink" Target="https://www.google.com/maps/search/?api=1&amp;query=Fisheye%2C%20Triq%20Mons.%20A.%20Buhagiar%2C%20Ir-Rabat%2C%20Malta" TargetMode="External"/><Relationship Id="rId62" Type="http://schemas.openxmlformats.org/officeDocument/2006/relationships/hyperlink" Target="https://absolute.com.mt/" TargetMode="External"/><Relationship Id="rId1" Type="http://schemas.openxmlformats.org/officeDocument/2006/relationships/hyperlink" Target="MAILTO:bgalea11@gmail.com" TargetMode="External"/><Relationship Id="rId6" Type="http://schemas.openxmlformats.org/officeDocument/2006/relationships/hyperlink" Target="MAILTO:tonytilelayer@hotmail.com" TargetMode="External"/><Relationship Id="rId15" Type="http://schemas.openxmlformats.org/officeDocument/2006/relationships/hyperlink" Target="MAILTO:frankiec029@gmail.com" TargetMode="External"/><Relationship Id="rId23" Type="http://schemas.openxmlformats.org/officeDocument/2006/relationships/hyperlink" Target="MAILTO:jevgatt@maltanet.net" TargetMode="External"/><Relationship Id="rId28" Type="http://schemas.openxmlformats.org/officeDocument/2006/relationships/hyperlink" Target="MAILTO:info@promaninteriors.com" TargetMode="External"/><Relationship Id="rId36" Type="http://schemas.openxmlformats.org/officeDocument/2006/relationships/hyperlink" Target="https://www.google.com/maps/search/?api=1&amp;query=6%20Montana%20Triq%20il-Qamh%20%2C%0AMellieha%2C%20Malta%20MLH%201761" TargetMode="External"/><Relationship Id="rId49" Type="http://schemas.openxmlformats.org/officeDocument/2006/relationships/hyperlink" Target="https://www.google.com/maps/search/?api=1&amp;query=Marsascala%2C%20Malta" TargetMode="External"/><Relationship Id="rId57" Type="http://schemas.openxmlformats.org/officeDocument/2006/relationships/hyperlink" Target="https://www.google.com/maps/search/?api=1&amp;query=Proman%20Interiors%2C%0A115%2C%20Valley%20Road%2C%0AB%27Kara.%20BKR%209022.%0AMalta." TargetMode="External"/><Relationship Id="rId10" Type="http://schemas.openxmlformats.org/officeDocument/2006/relationships/hyperlink" Target="MAILTO:leldor@onvol.net" TargetMode="External"/><Relationship Id="rId31" Type="http://schemas.openxmlformats.org/officeDocument/2006/relationships/hyperlink" Target="MAILTO:info@rgroupmt.com" TargetMode="External"/><Relationship Id="rId44" Type="http://schemas.openxmlformats.org/officeDocument/2006/relationships/hyperlink" Target="https://www.google.com/maps/search/?api=1&amp;query=115%20Triq%20il-Wied%20Ta%E2%80%99%20L-Imsida%20%2C%0AB%E2%80%99Kara%2C%20Malta%20BKR%209021" TargetMode="External"/><Relationship Id="rId52" Type="http://schemas.openxmlformats.org/officeDocument/2006/relationships/hyperlink" Target="https://www.google.com/maps/search/?api=1&amp;query=%C2%BAClimarkei%2C%20Triq%20Il-Gizi%2C%20Il-Fgura%2C%20Malta%20FGR%201040" TargetMode="External"/><Relationship Id="rId60" Type="http://schemas.openxmlformats.org/officeDocument/2006/relationships/hyperlink" Target="https://www.google.com/maps/search/?api=1&amp;query=MRCD%20Building%2C%0AKarmenu%20Camilleri%20Street%2C%0AQormi%2C%20QRM4631" TargetMode="External"/><Relationship Id="rId65" Type="http://schemas.openxmlformats.org/officeDocument/2006/relationships/hyperlink" Target="https://facebook.com/Dwarehouse23/" TargetMode="External"/><Relationship Id="rId4" Type="http://schemas.openxmlformats.org/officeDocument/2006/relationships/hyperlink" Target="MAILTO:gabjean@gmail.com" TargetMode="External"/><Relationship Id="rId9" Type="http://schemas.openxmlformats.org/officeDocument/2006/relationships/hyperlink" Target="MAILTO:damirsujak77@gmail.com" TargetMode="External"/><Relationship Id="rId13" Type="http://schemas.openxmlformats.org/officeDocument/2006/relationships/hyperlink" Target="MAILTO:gorggalea@gmail.com" TargetMode="External"/><Relationship Id="rId18" Type="http://schemas.openxmlformats.org/officeDocument/2006/relationships/hyperlink" Target="MAILTO:siamnd1985@gmail.com" TargetMode="External"/><Relationship Id="rId39" Type="http://schemas.openxmlformats.org/officeDocument/2006/relationships/hyperlink" Target="https://www.google.com/maps/search/?api=1&amp;query=Trejqet%20il-Beatu%20Dun%20Gorg%20Preca%20%2C%0APembroke%2C%20Malta%20PBK%201460" TargetMode="External"/></Relationships>
</file>

<file path=xl/worksheets/_rels/sheet51.xml.rels><?xml version="1.0" encoding="UTF-8" standalone="yes"?>
<Relationships xmlns="http://schemas.openxmlformats.org/package/2006/relationships"><Relationship Id="rId13" Type="http://schemas.openxmlformats.org/officeDocument/2006/relationships/hyperlink" Target="MAILTO:patrick@uniq.mt" TargetMode="External"/><Relationship Id="rId18" Type="http://schemas.openxmlformats.org/officeDocument/2006/relationships/hyperlink" Target="MAILTO:jovanpisani@keramitbathrooms.com" TargetMode="External"/><Relationship Id="rId26" Type="http://schemas.openxmlformats.org/officeDocument/2006/relationships/hyperlink" Target="MAILTO:anthony@lqmco.com" TargetMode="External"/><Relationship Id="rId39" Type="http://schemas.openxmlformats.org/officeDocument/2006/relationships/hyperlink" Target="MAILTO:info@andrewvassallo.com" TargetMode="External"/><Relationship Id="rId21" Type="http://schemas.openxmlformats.org/officeDocument/2006/relationships/hyperlink" Target="MAILTO:info@valour.mt" TargetMode="External"/><Relationship Id="rId34" Type="http://schemas.openxmlformats.org/officeDocument/2006/relationships/hyperlink" Target="MAILTO:modabagnor@gmail.com" TargetMode="External"/><Relationship Id="rId42" Type="http://schemas.openxmlformats.org/officeDocument/2006/relationships/hyperlink" Target="MAILTO:neil.galea698@gmail.com" TargetMode="External"/><Relationship Id="rId7" Type="http://schemas.openxmlformats.org/officeDocument/2006/relationships/hyperlink" Target="MAILTO:info@maltatiles.com" TargetMode="External"/><Relationship Id="rId2" Type="http://schemas.openxmlformats.org/officeDocument/2006/relationships/hyperlink" Target="MAILTO:tilesatwholesaleprices@gmail.com" TargetMode="External"/><Relationship Id="rId16" Type="http://schemas.openxmlformats.org/officeDocument/2006/relationships/hyperlink" Target="MAILTO:info@mrcd.com.mt" TargetMode="External"/><Relationship Id="rId20" Type="http://schemas.openxmlformats.org/officeDocument/2006/relationships/hyperlink" Target="MAILTO:info@idealbathrooms.com.mt" TargetMode="External"/><Relationship Id="rId29" Type="http://schemas.openxmlformats.org/officeDocument/2006/relationships/hyperlink" Target="MAILTO:mireille@jpitre.com" TargetMode="External"/><Relationship Id="rId41" Type="http://schemas.openxmlformats.org/officeDocument/2006/relationships/hyperlink" Target="MAILTO:classic-bathrooms@outlook.com" TargetMode="External"/><Relationship Id="rId1" Type="http://schemas.openxmlformats.org/officeDocument/2006/relationships/hyperlink" Target="MAILTO:tilesandmarbleinfo@gmail.com" TargetMode="External"/><Relationship Id="rId6" Type="http://schemas.openxmlformats.org/officeDocument/2006/relationships/hyperlink" Target="MAILTO:info@aandatiles.com" TargetMode="External"/><Relationship Id="rId11" Type="http://schemas.openxmlformats.org/officeDocument/2006/relationships/hyperlink" Target="MAILTO:tresortradingltd@gmail.com" TargetMode="External"/><Relationship Id="rId24" Type="http://schemas.openxmlformats.org/officeDocument/2006/relationships/hyperlink" Target="MAILTO:info@bathroomdesign.com.mt" TargetMode="External"/><Relationship Id="rId32" Type="http://schemas.openxmlformats.org/officeDocument/2006/relationships/hyperlink" Target="MAILTO:info@calcatta-ceramica.com" TargetMode="External"/><Relationship Id="rId37" Type="http://schemas.openxmlformats.org/officeDocument/2006/relationships/hyperlink" Target="MAILTO:info@distincthomes.com.mt" TargetMode="External"/><Relationship Id="rId40" Type="http://schemas.openxmlformats.org/officeDocument/2006/relationships/hyperlink" Target="MAILTO:info@farellbathrooms.com" TargetMode="External"/><Relationship Id="rId5" Type="http://schemas.openxmlformats.org/officeDocument/2006/relationships/hyperlink" Target="MAILTO:showroom@vellafalzon.com" TargetMode="External"/><Relationship Id="rId15" Type="http://schemas.openxmlformats.org/officeDocument/2006/relationships/hyperlink" Target="MAILTO:sales@carinibathrooms.com" TargetMode="External"/><Relationship Id="rId23" Type="http://schemas.openxmlformats.org/officeDocument/2006/relationships/hyperlink" Target="MAILTO:info@vivo.com.mt" TargetMode="External"/><Relationship Id="rId28" Type="http://schemas.openxmlformats.org/officeDocument/2006/relationships/hyperlink" Target="MAILTO:info@bathlinemalta.com" TargetMode="External"/><Relationship Id="rId36" Type="http://schemas.openxmlformats.org/officeDocument/2006/relationships/hyperlink" Target="MAILTO:info@designhubmalta.com.mt" TargetMode="External"/><Relationship Id="rId10" Type="http://schemas.openxmlformats.org/officeDocument/2006/relationships/hyperlink" Target="MAILTO:malta@iperceramica.it" TargetMode="External"/><Relationship Id="rId19" Type="http://schemas.openxmlformats.org/officeDocument/2006/relationships/hyperlink" Target="MAILTO:info@absolute.com.mt" TargetMode="External"/><Relationship Id="rId31" Type="http://schemas.openxmlformats.org/officeDocument/2006/relationships/hyperlink" Target="MAILTO:bc.bathrooms@gmail.com" TargetMode="External"/><Relationship Id="rId4" Type="http://schemas.openxmlformats.org/officeDocument/2006/relationships/hyperlink" Target="MAILTO:info@satariano.com" TargetMode="External"/><Relationship Id="rId9" Type="http://schemas.openxmlformats.org/officeDocument/2006/relationships/hyperlink" Target="MAILTO:info@tilewarehousemalta.com" TargetMode="External"/><Relationship Id="rId14" Type="http://schemas.openxmlformats.org/officeDocument/2006/relationships/hyperlink" Target="MAILTO:info@vellmann.com" TargetMode="External"/><Relationship Id="rId22" Type="http://schemas.openxmlformats.org/officeDocument/2006/relationships/hyperlink" Target="MAILTO:info@ssbathrooms.com" TargetMode="External"/><Relationship Id="rId27" Type="http://schemas.openxmlformats.org/officeDocument/2006/relationships/hyperlink" Target="MAILTO:meli@avantebathrooms.com" TargetMode="External"/><Relationship Id="rId30" Type="http://schemas.openxmlformats.org/officeDocument/2006/relationships/hyperlink" Target="MAILTO:info@bmsupplies.com" TargetMode="External"/><Relationship Id="rId35" Type="http://schemas.openxmlformats.org/officeDocument/2006/relationships/hyperlink" Target="MAILTO:calbrosltd@gmail.com" TargetMode="External"/><Relationship Id="rId8" Type="http://schemas.openxmlformats.org/officeDocument/2006/relationships/hyperlink" Target="MAILTO:info@the-tile.com" TargetMode="External"/><Relationship Id="rId3" Type="http://schemas.openxmlformats.org/officeDocument/2006/relationships/hyperlink" Target="MAILTO:sales@fos.mt" TargetMode="External"/><Relationship Id="rId12" Type="http://schemas.openxmlformats.org/officeDocument/2006/relationships/hyperlink" Target="MAILTO:j.centrobagno@gmail.com" TargetMode="External"/><Relationship Id="rId17" Type="http://schemas.openxmlformats.org/officeDocument/2006/relationships/hyperlink" Target="MAILTO:faenzadiybathroom@gmail.com" TargetMode="External"/><Relationship Id="rId25" Type="http://schemas.openxmlformats.org/officeDocument/2006/relationships/hyperlink" Target="MAILTO:info@banjuboutique.com" TargetMode="External"/><Relationship Id="rId33" Type="http://schemas.openxmlformats.org/officeDocument/2006/relationships/hyperlink" Target="MAILTO:Giorgiprojectpointltd@gmail.com" TargetMode="External"/><Relationship Id="rId38" Type="http://schemas.openxmlformats.org/officeDocument/2006/relationships/hyperlink" Target="MAILTO:cristalbath@onvol.net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MAILTO:borgconstructionworks@gmail.com" TargetMode="External"/><Relationship Id="rId13" Type="http://schemas.openxmlformats.org/officeDocument/2006/relationships/hyperlink" Target="MAILTO:info@vellmann.com" TargetMode="External"/><Relationship Id="rId18" Type="http://schemas.openxmlformats.org/officeDocument/2006/relationships/hyperlink" Target="https://www.google.com/maps/search/?api=1&amp;query=M4%20Shopping%20Complex%2C%20Triq%20il-Linja%2C%20Attard" TargetMode="External"/><Relationship Id="rId26" Type="http://schemas.openxmlformats.org/officeDocument/2006/relationships/hyperlink" Target="https://kibitec.com/" TargetMode="External"/><Relationship Id="rId3" Type="http://schemas.openxmlformats.org/officeDocument/2006/relationships/hyperlink" Target="MAILTO:sales@seamless.com.mt" TargetMode="External"/><Relationship Id="rId21" Type="http://schemas.openxmlformats.org/officeDocument/2006/relationships/hyperlink" Target="https://www.google.com/maps/search/?api=1&amp;query=117%20Triq%20L-Assemblea%20Nazzjonali%2C%0ASan%20Gwann%20SGN%203034%2C%20Malta" TargetMode="External"/><Relationship Id="rId7" Type="http://schemas.openxmlformats.org/officeDocument/2006/relationships/hyperlink" Target="MAILTO:info@grfmalta.com" TargetMode="External"/><Relationship Id="rId12" Type="http://schemas.openxmlformats.org/officeDocument/2006/relationships/hyperlink" Target="MAILTO:giorgiprojectpointltd@gmail.com" TargetMode="External"/><Relationship Id="rId17" Type="http://schemas.openxmlformats.org/officeDocument/2006/relationships/hyperlink" Target="https://www.google.com/maps/search/?api=1&amp;query=12%2C%20Triq%20il-Parro%C4%8B%C4%8Ba%20%0ASVR%201262%0ASanta%20Venera" TargetMode="External"/><Relationship Id="rId25" Type="http://schemas.openxmlformats.org/officeDocument/2006/relationships/hyperlink" Target="https://malta-design.com/en/?brid=OdwV4IO9rLodP231ucwrAg" TargetMode="External"/><Relationship Id="rId2" Type="http://schemas.openxmlformats.org/officeDocument/2006/relationships/hyperlink" Target="MAILTO:info@itpmalta.com" TargetMode="External"/><Relationship Id="rId16" Type="http://schemas.openxmlformats.org/officeDocument/2006/relationships/hyperlink" Target="https://www.google.com/maps/search/?api=1&amp;query=San%20Pawl%20il%E2%80%91Ba%C4%A7ar%20%2F%20Bugibba%2C%20Malta" TargetMode="External"/><Relationship Id="rId20" Type="http://schemas.openxmlformats.org/officeDocument/2006/relationships/hyperlink" Target="https://www.google.com/maps/search/?api=1&amp;query=Triq%20Domenico%20Cachia%2054%0ABirkirkara%2C%20BKR1017%2C%20Malta" TargetMode="External"/><Relationship Id="rId29" Type="http://schemas.openxmlformats.org/officeDocument/2006/relationships/hyperlink" Target="https://facebook.com/profile.php?id=61574532256025" TargetMode="External"/><Relationship Id="rId1" Type="http://schemas.openxmlformats.org/officeDocument/2006/relationships/hyperlink" Target="MAILTO:info@advancedsafety.com.mt" TargetMode="External"/><Relationship Id="rId6" Type="http://schemas.openxmlformats.org/officeDocument/2006/relationships/hyperlink" Target="MAILTO:contact@kibitec.com" TargetMode="External"/><Relationship Id="rId11" Type="http://schemas.openxmlformats.org/officeDocument/2006/relationships/hyperlink" Target="MAILTO:tresortradingltd@gmail.com" TargetMode="External"/><Relationship Id="rId24" Type="http://schemas.openxmlformats.org/officeDocument/2006/relationships/hyperlink" Target="https://mbm.com.mt/" TargetMode="External"/><Relationship Id="rId5" Type="http://schemas.openxmlformats.org/officeDocument/2006/relationships/hyperlink" Target="MAILTO:sales@malta-design.com" TargetMode="External"/><Relationship Id="rId15" Type="http://schemas.openxmlformats.org/officeDocument/2006/relationships/hyperlink" Target="MAILTO:info@jpitre.com" TargetMode="External"/><Relationship Id="rId23" Type="http://schemas.openxmlformats.org/officeDocument/2006/relationships/hyperlink" Target="https://seamless.com.mt/" TargetMode="External"/><Relationship Id="rId28" Type="http://schemas.openxmlformats.org/officeDocument/2006/relationships/hyperlink" Target="https://facebook.com/Dwarehouse23" TargetMode="External"/><Relationship Id="rId10" Type="http://schemas.openxmlformats.org/officeDocument/2006/relationships/hyperlink" Target="MAILTO:Pronesti@mail.com" TargetMode="External"/><Relationship Id="rId19" Type="http://schemas.openxmlformats.org/officeDocument/2006/relationships/hyperlink" Target="https://www.google.com/maps/search/?api=1&amp;query=San%20Giljan%2C%20Malta" TargetMode="External"/><Relationship Id="rId4" Type="http://schemas.openxmlformats.org/officeDocument/2006/relationships/hyperlink" Target="MAILTO:tcj@mbm.com.mt" TargetMode="External"/><Relationship Id="rId9" Type="http://schemas.openxmlformats.org/officeDocument/2006/relationships/hyperlink" Target="MAILTO:sales@jmvibro.com" TargetMode="External"/><Relationship Id="rId14" Type="http://schemas.openxmlformats.org/officeDocument/2006/relationships/hyperlink" Target="MAILTO:info@the-tile.com" TargetMode="External"/><Relationship Id="rId22" Type="http://schemas.openxmlformats.org/officeDocument/2006/relationships/hyperlink" Target="https://madumahomeinteriors.com/" TargetMode="External"/><Relationship Id="rId27" Type="http://schemas.openxmlformats.org/officeDocument/2006/relationships/hyperlink" Target="https://grfmalta.com/contact/" TargetMode="External"/><Relationship Id="rId30" Type="http://schemas.openxmlformats.org/officeDocument/2006/relationships/hyperlink" Target="https://the-tile.com/concrete-effect-tiles.html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MAILTO:jvturnkey.gozo@gmail.com" TargetMode="External"/><Relationship Id="rId13" Type="http://schemas.openxmlformats.org/officeDocument/2006/relationships/hyperlink" Target="https://www.google.com/maps/search/?api=1&amp;query=The%20Resin%20%26%20Membrane%20Centre%0A264%2C%20Old%20Railway%20Track%20Santa%20Venera" TargetMode="External"/><Relationship Id="rId18" Type="http://schemas.openxmlformats.org/officeDocument/2006/relationships/hyperlink" Target="https://www.google.com/maps/search/?api=1&amp;query=OneOneO%2C%20Triq%20il-Pitkali%2C%20Attard%20ATD%202214%2C%20Malta" TargetMode="External"/><Relationship Id="rId26" Type="http://schemas.openxmlformats.org/officeDocument/2006/relationships/hyperlink" Target="https://checkyourtraders.com/listing/j-zerafa-ltd?fromCat=resin-flooring" TargetMode="External"/><Relationship Id="rId3" Type="http://schemas.openxmlformats.org/officeDocument/2006/relationships/hyperlink" Target="MAILTO:info@coleiro.com" TargetMode="External"/><Relationship Id="rId21" Type="http://schemas.openxmlformats.org/officeDocument/2006/relationships/hyperlink" Target="https://theresincentre.com/" TargetMode="External"/><Relationship Id="rId7" Type="http://schemas.openxmlformats.org/officeDocument/2006/relationships/hyperlink" Target="MAILTO:zerafa.john@gmail.com" TargetMode="External"/><Relationship Id="rId12" Type="http://schemas.openxmlformats.org/officeDocument/2006/relationships/hyperlink" Target="https://www.google.com/maps/search/?api=1&amp;query=Birkirkara%2C%20Malta" TargetMode="External"/><Relationship Id="rId17" Type="http://schemas.openxmlformats.org/officeDocument/2006/relationships/hyperlink" Target="https://www.google.com/maps/search/?api=1&amp;query=Bugibba%2C%20Malta" TargetMode="External"/><Relationship Id="rId25" Type="http://schemas.openxmlformats.org/officeDocument/2006/relationships/hyperlink" Target="https://jmvibro.com/" TargetMode="External"/><Relationship Id="rId2" Type="http://schemas.openxmlformats.org/officeDocument/2006/relationships/hyperlink" Target="MAILTO:info@theresincentre.com" TargetMode="External"/><Relationship Id="rId16" Type="http://schemas.openxmlformats.org/officeDocument/2006/relationships/hyperlink" Target="https://www.google.com/maps/search/?api=1&amp;query=Flock%20Image%2C%205%2C%20Sir%20Luigi%20Preziosi%20Str%2C%20Mosta%2C%20MST%201521%2C%20MALTA" TargetMode="External"/><Relationship Id="rId20" Type="http://schemas.openxmlformats.org/officeDocument/2006/relationships/hyperlink" Target="https://resindecordesign.com/" TargetMode="External"/><Relationship Id="rId29" Type="http://schemas.openxmlformats.org/officeDocument/2006/relationships/hyperlink" Target="https://fodha.mt/" TargetMode="External"/><Relationship Id="rId1" Type="http://schemas.openxmlformats.org/officeDocument/2006/relationships/hyperlink" Target="MAILTO:resindecordesign@gmail.com" TargetMode="External"/><Relationship Id="rId6" Type="http://schemas.openxmlformats.org/officeDocument/2006/relationships/hyperlink" Target="MAILTO:sales@jmvibro.com" TargetMode="External"/><Relationship Id="rId11" Type="http://schemas.openxmlformats.org/officeDocument/2006/relationships/hyperlink" Target="MAILTO:airsolutions@ezee.mt" TargetMode="External"/><Relationship Id="rId24" Type="http://schemas.openxmlformats.org/officeDocument/2006/relationships/hyperlink" Target="https://flockimage.com/" TargetMode="External"/><Relationship Id="rId5" Type="http://schemas.openxmlformats.org/officeDocument/2006/relationships/hyperlink" Target="MAILTO:info@flockimage.com" TargetMode="External"/><Relationship Id="rId15" Type="http://schemas.openxmlformats.org/officeDocument/2006/relationships/hyperlink" Target="https://www.google.com/maps/search/?api=1&amp;query=278%2C%20Triq%20il-Baltiku%2C%2C%20Saint%20Julian%27s%2C%20Malta" TargetMode="External"/><Relationship Id="rId23" Type="http://schemas.openxmlformats.org/officeDocument/2006/relationships/hyperlink" Target="https://facebook.com/radoflooring/" TargetMode="External"/><Relationship Id="rId28" Type="http://schemas.openxmlformats.org/officeDocument/2006/relationships/hyperlink" Target="https://facebook.com/p/Epoxy-Malta-100067612150590/" TargetMode="External"/><Relationship Id="rId10" Type="http://schemas.openxmlformats.org/officeDocument/2006/relationships/hyperlink" Target="MAILTO:info@Fodha.mt" TargetMode="External"/><Relationship Id="rId19" Type="http://schemas.openxmlformats.org/officeDocument/2006/relationships/hyperlink" Target="https://www.google.com/maps/search/?api=1&amp;query=58%2C%20Donato%20del%20Piano%20Street%2C%20Zurrieq%2C%20ZRQ%202240%2C%20Malta" TargetMode="External"/><Relationship Id="rId4" Type="http://schemas.openxmlformats.org/officeDocument/2006/relationships/hyperlink" Target="MAILTO:info@radosystems.eu" TargetMode="External"/><Relationship Id="rId9" Type="http://schemas.openxmlformats.org/officeDocument/2006/relationships/hyperlink" Target="MAILTO:sakhr.turnkeyjob@gmail.com" TargetMode="External"/><Relationship Id="rId14" Type="http://schemas.openxmlformats.org/officeDocument/2006/relationships/hyperlink" Target="https://www.google.com/maps/search/?api=1&amp;query=Msida%20Valley%2C%0AB%E2%80%99Kara" TargetMode="External"/><Relationship Id="rId22" Type="http://schemas.openxmlformats.org/officeDocument/2006/relationships/hyperlink" Target="https://coleiro.com/floor-coatings/" TargetMode="External"/><Relationship Id="rId27" Type="http://schemas.openxmlformats.org/officeDocument/2006/relationships/hyperlink" Target="https://checkyourtraders.com/listing/jv-turnkey-gozo?fromCat=resin-flooring" TargetMode="External"/><Relationship Id="rId30" Type="http://schemas.openxmlformats.org/officeDocument/2006/relationships/hyperlink" Target="https://airsolutionslimited.com/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Bugibba%2C%20Malta" TargetMode="External"/><Relationship Id="rId2" Type="http://schemas.openxmlformats.org/officeDocument/2006/relationships/hyperlink" Target="MAILTO:info@flockimage.com" TargetMode="External"/><Relationship Id="rId1" Type="http://schemas.openxmlformats.org/officeDocument/2006/relationships/hyperlink" Target="MAILTO:sakhr.turnkeyjob@gmail.com" TargetMode="External"/><Relationship Id="rId5" Type="http://schemas.openxmlformats.org/officeDocument/2006/relationships/hyperlink" Target="https://facebook.com/p/Epoxy-Malta-100067612150590/" TargetMode="External"/><Relationship Id="rId4" Type="http://schemas.openxmlformats.org/officeDocument/2006/relationships/hyperlink" Target="https://www.google.com/maps/search/?api=1&amp;query=Mosta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Warehouse%20No.%2025%2C%20Hard%20Rocks%20Industrial%20Park%2C%20Burmarrad%20Road%2C%20Naxxar%2C%20Malta" TargetMode="External"/><Relationship Id="rId3" Type="http://schemas.openxmlformats.org/officeDocument/2006/relationships/hyperlink" Target="MAILTO:customer@devalier.com.mt" TargetMode="External"/><Relationship Id="rId7" Type="http://schemas.openxmlformats.org/officeDocument/2006/relationships/hyperlink" Target="https://www.google.com/maps/search/?api=1&amp;query=Fairline%20Centre%2C%20Santa%20Marta%20Str%2C%20Victoria%20Gozo%2C%20VCT%202552%2C%20Malta" TargetMode="External"/><Relationship Id="rId12" Type="http://schemas.openxmlformats.org/officeDocument/2006/relationships/hyperlink" Target="https://megastore.com.mt/en_MT/c/Vinyl/160976/2/default/5" TargetMode="External"/><Relationship Id="rId2" Type="http://schemas.openxmlformats.org/officeDocument/2006/relationships/hyperlink" Target="MAILTO:info@betacentre.com.mt" TargetMode="External"/><Relationship Id="rId1" Type="http://schemas.openxmlformats.org/officeDocument/2006/relationships/hyperlink" Target="MAILTO:info@vicalinteriors.com" TargetMode="External"/><Relationship Id="rId6" Type="http://schemas.openxmlformats.org/officeDocument/2006/relationships/hyperlink" Target="https://www.google.com/maps/search/?api=1&amp;query=Zabbar%20Road%2C%20Fgura" TargetMode="External"/><Relationship Id="rId11" Type="http://schemas.openxmlformats.org/officeDocument/2006/relationships/hyperlink" Target="https://dv.mt/" TargetMode="External"/><Relationship Id="rId5" Type="http://schemas.openxmlformats.org/officeDocument/2006/relationships/hyperlink" Target="https://www.google.com/maps/search/?api=1&amp;query=84%2C%20Qormi%20Road%2C%20Hamrun" TargetMode="External"/><Relationship Id="rId10" Type="http://schemas.openxmlformats.org/officeDocument/2006/relationships/hyperlink" Target="https://beta.com.mt/" TargetMode="External"/><Relationship Id="rId4" Type="http://schemas.openxmlformats.org/officeDocument/2006/relationships/hyperlink" Target="MAILTO:shop@megastore.com.mt" TargetMode="External"/><Relationship Id="rId9" Type="http://schemas.openxmlformats.org/officeDocument/2006/relationships/hyperlink" Target="https://vicalinteriors.com/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marteffects.com.mt" TargetMode="External"/><Relationship Id="rId13" Type="http://schemas.openxmlformats.org/officeDocument/2006/relationships/hyperlink" Target="https://www.google.com/maps/search/?api=1&amp;query=Triq%20tal-Balal%2C%20In-Naxxar" TargetMode="External"/><Relationship Id="rId18" Type="http://schemas.openxmlformats.org/officeDocument/2006/relationships/hyperlink" Target="https://www.google.com/maps/search/?api=1&amp;query=Mdina%20Road%2C%20Ha%C5%BC-%C5%BBebbu%C4%A1%2C%20ZBG%209019%20Malta" TargetMode="External"/><Relationship Id="rId26" Type="http://schemas.openxmlformats.org/officeDocument/2006/relationships/hyperlink" Target="https://smarteffects.com.mt/hvac-needs-contact/" TargetMode="External"/><Relationship Id="rId3" Type="http://schemas.openxmlformats.org/officeDocument/2006/relationships/hyperlink" Target="MAILTO:enquiries@panta.mt" TargetMode="External"/><Relationship Id="rId21" Type="http://schemas.openxmlformats.org/officeDocument/2006/relationships/hyperlink" Target="https://panta.mt/" TargetMode="External"/><Relationship Id="rId7" Type="http://schemas.openxmlformats.org/officeDocument/2006/relationships/hyperlink" Target="MAILTO:info@alternativetechnologies.com.mt" TargetMode="External"/><Relationship Id="rId12" Type="http://schemas.openxmlformats.org/officeDocument/2006/relationships/hyperlink" Target="https://www.google.com/maps/search/?api=1&amp;query=Valley%20Road%2C%20L-Imsida%20MSD%209024%2C%20Malta" TargetMode="External"/><Relationship Id="rId17" Type="http://schemas.openxmlformats.org/officeDocument/2006/relationships/hyperlink" Target="https://www.google.com/maps/search/?api=1&amp;query=SMART%20EFFECTS%20LTD%2C%20MTP%20Business%20Centre%2C%20Level%203%2C%20Triq%20Dun%20Karm%2C%20Birkirkara%2C%20Malta" TargetMode="External"/><Relationship Id="rId25" Type="http://schemas.openxmlformats.org/officeDocument/2006/relationships/hyperlink" Target="https://alternativetechnologies.com.mt/underfloor-heating" TargetMode="External"/><Relationship Id="rId2" Type="http://schemas.openxmlformats.org/officeDocument/2006/relationships/hyperlink" Target="MAILTO:info@cutrico.com" TargetMode="External"/><Relationship Id="rId16" Type="http://schemas.openxmlformats.org/officeDocument/2006/relationships/hyperlink" Target="https://www.google.com/maps/search/?api=1&amp;query=Triq%20Dun%20Guzepp%20Scerri%2C%20San%20%C4%A0iljan%2C%20Malta" TargetMode="External"/><Relationship Id="rId20" Type="http://schemas.openxmlformats.org/officeDocument/2006/relationships/hyperlink" Target="https://cutrico.com/en/home.htm" TargetMode="External"/><Relationship Id="rId1" Type="http://schemas.openxmlformats.org/officeDocument/2006/relationships/hyperlink" Target="MAILTO:ecomaxxltd@gmail.com" TargetMode="External"/><Relationship Id="rId6" Type="http://schemas.openxmlformats.org/officeDocument/2006/relationships/hyperlink" Target="MAILTO:contact@kibitec.com" TargetMode="External"/><Relationship Id="rId11" Type="http://schemas.openxmlformats.org/officeDocument/2006/relationships/hyperlink" Target="https://www.google.com/maps/search/?api=1&amp;query=Cutrico%20Ltd%2C%0AMriehel%20By-pass%2C%20Mriehel%2C%0AMalta" TargetMode="External"/><Relationship Id="rId24" Type="http://schemas.openxmlformats.org/officeDocument/2006/relationships/hyperlink" Target="https://kibitec.com/" TargetMode="External"/><Relationship Id="rId5" Type="http://schemas.openxmlformats.org/officeDocument/2006/relationships/hyperlink" Target="MAILTO:Info@klimaflo.com" TargetMode="External"/><Relationship Id="rId15" Type="http://schemas.openxmlformats.org/officeDocument/2006/relationships/hyperlink" Target="https://www.google.com/maps/search/?api=1&amp;query=Triq%20Domenico%20Cachia%2054%0ABirkirkara%2C%20BKR1017%2C%20Malta" TargetMode="External"/><Relationship Id="rId23" Type="http://schemas.openxmlformats.org/officeDocument/2006/relationships/hyperlink" Target="https://klimaflo.com/" TargetMode="External"/><Relationship Id="rId10" Type="http://schemas.openxmlformats.org/officeDocument/2006/relationships/hyperlink" Target="https://www.google.com/maps/search/?api=1&amp;query=44%2C%20Triq%20Dun%20Karm%2C%0ABKR9030%2C%0ABirkirkara%2C%20%0AMalta" TargetMode="External"/><Relationship Id="rId19" Type="http://schemas.openxmlformats.org/officeDocument/2006/relationships/hyperlink" Target="https://ecomaxxmalta.com/" TargetMode="External"/><Relationship Id="rId4" Type="http://schemas.openxmlformats.org/officeDocument/2006/relationships/hyperlink" Target="MAILTO:info@solarsolutions.com.mt" TargetMode="External"/><Relationship Id="rId9" Type="http://schemas.openxmlformats.org/officeDocument/2006/relationships/hyperlink" Target="MAILTO:info@recowatt.com" TargetMode="External"/><Relationship Id="rId14" Type="http://schemas.openxmlformats.org/officeDocument/2006/relationships/hyperlink" Target="https://www.google.com/maps/search/?api=1&amp;query=Tower%20Rd%2C%20Birkirkara%20BKR%204016%2C%20Malta" TargetMode="External"/><Relationship Id="rId22" Type="http://schemas.openxmlformats.org/officeDocument/2006/relationships/hyperlink" Target="https://solarsolutions.com.mt/underfloor-heating/" TargetMode="External"/><Relationship Id="rId27" Type="http://schemas.openxmlformats.org/officeDocument/2006/relationships/hyperlink" Target="https://recowatt.com/services/underfloor-heating/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MAILTO:mscworks24@gmail.com" TargetMode="External"/><Relationship Id="rId13" Type="http://schemas.openxmlformats.org/officeDocument/2006/relationships/hyperlink" Target="MAILTO:zammitjonathan.87@gmail.com" TargetMode="External"/><Relationship Id="rId18" Type="http://schemas.openxmlformats.org/officeDocument/2006/relationships/hyperlink" Target="MAILTO:quotes@ptk.mt" TargetMode="External"/><Relationship Id="rId3" Type="http://schemas.openxmlformats.org/officeDocument/2006/relationships/hyperlink" Target="MAILTO:sales@bitmac.mt" TargetMode="External"/><Relationship Id="rId7" Type="http://schemas.openxmlformats.org/officeDocument/2006/relationships/hyperlink" Target="MAILTO:shawcontractors@gmail.com" TargetMode="External"/><Relationship Id="rId12" Type="http://schemas.openxmlformats.org/officeDocument/2006/relationships/hyperlink" Target="MAILTO:info@mbfmalta.com" TargetMode="External"/><Relationship Id="rId17" Type="http://schemas.openxmlformats.org/officeDocument/2006/relationships/hyperlink" Target="MAILTO:info@rasonsltd.com" TargetMode="External"/><Relationship Id="rId2" Type="http://schemas.openxmlformats.org/officeDocument/2006/relationships/hyperlink" Target="MAILTO:xil@xuerebinstall.com" TargetMode="External"/><Relationship Id="rId16" Type="http://schemas.openxmlformats.org/officeDocument/2006/relationships/hyperlink" Target="MAILTO:flowscreedmalta@outlook.com" TargetMode="External"/><Relationship Id="rId1" Type="http://schemas.openxmlformats.org/officeDocument/2006/relationships/hyperlink" Target="MAILTO:sebastianpolitano@gmail.com" TargetMode="External"/><Relationship Id="rId6" Type="http://schemas.openxmlformats.org/officeDocument/2006/relationships/hyperlink" Target="MAILTO:antoine.scicluna@attardbros.com" TargetMode="External"/><Relationship Id="rId11" Type="http://schemas.openxmlformats.org/officeDocument/2006/relationships/hyperlink" Target="MAILTO:info@liquidscreed.mt" TargetMode="External"/><Relationship Id="rId5" Type="http://schemas.openxmlformats.org/officeDocument/2006/relationships/hyperlink" Target="MAILTO:borgconstructionworks@gmail.com" TargetMode="External"/><Relationship Id="rId15" Type="http://schemas.openxmlformats.org/officeDocument/2006/relationships/hyperlink" Target="MAILTO:info@mbigroupmalta.com" TargetMode="External"/><Relationship Id="rId10" Type="http://schemas.openxmlformats.org/officeDocument/2006/relationships/hyperlink" Target="MAILTO:sales@theprofessionalsmalta.com" TargetMode="External"/><Relationship Id="rId19" Type="http://schemas.openxmlformats.org/officeDocument/2006/relationships/hyperlink" Target="MAILTO:sales@rsgroup.com.mt" TargetMode="External"/><Relationship Id="rId4" Type="http://schemas.openxmlformats.org/officeDocument/2006/relationships/hyperlink" Target="MAILTO:sales@jmvibro.com" TargetMode="External"/><Relationship Id="rId9" Type="http://schemas.openxmlformats.org/officeDocument/2006/relationships/hyperlink" Target="MAILTO:info@kibitec.com" TargetMode="External"/><Relationship Id="rId14" Type="http://schemas.openxmlformats.org/officeDocument/2006/relationships/hyperlink" Target="MAILTO:screedcasts@gmail.com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109%2C%20Triq%20Valletta%2C%20%C4%A6al%20Luqa%20LQA%201762" TargetMode="External"/><Relationship Id="rId13" Type="http://schemas.openxmlformats.org/officeDocument/2006/relationships/hyperlink" Target="https://brandimports.com.mt/en/" TargetMode="External"/><Relationship Id="rId3" Type="http://schemas.openxmlformats.org/officeDocument/2006/relationships/hyperlink" Target="MAILTO:benmaltalimited@gmail.com" TargetMode="External"/><Relationship Id="rId7" Type="http://schemas.openxmlformats.org/officeDocument/2006/relationships/hyperlink" Target="https://www.google.com/maps/search/?api=1&amp;query=Midland%20Micro%20Enterprise%20Park%2C%20Block%20D%2C%20Triq%20Burmarrad%2C%20Naxxar%20NXR%206345" TargetMode="External"/><Relationship Id="rId12" Type="http://schemas.openxmlformats.org/officeDocument/2006/relationships/hyperlink" Target="https://www.google.com/maps/search/?api=1&amp;query=Paola" TargetMode="External"/><Relationship Id="rId2" Type="http://schemas.openxmlformats.org/officeDocument/2006/relationships/hyperlink" Target="MAILTO:sales@brandimports.com.mt" TargetMode="External"/><Relationship Id="rId1" Type="http://schemas.openxmlformats.org/officeDocument/2006/relationships/hyperlink" Target="MAILTO:sales@fgp.com.mt" TargetMode="External"/><Relationship Id="rId6" Type="http://schemas.openxmlformats.org/officeDocument/2006/relationships/hyperlink" Target="https://www.google.com/maps/search/?api=1&amp;query=81%2C%20Triq%20tal-Mensija%2C%20San%20%C4%A0wann%20SGN%201604" TargetMode="External"/><Relationship Id="rId11" Type="http://schemas.openxmlformats.org/officeDocument/2006/relationships/hyperlink" Target="https://www.google.com/maps/search/?api=1&amp;query=KKW%20019G%20Qasam%20Industrijali%2C%20Kordin%2C%20Paola" TargetMode="External"/><Relationship Id="rId5" Type="http://schemas.openxmlformats.org/officeDocument/2006/relationships/hyperlink" Target="MAILTO:info@automationmalta.com" TargetMode="External"/><Relationship Id="rId15" Type="http://schemas.openxmlformats.org/officeDocument/2006/relationships/hyperlink" Target="https://automationmalta.com/" TargetMode="External"/><Relationship Id="rId10" Type="http://schemas.openxmlformats.org/officeDocument/2006/relationships/hyperlink" Target="https://www.google.com/maps/search/?api=1&amp;query=Ben%20Malta%20Limited%0ATriq%20Dun%20Mikiel%20Xerri%0AAttard%20ATD%202020%0AMalta" TargetMode="External"/><Relationship Id="rId4" Type="http://schemas.openxmlformats.org/officeDocument/2006/relationships/hyperlink" Target="MAILTO:info@treedfurniture.com" TargetMode="External"/><Relationship Id="rId9" Type="http://schemas.openxmlformats.org/officeDocument/2006/relationships/hyperlink" Target="https://www.google.com/maps/search/?api=1&amp;query=Showroom%2026%2C%20Triq%20Haz-Zabbar%2C%20Paola" TargetMode="External"/><Relationship Id="rId14" Type="http://schemas.openxmlformats.org/officeDocument/2006/relationships/hyperlink" Target="https://benmaltalimited.com.mt/garage-doors" TargetMode="External"/></Relationships>
</file>

<file path=xl/worksheets/_rels/sheet59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@malta-design.com" TargetMode="External"/><Relationship Id="rId18" Type="http://schemas.openxmlformats.org/officeDocument/2006/relationships/hyperlink" Target="https://www.google.com/maps/search/?api=1&amp;query=TRIQ%20IL-Kostituzzjoni%2CMosta%2C%20Malta%20%20MST%209050" TargetMode="External"/><Relationship Id="rId26" Type="http://schemas.openxmlformats.org/officeDocument/2006/relationships/hyperlink" Target="https://www.google.com/maps/search/?api=1&amp;query=St.%20Paul%20Street%2C%20Naxxar%2C%20Malta%2C%20NXR%204010" TargetMode="External"/><Relationship Id="rId39" Type="http://schemas.openxmlformats.org/officeDocument/2006/relationships/hyperlink" Target="https://bigmatmalta.com/" TargetMode="External"/><Relationship Id="rId21" Type="http://schemas.openxmlformats.org/officeDocument/2006/relationships/hyperlink" Target="https://www.google.com/maps/search/?api=1&amp;query=triq%20id%20-difiza%20Civili%2C%20Mosta%20%2CMalta" TargetMode="External"/><Relationship Id="rId34" Type="http://schemas.openxmlformats.org/officeDocument/2006/relationships/hyperlink" Target="https://bullbbq.eu/en/home.htm" TargetMode="External"/><Relationship Id="rId42" Type="http://schemas.openxmlformats.org/officeDocument/2006/relationships/hyperlink" Target="https://fbpmalta.com/index.php/products/household/bbqs" TargetMode="External"/><Relationship Id="rId7" Type="http://schemas.openxmlformats.org/officeDocument/2006/relationships/hyperlink" Target="MAILTO:info@sbl.com.mt" TargetMode="External"/><Relationship Id="rId2" Type="http://schemas.openxmlformats.org/officeDocument/2006/relationships/hyperlink" Target="MAILTO:info@ortis.biz" TargetMode="External"/><Relationship Id="rId16" Type="http://schemas.openxmlformats.org/officeDocument/2006/relationships/hyperlink" Target="https://www.google.com/maps/search/?api=1&amp;query=Triq%20Oscar%20Zammit%2C%20Hamrun" TargetMode="External"/><Relationship Id="rId20" Type="http://schemas.openxmlformats.org/officeDocument/2006/relationships/hyperlink" Target="https://www.google.com/maps/search/?api=1&amp;query=triq%20il-kanun%20%2CQormi%2CMalta" TargetMode="External"/><Relationship Id="rId29" Type="http://schemas.openxmlformats.org/officeDocument/2006/relationships/hyperlink" Target="https://www.google.com/maps/search/?api=1&amp;query=Triq%20L-Imprendituri%2C%20Birkirkara%20BKR%203000" TargetMode="External"/><Relationship Id="rId41" Type="http://schemas.openxmlformats.org/officeDocument/2006/relationships/hyperlink" Target="https://livelifemalta.com.mt/" TargetMode="External"/><Relationship Id="rId1" Type="http://schemas.openxmlformats.org/officeDocument/2006/relationships/hyperlink" Target="MAILTO:chrisbltd1@gmail.com" TargetMode="External"/><Relationship Id="rId6" Type="http://schemas.openxmlformats.org/officeDocument/2006/relationships/hyperlink" Target="MAILTO:info@bbqstoremalta.com" TargetMode="External"/><Relationship Id="rId11" Type="http://schemas.openxmlformats.org/officeDocument/2006/relationships/hyperlink" Target="MAILTO:info@livelifeoutdoor.com.mt" TargetMode="External"/><Relationship Id="rId24" Type="http://schemas.openxmlformats.org/officeDocument/2006/relationships/hyperlink" Target="https://www.google.com/maps/search/?api=1&amp;query=Zona%20Industrial%2C%20ATD%204000%20Ta%27%20Qali%2C%20Malta." TargetMode="External"/><Relationship Id="rId32" Type="http://schemas.openxmlformats.org/officeDocument/2006/relationships/hyperlink" Target="https://ortismalta.com/" TargetMode="External"/><Relationship Id="rId37" Type="http://schemas.openxmlformats.org/officeDocument/2006/relationships/hyperlink" Target="https://bbqworldmalta.mt/" TargetMode="External"/><Relationship Id="rId40" Type="http://schemas.openxmlformats.org/officeDocument/2006/relationships/hyperlink" Target="https://khsmalta.com/" TargetMode="External"/><Relationship Id="rId5" Type="http://schemas.openxmlformats.org/officeDocument/2006/relationships/hyperlink" Target="MAILTO:info@stonecreations.com.mt" TargetMode="External"/><Relationship Id="rId15" Type="http://schemas.openxmlformats.org/officeDocument/2006/relationships/hyperlink" Target="MAILTO:home@jpitre.com" TargetMode="External"/><Relationship Id="rId23" Type="http://schemas.openxmlformats.org/officeDocument/2006/relationships/hyperlink" Target="https://www.google.com/maps/search/?api=1&amp;query=Bypass%20Mriehel%2C%20Qormi%2C%20QRM%209052" TargetMode="External"/><Relationship Id="rId28" Type="http://schemas.openxmlformats.org/officeDocument/2006/relationships/hyperlink" Target="https://www.google.com/maps/search/?api=1&amp;query=Malta%20Design%0A33%20Triq%20l-Oleandru%20%2C%0ASan%20Giljan%2C%20Malta" TargetMode="External"/><Relationship Id="rId36" Type="http://schemas.openxmlformats.org/officeDocument/2006/relationships/hyperlink" Target="https://bbqstoremalta.com/" TargetMode="External"/><Relationship Id="rId10" Type="http://schemas.openxmlformats.org/officeDocument/2006/relationships/hyperlink" Target="MAILTO:info@know-howsystems.net" TargetMode="External"/><Relationship Id="rId19" Type="http://schemas.openxmlformats.org/officeDocument/2006/relationships/hyperlink" Target="https://www.google.com/maps/search/?api=1&amp;query=zamco%20building%20%20Triq%20il-Mithna%2C%20Qormi%2C%20Malta" TargetMode="External"/><Relationship Id="rId31" Type="http://schemas.openxmlformats.org/officeDocument/2006/relationships/hyperlink" Target="https://bbqworldmalta.mt/?utm_source=Yellow&amp;utm_medium=Yellow-Website&amp;utm_campaign=Landing-Page" TargetMode="External"/><Relationship Id="rId44" Type="http://schemas.openxmlformats.org/officeDocument/2006/relationships/hyperlink" Target="https://pitreonline.com/" TargetMode="External"/><Relationship Id="rId4" Type="http://schemas.openxmlformats.org/officeDocument/2006/relationships/hyperlink" Target="MAILTO:info@zamco.com.mt" TargetMode="External"/><Relationship Id="rId9" Type="http://schemas.openxmlformats.org/officeDocument/2006/relationships/hyperlink" Target="MAILTO:info@bigmatmalta.com" TargetMode="External"/><Relationship Id="rId14" Type="http://schemas.openxmlformats.org/officeDocument/2006/relationships/hyperlink" Target="MAILTO:customercare@homemate.com.mt" TargetMode="External"/><Relationship Id="rId22" Type="http://schemas.openxmlformats.org/officeDocument/2006/relationships/hyperlink" Target="https://www.google.com/maps/search/?api=1&amp;query=10%20triq%20Oscar%20Zammit%20%2C%20HMR%201281%20%2C%20MALTA" TargetMode="External"/><Relationship Id="rId27" Type="http://schemas.openxmlformats.org/officeDocument/2006/relationships/hyperlink" Target="https://www.google.com/maps/search/?api=1&amp;query=139%2C%20Bajada%20Street%2C%20Zabbar%2C%20Malta" TargetMode="External"/><Relationship Id="rId30" Type="http://schemas.openxmlformats.org/officeDocument/2006/relationships/hyperlink" Target="https://www.google.com/maps/search/?api=1&amp;query=Pitre%20Home%20Ltd%2C%20Mdina%20Road%2C%20Qormi" TargetMode="External"/><Relationship Id="rId35" Type="http://schemas.openxmlformats.org/officeDocument/2006/relationships/hyperlink" Target="https://stonecreations.com.mt/" TargetMode="External"/><Relationship Id="rId43" Type="http://schemas.openxmlformats.org/officeDocument/2006/relationships/hyperlink" Target="https://homemate.com.mt/" TargetMode="External"/><Relationship Id="rId8" Type="http://schemas.openxmlformats.org/officeDocument/2006/relationships/hyperlink" Target="MAILTO:info@crosscraft.com.mt" TargetMode="External"/><Relationship Id="rId3" Type="http://schemas.openxmlformats.org/officeDocument/2006/relationships/hyperlink" Target="MAILTO:info@soundsmart.com.mt" TargetMode="External"/><Relationship Id="rId12" Type="http://schemas.openxmlformats.org/officeDocument/2006/relationships/hyperlink" Target="MAILTO:info@fbpmalta.com" TargetMode="External"/><Relationship Id="rId17" Type="http://schemas.openxmlformats.org/officeDocument/2006/relationships/hyperlink" Target="https://www.google.com/maps/search/?api=1&amp;query=5%20triq%20L-Industrija%20Central%20business%20district%2Cqormi%20Malta%20CBD%205030" TargetMode="External"/><Relationship Id="rId25" Type="http://schemas.openxmlformats.org/officeDocument/2006/relationships/hyperlink" Target="https://www.google.com/maps/search/?api=1&amp;query=Susan%20Flats%20B%2C%20Flat%2005%2C%20Triq%20Il-Prinjolata%2C%20Ta%27%20Xbiex%2C%20XBX1130%2C%20Malta." TargetMode="External"/><Relationship Id="rId33" Type="http://schemas.openxmlformats.org/officeDocument/2006/relationships/hyperlink" Target="https://bigmatmalta.com/" TargetMode="External"/><Relationship Id="rId38" Type="http://schemas.openxmlformats.org/officeDocument/2006/relationships/hyperlink" Target="https://crosscraft.com.mt/" TargetMode="External"/></Relationships>
</file>

<file path=xl/worksheets/_rels/sheet60.xml.rels><?xml version="1.0" encoding="UTF-8" standalone="yes"?>
<Relationships xmlns="http://schemas.openxmlformats.org/package/2006/relationships"><Relationship Id="rId117" Type="http://schemas.openxmlformats.org/officeDocument/2006/relationships/hyperlink" Target="MAILTO:borgaluminiummalta@gmail.com" TargetMode="External"/><Relationship Id="rId299" Type="http://schemas.openxmlformats.org/officeDocument/2006/relationships/hyperlink" Target="https://www.google.com/maps/search/?api=1&amp;query=Garage%20144%20Triq%20San%20Xmun%2C%20Fgura" TargetMode="External"/><Relationship Id="rId21" Type="http://schemas.openxmlformats.org/officeDocument/2006/relationships/hyperlink" Target="MAILTO:agood.installations@yahoo.com" TargetMode="External"/><Relationship Id="rId63" Type="http://schemas.openxmlformats.org/officeDocument/2006/relationships/hyperlink" Target="MAILTO:kkalworks@gmail.com" TargetMode="External"/><Relationship Id="rId159" Type="http://schemas.openxmlformats.org/officeDocument/2006/relationships/hyperlink" Target="MAILTO:valormalta@gmail.com" TargetMode="External"/><Relationship Id="rId324" Type="http://schemas.openxmlformats.org/officeDocument/2006/relationships/hyperlink" Target="https://www.google.com/maps/search/?api=1&amp;query=8%20Triq%20ll-Madonna%20Ta%27%20Pompej%2C%20B%27Kara" TargetMode="External"/><Relationship Id="rId366" Type="http://schemas.openxmlformats.org/officeDocument/2006/relationships/hyperlink" Target="https://comfortabita.com/" TargetMode="External"/><Relationship Id="rId170" Type="http://schemas.openxmlformats.org/officeDocument/2006/relationships/hyperlink" Target="https://www.google.com/maps/search/?api=1&amp;query=34%20Triq%20it-Torri%20San%20Gwann%2C%20Birgu" TargetMode="External"/><Relationship Id="rId226" Type="http://schemas.openxmlformats.org/officeDocument/2006/relationships/hyperlink" Target="https://www.google.com/maps/search/?api=1&amp;query=KW%2019J%20Qasam%20Industrijali%2C%20Kordin%2C%20Paola" TargetMode="External"/><Relationship Id="rId433" Type="http://schemas.openxmlformats.org/officeDocument/2006/relationships/hyperlink" Target="https://deckor.com.mt/?brid=bHHAtQj_YIbnOwlfb4l7Qw" TargetMode="External"/><Relationship Id="rId268" Type="http://schemas.openxmlformats.org/officeDocument/2006/relationships/hyperlink" Target="https://www.google.com/maps/search/?api=1&amp;query=197%20Telgha%20tal-Gizwiti%2C%20Marsa" TargetMode="External"/><Relationship Id="rId32" Type="http://schemas.openxmlformats.org/officeDocument/2006/relationships/hyperlink" Target="MAILTO:info@aluwoodmalta.com" TargetMode="External"/><Relationship Id="rId74" Type="http://schemas.openxmlformats.org/officeDocument/2006/relationships/hyperlink" Target="MAILTO:info@servgroupmalta.com" TargetMode="External"/><Relationship Id="rId128" Type="http://schemas.openxmlformats.org/officeDocument/2006/relationships/hyperlink" Target="MAILTO:sales@pvcmalta.com" TargetMode="External"/><Relationship Id="rId335" Type="http://schemas.openxmlformats.org/officeDocument/2006/relationships/hyperlink" Target="https://framegrip.com/" TargetMode="External"/><Relationship Id="rId377" Type="http://schemas.openxmlformats.org/officeDocument/2006/relationships/hyperlink" Target="https://horvinltd.com/" TargetMode="External"/><Relationship Id="rId5" Type="http://schemas.openxmlformats.org/officeDocument/2006/relationships/hyperlink" Target="MAILTO:sales@newstylesmalta.com" TargetMode="External"/><Relationship Id="rId181" Type="http://schemas.openxmlformats.org/officeDocument/2006/relationships/hyperlink" Target="https://www.google.com/maps/search/?api=1&amp;query=Garage%2025%20Tal-Barrani%20Industrial%20Estate%20Triq%20il-Belt%20Valletta%2C%20Ghaxaq" TargetMode="External"/><Relationship Id="rId237" Type="http://schemas.openxmlformats.org/officeDocument/2006/relationships/hyperlink" Target="https://www.google.com/maps/search/?api=1&amp;query=Triq%20I-Imdina%2C%20Zebbug" TargetMode="External"/><Relationship Id="rId402" Type="http://schemas.openxmlformats.org/officeDocument/2006/relationships/hyperlink" Target="https://newstylesmalta.com/" TargetMode="External"/><Relationship Id="rId279" Type="http://schemas.openxmlformats.org/officeDocument/2006/relationships/hyperlink" Target="https://www.google.com/maps/search/?api=1&amp;query=4%2C%2011%20Triq%20Valletta%20Qasam%20Industrijali%2C%20Marsa" TargetMode="External"/><Relationship Id="rId444" Type="http://schemas.openxmlformats.org/officeDocument/2006/relationships/hyperlink" Target="https://jcdaluminium.com/" TargetMode="External"/><Relationship Id="rId43" Type="http://schemas.openxmlformats.org/officeDocument/2006/relationships/hyperlink" Target="MAILTO:cba@cba.com.mt" TargetMode="External"/><Relationship Id="rId139" Type="http://schemas.openxmlformats.org/officeDocument/2006/relationships/hyperlink" Target="MAILTO:info@jcdaluminium.com" TargetMode="External"/><Relationship Id="rId290" Type="http://schemas.openxmlformats.org/officeDocument/2006/relationships/hyperlink" Target="https://www.google.com/maps/search/?api=1&amp;query=10c%20Midland%20Park%20Triq%20Burmarrad%2C%20Naxxar" TargetMode="External"/><Relationship Id="rId304" Type="http://schemas.openxmlformats.org/officeDocument/2006/relationships/hyperlink" Target="https://www.google.com/maps/search/?api=1&amp;query=A%2042%20Qasam%20Industrijali%2C%20Marsa" TargetMode="External"/><Relationship Id="rId346" Type="http://schemas.openxmlformats.org/officeDocument/2006/relationships/hyperlink" Target="https://nicholas.mt/" TargetMode="External"/><Relationship Id="rId388" Type="http://schemas.openxmlformats.org/officeDocument/2006/relationships/hyperlink" Target="https://facebook.com/RayAluWorks/" TargetMode="External"/><Relationship Id="rId85" Type="http://schemas.openxmlformats.org/officeDocument/2006/relationships/hyperlink" Target="MAILTO:info@a1finishesltd.com" TargetMode="External"/><Relationship Id="rId150" Type="http://schemas.openxmlformats.org/officeDocument/2006/relationships/hyperlink" Target="MAILTO:rapa.aluminium@gmail.com" TargetMode="External"/><Relationship Id="rId192" Type="http://schemas.openxmlformats.org/officeDocument/2006/relationships/hyperlink" Target="https://www.google.com/maps/search/?api=1&amp;query=4%20Triq%20il-Lvant%2C%20Zejtun" TargetMode="External"/><Relationship Id="rId206" Type="http://schemas.openxmlformats.org/officeDocument/2006/relationships/hyperlink" Target="https://www.google.com/maps/search/?api=1&amp;query=Sub%20029A%20Qasam%20Industrijali%2C%20San%20Gwann" TargetMode="External"/><Relationship Id="rId413" Type="http://schemas.openxmlformats.org/officeDocument/2006/relationships/hyperlink" Target="https://facebook.com/p/Josef-Aluminium-Metal-Works-100054319188613/" TargetMode="External"/><Relationship Id="rId248" Type="http://schemas.openxmlformats.org/officeDocument/2006/relationships/hyperlink" Target="https://www.google.com/maps/search/?api=1&amp;query=Sqaq%20Privat%20Triq%20tal-Ghajn%2C%20Fontana-Gozo" TargetMode="External"/><Relationship Id="rId455" Type="http://schemas.openxmlformats.org/officeDocument/2006/relationships/hyperlink" Target="https://aluminium.mt/" TargetMode="External"/><Relationship Id="rId12" Type="http://schemas.openxmlformats.org/officeDocument/2006/relationships/hyperlink" Target="MAILTO:info@brandimports.com.mt" TargetMode="External"/><Relationship Id="rId108" Type="http://schemas.openxmlformats.org/officeDocument/2006/relationships/hyperlink" Target="MAILTO:info@acmamalta.com" TargetMode="External"/><Relationship Id="rId315" Type="http://schemas.openxmlformats.org/officeDocument/2006/relationships/hyperlink" Target="https://www.google.com/maps/search/?api=1&amp;query=Casa%20Pisani%20Triq%20Pisoniano%2C%20Sannat-Gozo" TargetMode="External"/><Relationship Id="rId357" Type="http://schemas.openxmlformats.org/officeDocument/2006/relationships/hyperlink" Target="https://facebook.com/people/Andrew-vella-aluminium/100064883072627/" TargetMode="External"/><Relationship Id="rId54" Type="http://schemas.openxmlformats.org/officeDocument/2006/relationships/hyperlink" Target="MAILTO:info@alugiorgio.com" TargetMode="External"/><Relationship Id="rId96" Type="http://schemas.openxmlformats.org/officeDocument/2006/relationships/hyperlink" Target="MAILTO:info@ihomes.com.mt" TargetMode="External"/><Relationship Id="rId161" Type="http://schemas.openxmlformats.org/officeDocument/2006/relationships/hyperlink" Target="MAILTO:luke@woodware.mt" TargetMode="External"/><Relationship Id="rId217" Type="http://schemas.openxmlformats.org/officeDocument/2006/relationships/hyperlink" Target="https://www.google.com/maps/search/?api=1&amp;query=Triq%20Mro%20Giuseppe%20Camilleri%20Tal-Hanhaq%2C%20Qormi" TargetMode="External"/><Relationship Id="rId399" Type="http://schemas.openxmlformats.org/officeDocument/2006/relationships/hyperlink" Target="https://framegrip.com/" TargetMode="External"/><Relationship Id="rId259" Type="http://schemas.openxmlformats.org/officeDocument/2006/relationships/hyperlink" Target="https://www.google.com/maps/search/?api=1&amp;query=Garage%2010%2C%20Level%20-2%20Sqaq%20il-Mithna%20Triq%20I-Imqabba%2C%20Qrendi" TargetMode="External"/><Relationship Id="rId424" Type="http://schemas.openxmlformats.org/officeDocument/2006/relationships/hyperlink" Target="https://facebook.com/azzopardialum" TargetMode="External"/><Relationship Id="rId23" Type="http://schemas.openxmlformats.org/officeDocument/2006/relationships/hyperlink" Target="MAILTO:jsbaluminiumworks@gmail.com" TargetMode="External"/><Relationship Id="rId119" Type="http://schemas.openxmlformats.org/officeDocument/2006/relationships/hyperlink" Target="MAILTO:cdsaluminium@gmail.com" TargetMode="External"/><Relationship Id="rId270" Type="http://schemas.openxmlformats.org/officeDocument/2006/relationships/hyperlink" Target="https://www.google.com/maps/search/?api=1&amp;query=217%20Triq%20Salvu%20Psaila%2C%20B%27Kara" TargetMode="External"/><Relationship Id="rId326" Type="http://schemas.openxmlformats.org/officeDocument/2006/relationships/hyperlink" Target="https://www.google.com/maps/search/?api=1&amp;query=Towe%20Buildings%20Triq%20Graham%2C%20Zebbug" TargetMode="External"/><Relationship Id="rId65" Type="http://schemas.openxmlformats.org/officeDocument/2006/relationships/hyperlink" Target="MAILTO:gmuscat@live.com" TargetMode="External"/><Relationship Id="rId130" Type="http://schemas.openxmlformats.org/officeDocument/2006/relationships/hyperlink" Target="MAILTO:info@expressaluminium.com" TargetMode="External"/><Relationship Id="rId368" Type="http://schemas.openxmlformats.org/officeDocument/2006/relationships/hyperlink" Target="https://dimechapertures.com/" TargetMode="External"/><Relationship Id="rId172" Type="http://schemas.openxmlformats.org/officeDocument/2006/relationships/hyperlink" Target="https://www.google.com/maps/search/?api=1&amp;query=2%20Triq%20Lorenzo%20Gafa%2C%20Zebbug" TargetMode="External"/><Relationship Id="rId228" Type="http://schemas.openxmlformats.org/officeDocument/2006/relationships/hyperlink" Target="https://www.google.com/maps/search/?api=1&amp;query=82%20Triq%20il-Hareb%2C%20Ghaxaq" TargetMode="External"/><Relationship Id="rId435" Type="http://schemas.openxmlformats.org/officeDocument/2006/relationships/hyperlink" Target="https://pvcmalta.com/" TargetMode="External"/><Relationship Id="rId281" Type="http://schemas.openxmlformats.org/officeDocument/2006/relationships/hyperlink" Target="https://www.google.com/maps/search/?api=1&amp;query=Triq%20in-Naggar%2C%20Mosta" TargetMode="External"/><Relationship Id="rId337" Type="http://schemas.openxmlformats.org/officeDocument/2006/relationships/hyperlink" Target="https://newstylesmalta.com/" TargetMode="External"/><Relationship Id="rId34" Type="http://schemas.openxmlformats.org/officeDocument/2006/relationships/hyperlink" Target="MAILTO:azzopardialuminiumworks@gmail.com" TargetMode="External"/><Relationship Id="rId76" Type="http://schemas.openxmlformats.org/officeDocument/2006/relationships/hyperlink" Target="MAILTO:sunaluminium@hotmail.com" TargetMode="External"/><Relationship Id="rId141" Type="http://schemas.openxmlformats.org/officeDocument/2006/relationships/hyperlink" Target="MAILTO:info@jamarmalta.com" TargetMode="External"/><Relationship Id="rId379" Type="http://schemas.openxmlformats.org/officeDocument/2006/relationships/hyperlink" Target="https://jcdaluminium.com/" TargetMode="External"/><Relationship Id="rId7" Type="http://schemas.openxmlformats.org/officeDocument/2006/relationships/hyperlink" Target="MAILTO:info@amabilegalea.com" TargetMode="External"/><Relationship Id="rId183" Type="http://schemas.openxmlformats.org/officeDocument/2006/relationships/hyperlink" Target="https://www.google.com/maps/search/?api=1&amp;query=Scorpio%20Triq%20Garcia%20De%20Toledo%20Qawra%2C%20San%20Pawl%20ll-Bahar" TargetMode="External"/><Relationship Id="rId239" Type="http://schemas.openxmlformats.org/officeDocument/2006/relationships/hyperlink" Target="https://www.google.com/maps/search/?api=1&amp;query=Zone%202%20Triq%20ll-Ghain%20Central%20Business%20District%2C%20B%27Kara" TargetMode="External"/><Relationship Id="rId390" Type="http://schemas.openxmlformats.org/officeDocument/2006/relationships/hyperlink" Target="https://servgroupmalta.com/" TargetMode="External"/><Relationship Id="rId404" Type="http://schemas.openxmlformats.org/officeDocument/2006/relationships/hyperlink" Target="https://facebook.com/GozoAluminium/" TargetMode="External"/><Relationship Id="rId446" Type="http://schemas.openxmlformats.org/officeDocument/2006/relationships/hyperlink" Target="https://jamarmalta.com/" TargetMode="External"/><Relationship Id="rId250" Type="http://schemas.openxmlformats.org/officeDocument/2006/relationships/hyperlink" Target="https://www.google.com/maps/search/?api=1&amp;query=Triq%20il-Mosta%2C%20Lija" TargetMode="External"/><Relationship Id="rId292" Type="http://schemas.openxmlformats.org/officeDocument/2006/relationships/hyperlink" Target="https://www.google.com/maps/search/?api=1&amp;query=114%20Triq%20il-Wied%2C%20B%27Kara" TargetMode="External"/><Relationship Id="rId306" Type="http://schemas.openxmlformats.org/officeDocument/2006/relationships/hyperlink" Target="https://www.google.com/maps/search/?api=1&amp;query=Triq%20I-Imdina%2C%20Zebbug" TargetMode="External"/><Relationship Id="rId45" Type="http://schemas.openxmlformats.org/officeDocument/2006/relationships/hyperlink" Target="MAILTO:savdim65@gmail.com" TargetMode="External"/><Relationship Id="rId87" Type="http://schemas.openxmlformats.org/officeDocument/2006/relationships/hyperlink" Target="MAILTO:info@amabilegalea.com" TargetMode="External"/><Relationship Id="rId110" Type="http://schemas.openxmlformats.org/officeDocument/2006/relationships/hyperlink" Target="MAILTO:xandrumallia@gmail.com" TargetMode="External"/><Relationship Id="rId348" Type="http://schemas.openxmlformats.org/officeDocument/2006/relationships/hyperlink" Target="https://facebook.com/p/Josef-Aluminium-Metal-Works-100054319188613/" TargetMode="External"/><Relationship Id="rId152" Type="http://schemas.openxmlformats.org/officeDocument/2006/relationships/hyperlink" Target="MAILTO:refinedaluworks@gmail.com" TargetMode="External"/><Relationship Id="rId194" Type="http://schemas.openxmlformats.org/officeDocument/2006/relationships/hyperlink" Target="https://www.google.com/maps/search/?api=1&amp;query=4%2C%2011%20Triq%20Valletta%20Qasam%20Industrijali%2C%20Marsa" TargetMode="External"/><Relationship Id="rId208" Type="http://schemas.openxmlformats.org/officeDocument/2006/relationships/hyperlink" Target="https://www.google.com/maps/search/?api=1&amp;query=3%20Triq%20iz-Znuber%2C%20Mosta" TargetMode="External"/><Relationship Id="rId415" Type="http://schemas.openxmlformats.org/officeDocument/2006/relationships/hyperlink" Target="https://agoodchildinstallations.com/" TargetMode="External"/><Relationship Id="rId457" Type="http://schemas.openxmlformats.org/officeDocument/2006/relationships/hyperlink" Target="https://trendsltdmalta.com/" TargetMode="External"/><Relationship Id="rId261" Type="http://schemas.openxmlformats.org/officeDocument/2006/relationships/hyperlink" Target="https://www.google.com/maps/search/?api=1&amp;query=Triq%20Mro%20Giorgio%20Zarb%20Tal-Handaq%2C%20Qormi" TargetMode="External"/><Relationship Id="rId14" Type="http://schemas.openxmlformats.org/officeDocument/2006/relationships/hyperlink" Target="MAILTO:nu-aluminium@outlook.com" TargetMode="External"/><Relationship Id="rId56" Type="http://schemas.openxmlformats.org/officeDocument/2006/relationships/hyperlink" Target="MAILTO:guysmalta@gmail.com" TargetMode="External"/><Relationship Id="rId317" Type="http://schemas.openxmlformats.org/officeDocument/2006/relationships/hyperlink" Target="https://www.google.com/maps/search/?api=1&amp;query=43%20Triq%20Dun%20Bartilmew%20Attard%2C%20Zebbug" TargetMode="External"/><Relationship Id="rId359" Type="http://schemas.openxmlformats.org/officeDocument/2006/relationships/hyperlink" Target="https://basonaluminium.com/" TargetMode="External"/><Relationship Id="rId98" Type="http://schemas.openxmlformats.org/officeDocument/2006/relationships/hyperlink" Target="MAILTO:josefvella72@gmail.com" TargetMode="External"/><Relationship Id="rId121" Type="http://schemas.openxmlformats.org/officeDocument/2006/relationships/hyperlink" Target="MAILTO:tc@aluminium.mt" TargetMode="External"/><Relationship Id="rId163" Type="http://schemas.openxmlformats.org/officeDocument/2006/relationships/hyperlink" Target="https://www.google.com/maps/search/?api=1&amp;query=8%20Triq%20il-Garra%20Victoria%20Gardens%20L-Ibrag%2C%20Swieqi" TargetMode="External"/><Relationship Id="rId219" Type="http://schemas.openxmlformats.org/officeDocument/2006/relationships/hyperlink" Target="https://www.google.com/maps/search/?api=1&amp;query=Drive%20in%20fi%20triq%20il-Belt%20Valletta%2C%20Qormi" TargetMode="External"/><Relationship Id="rId370" Type="http://schemas.openxmlformats.org/officeDocument/2006/relationships/hyperlink" Target="https://facebook.com/p/DX-Aluminium-Works-100064182690832/" TargetMode="External"/><Relationship Id="rId426" Type="http://schemas.openxmlformats.org/officeDocument/2006/relationships/hyperlink" Target="https://facebook.com/borgalum/" TargetMode="External"/><Relationship Id="rId230" Type="http://schemas.openxmlformats.org/officeDocument/2006/relationships/hyperlink" Target="https://www.google.com/maps/search/?api=1&amp;query=Garage%2023%20Triq%20il-Bizzilla%2C%20Ghaxaq" TargetMode="External"/><Relationship Id="rId25" Type="http://schemas.openxmlformats.org/officeDocument/2006/relationships/hyperlink" Target="MAILTO:info@acaluminium.com" TargetMode="External"/><Relationship Id="rId67" Type="http://schemas.openxmlformats.org/officeDocument/2006/relationships/hyperlink" Target="MAILTO:Info@perfectum.mt" TargetMode="External"/><Relationship Id="rId272" Type="http://schemas.openxmlformats.org/officeDocument/2006/relationships/hyperlink" Target="https://www.google.com/maps/search/?api=1&amp;query=18%20Triq%20Salvinu%20Spiteri%2C%20Sta%20Venera" TargetMode="External"/><Relationship Id="rId328" Type="http://schemas.openxmlformats.org/officeDocument/2006/relationships/hyperlink" Target="https://www.google.com/maps/search/?api=1&amp;query=Triq%20l-isturnell%20Roza%2C%20Hal%20Luqa%2C%20Malta" TargetMode="External"/><Relationship Id="rId132" Type="http://schemas.openxmlformats.org/officeDocument/2006/relationships/hyperlink" Target="MAILTO:faworks123@gmail.com" TargetMode="External"/><Relationship Id="rId174" Type="http://schemas.openxmlformats.org/officeDocument/2006/relationships/hyperlink" Target="https://www.google.com/maps/search/?api=1&amp;query=Garage%2010%2C%20Level%20-2%20Sqaq%20il-Mithna%20Triq%20I-Imqabba%2C%20Qrendi" TargetMode="External"/><Relationship Id="rId381" Type="http://schemas.openxmlformats.org/officeDocument/2006/relationships/hyperlink" Target="https://jamarmalta.com/" TargetMode="External"/><Relationship Id="rId241" Type="http://schemas.openxmlformats.org/officeDocument/2006/relationships/hyperlink" Target="https://www.google.com/maps/search/?api=1&amp;query=23%20Triq%20Angelo%20Melilli%2C%20Zebbug" TargetMode="External"/><Relationship Id="rId437" Type="http://schemas.openxmlformats.org/officeDocument/2006/relationships/hyperlink" Target="https://expressaluminium.com/" TargetMode="External"/><Relationship Id="rId36" Type="http://schemas.openxmlformats.org/officeDocument/2006/relationships/hyperlink" Target="MAILTO:borgaluminiummalta@gmail.com" TargetMode="External"/><Relationship Id="rId283" Type="http://schemas.openxmlformats.org/officeDocument/2006/relationships/hyperlink" Target="https://www.google.com/maps/search/?api=1&amp;query=Zone%203%20Triq%20San%20Gwakkin%20Central%20Business%20District%2C%20B%27Kara" TargetMode="External"/><Relationship Id="rId339" Type="http://schemas.openxmlformats.org/officeDocument/2006/relationships/hyperlink" Target="https://amabilegalea.com/" TargetMode="External"/><Relationship Id="rId78" Type="http://schemas.openxmlformats.org/officeDocument/2006/relationships/hyperlink" Target="MAILTO:info@towergroupmalta.com" TargetMode="External"/><Relationship Id="rId101" Type="http://schemas.openxmlformats.org/officeDocument/2006/relationships/hyperlink" Target="MAILTO:gsf-1200@hotmail.com" TargetMode="External"/><Relationship Id="rId143" Type="http://schemas.openxmlformats.org/officeDocument/2006/relationships/hyperlink" Target="MAILTO:bjorn.vassallo@gmail.com" TargetMode="External"/><Relationship Id="rId185" Type="http://schemas.openxmlformats.org/officeDocument/2006/relationships/hyperlink" Target="https://www.google.com/maps/search/?api=1&amp;query=197%20Telgha%20tal-Gizwiti%2C%20Marsa" TargetMode="External"/><Relationship Id="rId350" Type="http://schemas.openxmlformats.org/officeDocument/2006/relationships/hyperlink" Target="https://facebook.com/people/Northalu/100055070154471/?utm_source=Yellow&amp;utm_medium=Yellow-Website&amp;utm_campaign=Landing-Page" TargetMode="External"/><Relationship Id="rId406" Type="http://schemas.openxmlformats.org/officeDocument/2006/relationships/hyperlink" Target="https://sfdoorstyles.com.mt/" TargetMode="External"/><Relationship Id="rId9" Type="http://schemas.openxmlformats.org/officeDocument/2006/relationships/hyperlink" Target="MAILTO:info@a1finishesltd.com" TargetMode="External"/><Relationship Id="rId210" Type="http://schemas.openxmlformats.org/officeDocument/2006/relationships/hyperlink" Target="https://www.google.com/maps/search/?api=1&amp;query=52%20Triq%20il-Muzika%2C%20Iklin" TargetMode="External"/><Relationship Id="rId392" Type="http://schemas.openxmlformats.org/officeDocument/2006/relationships/hyperlink" Target="https://aluminium.mt/" TargetMode="External"/><Relationship Id="rId448" Type="http://schemas.openxmlformats.org/officeDocument/2006/relationships/hyperlink" Target="https://facebook.com/p/Munita-Aluminium-100063476861515/" TargetMode="External"/><Relationship Id="rId252" Type="http://schemas.openxmlformats.org/officeDocument/2006/relationships/hyperlink" Target="https://www.google.com/maps/search/?api=1&amp;query=2%20Triq%20Lorenzo%20Gafa%2C%20Zebbug" TargetMode="External"/><Relationship Id="rId294" Type="http://schemas.openxmlformats.org/officeDocument/2006/relationships/hyperlink" Target="https://www.google.com/maps/search/?api=1&amp;query=Qasam%20Industrijali%2C%20Tal-Handaq%2C%20Qormi" TargetMode="External"/><Relationship Id="rId308" Type="http://schemas.openxmlformats.org/officeDocument/2006/relationships/hyperlink" Target="https://www.google.com/maps/search/?api=1&amp;query=John%20Garage%20Triq%20Haz-Zebbug%2C%20Attard" TargetMode="External"/><Relationship Id="rId47" Type="http://schemas.openxmlformats.org/officeDocument/2006/relationships/hyperlink" Target="MAILTO:sales@pvcmalta.com" TargetMode="External"/><Relationship Id="rId89" Type="http://schemas.openxmlformats.org/officeDocument/2006/relationships/hyperlink" Target="MAILTO:nu-aluminium@outlook.com" TargetMode="External"/><Relationship Id="rId112" Type="http://schemas.openxmlformats.org/officeDocument/2006/relationships/hyperlink" Target="MAILTO:info@aluminiumltd.com" TargetMode="External"/><Relationship Id="rId154" Type="http://schemas.openxmlformats.org/officeDocument/2006/relationships/hyperlink" Target="MAILTO:sunaluminium@hotmail.com" TargetMode="External"/><Relationship Id="rId361" Type="http://schemas.openxmlformats.org/officeDocument/2006/relationships/hyperlink" Target="https://bpapertures.com/" TargetMode="External"/><Relationship Id="rId196" Type="http://schemas.openxmlformats.org/officeDocument/2006/relationships/hyperlink" Target="https://www.google.com/maps/search/?api=1&amp;query=Triq%20in-Naggar%2C%20Mosta" TargetMode="External"/><Relationship Id="rId417" Type="http://schemas.openxmlformats.org/officeDocument/2006/relationships/hyperlink" Target="https://facebook.com/doorsand.more.3" TargetMode="External"/><Relationship Id="rId459" Type="http://schemas.openxmlformats.org/officeDocument/2006/relationships/hyperlink" Target="https://facebook.com/windmillltd/" TargetMode="External"/><Relationship Id="rId16" Type="http://schemas.openxmlformats.org/officeDocument/2006/relationships/hyperlink" Target="MAILTO:info@nicholas.mt" TargetMode="External"/><Relationship Id="rId221" Type="http://schemas.openxmlformats.org/officeDocument/2006/relationships/hyperlink" Target="https://www.google.com/maps/search/?api=1&amp;query=Qart%20D%27Orange%20Garage%20Trejqet%20il-Wied%2C%20Qormi" TargetMode="External"/><Relationship Id="rId263" Type="http://schemas.openxmlformats.org/officeDocument/2006/relationships/hyperlink" Target="https://www.google.com/maps/search/?api=1&amp;query=No5%20Triq%20Mons%20Alfred%20Mifsud%2C%20B%27Kara" TargetMode="External"/><Relationship Id="rId319" Type="http://schemas.openxmlformats.org/officeDocument/2006/relationships/hyperlink" Target="https://www.google.com/maps/search/?api=1&amp;query=Triq%20Pietru%20D%27%20Armenia%2C%20Pembroke" TargetMode="External"/><Relationship Id="rId58" Type="http://schemas.openxmlformats.org/officeDocument/2006/relationships/hyperlink" Target="MAILTO:johnjandb@gmail.com" TargetMode="External"/><Relationship Id="rId123" Type="http://schemas.openxmlformats.org/officeDocument/2006/relationships/hyperlink" Target="MAILTO:chocoaluminium@gmail.com" TargetMode="External"/><Relationship Id="rId330" Type="http://schemas.openxmlformats.org/officeDocument/2006/relationships/hyperlink" Target="https://www.google.com/maps/search/?api=1&amp;query=A8%20Qasam%20Industrijali%2C%20Marsa" TargetMode="External"/><Relationship Id="rId165" Type="http://schemas.openxmlformats.org/officeDocument/2006/relationships/hyperlink" Target="https://www.google.com/maps/search/?api=1&amp;query=Triq%20il-Fortizza%2C%20Mosta" TargetMode="External"/><Relationship Id="rId372" Type="http://schemas.openxmlformats.org/officeDocument/2006/relationships/hyperlink" Target="https://finestralmalta.com/" TargetMode="External"/><Relationship Id="rId428" Type="http://schemas.openxmlformats.org/officeDocument/2006/relationships/hyperlink" Target="https://facebook.com/people/CDS-Aluminium-work/100064086582054/" TargetMode="External"/><Relationship Id="rId232" Type="http://schemas.openxmlformats.org/officeDocument/2006/relationships/hyperlink" Target="https://www.google.com/maps/search/?api=1&amp;query=Casa%20Pisani%20Triq%20Pisoniano%2C%20Sannat-Gozo" TargetMode="External"/><Relationship Id="rId274" Type="http://schemas.openxmlformats.org/officeDocument/2006/relationships/hyperlink" Target="https://www.google.com/maps/search/?api=1&amp;query=Triq%20id-Difiza%20Civili%2C%20Mosta" TargetMode="External"/><Relationship Id="rId27" Type="http://schemas.openxmlformats.org/officeDocument/2006/relationships/hyperlink" Target="MAILTO:sales@adoremore.eu" TargetMode="External"/><Relationship Id="rId69" Type="http://schemas.openxmlformats.org/officeDocument/2006/relationships/hyperlink" Target="MAILTO:qormialum@gmail.com" TargetMode="External"/><Relationship Id="rId134" Type="http://schemas.openxmlformats.org/officeDocument/2006/relationships/hyperlink" Target="MAILTO:info@alugiorgio.com" TargetMode="External"/><Relationship Id="rId80" Type="http://schemas.openxmlformats.org/officeDocument/2006/relationships/hyperlink" Target="MAILTO:mario@windmillmalta.com" TargetMode="External"/><Relationship Id="rId176" Type="http://schemas.openxmlformats.org/officeDocument/2006/relationships/hyperlink" Target="https://www.google.com/maps/search/?api=1&amp;query=Triq%20Mro%20Giorgio%20Zarb%20Tal-Handaq%2C%20Qormi" TargetMode="External"/><Relationship Id="rId341" Type="http://schemas.openxmlformats.org/officeDocument/2006/relationships/hyperlink" Target="https://afdaaluminium.com/" TargetMode="External"/><Relationship Id="rId383" Type="http://schemas.openxmlformats.org/officeDocument/2006/relationships/hyperlink" Target="https://facebook.com/KKAluWorks/" TargetMode="External"/><Relationship Id="rId439" Type="http://schemas.openxmlformats.org/officeDocument/2006/relationships/hyperlink" Target="https://facebook.com/p/Giorgio-Aluminium-Co-Ltd-100065044507710/" TargetMode="External"/><Relationship Id="rId201" Type="http://schemas.openxmlformats.org/officeDocument/2006/relationships/hyperlink" Target="https://www.google.com/maps/search/?api=1&amp;query=Garage%20No%202%20Triq%20tas-Sejba%2C%20Mqabba" TargetMode="External"/><Relationship Id="rId243" Type="http://schemas.openxmlformats.org/officeDocument/2006/relationships/hyperlink" Target="https://www.google.com/maps/search/?api=1&amp;query=Towe%20Buildings%20Triq%20Graham%2C%20Zebbug" TargetMode="External"/><Relationship Id="rId285" Type="http://schemas.openxmlformats.org/officeDocument/2006/relationships/hyperlink" Target="https://www.google.com/maps/search/?api=1&amp;query=Mdina%20Road%2C%20Zebbug" TargetMode="External"/><Relationship Id="rId450" Type="http://schemas.openxmlformats.org/officeDocument/2006/relationships/hyperlink" Target="https://facebook.com/QormiAluminium" TargetMode="External"/><Relationship Id="rId38" Type="http://schemas.openxmlformats.org/officeDocument/2006/relationships/hyperlink" Target="MAILTO:cdsaluminium@gmail.com" TargetMode="External"/><Relationship Id="rId103" Type="http://schemas.openxmlformats.org/officeDocument/2006/relationships/hyperlink" Target="MAILTO:sales@doorsandmore.in" TargetMode="External"/><Relationship Id="rId310" Type="http://schemas.openxmlformats.org/officeDocument/2006/relationships/hyperlink" Target="https://www.google.com/maps/search/?api=1&amp;query=Oceanis%20Triq%20tas-Sliema%2C%20Gzira" TargetMode="External"/><Relationship Id="rId91" Type="http://schemas.openxmlformats.org/officeDocument/2006/relationships/hyperlink" Target="MAILTO:parus984@gmail.com" TargetMode="External"/><Relationship Id="rId145" Type="http://schemas.openxmlformats.org/officeDocument/2006/relationships/hyperlink" Target="MAILTO:nicdimech@gmail.com" TargetMode="External"/><Relationship Id="rId187" Type="http://schemas.openxmlformats.org/officeDocument/2006/relationships/hyperlink" Target="https://www.google.com/maps/search/?api=1&amp;query=10%20Triq%20Bingemma%2C%20Nadur-Gozo" TargetMode="External"/><Relationship Id="rId352" Type="http://schemas.openxmlformats.org/officeDocument/2006/relationships/hyperlink" Target="https://facebook.com/jsbaluminium.works" TargetMode="External"/><Relationship Id="rId394" Type="http://schemas.openxmlformats.org/officeDocument/2006/relationships/hyperlink" Target="https://trendsltdmalta.com/" TargetMode="External"/><Relationship Id="rId408" Type="http://schemas.openxmlformats.org/officeDocument/2006/relationships/hyperlink" Target="https://brandimports.com.mt/" TargetMode="External"/><Relationship Id="rId212" Type="http://schemas.openxmlformats.org/officeDocument/2006/relationships/hyperlink" Target="https://www.google.com/maps/search/?api=1&amp;query=Express%20Bldg%20Triq%20Gharram%2C%20Zebbug" TargetMode="External"/><Relationship Id="rId254" Type="http://schemas.openxmlformats.org/officeDocument/2006/relationships/hyperlink" Target="https://www.google.com/maps/search/?api=1&amp;query=34%20Triq%20it-Torri%20San%20Gwann%2C%20Birgu" TargetMode="External"/><Relationship Id="rId49" Type="http://schemas.openxmlformats.org/officeDocument/2006/relationships/hyperlink" Target="MAILTO:info@expressaluminium.com" TargetMode="External"/><Relationship Id="rId114" Type="http://schemas.openxmlformats.org/officeDocument/2006/relationships/hyperlink" Target="MAILTO:andrewvella66@gmail.com" TargetMode="External"/><Relationship Id="rId296" Type="http://schemas.openxmlformats.org/officeDocument/2006/relationships/hyperlink" Target="https://www.google.com/maps/search/?api=1&amp;query=Five%20Star%20Business%20Park%20Triq%20il-Belt%20Valetta%2C%20Ghaxaq" TargetMode="External"/><Relationship Id="rId461" Type="http://schemas.openxmlformats.org/officeDocument/2006/relationships/hyperlink" Target="https://facebook.com/zammitaluminum/" TargetMode="External"/><Relationship Id="rId60" Type="http://schemas.openxmlformats.org/officeDocument/2006/relationships/hyperlink" Target="MAILTO:jk.aluminium@yahoo.com" TargetMode="External"/><Relationship Id="rId156" Type="http://schemas.openxmlformats.org/officeDocument/2006/relationships/hyperlink" Target="MAILTO:tonnalum@yahoo.com" TargetMode="External"/><Relationship Id="rId198" Type="http://schemas.openxmlformats.org/officeDocument/2006/relationships/hyperlink" Target="https://www.google.com/maps/search/?api=1&amp;query=Zone%203%20Triq%20San%20Gwakkin%20Central%20Business%20District%2C%20B%27Kara" TargetMode="External"/><Relationship Id="rId321" Type="http://schemas.openxmlformats.org/officeDocument/2006/relationships/hyperlink" Target="https://www.google.com/maps/search/?api=1&amp;query=KW36%20Qasam%20Indrustrijali%20Kordin%20Paola" TargetMode="External"/><Relationship Id="rId363" Type="http://schemas.openxmlformats.org/officeDocument/2006/relationships/hyperlink" Target="https://cagroup.com.mt/" TargetMode="External"/><Relationship Id="rId419" Type="http://schemas.openxmlformats.org/officeDocument/2006/relationships/hyperlink" Target="https://acmamalta.com/" TargetMode="External"/><Relationship Id="rId223" Type="http://schemas.openxmlformats.org/officeDocument/2006/relationships/hyperlink" Target="https://www.google.com/maps/search/?api=1&amp;query=13%20Triq%20Mro%20Giorgio%20Zarb%20Tal-Handaq%2C%20Qormi" TargetMode="External"/><Relationship Id="rId430" Type="http://schemas.openxmlformats.org/officeDocument/2006/relationships/hyperlink" Target="https://facebook.com/p/TC-Aluminium-Works-100064147390058/" TargetMode="External"/><Relationship Id="rId18" Type="http://schemas.openxmlformats.org/officeDocument/2006/relationships/hyperlink" Target="MAILTO:josefvella72@gmail.com" TargetMode="External"/><Relationship Id="rId265" Type="http://schemas.openxmlformats.org/officeDocument/2006/relationships/hyperlink" Target="https://www.google.com/maps/search/?api=1&amp;query=Garage%2025%20Tal-Barrani%20Industrial%20Estate%20Triq%20il-Belt%20Valletta%2C%20Ghaxaq" TargetMode="External"/><Relationship Id="rId125" Type="http://schemas.openxmlformats.org/officeDocument/2006/relationships/hyperlink" Target="MAILTO:info@deckor.com.mt" TargetMode="External"/><Relationship Id="rId167" Type="http://schemas.openxmlformats.org/officeDocument/2006/relationships/hyperlink" Target="https://www.google.com/maps/search/?api=1&amp;query=Triq%20it-Torri%2C%20Msida" TargetMode="External"/><Relationship Id="rId332" Type="http://schemas.openxmlformats.org/officeDocument/2006/relationships/hyperlink" Target="https://pvc.com.mt/" TargetMode="External"/><Relationship Id="rId374" Type="http://schemas.openxmlformats.org/officeDocument/2006/relationships/hyperlink" Target="https://facebook.com/p/Giorgio-Aluminium-Co-Ltd-100065044507710/" TargetMode="External"/><Relationship Id="rId71" Type="http://schemas.openxmlformats.org/officeDocument/2006/relationships/hyperlink" Target="MAILTO:rapa.aluminium@gmail.com" TargetMode="External"/><Relationship Id="rId234" Type="http://schemas.openxmlformats.org/officeDocument/2006/relationships/hyperlink" Target="https://www.google.com/maps/search/?api=1&amp;query=43%20Triq%20Dun%20Bartilmew%20Attard%2C%20Zebbug" TargetMode="External"/><Relationship Id="rId2" Type="http://schemas.openxmlformats.org/officeDocument/2006/relationships/hyperlink" Target="MAILTO:info@stanthonyww.com" TargetMode="External"/><Relationship Id="rId29" Type="http://schemas.openxmlformats.org/officeDocument/2006/relationships/hyperlink" Target="MAILTO:xandrumallia@gmail.com" TargetMode="External"/><Relationship Id="rId276" Type="http://schemas.openxmlformats.org/officeDocument/2006/relationships/hyperlink" Target="https://www.google.com/maps/search/?api=1&amp;query=45%20Stella%20Maris%20Triq%20James%20Smith%20Qawra%2C%20San%20Pawl%20ll-Bahar" TargetMode="External"/><Relationship Id="rId441" Type="http://schemas.openxmlformats.org/officeDocument/2006/relationships/hyperlink" Target="https://facebook.com/Guys21485785/" TargetMode="External"/><Relationship Id="rId40" Type="http://schemas.openxmlformats.org/officeDocument/2006/relationships/hyperlink" Target="MAILTO:mrgmv@onvol.net" TargetMode="External"/><Relationship Id="rId115" Type="http://schemas.openxmlformats.org/officeDocument/2006/relationships/hyperlink" Target="MAILTO:azzopardialumworks@gmail.com" TargetMode="External"/><Relationship Id="rId136" Type="http://schemas.openxmlformats.org/officeDocument/2006/relationships/hyperlink" Target="MAILTO:guysmalta@gmail.com" TargetMode="External"/><Relationship Id="rId157" Type="http://schemas.openxmlformats.org/officeDocument/2006/relationships/hyperlink" Target="MAILTO:info@towergroupmalta.com" TargetMode="External"/><Relationship Id="rId178" Type="http://schemas.openxmlformats.org/officeDocument/2006/relationships/hyperlink" Target="https://www.google.com/maps/search/?api=1&amp;query=No5%20Triq%20Mons%20Alfred%20Mifsud%2C%20B%27Kara" TargetMode="External"/><Relationship Id="rId301" Type="http://schemas.openxmlformats.org/officeDocument/2006/relationships/hyperlink" Target="https://www.google.com/maps/search/?api=1&amp;query=Triq%20Mro%20Giuseppe%20Camilleri%20Tal-Hanhaq%2C%20Qormi" TargetMode="External"/><Relationship Id="rId322" Type="http://schemas.openxmlformats.org/officeDocument/2006/relationships/hyperlink" Target="https://www.google.com/maps/search/?api=1&amp;query=Zone%202%20Triq%20ll-Ghain%20Central%20Business%20District%2C%20B%27Kara" TargetMode="External"/><Relationship Id="rId343" Type="http://schemas.openxmlformats.org/officeDocument/2006/relationships/hyperlink" Target="https://j3alumiuniumworks.com/" TargetMode="External"/><Relationship Id="rId364" Type="http://schemas.openxmlformats.org/officeDocument/2006/relationships/hyperlink" Target="https://salamander-windows.com/?utm_source=Yellow&amp;utm_medium=Yellow-Website&amp;utm_campaign=Landing-Page" TargetMode="External"/><Relationship Id="rId61" Type="http://schemas.openxmlformats.org/officeDocument/2006/relationships/hyperlink" Target="MAILTO:admin@jamarmalta.com" TargetMode="External"/><Relationship Id="rId82" Type="http://schemas.openxmlformats.org/officeDocument/2006/relationships/hyperlink" Target="MAILTO:zammitalu@gmail.com" TargetMode="External"/><Relationship Id="rId199" Type="http://schemas.openxmlformats.org/officeDocument/2006/relationships/hyperlink" Target="https://www.google.com/maps/search/?api=1&amp;query=13%2C%20Triq%20Luretu%20Cutajar%2C%20Zebbug%2C%20Haz-Zebbug" TargetMode="External"/><Relationship Id="rId203" Type="http://schemas.openxmlformats.org/officeDocument/2006/relationships/hyperlink" Target="https://www.google.com/maps/search/?api=1&amp;query=16-17%20Waterside%20Place%2C%20Flt%209%20Ix-Xatt%20ta%27%20Qui%20Si-Sana%2C%20Sliema" TargetMode="External"/><Relationship Id="rId385" Type="http://schemas.openxmlformats.org/officeDocument/2006/relationships/hyperlink" Target="https://facebook.com/perfectummt/" TargetMode="External"/><Relationship Id="rId19" Type="http://schemas.openxmlformats.org/officeDocument/2006/relationships/hyperlink" Target="MAILTO:abelawoodworks@gmail.com" TargetMode="External"/><Relationship Id="rId224" Type="http://schemas.openxmlformats.org/officeDocument/2006/relationships/hyperlink" Target="https://www.google.com/maps/search/?api=1&amp;query=John%20Garage%20Triq%20Haz-Zebbug%2C%20Attard" TargetMode="External"/><Relationship Id="rId245" Type="http://schemas.openxmlformats.org/officeDocument/2006/relationships/hyperlink" Target="https://www.google.com/maps/search/?api=1&amp;query=MRA%20053%20Qasam%20Industrijali%2C%20Marsa" TargetMode="External"/><Relationship Id="rId266" Type="http://schemas.openxmlformats.org/officeDocument/2006/relationships/hyperlink" Target="https://www.google.com/maps/search/?api=1&amp;query=Scorpio%20Triq%20Garcia%20De%20Toledo%20Qawra%2C%20San%20Pawl%20ll-Bahar" TargetMode="External"/><Relationship Id="rId287" Type="http://schemas.openxmlformats.org/officeDocument/2006/relationships/hyperlink" Target="https://www.google.com/maps/search/?api=1&amp;query=52%2C%20Triq%20Pinto%2C%20Qormi" TargetMode="External"/><Relationship Id="rId410" Type="http://schemas.openxmlformats.org/officeDocument/2006/relationships/hyperlink" Target="https://nicholas.mt/" TargetMode="External"/><Relationship Id="rId431" Type="http://schemas.openxmlformats.org/officeDocument/2006/relationships/hyperlink" Target="https://salamander-windows.com/?utm_source=Yellow&amp;utm_medium=Yellow-Website&amp;utm_campaign=Landing-Page" TargetMode="External"/><Relationship Id="rId452" Type="http://schemas.openxmlformats.org/officeDocument/2006/relationships/hyperlink" Target="https://facebook.com/RayAluWorks/" TargetMode="External"/><Relationship Id="rId30" Type="http://schemas.openxmlformats.org/officeDocument/2006/relationships/hyperlink" Target="MAILTO:info@alukey.com.mt" TargetMode="External"/><Relationship Id="rId105" Type="http://schemas.openxmlformats.org/officeDocument/2006/relationships/hyperlink" Target="MAILTO:info@acaluminium.com" TargetMode="External"/><Relationship Id="rId126" Type="http://schemas.openxmlformats.org/officeDocument/2006/relationships/hyperlink" Target="MAILTO:savdim65@gmail.com" TargetMode="External"/><Relationship Id="rId147" Type="http://schemas.openxmlformats.org/officeDocument/2006/relationships/hyperlink" Target="MAILTO:matteo.pisani40@gmail.com" TargetMode="External"/><Relationship Id="rId168" Type="http://schemas.openxmlformats.org/officeDocument/2006/relationships/hyperlink" Target="https://www.google.com/maps/search/?api=1&amp;query=SUB%20030A%20Qasam%20Industrijali%2C%20San%20Gwann" TargetMode="External"/><Relationship Id="rId312" Type="http://schemas.openxmlformats.org/officeDocument/2006/relationships/hyperlink" Target="https://www.google.com/maps/search/?api=1&amp;query=12%20Triq%20Wenzu%20Despott%2C%20Tarxien" TargetMode="External"/><Relationship Id="rId333" Type="http://schemas.openxmlformats.org/officeDocument/2006/relationships/hyperlink" Target="https://kbstructuresltd.com/" TargetMode="External"/><Relationship Id="rId354" Type="http://schemas.openxmlformats.org/officeDocument/2006/relationships/hyperlink" Target="https://facebook.com/alukeyaluminium" TargetMode="External"/><Relationship Id="rId51" Type="http://schemas.openxmlformats.org/officeDocument/2006/relationships/hyperlink" Target="MAILTO:sales@finestralmalta.com" TargetMode="External"/><Relationship Id="rId72" Type="http://schemas.openxmlformats.org/officeDocument/2006/relationships/hyperlink" Target="MAILTO:raymondfarrugia74@gmail.com" TargetMode="External"/><Relationship Id="rId93" Type="http://schemas.openxmlformats.org/officeDocument/2006/relationships/hyperlink" Target="MAILTO:info@brandimports.com.mt" TargetMode="External"/><Relationship Id="rId189" Type="http://schemas.openxmlformats.org/officeDocument/2006/relationships/hyperlink" Target="https://www.google.com/maps/search/?api=1&amp;query=124%20Triq%20San%20Gejtanu%2C%20Hamrun" TargetMode="External"/><Relationship Id="rId375" Type="http://schemas.openxmlformats.org/officeDocument/2006/relationships/hyperlink" Target="https://grahamaluminium.com/" TargetMode="External"/><Relationship Id="rId396" Type="http://schemas.openxmlformats.org/officeDocument/2006/relationships/hyperlink" Target="https://facebook.com/bespokelocalfurniture" TargetMode="External"/><Relationship Id="rId3" Type="http://schemas.openxmlformats.org/officeDocument/2006/relationships/hyperlink" Target="MAILTO:info@framegrip.com" TargetMode="External"/><Relationship Id="rId214" Type="http://schemas.openxmlformats.org/officeDocument/2006/relationships/hyperlink" Target="https://www.google.com/maps/search/?api=1&amp;query=SUB%20029B%20Qasam%20Industrijali%2C%20San%20Gwann" TargetMode="External"/><Relationship Id="rId235" Type="http://schemas.openxmlformats.org/officeDocument/2006/relationships/hyperlink" Target="https://www.google.com/maps/search/?api=1&amp;query=New%20Building%20Triq%20id-Dawwara%2C%20Victoria-Gozo" TargetMode="External"/><Relationship Id="rId256" Type="http://schemas.openxmlformats.org/officeDocument/2006/relationships/hyperlink" Target="https://www.google.com/maps/search/?api=1&amp;query=GGX%200021%20Qasam%20Industrijali%2C%20Xewkija-Gozo" TargetMode="External"/><Relationship Id="rId277" Type="http://schemas.openxmlformats.org/officeDocument/2006/relationships/hyperlink" Target="https://www.google.com/maps/search/?api=1&amp;query=4%20Triq%20il-Lvant%2C%20Zejtun" TargetMode="External"/><Relationship Id="rId298" Type="http://schemas.openxmlformats.org/officeDocument/2006/relationships/hyperlink" Target="https://www.google.com/maps/search/?api=1&amp;query=Oliand%20Triq%20Anthony%20John%20Coleiro%20Tal-Handaq%2C%20Qormi" TargetMode="External"/><Relationship Id="rId400" Type="http://schemas.openxmlformats.org/officeDocument/2006/relationships/hyperlink" Target="https://jlautier.com/" TargetMode="External"/><Relationship Id="rId421" Type="http://schemas.openxmlformats.org/officeDocument/2006/relationships/hyperlink" Target="https://aluminium-ltd.business.site/" TargetMode="External"/><Relationship Id="rId442" Type="http://schemas.openxmlformats.org/officeDocument/2006/relationships/hyperlink" Target="https://horvinltd.com/" TargetMode="External"/><Relationship Id="rId116" Type="http://schemas.openxmlformats.org/officeDocument/2006/relationships/hyperlink" Target="MAILTO:info@basonaluminium.com" TargetMode="External"/><Relationship Id="rId137" Type="http://schemas.openxmlformats.org/officeDocument/2006/relationships/hyperlink" Target="MAILTO:horvinltd@gmail.com" TargetMode="External"/><Relationship Id="rId158" Type="http://schemas.openxmlformats.org/officeDocument/2006/relationships/hyperlink" Target="MAILTO:info@trendsltdmalta.com" TargetMode="External"/><Relationship Id="rId302" Type="http://schemas.openxmlformats.org/officeDocument/2006/relationships/hyperlink" Target="https://www.google.com/maps/search/?api=1&amp;query=23%20Graham%20Aluminium%20Triq%20John%20Michael%20Testa%20Tal-Handaq%2C%20Qormi" TargetMode="External"/><Relationship Id="rId323" Type="http://schemas.openxmlformats.org/officeDocument/2006/relationships/hyperlink" Target="https://www.google.com/maps/search/?api=1&amp;query=23%20Triq%20Angelo%20Melilli%2C%20Zebbug" TargetMode="External"/><Relationship Id="rId344" Type="http://schemas.openxmlformats.org/officeDocument/2006/relationships/hyperlink" Target="https://facebook.com/p/Nu-Aluminium-100064044373074/" TargetMode="External"/><Relationship Id="rId20" Type="http://schemas.openxmlformats.org/officeDocument/2006/relationships/hyperlink" Target="MAILTO:northalu@gmail.com" TargetMode="External"/><Relationship Id="rId41" Type="http://schemas.openxmlformats.org/officeDocument/2006/relationships/hyperlink" Target="MAILTO:chocoaluminium@gmail.com" TargetMode="External"/><Relationship Id="rId62" Type="http://schemas.openxmlformats.org/officeDocument/2006/relationships/hyperlink" Target="MAILTO:info@jasonaluminium.com" TargetMode="External"/><Relationship Id="rId83" Type="http://schemas.openxmlformats.org/officeDocument/2006/relationships/hyperlink" Target="MAILTO:info@framegrip.com" TargetMode="External"/><Relationship Id="rId179" Type="http://schemas.openxmlformats.org/officeDocument/2006/relationships/hyperlink" Target="https://www.google.com/maps/search/?api=1&amp;query=33%20Triq%20Angelo%20Melilli%2C%20Zebbug" TargetMode="External"/><Relationship Id="rId365" Type="http://schemas.openxmlformats.org/officeDocument/2006/relationships/hyperlink" Target="https://facebook.com/p/Choco-aluminium-works-100064574387617/" TargetMode="External"/><Relationship Id="rId386" Type="http://schemas.openxmlformats.org/officeDocument/2006/relationships/hyperlink" Target="https://facebook.com/QormiAluminium" TargetMode="External"/><Relationship Id="rId190" Type="http://schemas.openxmlformats.org/officeDocument/2006/relationships/hyperlink" Target="https://www.google.com/maps/search/?api=1&amp;query=Triq%20id-Difiza%20Civili%2C%20Mosta" TargetMode="External"/><Relationship Id="rId204" Type="http://schemas.openxmlformats.org/officeDocument/2006/relationships/hyperlink" Target="https://www.google.com/maps/search/?api=1&amp;query=10c%20Midland%20Park%20Triq%20Burmarrad%2C%20Naxxar" TargetMode="External"/><Relationship Id="rId225" Type="http://schemas.openxmlformats.org/officeDocument/2006/relationships/hyperlink" Target="https://www.google.com/maps/search/?api=1&amp;query=110%2C%20Triq%20Dun%20Bartilmew%20Attard%2C%20Zebbug" TargetMode="External"/><Relationship Id="rId246" Type="http://schemas.openxmlformats.org/officeDocument/2006/relationships/hyperlink" Target="https://www.google.com/maps/search/?api=1&amp;query=77%20Triq%20il-Ballut%20Qasam%20Industrijali%2C%20Mosta" TargetMode="External"/><Relationship Id="rId267" Type="http://schemas.openxmlformats.org/officeDocument/2006/relationships/hyperlink" Target="https://www.google.com/maps/search/?api=1&amp;query=Triq%20San%20Pawl%20ll-Bahar" TargetMode="External"/><Relationship Id="rId288" Type="http://schemas.openxmlformats.org/officeDocument/2006/relationships/hyperlink" Target="https://www.google.com/maps/search/?api=1&amp;query=3%20Triq%20Manwel%20Borg%20Gauci%2C%20Qormi" TargetMode="External"/><Relationship Id="rId411" Type="http://schemas.openxmlformats.org/officeDocument/2006/relationships/hyperlink" Target="https://facebook.com/ihomes" TargetMode="External"/><Relationship Id="rId432" Type="http://schemas.openxmlformats.org/officeDocument/2006/relationships/hyperlink" Target="https://facebook.com/p/Choco-aluminium-works-100064574387617/" TargetMode="External"/><Relationship Id="rId453" Type="http://schemas.openxmlformats.org/officeDocument/2006/relationships/hyperlink" Target="https://facebook.com/people/Refined-Aluminium-Metal-Works/100063567219937/?utm_source=Yellow&amp;utm_medium=Yellow-Website&amp;utm_campaign=Landing-Page" TargetMode="External"/><Relationship Id="rId106" Type="http://schemas.openxmlformats.org/officeDocument/2006/relationships/hyperlink" Target="MAILTO:lexport@go.com.mt" TargetMode="External"/><Relationship Id="rId127" Type="http://schemas.openxmlformats.org/officeDocument/2006/relationships/hyperlink" Target="MAILTO:info@dinglialuminium.com" TargetMode="External"/><Relationship Id="rId313" Type="http://schemas.openxmlformats.org/officeDocument/2006/relationships/hyperlink" Target="https://www.google.com/maps/search/?api=1&amp;query=Garage%2023%20Triq%20il-Bizzilla%2C%20Ghaxaq" TargetMode="External"/><Relationship Id="rId10" Type="http://schemas.openxmlformats.org/officeDocument/2006/relationships/hyperlink" Target="MAILTO:parus984@gmail.com" TargetMode="External"/><Relationship Id="rId31" Type="http://schemas.openxmlformats.org/officeDocument/2006/relationships/hyperlink" Target="MAILTO:info@aluminiumltd.com" TargetMode="External"/><Relationship Id="rId52" Type="http://schemas.openxmlformats.org/officeDocument/2006/relationships/hyperlink" Target="MAILTO:faworks123@gmail.com" TargetMode="External"/><Relationship Id="rId73" Type="http://schemas.openxmlformats.org/officeDocument/2006/relationships/hyperlink" Target="MAILTO:refinedaluworks@gmail.com" TargetMode="External"/><Relationship Id="rId94" Type="http://schemas.openxmlformats.org/officeDocument/2006/relationships/hyperlink" Target="MAILTO:j3aluminium@gmail.com" TargetMode="External"/><Relationship Id="rId148" Type="http://schemas.openxmlformats.org/officeDocument/2006/relationships/hyperlink" Target="MAILTO:gormialum@gmail.com" TargetMode="External"/><Relationship Id="rId169" Type="http://schemas.openxmlformats.org/officeDocument/2006/relationships/hyperlink" Target="https://www.google.com/maps/search/?api=1&amp;query=Zone%202%20Triq%20L-Ghadam%20Central%20Business%20District%2C%20B%27Kara" TargetMode="External"/><Relationship Id="rId334" Type="http://schemas.openxmlformats.org/officeDocument/2006/relationships/hyperlink" Target="https://stanthonyww.com/" TargetMode="External"/><Relationship Id="rId355" Type="http://schemas.openxmlformats.org/officeDocument/2006/relationships/hyperlink" Target="https://aluminium-ltd.business.site/" TargetMode="External"/><Relationship Id="rId376" Type="http://schemas.openxmlformats.org/officeDocument/2006/relationships/hyperlink" Target="https://facebook.com/Guys21485785/" TargetMode="External"/><Relationship Id="rId397" Type="http://schemas.openxmlformats.org/officeDocument/2006/relationships/hyperlink" Target="https://facebook.com/zammitaluminum/" TargetMode="External"/><Relationship Id="rId4" Type="http://schemas.openxmlformats.org/officeDocument/2006/relationships/hyperlink" Target="MAILTO:sales@jlautier.com" TargetMode="External"/><Relationship Id="rId180" Type="http://schemas.openxmlformats.org/officeDocument/2006/relationships/hyperlink" Target="https://www.google.com/maps/search/?api=1&amp;query=Emmarie%20Triq%20id-Dahla%20Ta%27%20San%20Tumas%2C%20M%27Skala" TargetMode="External"/><Relationship Id="rId215" Type="http://schemas.openxmlformats.org/officeDocument/2006/relationships/hyperlink" Target="https://www.google.com/maps/search/?api=1&amp;query=Garage%20144%20Triq%20San%20Xmun%2C%20Fgura" TargetMode="External"/><Relationship Id="rId236" Type="http://schemas.openxmlformats.org/officeDocument/2006/relationships/hyperlink" Target="https://www.google.com/maps/search/?api=1&amp;query=Triq%20Pietru%20D%27%20Armenia%2C%20Pembroke" TargetMode="External"/><Relationship Id="rId257" Type="http://schemas.openxmlformats.org/officeDocument/2006/relationships/hyperlink" Target="https://www.google.com/maps/search/?api=1&amp;query=Unit%201%20%26%202%20Qasam%20Industrijali%2C%20Luqa" TargetMode="External"/><Relationship Id="rId278" Type="http://schemas.openxmlformats.org/officeDocument/2006/relationships/hyperlink" Target="https://www.google.com/maps/search/?api=1&amp;query=57%20Triq%20il-Qasam%20Sperimentali%20Hal%20Farrug%2C%20Luqa" TargetMode="External"/><Relationship Id="rId401" Type="http://schemas.openxmlformats.org/officeDocument/2006/relationships/hyperlink" Target="https://a1finishesltd.com/" TargetMode="External"/><Relationship Id="rId422" Type="http://schemas.openxmlformats.org/officeDocument/2006/relationships/hyperlink" Target="https://facebook.com/AluwoodCoLtd" TargetMode="External"/><Relationship Id="rId443" Type="http://schemas.openxmlformats.org/officeDocument/2006/relationships/hyperlink" Target="https://icsaluminium.yolasite.com/" TargetMode="External"/><Relationship Id="rId303" Type="http://schemas.openxmlformats.org/officeDocument/2006/relationships/hyperlink" Target="https://www.google.com/maps/search/?api=1&amp;query=Drive%20in%20fi%20triq%20il-Belt%20Valletta%2C%20Qormi" TargetMode="External"/><Relationship Id="rId42" Type="http://schemas.openxmlformats.org/officeDocument/2006/relationships/hyperlink" Target="MAILTO:info@comforabita.com" TargetMode="External"/><Relationship Id="rId84" Type="http://schemas.openxmlformats.org/officeDocument/2006/relationships/hyperlink" Target="MAILTO:sales@jlautier.com" TargetMode="External"/><Relationship Id="rId138" Type="http://schemas.openxmlformats.org/officeDocument/2006/relationships/hyperlink" Target="MAILTO:johnjandb@gmail.com" TargetMode="External"/><Relationship Id="rId345" Type="http://schemas.openxmlformats.org/officeDocument/2006/relationships/hyperlink" Target="https://facebook.com/ihomes" TargetMode="External"/><Relationship Id="rId387" Type="http://schemas.openxmlformats.org/officeDocument/2006/relationships/hyperlink" Target="https://facebook.com/people/Rapa-Aluminium-Victoria-Gozo/100063473081953/?utm_source=Yellow&amp;utm_medium=Yellow-Website&amp;utm_campaign=Landing-Page" TargetMode="External"/><Relationship Id="rId191" Type="http://schemas.openxmlformats.org/officeDocument/2006/relationships/hyperlink" Target="https://www.google.com/maps/search/?api=1&amp;query=45%20Stella%20Maris%20Triq%20James%20Smith%20Qawra%2C%20San%20Pawl%20ll-Bahar" TargetMode="External"/><Relationship Id="rId205" Type="http://schemas.openxmlformats.org/officeDocument/2006/relationships/hyperlink" Target="https://www.google.com/maps/search/?api=1&amp;query=Triq%20it-Territorji%2C%20B%27Kara" TargetMode="External"/><Relationship Id="rId247" Type="http://schemas.openxmlformats.org/officeDocument/2006/relationships/hyperlink" Target="https://www.google.com/maps/search/?api=1&amp;query=A8%20Qasam%20Industrijali%2C%20Marsa" TargetMode="External"/><Relationship Id="rId412" Type="http://schemas.openxmlformats.org/officeDocument/2006/relationships/hyperlink" Target="https://facebook.com/p/Melvin-Aluminium-works-100057483907699/" TargetMode="External"/><Relationship Id="rId107" Type="http://schemas.openxmlformats.org/officeDocument/2006/relationships/hyperlink" Target="MAILTO:sales@adoremore.eu" TargetMode="External"/><Relationship Id="rId289" Type="http://schemas.openxmlformats.org/officeDocument/2006/relationships/hyperlink" Target="https://www.google.com/maps/search/?api=1&amp;query=16-17%20Waterside%20Place%2C%20Flt%209%20Ix-Xatt%20ta%27%20Qui%20Si-Sana%2C%20Sliema" TargetMode="External"/><Relationship Id="rId454" Type="http://schemas.openxmlformats.org/officeDocument/2006/relationships/hyperlink" Target="https://servgroupmalta.com/" TargetMode="External"/><Relationship Id="rId11" Type="http://schemas.openxmlformats.org/officeDocument/2006/relationships/hyperlink" Target="MAILTO:info@afdaaluminium.com" TargetMode="External"/><Relationship Id="rId53" Type="http://schemas.openxmlformats.org/officeDocument/2006/relationships/hyperlink" Target="MAILTO:azzopardimark8@gmail.com" TargetMode="External"/><Relationship Id="rId149" Type="http://schemas.openxmlformats.org/officeDocument/2006/relationships/hyperlink" Target="MAILTO:rcalworks@gmail.com" TargetMode="External"/><Relationship Id="rId314" Type="http://schemas.openxmlformats.org/officeDocument/2006/relationships/hyperlink" Target="https://www.google.com/maps/search/?api=1&amp;query=KKW%20721%2C%20Corradino%20%0AIndustrial%20Estate%0APaola%2C%20PLA%203000%2C%20Malta" TargetMode="External"/><Relationship Id="rId356" Type="http://schemas.openxmlformats.org/officeDocument/2006/relationships/hyperlink" Target="https://facebook.com/AluwoodCoLtd" TargetMode="External"/><Relationship Id="rId398" Type="http://schemas.openxmlformats.org/officeDocument/2006/relationships/hyperlink" Target="https://pvc.com.mt/" TargetMode="External"/><Relationship Id="rId95" Type="http://schemas.openxmlformats.org/officeDocument/2006/relationships/hyperlink" Target="MAILTO:info@nicholas.mt" TargetMode="External"/><Relationship Id="rId160" Type="http://schemas.openxmlformats.org/officeDocument/2006/relationships/hyperlink" Target="MAILTO:mario@windmillmalta.com" TargetMode="External"/><Relationship Id="rId216" Type="http://schemas.openxmlformats.org/officeDocument/2006/relationships/hyperlink" Target="https://www.google.com/maps/search/?api=1&amp;query=263%20Triq%20il-Merhba%2C%20Fgura" TargetMode="External"/><Relationship Id="rId423" Type="http://schemas.openxmlformats.org/officeDocument/2006/relationships/hyperlink" Target="https://facebook.com/people/Andrew-vella-aluminium/100064883072627/" TargetMode="External"/><Relationship Id="rId258" Type="http://schemas.openxmlformats.org/officeDocument/2006/relationships/hyperlink" Target="https://www.google.com/maps/search/?api=1&amp;query=31%20Triq%20il-Furnar%2C%20Qormi" TargetMode="External"/><Relationship Id="rId22" Type="http://schemas.openxmlformats.org/officeDocument/2006/relationships/hyperlink" Target="MAILTO:gsf-1200@hotmail.com" TargetMode="External"/><Relationship Id="rId64" Type="http://schemas.openxmlformats.org/officeDocument/2006/relationships/hyperlink" Target="MAILTO:bjorn.vassallo@gmail.com" TargetMode="External"/><Relationship Id="rId118" Type="http://schemas.openxmlformats.org/officeDocument/2006/relationships/hyperlink" Target="MAILTO:henry@bpapertures.com" TargetMode="External"/><Relationship Id="rId325" Type="http://schemas.openxmlformats.org/officeDocument/2006/relationships/hyperlink" Target="https://www.google.com/maps/search/?api=1&amp;query=29%20Triq%20E%20Attard%20Bezzina%2C%20Zejtun" TargetMode="External"/><Relationship Id="rId367" Type="http://schemas.openxmlformats.org/officeDocument/2006/relationships/hyperlink" Target="https://cuschierigroup.com/" TargetMode="External"/><Relationship Id="rId171" Type="http://schemas.openxmlformats.org/officeDocument/2006/relationships/hyperlink" Target="https://www.google.com/maps/search/?api=1&amp;query=Factory%20GZB%202%20Qasam%20Industrijali%2C%20Xewkija-Gozo" TargetMode="External"/><Relationship Id="rId227" Type="http://schemas.openxmlformats.org/officeDocument/2006/relationships/hyperlink" Target="https://www.google.com/maps/search/?api=1&amp;query=Oceanis%20Triq%20tas-Sliema%2C%20Gzira" TargetMode="External"/><Relationship Id="rId269" Type="http://schemas.openxmlformats.org/officeDocument/2006/relationships/hyperlink" Target="https://www.google.com/maps/search/?api=1&amp;query=Triq%20Pawlu%20Mifsud%2C%20Zebbug" TargetMode="External"/><Relationship Id="rId434" Type="http://schemas.openxmlformats.org/officeDocument/2006/relationships/hyperlink" Target="https://dimechapertures.com/" TargetMode="External"/><Relationship Id="rId33" Type="http://schemas.openxmlformats.org/officeDocument/2006/relationships/hyperlink" Target="MAILTO:andrewvella66@gmail.com" TargetMode="External"/><Relationship Id="rId129" Type="http://schemas.openxmlformats.org/officeDocument/2006/relationships/hyperlink" Target="MAILTO:dxaluworks@gmail.com" TargetMode="External"/><Relationship Id="rId280" Type="http://schemas.openxmlformats.org/officeDocument/2006/relationships/hyperlink" Target="https://www.google.com/maps/search/?api=1&amp;query=Plot%20121%2C%20Aluwood%20Bldg%20Triq%20Ha%3B%20Qormi%20Qasam%20Industrijali%2C%20Luqa" TargetMode="External"/><Relationship Id="rId336" Type="http://schemas.openxmlformats.org/officeDocument/2006/relationships/hyperlink" Target="https://jlautier.com/" TargetMode="External"/><Relationship Id="rId75" Type="http://schemas.openxmlformats.org/officeDocument/2006/relationships/hyperlink" Target="MAILTO:info@sptechniques.com" TargetMode="External"/><Relationship Id="rId140" Type="http://schemas.openxmlformats.org/officeDocument/2006/relationships/hyperlink" Target="MAILTO:jk.aluminium@yahoo.com" TargetMode="External"/><Relationship Id="rId182" Type="http://schemas.openxmlformats.org/officeDocument/2006/relationships/hyperlink" Target="https://www.google.com/maps/search/?api=1&amp;query=34%20Triq%20Indri%20Psaila%2C%20Qormi" TargetMode="External"/><Relationship Id="rId378" Type="http://schemas.openxmlformats.org/officeDocument/2006/relationships/hyperlink" Target="https://icsaluminium.yolasite.com/" TargetMode="External"/><Relationship Id="rId403" Type="http://schemas.openxmlformats.org/officeDocument/2006/relationships/hyperlink" Target="https://amabilegalea.com/" TargetMode="External"/><Relationship Id="rId6" Type="http://schemas.openxmlformats.org/officeDocument/2006/relationships/hyperlink" Target="MAILTO:info@grimafurniture.com" TargetMode="External"/><Relationship Id="rId238" Type="http://schemas.openxmlformats.org/officeDocument/2006/relationships/hyperlink" Target="https://www.google.com/maps/search/?api=1&amp;query=KW36%20Qasam%20Indrustrijali%20Kordin%20Paola" TargetMode="External"/><Relationship Id="rId445" Type="http://schemas.openxmlformats.org/officeDocument/2006/relationships/hyperlink" Target="https://jk-aluminium.com/" TargetMode="External"/><Relationship Id="rId291" Type="http://schemas.openxmlformats.org/officeDocument/2006/relationships/hyperlink" Target="https://www.google.com/maps/search/?api=1&amp;query=Landscape%20Triq%20Gnien%20Fieres%2C%20Rabat" TargetMode="External"/><Relationship Id="rId305" Type="http://schemas.openxmlformats.org/officeDocument/2006/relationships/hyperlink" Target="https://www.google.com/maps/search/?api=1&amp;query=Qart%20D%27Orange%20Garage%20Trejqet%20il-Wied%2C%20Qormi" TargetMode="External"/><Relationship Id="rId347" Type="http://schemas.openxmlformats.org/officeDocument/2006/relationships/hyperlink" Target="https://facebook.com/p/Melvin-Aluminium-works-100057483907699/" TargetMode="External"/><Relationship Id="rId44" Type="http://schemas.openxmlformats.org/officeDocument/2006/relationships/hyperlink" Target="MAILTO:daniobarbara1977@gmail.com" TargetMode="External"/><Relationship Id="rId86" Type="http://schemas.openxmlformats.org/officeDocument/2006/relationships/hyperlink" Target="MAILTO:sales@newstylesmalta.com" TargetMode="External"/><Relationship Id="rId151" Type="http://schemas.openxmlformats.org/officeDocument/2006/relationships/hyperlink" Target="MAILTO:raymondfarrugia74@gmail.com" TargetMode="External"/><Relationship Id="rId389" Type="http://schemas.openxmlformats.org/officeDocument/2006/relationships/hyperlink" Target="https://facebook.com/people/Refined-Aluminium-Metal-Works/100063567219937/?utm_source=Yellow&amp;utm_medium=Yellow-Website&amp;utm_campaign=Landing-Page" TargetMode="External"/><Relationship Id="rId193" Type="http://schemas.openxmlformats.org/officeDocument/2006/relationships/hyperlink" Target="https://www.google.com/maps/search/?api=1&amp;query=57%20Triq%20il-Qasam%20Sperimentali%20Hal%20Farrug%2C%20Luqa" TargetMode="External"/><Relationship Id="rId207" Type="http://schemas.openxmlformats.org/officeDocument/2006/relationships/hyperlink" Target="https://www.google.com/maps/search/?api=1&amp;query=Landscape%20Triq%20Gnien%20Fieres%2C%20Rabat" TargetMode="External"/><Relationship Id="rId249" Type="http://schemas.openxmlformats.org/officeDocument/2006/relationships/hyperlink" Target="https://www.google.com/maps/search/?api=1&amp;query=8%20Triq%20il-Garra%20Victoria%20Gardens%20L-Ibrag%2C%20Swieqi" TargetMode="External"/><Relationship Id="rId414" Type="http://schemas.openxmlformats.org/officeDocument/2006/relationships/hyperlink" Target="https://facebook.com/people/Northalu/100055070154471/?utm_source=Yellow&amp;utm_medium=Yellow-Website&amp;utm_campaign=Landing-Page" TargetMode="External"/><Relationship Id="rId456" Type="http://schemas.openxmlformats.org/officeDocument/2006/relationships/hyperlink" Target="https://towergroupmalta.com/" TargetMode="External"/><Relationship Id="rId13" Type="http://schemas.openxmlformats.org/officeDocument/2006/relationships/hyperlink" Target="MAILTO:j3aluminium@gmail.com" TargetMode="External"/><Relationship Id="rId109" Type="http://schemas.openxmlformats.org/officeDocument/2006/relationships/hyperlink" Target="MAILTO:alfalu@melita.com" TargetMode="External"/><Relationship Id="rId260" Type="http://schemas.openxmlformats.org/officeDocument/2006/relationships/hyperlink" Target="https://www.google.com/maps/search/?api=1&amp;query=26%20Triq%20Haz-Zabbar%2C%20Paola" TargetMode="External"/><Relationship Id="rId316" Type="http://schemas.openxmlformats.org/officeDocument/2006/relationships/hyperlink" Target="https://www.google.com/maps/search/?api=1&amp;query=Triq%20il-Palazz%20L-Ahmar%2C%20Sta%20Venera" TargetMode="External"/><Relationship Id="rId55" Type="http://schemas.openxmlformats.org/officeDocument/2006/relationships/hyperlink" Target="MAILTO:info@grahamaluminium.com" TargetMode="External"/><Relationship Id="rId97" Type="http://schemas.openxmlformats.org/officeDocument/2006/relationships/hyperlink" Target="MAILTO:chayron186@gmail.com" TargetMode="External"/><Relationship Id="rId120" Type="http://schemas.openxmlformats.org/officeDocument/2006/relationships/hyperlink" Target="MAILTO:info@cagroup.com.mt" TargetMode="External"/><Relationship Id="rId358" Type="http://schemas.openxmlformats.org/officeDocument/2006/relationships/hyperlink" Target="https://facebook.com/azzopardialum" TargetMode="External"/><Relationship Id="rId162" Type="http://schemas.openxmlformats.org/officeDocument/2006/relationships/hyperlink" Target="MAILTO:zammitalu@gmail.com" TargetMode="External"/><Relationship Id="rId218" Type="http://schemas.openxmlformats.org/officeDocument/2006/relationships/hyperlink" Target="https://www.google.com/maps/search/?api=1&amp;query=23%20Graham%20Aluminium%20Triq%20John%20Michael%20Testa%20Tal-Handaq%2C%20Qormi" TargetMode="External"/><Relationship Id="rId425" Type="http://schemas.openxmlformats.org/officeDocument/2006/relationships/hyperlink" Target="https://basonaluminium.com/" TargetMode="External"/><Relationship Id="rId271" Type="http://schemas.openxmlformats.org/officeDocument/2006/relationships/hyperlink" Target="https://www.google.com/maps/search/?api=1&amp;query=10%20Triq%20Bingemma%2C%20Nadur-Gozo" TargetMode="External"/><Relationship Id="rId24" Type="http://schemas.openxmlformats.org/officeDocument/2006/relationships/hyperlink" Target="MAILTO:mario.camilleri9@gmail.com" TargetMode="External"/><Relationship Id="rId66" Type="http://schemas.openxmlformats.org/officeDocument/2006/relationships/hyperlink" Target="MAILTO:nicdimech@gmail.com" TargetMode="External"/><Relationship Id="rId131" Type="http://schemas.openxmlformats.org/officeDocument/2006/relationships/hyperlink" Target="MAILTO:simdebwebb@hotmail.com" TargetMode="External"/><Relationship Id="rId327" Type="http://schemas.openxmlformats.org/officeDocument/2006/relationships/hyperlink" Target="https://www.google.com/maps/search/?api=1&amp;query=KK%20011%20Qasam%20Industrijali%2C%20Kordin%2C%20Paola" TargetMode="External"/><Relationship Id="rId369" Type="http://schemas.openxmlformats.org/officeDocument/2006/relationships/hyperlink" Target="https://pvcmalta.com/" TargetMode="External"/><Relationship Id="rId173" Type="http://schemas.openxmlformats.org/officeDocument/2006/relationships/hyperlink" Target="https://www.google.com/maps/search/?api=1&amp;query=31%20Triq%20il-Furnar%2C%20Qormi" TargetMode="External"/><Relationship Id="rId229" Type="http://schemas.openxmlformats.org/officeDocument/2006/relationships/hyperlink" Target="https://www.google.com/maps/search/?api=1&amp;query=12%20Triq%20Wenzu%20Despott%2C%20Tarxien" TargetMode="External"/><Relationship Id="rId380" Type="http://schemas.openxmlformats.org/officeDocument/2006/relationships/hyperlink" Target="https://jk-aluminium.com/" TargetMode="External"/><Relationship Id="rId436" Type="http://schemas.openxmlformats.org/officeDocument/2006/relationships/hyperlink" Target="https://facebook.com/p/DX-Aluminium-Works-100064182690832/" TargetMode="External"/><Relationship Id="rId240" Type="http://schemas.openxmlformats.org/officeDocument/2006/relationships/hyperlink" Target="https://www.google.com/maps/search/?api=1&amp;query=F18%2C%20Lower%20Level%20Midland%20Industrial%20Oark%20Triq%20Burmarrad%2C%20Naxxar" TargetMode="External"/><Relationship Id="rId35" Type="http://schemas.openxmlformats.org/officeDocument/2006/relationships/hyperlink" Target="MAILTO:info@basonaluminium.com" TargetMode="External"/><Relationship Id="rId77" Type="http://schemas.openxmlformats.org/officeDocument/2006/relationships/hyperlink" Target="MAILTO:t.camillerialuminium@hotmail.com" TargetMode="External"/><Relationship Id="rId100" Type="http://schemas.openxmlformats.org/officeDocument/2006/relationships/hyperlink" Target="MAILTO:agood.installations@yahoo.com" TargetMode="External"/><Relationship Id="rId282" Type="http://schemas.openxmlformats.org/officeDocument/2006/relationships/hyperlink" Target="https://www.google.com/maps/search/?api=1&amp;query=Garage%207%2C%20Drive%20In%20Triq%20Lydda%2C%20Qormi" TargetMode="External"/><Relationship Id="rId338" Type="http://schemas.openxmlformats.org/officeDocument/2006/relationships/hyperlink" Target="https://grimafurniture.com/" TargetMode="External"/><Relationship Id="rId8" Type="http://schemas.openxmlformats.org/officeDocument/2006/relationships/hyperlink" Target="MAILTO:info@gozoaluminium.com" TargetMode="External"/><Relationship Id="rId142" Type="http://schemas.openxmlformats.org/officeDocument/2006/relationships/hyperlink" Target="MAILTO:kkalworks@gmail.com" TargetMode="External"/><Relationship Id="rId184" Type="http://schemas.openxmlformats.org/officeDocument/2006/relationships/hyperlink" Target="https://www.google.com/maps/search/?api=1&amp;query=Triq%20San%20Pawl%20ll-Bahar" TargetMode="External"/><Relationship Id="rId391" Type="http://schemas.openxmlformats.org/officeDocument/2006/relationships/hyperlink" Target="https://sptechniques.com/" TargetMode="External"/><Relationship Id="rId405" Type="http://schemas.openxmlformats.org/officeDocument/2006/relationships/hyperlink" Target="https://yellow.com.mt/nu-aluminium/aluminium-apertures-fixtures/" TargetMode="External"/><Relationship Id="rId447" Type="http://schemas.openxmlformats.org/officeDocument/2006/relationships/hyperlink" Target="https://facebook.com/KKAluWorks/" TargetMode="External"/><Relationship Id="rId251" Type="http://schemas.openxmlformats.org/officeDocument/2006/relationships/hyperlink" Target="https://www.google.com/maps/search/?api=1&amp;query=Triq%20it-Torri%2C%20Msida" TargetMode="External"/><Relationship Id="rId46" Type="http://schemas.openxmlformats.org/officeDocument/2006/relationships/hyperlink" Target="MAILTO:info@dinglialuminium.com" TargetMode="External"/><Relationship Id="rId293" Type="http://schemas.openxmlformats.org/officeDocument/2006/relationships/hyperlink" Target="https://www.google.com/maps/search/?api=1&amp;query=3%20Triq%20iz-Znuber%2C%20Mosta" TargetMode="External"/><Relationship Id="rId307" Type="http://schemas.openxmlformats.org/officeDocument/2006/relationships/hyperlink" Target="https://www.google.com/maps/search/?api=1&amp;query=13%20Triq%20Mro%20Giorgio%20Zarb%20Tal-Handaq%2C%20Qormi" TargetMode="External"/><Relationship Id="rId349" Type="http://schemas.openxmlformats.org/officeDocument/2006/relationships/hyperlink" Target="https://abelawoodworks.wixsite.com/abelawoodworks" TargetMode="External"/><Relationship Id="rId88" Type="http://schemas.openxmlformats.org/officeDocument/2006/relationships/hyperlink" Target="MAILTO:info@gozoaluminium.com" TargetMode="External"/><Relationship Id="rId111" Type="http://schemas.openxmlformats.org/officeDocument/2006/relationships/hyperlink" Target="MAILTO:info@alukey.com.mt" TargetMode="External"/><Relationship Id="rId153" Type="http://schemas.openxmlformats.org/officeDocument/2006/relationships/hyperlink" Target="MAILTO:info@servgroupmalta.com" TargetMode="External"/><Relationship Id="rId195" Type="http://schemas.openxmlformats.org/officeDocument/2006/relationships/hyperlink" Target="https://www.google.com/maps/search/?api=1&amp;query=Plot%20121%2C%20Aluwood%20Bldg%20Triq%20Ha%3B%20Qormi%20Qasam%20Industrijali%2C%20Luqa" TargetMode="External"/><Relationship Id="rId209" Type="http://schemas.openxmlformats.org/officeDocument/2006/relationships/hyperlink" Target="https://www.google.com/maps/search/?api=1&amp;query=Qasam%20Industrijali%2C%20Tal-Handaq%2C%20Qormi" TargetMode="External"/><Relationship Id="rId360" Type="http://schemas.openxmlformats.org/officeDocument/2006/relationships/hyperlink" Target="https://facebook.com/borgalum/" TargetMode="External"/><Relationship Id="rId416" Type="http://schemas.openxmlformats.org/officeDocument/2006/relationships/hyperlink" Target="https://facebook.com/jsbaluminium.works" TargetMode="External"/><Relationship Id="rId220" Type="http://schemas.openxmlformats.org/officeDocument/2006/relationships/hyperlink" Target="https://www.google.com/maps/search/?api=1&amp;query=A%2042%20Qasam%20Industrijali%2C%20Marsa" TargetMode="External"/><Relationship Id="rId458" Type="http://schemas.openxmlformats.org/officeDocument/2006/relationships/hyperlink" Target="https://valormalta.wixsite.com/valor" TargetMode="External"/><Relationship Id="rId15" Type="http://schemas.openxmlformats.org/officeDocument/2006/relationships/hyperlink" Target="MAILTO:info@ihomes.com.mt" TargetMode="External"/><Relationship Id="rId57" Type="http://schemas.openxmlformats.org/officeDocument/2006/relationships/hyperlink" Target="MAILTO:horvinltd@gmail.com" TargetMode="External"/><Relationship Id="rId262" Type="http://schemas.openxmlformats.org/officeDocument/2006/relationships/hyperlink" Target="https://www.google.com/maps/search/?api=1&amp;query=33%20Triq%20Angelo%20Melilli%2C%20Zebbug" TargetMode="External"/><Relationship Id="rId318" Type="http://schemas.openxmlformats.org/officeDocument/2006/relationships/hyperlink" Target="https://www.google.com/maps/search/?api=1&amp;query=New%20Building%20Triq%20id-Dawwara%2C%20Victoria-Gozo" TargetMode="External"/><Relationship Id="rId99" Type="http://schemas.openxmlformats.org/officeDocument/2006/relationships/hyperlink" Target="MAILTO:northalu@gmail.com" TargetMode="External"/><Relationship Id="rId122" Type="http://schemas.openxmlformats.org/officeDocument/2006/relationships/hyperlink" Target="MAILTO:mrgmv@onvol.net" TargetMode="External"/><Relationship Id="rId164" Type="http://schemas.openxmlformats.org/officeDocument/2006/relationships/hyperlink" Target="https://www.google.com/maps/search/?api=1&amp;query=Triq%20il-Kappella%20ta%27%20Santa%20Marija%2C%20Naxxar" TargetMode="External"/><Relationship Id="rId371" Type="http://schemas.openxmlformats.org/officeDocument/2006/relationships/hyperlink" Target="https://expressaluminium.com/" TargetMode="External"/><Relationship Id="rId427" Type="http://schemas.openxmlformats.org/officeDocument/2006/relationships/hyperlink" Target="https://bpapertures.com/" TargetMode="External"/><Relationship Id="rId26" Type="http://schemas.openxmlformats.org/officeDocument/2006/relationships/hyperlink" Target="MAILTO:lexport@go.com.mt" TargetMode="External"/><Relationship Id="rId231" Type="http://schemas.openxmlformats.org/officeDocument/2006/relationships/hyperlink" Target="https://www.google.com/maps/search/?api=1&amp;query=Malta%2C%20Valletta" TargetMode="External"/><Relationship Id="rId273" Type="http://schemas.openxmlformats.org/officeDocument/2006/relationships/hyperlink" Target="https://www.google.com/maps/search/?api=1&amp;query=124%20Triq%20San%20Gejtanu%2C%20Hamrun" TargetMode="External"/><Relationship Id="rId329" Type="http://schemas.openxmlformats.org/officeDocument/2006/relationships/hyperlink" Target="https://www.google.com/maps/search/?api=1&amp;query=MRA%20053%20Qasam%20Industrijali%2C%20Marsa" TargetMode="External"/><Relationship Id="rId68" Type="http://schemas.openxmlformats.org/officeDocument/2006/relationships/hyperlink" Target="MAILTO:matteo.pisani40@gmail.com" TargetMode="External"/><Relationship Id="rId133" Type="http://schemas.openxmlformats.org/officeDocument/2006/relationships/hyperlink" Target="MAILTO:azzopardimark8@gmail.com" TargetMode="External"/><Relationship Id="rId175" Type="http://schemas.openxmlformats.org/officeDocument/2006/relationships/hyperlink" Target="https://www.google.com/maps/search/?api=1&amp;query=26%20Triq%20Haz-Zabbar%2C%20Paola" TargetMode="External"/><Relationship Id="rId340" Type="http://schemas.openxmlformats.org/officeDocument/2006/relationships/hyperlink" Target="https://facebook.com/GozoAluminium/" TargetMode="External"/><Relationship Id="rId200" Type="http://schemas.openxmlformats.org/officeDocument/2006/relationships/hyperlink" Target="https://www.google.com/maps/search/?api=1&amp;query=Mdina%20Road%2C%20Zebbug" TargetMode="External"/><Relationship Id="rId382" Type="http://schemas.openxmlformats.org/officeDocument/2006/relationships/hyperlink" Target="https://jasonaluminium.com/" TargetMode="External"/><Relationship Id="rId438" Type="http://schemas.openxmlformats.org/officeDocument/2006/relationships/hyperlink" Target="https://aluminiumworks.in/" TargetMode="External"/><Relationship Id="rId242" Type="http://schemas.openxmlformats.org/officeDocument/2006/relationships/hyperlink" Target="https://www.google.com/maps/search/?api=1&amp;query=8%20Triq%20ll-Madonna%20Ta%27%20Pompej%2C%20B%27Kara" TargetMode="External"/><Relationship Id="rId284" Type="http://schemas.openxmlformats.org/officeDocument/2006/relationships/hyperlink" Target="https://www.google.com/maps/search/?api=1&amp;query=13%2C%20Triq%20Luretu%20Cutajar%2C%20Zebbug%2C%20Haz-Zebbug" TargetMode="External"/><Relationship Id="rId37" Type="http://schemas.openxmlformats.org/officeDocument/2006/relationships/hyperlink" Target="MAILTO:henry@bpapertures.com" TargetMode="External"/><Relationship Id="rId79" Type="http://schemas.openxmlformats.org/officeDocument/2006/relationships/hyperlink" Target="MAILTO:info@trendsltdmalta.com" TargetMode="External"/><Relationship Id="rId102" Type="http://schemas.openxmlformats.org/officeDocument/2006/relationships/hyperlink" Target="MAILTO:jsbaluminiumworks@gmail.com" TargetMode="External"/><Relationship Id="rId144" Type="http://schemas.openxmlformats.org/officeDocument/2006/relationships/hyperlink" Target="MAILTO:gmuscat@live.com" TargetMode="External"/><Relationship Id="rId90" Type="http://schemas.openxmlformats.org/officeDocument/2006/relationships/hyperlink" Target="MAILTO:info@sfdoorstyles.com.mt" TargetMode="External"/><Relationship Id="rId186" Type="http://schemas.openxmlformats.org/officeDocument/2006/relationships/hyperlink" Target="https://www.google.com/maps/search/?api=1&amp;query=Triq%20Pawlu%20Mifsud%2C%20Zebbug" TargetMode="External"/><Relationship Id="rId351" Type="http://schemas.openxmlformats.org/officeDocument/2006/relationships/hyperlink" Target="https://agoodchildinstallations.com/" TargetMode="External"/><Relationship Id="rId393" Type="http://schemas.openxmlformats.org/officeDocument/2006/relationships/hyperlink" Target="https://towergroupmalta.com/" TargetMode="External"/><Relationship Id="rId407" Type="http://schemas.openxmlformats.org/officeDocument/2006/relationships/hyperlink" Target="https://afdaaluminium.com/" TargetMode="External"/><Relationship Id="rId449" Type="http://schemas.openxmlformats.org/officeDocument/2006/relationships/hyperlink" Target="https://nigeldimech.com/" TargetMode="External"/><Relationship Id="rId211" Type="http://schemas.openxmlformats.org/officeDocument/2006/relationships/hyperlink" Target="https://www.google.com/maps/search/?api=1&amp;query=Five%20Star%20Business%20Park%20Triq%20il-Belt%20Valetta%2C%20Ghaxaq" TargetMode="External"/><Relationship Id="rId253" Type="http://schemas.openxmlformats.org/officeDocument/2006/relationships/hyperlink" Target="https://www.google.com/maps/search/?api=1&amp;query=SUB%20030A%20Qasam%20Industrijali%2C%20San%20Gwann" TargetMode="External"/><Relationship Id="rId295" Type="http://schemas.openxmlformats.org/officeDocument/2006/relationships/hyperlink" Target="https://www.google.com/maps/search/?api=1&amp;query=52%20Triq%20il-Muzika%2C%20Iklin" TargetMode="External"/><Relationship Id="rId309" Type="http://schemas.openxmlformats.org/officeDocument/2006/relationships/hyperlink" Target="https://www.google.com/maps/search/?api=1&amp;query=110%2C%20Triq%20Dun%20Bartilmew%20Attard%2C%20Zebbug" TargetMode="External"/><Relationship Id="rId460" Type="http://schemas.openxmlformats.org/officeDocument/2006/relationships/hyperlink" Target="https://facebook.com/bespokelocalfurniture" TargetMode="External"/><Relationship Id="rId48" Type="http://schemas.openxmlformats.org/officeDocument/2006/relationships/hyperlink" Target="MAILTO:dxaluworks@gmail.com" TargetMode="External"/><Relationship Id="rId113" Type="http://schemas.openxmlformats.org/officeDocument/2006/relationships/hyperlink" Target="MAILTO:info@aluwoodmalta.com" TargetMode="External"/><Relationship Id="rId320" Type="http://schemas.openxmlformats.org/officeDocument/2006/relationships/hyperlink" Target="https://www.google.com/maps/search/?api=1&amp;query=Triq%20I-Imdina%2C%20Zebbug" TargetMode="External"/><Relationship Id="rId155" Type="http://schemas.openxmlformats.org/officeDocument/2006/relationships/hyperlink" Target="MAILTO:t.camillerialuminium@hotmail.com" TargetMode="External"/><Relationship Id="rId197" Type="http://schemas.openxmlformats.org/officeDocument/2006/relationships/hyperlink" Target="https://www.google.com/maps/search/?api=1&amp;query=Garage%207%2C%20Drive%20In%20Triq%20Lydda%2C%20Qormi" TargetMode="External"/><Relationship Id="rId362" Type="http://schemas.openxmlformats.org/officeDocument/2006/relationships/hyperlink" Target="https://facebook.com/people/CDS-Aluminium-work/100064086582054/" TargetMode="External"/><Relationship Id="rId418" Type="http://schemas.openxmlformats.org/officeDocument/2006/relationships/hyperlink" Target="https://adoremore.com.mt/" TargetMode="External"/><Relationship Id="rId222" Type="http://schemas.openxmlformats.org/officeDocument/2006/relationships/hyperlink" Target="https://www.google.com/maps/search/?api=1&amp;query=Triq%20I-Imdina%2C%20Zebbug" TargetMode="External"/><Relationship Id="rId264" Type="http://schemas.openxmlformats.org/officeDocument/2006/relationships/hyperlink" Target="https://www.google.com/maps/search/?api=1&amp;query=Emmarie%20Triq%20id-Dahla%20Ta%27%20San%20Tumas%2C%20M%27Skala" TargetMode="External"/><Relationship Id="rId17" Type="http://schemas.openxmlformats.org/officeDocument/2006/relationships/hyperlink" Target="MAILTO:chayron186@gmail.com" TargetMode="External"/><Relationship Id="rId59" Type="http://schemas.openxmlformats.org/officeDocument/2006/relationships/hyperlink" Target="MAILTO:info@jcdaluminium.com" TargetMode="External"/><Relationship Id="rId124" Type="http://schemas.openxmlformats.org/officeDocument/2006/relationships/hyperlink" Target="MAILTO:daniobarbara1977@gmail.com" TargetMode="External"/><Relationship Id="rId70" Type="http://schemas.openxmlformats.org/officeDocument/2006/relationships/hyperlink" Target="MAILTO:rcalworks@gmail.com" TargetMode="External"/><Relationship Id="rId166" Type="http://schemas.openxmlformats.org/officeDocument/2006/relationships/hyperlink" Target="https://www.google.com/maps/search/?api=1&amp;query=Triq%20il-Mosta%2C%20Lija" TargetMode="External"/><Relationship Id="rId331" Type="http://schemas.openxmlformats.org/officeDocument/2006/relationships/hyperlink" Target="https://www.google.com/maps/search/?api=1&amp;query=Sqaq%20Privat%20Triq%20tal-Ghajn%2C%20Fontana-Gozo" TargetMode="External"/><Relationship Id="rId373" Type="http://schemas.openxmlformats.org/officeDocument/2006/relationships/hyperlink" Target="https://aluminiumworks.in/" TargetMode="External"/><Relationship Id="rId429" Type="http://schemas.openxmlformats.org/officeDocument/2006/relationships/hyperlink" Target="https://cagroup.com.mt/" TargetMode="External"/><Relationship Id="rId1" Type="http://schemas.openxmlformats.org/officeDocument/2006/relationships/hyperlink" Target="MAILTO:stakterinacons@outlook.com" TargetMode="External"/><Relationship Id="rId233" Type="http://schemas.openxmlformats.org/officeDocument/2006/relationships/hyperlink" Target="https://www.google.com/maps/search/?api=1&amp;query=Triq%20il-Palazz%20L-Ahmar%2C%20Sta%20Venera" TargetMode="External"/><Relationship Id="rId440" Type="http://schemas.openxmlformats.org/officeDocument/2006/relationships/hyperlink" Target="https://grahamaluminium.com/" TargetMode="External"/><Relationship Id="rId28" Type="http://schemas.openxmlformats.org/officeDocument/2006/relationships/hyperlink" Target="MAILTO:alfalu@melita.com" TargetMode="External"/><Relationship Id="rId275" Type="http://schemas.openxmlformats.org/officeDocument/2006/relationships/hyperlink" Target="https://www.google.com/maps/search/?api=1&amp;query=BLB%20010C%20Qasam%20Industrijali%2C%20Bulebel%2C%20Zejtun" TargetMode="External"/><Relationship Id="rId300" Type="http://schemas.openxmlformats.org/officeDocument/2006/relationships/hyperlink" Target="https://www.google.com/maps/search/?api=1&amp;query=263%20Triq%20il-Merhba%2C%20Fgura" TargetMode="External"/><Relationship Id="rId81" Type="http://schemas.openxmlformats.org/officeDocument/2006/relationships/hyperlink" Target="MAILTO:luke@woodware.com.mt" TargetMode="External"/><Relationship Id="rId135" Type="http://schemas.openxmlformats.org/officeDocument/2006/relationships/hyperlink" Target="MAILTO:info@grahamaluminium.com" TargetMode="External"/><Relationship Id="rId177" Type="http://schemas.openxmlformats.org/officeDocument/2006/relationships/hyperlink" Target="https://www.google.com/maps/search/?api=1&amp;query=GGX%200021%20Qasam%20Industrijali%2C%20Xewkija-Gozo" TargetMode="External"/><Relationship Id="rId342" Type="http://schemas.openxmlformats.org/officeDocument/2006/relationships/hyperlink" Target="https://brandimports.com.mt/" TargetMode="External"/><Relationship Id="rId384" Type="http://schemas.openxmlformats.org/officeDocument/2006/relationships/hyperlink" Target="https://facebook.com/p/Munita-Aluminium-100063476861515/" TargetMode="External"/><Relationship Id="rId202" Type="http://schemas.openxmlformats.org/officeDocument/2006/relationships/hyperlink" Target="https://www.google.com/maps/search/?api=1&amp;query=52%2C%20Triq%20Pinto%2C%20Qormi" TargetMode="External"/><Relationship Id="rId244" Type="http://schemas.openxmlformats.org/officeDocument/2006/relationships/hyperlink" Target="https://www.google.com/maps/search/?api=1&amp;query=KK%20011%20Qasam%20Industrijali%2C%20Kordin%2C%20Paola" TargetMode="External"/><Relationship Id="rId39" Type="http://schemas.openxmlformats.org/officeDocument/2006/relationships/hyperlink" Target="MAILTO:info@cagroup.com.mt" TargetMode="External"/><Relationship Id="rId286" Type="http://schemas.openxmlformats.org/officeDocument/2006/relationships/hyperlink" Target="https://www.google.com/maps/search/?api=1&amp;query=Garage%20No%202%20Triq%20tas-Sejba%2C%20Mqabba" TargetMode="External"/><Relationship Id="rId451" Type="http://schemas.openxmlformats.org/officeDocument/2006/relationships/hyperlink" Target="https://facebook.com/people/Rapa-Aluminium-Victoria-Gozo/100063473081953/?utm_source=Yellow&amp;utm_medium=Yellow-Website&amp;utm_campaign=Landing-Page" TargetMode="External"/><Relationship Id="rId50" Type="http://schemas.openxmlformats.org/officeDocument/2006/relationships/hyperlink" Target="MAILTO:simdebwebb@hotmail.com" TargetMode="External"/><Relationship Id="rId104" Type="http://schemas.openxmlformats.org/officeDocument/2006/relationships/hyperlink" Target="MAILTO:mario.camilleri9@gmail.com" TargetMode="External"/><Relationship Id="rId146" Type="http://schemas.openxmlformats.org/officeDocument/2006/relationships/hyperlink" Target="MAILTO:info@nigeldimech.com" TargetMode="External"/><Relationship Id="rId188" Type="http://schemas.openxmlformats.org/officeDocument/2006/relationships/hyperlink" Target="https://www.google.com/maps/search/?api=1&amp;query=18%20Triq%20Salvinu%20Spiteri%2C%20Sta%20Venera" TargetMode="External"/><Relationship Id="rId311" Type="http://schemas.openxmlformats.org/officeDocument/2006/relationships/hyperlink" Target="https://www.google.com/maps/search/?api=1&amp;query=82%20Triq%20il-Hareb%2C%20Ghaxaq" TargetMode="External"/><Relationship Id="rId353" Type="http://schemas.openxmlformats.org/officeDocument/2006/relationships/hyperlink" Target="https://adoremore.com.mt/" TargetMode="External"/><Relationship Id="rId395" Type="http://schemas.openxmlformats.org/officeDocument/2006/relationships/hyperlink" Target="https://facebook.com/windmillltd/" TargetMode="External"/><Relationship Id="rId409" Type="http://schemas.openxmlformats.org/officeDocument/2006/relationships/hyperlink" Target="https://j3aluminiumworks.com/" TargetMode="External"/><Relationship Id="rId92" Type="http://schemas.openxmlformats.org/officeDocument/2006/relationships/hyperlink" Target="MAILTO:info@afdaaluminium.com" TargetMode="External"/><Relationship Id="rId213" Type="http://schemas.openxmlformats.org/officeDocument/2006/relationships/hyperlink" Target="https://www.google.com/maps/search/?api=1&amp;query=Oliand%20Triq%20Anthony%20John%20Coleiro%20Tal-Handaq%2C%20Qormi" TargetMode="External"/><Relationship Id="rId420" Type="http://schemas.openxmlformats.org/officeDocument/2006/relationships/hyperlink" Target="https://facebook.com/alukeyaluminium" TargetMode="External"/><Relationship Id="rId255" Type="http://schemas.openxmlformats.org/officeDocument/2006/relationships/hyperlink" Target="https://www.google.com/maps/search/?api=1&amp;query=Factory%20GZB%202%20Qasam%20Industrijali%2C%20Xewkija-Gozo" TargetMode="External"/><Relationship Id="rId297" Type="http://schemas.openxmlformats.org/officeDocument/2006/relationships/hyperlink" Target="https://www.google.com/maps/search/?api=1&amp;query=Express%20Bldg%20Triq%20Gharram%2C%20Zebbug" TargetMode="External"/></Relationships>
</file>

<file path=xl/worksheets/_rels/sheet61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acaluminium.com" TargetMode="External"/><Relationship Id="rId21" Type="http://schemas.openxmlformats.org/officeDocument/2006/relationships/hyperlink" Target="MAILTO:northalu@gmail.com" TargetMode="External"/><Relationship Id="rId42" Type="http://schemas.openxmlformats.org/officeDocument/2006/relationships/hyperlink" Target="MAILTO:cba@cba.com.mt" TargetMode="External"/><Relationship Id="rId47" Type="http://schemas.openxmlformats.org/officeDocument/2006/relationships/hyperlink" Target="MAILTO:dxaluworks@gmail.com" TargetMode="External"/><Relationship Id="rId63" Type="http://schemas.openxmlformats.org/officeDocument/2006/relationships/hyperlink" Target="MAILTO:gmuscat@live.com" TargetMode="External"/><Relationship Id="rId68" Type="http://schemas.openxmlformats.org/officeDocument/2006/relationships/hyperlink" Target="MAILTO:rcalworks@gmail.com" TargetMode="External"/><Relationship Id="rId84" Type="http://schemas.openxmlformats.org/officeDocument/2006/relationships/hyperlink" Target="https://facebook.com/alultd/" TargetMode="External"/><Relationship Id="rId16" Type="http://schemas.openxmlformats.org/officeDocument/2006/relationships/hyperlink" Target="MAILTO:j3aluminium@gmail.com" TargetMode="External"/><Relationship Id="rId11" Type="http://schemas.openxmlformats.org/officeDocument/2006/relationships/hyperlink" Target="MAILTO:info@amabilegalea.com" TargetMode="External"/><Relationship Id="rId32" Type="http://schemas.openxmlformats.org/officeDocument/2006/relationships/hyperlink" Target="MAILTO:andrewvella66@gmail.com" TargetMode="External"/><Relationship Id="rId37" Type="http://schemas.openxmlformats.org/officeDocument/2006/relationships/hyperlink" Target="MAILTO:carmelspiteri2010@gmail.com" TargetMode="External"/><Relationship Id="rId53" Type="http://schemas.openxmlformats.org/officeDocument/2006/relationships/hyperlink" Target="MAILTO:info@grahamaluminium.com" TargetMode="External"/><Relationship Id="rId58" Type="http://schemas.openxmlformats.org/officeDocument/2006/relationships/hyperlink" Target="MAILTO:jk.aluminium@yahoo.com" TargetMode="External"/><Relationship Id="rId74" Type="http://schemas.openxmlformats.org/officeDocument/2006/relationships/hyperlink" Target="MAILTO:sunaluminium@hotmail.com" TargetMode="External"/><Relationship Id="rId79" Type="http://schemas.openxmlformats.org/officeDocument/2006/relationships/hyperlink" Target="MAILTO:aluminiumbypaul@gmail.com" TargetMode="External"/><Relationship Id="rId5" Type="http://schemas.openxmlformats.org/officeDocument/2006/relationships/hyperlink" Target="MAILTO:info@grahamaluminium.com" TargetMode="External"/><Relationship Id="rId19" Type="http://schemas.openxmlformats.org/officeDocument/2006/relationships/hyperlink" Target="MAILTO:chayron186@gmail.com" TargetMode="External"/><Relationship Id="rId14" Type="http://schemas.openxmlformats.org/officeDocument/2006/relationships/hyperlink" Target="MAILTO:parus984@gmail.com" TargetMode="External"/><Relationship Id="rId22" Type="http://schemas.openxmlformats.org/officeDocument/2006/relationships/hyperlink" Target="MAILTO:agood.installations@yahoo.com" TargetMode="External"/><Relationship Id="rId27" Type="http://schemas.openxmlformats.org/officeDocument/2006/relationships/hyperlink" Target="MAILTO:lexport@go.com.mt" TargetMode="External"/><Relationship Id="rId30" Type="http://schemas.openxmlformats.org/officeDocument/2006/relationships/hyperlink" Target="MAILTO:info@alukey.com.mt" TargetMode="External"/><Relationship Id="rId35" Type="http://schemas.openxmlformats.org/officeDocument/2006/relationships/hyperlink" Target="MAILTO:borgaluminiummalta@gmail.com" TargetMode="External"/><Relationship Id="rId43" Type="http://schemas.openxmlformats.org/officeDocument/2006/relationships/hyperlink" Target="MAILTO:daniobarbara1977@gmail.com" TargetMode="External"/><Relationship Id="rId48" Type="http://schemas.openxmlformats.org/officeDocument/2006/relationships/hyperlink" Target="MAILTO:info@expressaluminium.com" TargetMode="External"/><Relationship Id="rId56" Type="http://schemas.openxmlformats.org/officeDocument/2006/relationships/hyperlink" Target="MAILTO:johnjandb@gmail.com" TargetMode="External"/><Relationship Id="rId64" Type="http://schemas.openxmlformats.org/officeDocument/2006/relationships/hyperlink" Target="MAILTO:nicdimech@gmail.com" TargetMode="External"/><Relationship Id="rId69" Type="http://schemas.openxmlformats.org/officeDocument/2006/relationships/hyperlink" Target="MAILTO:rapa.aluminium@gmail.com" TargetMode="External"/><Relationship Id="rId77" Type="http://schemas.openxmlformats.org/officeDocument/2006/relationships/hyperlink" Target="MAILTO:zammitalu@gmail.com" TargetMode="External"/><Relationship Id="rId8" Type="http://schemas.openxmlformats.org/officeDocument/2006/relationships/hyperlink" Target="MAILTO:info@framegrip.com" TargetMode="External"/><Relationship Id="rId51" Type="http://schemas.openxmlformats.org/officeDocument/2006/relationships/hyperlink" Target="MAILTO:azzopardimark8@gmail.com" TargetMode="External"/><Relationship Id="rId72" Type="http://schemas.openxmlformats.org/officeDocument/2006/relationships/hyperlink" Target="MAILTO:info@servgroupmalta.com" TargetMode="External"/><Relationship Id="rId80" Type="http://schemas.openxmlformats.org/officeDocument/2006/relationships/hyperlink" Target="MAILTO:dt.aluminium@outlook.com" TargetMode="External"/><Relationship Id="rId85" Type="http://schemas.openxmlformats.org/officeDocument/2006/relationships/hyperlink" Target="https://checkyourtraders.com/listing/azzopardi-aluminium-metalworks?utm_source=chatgpt.com" TargetMode="External"/><Relationship Id="rId3" Type="http://schemas.openxmlformats.org/officeDocument/2006/relationships/hyperlink" Target="MAILTO:info@aluminiumltd.com" TargetMode="External"/><Relationship Id="rId12" Type="http://schemas.openxmlformats.org/officeDocument/2006/relationships/hyperlink" Target="MAILTO:info@gozoaluminium.com" TargetMode="External"/><Relationship Id="rId17" Type="http://schemas.openxmlformats.org/officeDocument/2006/relationships/hyperlink" Target="MAILTO:nu-aluminium@outlook.com" TargetMode="External"/><Relationship Id="rId25" Type="http://schemas.openxmlformats.org/officeDocument/2006/relationships/hyperlink" Target="MAILTO:mario.camilleri9@gmail.com" TargetMode="External"/><Relationship Id="rId33" Type="http://schemas.openxmlformats.org/officeDocument/2006/relationships/hyperlink" Target="MAILTO:info@aluminiumltd.com" TargetMode="External"/><Relationship Id="rId38" Type="http://schemas.openxmlformats.org/officeDocument/2006/relationships/hyperlink" Target="MAILTO:info@cagroup.com.mt" TargetMode="External"/><Relationship Id="rId46" Type="http://schemas.openxmlformats.org/officeDocument/2006/relationships/hyperlink" Target="MAILTO:sales@pvcmalta.com" TargetMode="External"/><Relationship Id="rId59" Type="http://schemas.openxmlformats.org/officeDocument/2006/relationships/hyperlink" Target="MAILTO:admin@jamarmalta.com" TargetMode="External"/><Relationship Id="rId67" Type="http://schemas.openxmlformats.org/officeDocument/2006/relationships/hyperlink" Target="MAILTO:qormialum@gmail.com" TargetMode="External"/><Relationship Id="rId20" Type="http://schemas.openxmlformats.org/officeDocument/2006/relationships/hyperlink" Target="MAILTO:josefvella72@gmail.com" TargetMode="External"/><Relationship Id="rId41" Type="http://schemas.openxmlformats.org/officeDocument/2006/relationships/hyperlink" Target="MAILTO:info@comforabita.com" TargetMode="External"/><Relationship Id="rId54" Type="http://schemas.openxmlformats.org/officeDocument/2006/relationships/hyperlink" Target="MAILTO:guysmalta@gmail.com" TargetMode="External"/><Relationship Id="rId62" Type="http://schemas.openxmlformats.org/officeDocument/2006/relationships/hyperlink" Target="MAILTO:bjorn.vassallo@gmail.com" TargetMode="External"/><Relationship Id="rId70" Type="http://schemas.openxmlformats.org/officeDocument/2006/relationships/hyperlink" Target="MAILTO:raymondfarrugia74@gmail.com" TargetMode="External"/><Relationship Id="rId75" Type="http://schemas.openxmlformats.org/officeDocument/2006/relationships/hyperlink" Target="MAILTO:t.camillerialuminium@hotmail.com" TargetMode="External"/><Relationship Id="rId83" Type="http://schemas.openxmlformats.org/officeDocument/2006/relationships/hyperlink" Target="https://triedandtested.mt/listing/philip-said-aluminium-works" TargetMode="External"/><Relationship Id="rId1" Type="http://schemas.openxmlformats.org/officeDocument/2006/relationships/hyperlink" Target="MAILTO:charliecalleja@hotmail.com" TargetMode="External"/><Relationship Id="rId6" Type="http://schemas.openxmlformats.org/officeDocument/2006/relationships/hyperlink" Target="MAILTO:sales@ampmalta.com" TargetMode="External"/><Relationship Id="rId15" Type="http://schemas.openxmlformats.org/officeDocument/2006/relationships/hyperlink" Target="MAILTO:info@afdaaluminium.com" TargetMode="External"/><Relationship Id="rId23" Type="http://schemas.openxmlformats.org/officeDocument/2006/relationships/hyperlink" Target="MAILTO:gsf-1200@hotmail.com" TargetMode="External"/><Relationship Id="rId28" Type="http://schemas.openxmlformats.org/officeDocument/2006/relationships/hyperlink" Target="MAILTO:alfalu@melita.com" TargetMode="External"/><Relationship Id="rId36" Type="http://schemas.openxmlformats.org/officeDocument/2006/relationships/hyperlink" Target="MAILTO:henry@bpapertures.com" TargetMode="External"/><Relationship Id="rId49" Type="http://schemas.openxmlformats.org/officeDocument/2006/relationships/hyperlink" Target="MAILTO:simdebwebb@hotmail.com" TargetMode="External"/><Relationship Id="rId57" Type="http://schemas.openxmlformats.org/officeDocument/2006/relationships/hyperlink" Target="MAILTO:info@jcdaluminium.com" TargetMode="External"/><Relationship Id="rId10" Type="http://schemas.openxmlformats.org/officeDocument/2006/relationships/hyperlink" Target="MAILTO:sales@newstylesmalta.com" TargetMode="External"/><Relationship Id="rId31" Type="http://schemas.openxmlformats.org/officeDocument/2006/relationships/hyperlink" Target="MAILTO:info@aluminiumltd.com" TargetMode="External"/><Relationship Id="rId44" Type="http://schemas.openxmlformats.org/officeDocument/2006/relationships/hyperlink" Target="MAILTO:savdim65@gmail.com" TargetMode="External"/><Relationship Id="rId52" Type="http://schemas.openxmlformats.org/officeDocument/2006/relationships/hyperlink" Target="MAILTO:info@alugiorgio.com" TargetMode="External"/><Relationship Id="rId60" Type="http://schemas.openxmlformats.org/officeDocument/2006/relationships/hyperlink" Target="MAILTO:info@jasonaluminium.com" TargetMode="External"/><Relationship Id="rId65" Type="http://schemas.openxmlformats.org/officeDocument/2006/relationships/hyperlink" Target="MAILTO:Info@perfectum.mt" TargetMode="External"/><Relationship Id="rId73" Type="http://schemas.openxmlformats.org/officeDocument/2006/relationships/hyperlink" Target="MAILTO:info@sptechniques.com" TargetMode="External"/><Relationship Id="rId78" Type="http://schemas.openxmlformats.org/officeDocument/2006/relationships/hyperlink" Target="MAILTO:tonnalum@yahoo.com" TargetMode="External"/><Relationship Id="rId81" Type="http://schemas.openxmlformats.org/officeDocument/2006/relationships/hyperlink" Target="MAILTO:amatohomeimprovements@gmail.com" TargetMode="External"/><Relationship Id="rId4" Type="http://schemas.openxmlformats.org/officeDocument/2006/relationships/hyperlink" Target="MAILTO:azzopardialumworks@gmail.com" TargetMode="External"/><Relationship Id="rId9" Type="http://schemas.openxmlformats.org/officeDocument/2006/relationships/hyperlink" Target="MAILTO:sales@jlautier.com" TargetMode="External"/><Relationship Id="rId13" Type="http://schemas.openxmlformats.org/officeDocument/2006/relationships/hyperlink" Target="MAILTO:info@a1finishesltd.com" TargetMode="External"/><Relationship Id="rId18" Type="http://schemas.openxmlformats.org/officeDocument/2006/relationships/hyperlink" Target="MAILTO:info@nicholas.mt" TargetMode="External"/><Relationship Id="rId39" Type="http://schemas.openxmlformats.org/officeDocument/2006/relationships/hyperlink" Target="MAILTO:mrgmv@onvol.net" TargetMode="External"/><Relationship Id="rId34" Type="http://schemas.openxmlformats.org/officeDocument/2006/relationships/hyperlink" Target="MAILTO:info@basonaluminium.com" TargetMode="External"/><Relationship Id="rId50" Type="http://schemas.openxmlformats.org/officeDocument/2006/relationships/hyperlink" Target="MAILTO:faworks123@gmail.com" TargetMode="External"/><Relationship Id="rId55" Type="http://schemas.openxmlformats.org/officeDocument/2006/relationships/hyperlink" Target="MAILTO:horvinltd@gmail.com" TargetMode="External"/><Relationship Id="rId76" Type="http://schemas.openxmlformats.org/officeDocument/2006/relationships/hyperlink" Target="MAILTO:info@towergroupmalta.com" TargetMode="External"/><Relationship Id="rId7" Type="http://schemas.openxmlformats.org/officeDocument/2006/relationships/hyperlink" Target="MAILTO:structures@portofino.mt" TargetMode="External"/><Relationship Id="rId71" Type="http://schemas.openxmlformats.org/officeDocument/2006/relationships/hyperlink" Target="MAILTO:refinedaluworks@gmail.com" TargetMode="External"/><Relationship Id="rId2" Type="http://schemas.openxmlformats.org/officeDocument/2006/relationships/hyperlink" Target="MAILTO:pmll.said@gmail.com" TargetMode="External"/><Relationship Id="rId29" Type="http://schemas.openxmlformats.org/officeDocument/2006/relationships/hyperlink" Target="MAILTO:xandrumallia@gmail.com" TargetMode="External"/><Relationship Id="rId24" Type="http://schemas.openxmlformats.org/officeDocument/2006/relationships/hyperlink" Target="MAILTO:jsbaluminiumworks@gmail.com" TargetMode="External"/><Relationship Id="rId40" Type="http://schemas.openxmlformats.org/officeDocument/2006/relationships/hyperlink" Target="MAILTO:chocoaluminium@gmail.com" TargetMode="External"/><Relationship Id="rId45" Type="http://schemas.openxmlformats.org/officeDocument/2006/relationships/hyperlink" Target="MAILTO:info@dinglialuminium.com" TargetMode="External"/><Relationship Id="rId66" Type="http://schemas.openxmlformats.org/officeDocument/2006/relationships/hyperlink" Target="MAILTO:matteo.pisani40@gmail.com" TargetMode="External"/><Relationship Id="rId61" Type="http://schemas.openxmlformats.org/officeDocument/2006/relationships/hyperlink" Target="MAILTO:kkalworks@gmail.com" TargetMode="External"/><Relationship Id="rId82" Type="http://schemas.openxmlformats.org/officeDocument/2006/relationships/hyperlink" Target="https://yellow.com.mt/i-c-s-aluminium_aluminium-apertures-fixtures%2Bqormi/?utm_source=chatgpt.com" TargetMode="External"/></Relationships>
</file>

<file path=xl/worksheets/_rels/sheet62.xml.rels><?xml version="1.0" encoding="UTF-8" standalone="yes"?>
<Relationships xmlns="http://schemas.openxmlformats.org/package/2006/relationships"><Relationship Id="rId8" Type="http://schemas.openxmlformats.org/officeDocument/2006/relationships/hyperlink" Target="https://valormalta.wixsite.com/valor" TargetMode="External"/><Relationship Id="rId3" Type="http://schemas.openxmlformats.org/officeDocument/2006/relationships/hyperlink" Target="MAILTO:info@nigeldimech.com" TargetMode="External"/><Relationship Id="rId7" Type="http://schemas.openxmlformats.org/officeDocument/2006/relationships/hyperlink" Target="https://facebook.com/perfectummt/" TargetMode="External"/><Relationship Id="rId2" Type="http://schemas.openxmlformats.org/officeDocument/2006/relationships/hyperlink" Target="MAILTO:valormalta@gmail.com" TargetMode="External"/><Relationship Id="rId1" Type="http://schemas.openxmlformats.org/officeDocument/2006/relationships/hyperlink" Target="MAILTO:Info@perfectum.mt" TargetMode="External"/><Relationship Id="rId6" Type="http://schemas.openxmlformats.org/officeDocument/2006/relationships/hyperlink" Target="https://www.google.com/maps/search/?api=1&amp;query=KKW%20721%2C%20Corradino%20%0AIndustrial%20Estate%0APaola%2C%20PLA%203000%2C%20Malta" TargetMode="External"/><Relationship Id="rId5" Type="http://schemas.openxmlformats.org/officeDocument/2006/relationships/hyperlink" Target="https://www.google.com/maps/search/?api=1&amp;query=Triq%20l-isturnell%20Roza%2C%20Hal%20Luqa%2C%20Malta" TargetMode="External"/><Relationship Id="rId4" Type="http://schemas.openxmlformats.org/officeDocument/2006/relationships/hyperlink" Target="https://www.google.com/maps/search/?api=1&amp;query=Valletta%2C%20Malta" TargetMode="External"/><Relationship Id="rId9" Type="http://schemas.openxmlformats.org/officeDocument/2006/relationships/hyperlink" Target="https://nigeldimech.com/" TargetMode="External"/></Relationships>
</file>

<file path=xl/worksheets/_rels/sheet63.xml.rels><?xml version="1.0" encoding="UTF-8" standalone="yes"?>
<Relationships xmlns="http://schemas.openxmlformats.org/package/2006/relationships"><Relationship Id="rId26" Type="http://schemas.openxmlformats.org/officeDocument/2006/relationships/hyperlink" Target="MAILTO:cieffejoinery@fsh.com.mt" TargetMode="External"/><Relationship Id="rId21" Type="http://schemas.openxmlformats.org/officeDocument/2006/relationships/hyperlink" Target="MAILTO:joelgattcarpentry@gmail.com" TargetMode="External"/><Relationship Id="rId42" Type="http://schemas.openxmlformats.org/officeDocument/2006/relationships/hyperlink" Target="https://www.google.com/maps/search/?api=1&amp;query=Factory%20A5a%2C%20Qasam%20Industrijali%2C%20Il-Marsa%2C%20Malta" TargetMode="External"/><Relationship Id="rId47" Type="http://schemas.openxmlformats.org/officeDocument/2006/relationships/hyperlink" Target="https://www.google.com/maps/search/?api=1&amp;query=%C4%A6al%20G%C4%A7axaq%2C%20Malta" TargetMode="External"/><Relationship Id="rId63" Type="http://schemas.openxmlformats.org/officeDocument/2006/relationships/hyperlink" Target="https://classicdesign.mt/" TargetMode="External"/><Relationship Id="rId68" Type="http://schemas.openxmlformats.org/officeDocument/2006/relationships/hyperlink" Target="https://ddoorcompany.com/" TargetMode="External"/><Relationship Id="rId2" Type="http://schemas.openxmlformats.org/officeDocument/2006/relationships/hyperlink" Target="MAILTO:info@grimafurniture.com" TargetMode="External"/><Relationship Id="rId16" Type="http://schemas.openxmlformats.org/officeDocument/2006/relationships/hyperlink" Target="MAILTO:info@deliaww.net" TargetMode="External"/><Relationship Id="rId29" Type="http://schemas.openxmlformats.org/officeDocument/2006/relationships/hyperlink" Target="https://www.google.com/maps/search/?api=1&amp;query=8%20Garra%2C%20Is-Swieqi" TargetMode="External"/><Relationship Id="rId11" Type="http://schemas.openxmlformats.org/officeDocument/2006/relationships/hyperlink" Target="MAILTO:gilbertmicallef1@gmail.com" TargetMode="External"/><Relationship Id="rId24" Type="http://schemas.openxmlformats.org/officeDocument/2006/relationships/hyperlink" Target="MAILTO:Projectdarmalta@gmail.com" TargetMode="External"/><Relationship Id="rId32" Type="http://schemas.openxmlformats.org/officeDocument/2006/relationships/hyperlink" Target="https://www.google.com/maps/search/?api=1&amp;query=George%20Cassar%20Woodworks%0APlot%20TQL027%2C%20Crafts%20Village%2C%0ATa%E2%80%99%20Qali%2C" TargetMode="External"/><Relationship Id="rId37" Type="http://schemas.openxmlformats.org/officeDocument/2006/relationships/hyperlink" Target="https://www.google.com/maps/search/?api=1&amp;query=Pearl%20Court%2C%20Flat%201%2C%20Vjal%20Il-Helsien%2C%20Haz-Zebbug%2C%20Malta" TargetMode="External"/><Relationship Id="rId40" Type="http://schemas.openxmlformats.org/officeDocument/2006/relationships/hyperlink" Target="https://www.google.com/maps/search/?api=1&amp;query=Triq%20Mastru%20Karmenu%20Mallia%2C%20Hal%20Qormi%2C%20Malta" TargetMode="External"/><Relationship Id="rId45" Type="http://schemas.openxmlformats.org/officeDocument/2006/relationships/hyperlink" Target="https://www.google.com/maps/search/?api=1&amp;query=Baldacchino%20Builldings%2C%20Valletta%20road%2C%20Iz-Zurrieq%2C%20Malta" TargetMode="External"/><Relationship Id="rId53" Type="http://schemas.openxmlformats.org/officeDocument/2006/relationships/hyperlink" Target="https://grimafurniture.com/" TargetMode="External"/><Relationship Id="rId58" Type="http://schemas.openxmlformats.org/officeDocument/2006/relationships/hyperlink" Target="https://stanthonyww.com/" TargetMode="External"/><Relationship Id="rId66" Type="http://schemas.openxmlformats.org/officeDocument/2006/relationships/hyperlink" Target="https://findit.com.mt/en/directory/listings/3681/gauci-woodworks.htm" TargetMode="External"/><Relationship Id="rId74" Type="http://schemas.openxmlformats.org/officeDocument/2006/relationships/hyperlink" Target="https://facebook.com/profile.php?id=61577138676789" TargetMode="External"/><Relationship Id="rId5" Type="http://schemas.openxmlformats.org/officeDocument/2006/relationships/hyperlink" Target="MAILTO:sales@pvcmalta.com" TargetMode="External"/><Relationship Id="rId61" Type="http://schemas.openxmlformats.org/officeDocument/2006/relationships/hyperlink" Target="https://masterwoodmalta.net/" TargetMode="External"/><Relationship Id="rId19" Type="http://schemas.openxmlformats.org/officeDocument/2006/relationships/hyperlink" Target="MAILTO:info@baldacchinogroup.com" TargetMode="External"/><Relationship Id="rId14" Type="http://schemas.openxmlformats.org/officeDocument/2006/relationships/hyperlink" Target="MAILTO:joseph.briffa.woodworks@hotmail.com" TargetMode="External"/><Relationship Id="rId22" Type="http://schemas.openxmlformats.org/officeDocument/2006/relationships/hyperlink" Target="MAILTO:mastercarpentermalta@outlook.com" TargetMode="External"/><Relationship Id="rId27" Type="http://schemas.openxmlformats.org/officeDocument/2006/relationships/hyperlink" Target="https://www.google.com/maps/search/?api=1&amp;query=Joseph%20Mifsud%20Woodworks%20Ltd%2048%2C%20Triq%20Dun%20Luret%20Callus%20Zebbug%20ZBG%202495%20Malta" TargetMode="External"/><Relationship Id="rId30" Type="http://schemas.openxmlformats.org/officeDocument/2006/relationships/hyperlink" Target="https://www.google.com/maps/search/?api=1&amp;query=Adore%20More%0ATriq%20Id-Difiza%20Civili.%0AMosta%2C%20MST%201743%0AMalta" TargetMode="External"/><Relationship Id="rId35" Type="http://schemas.openxmlformats.org/officeDocument/2006/relationships/hyperlink" Target="https://www.google.com/maps/search/?api=1&amp;query=Pisani%20Woodworks%20Co.%20Ltd.%0AGGX%20002B%2C%0AIndustrial%20Estate%2C%0AXewkija%20XWK3000%2C%0AGozo" TargetMode="External"/><Relationship Id="rId43" Type="http://schemas.openxmlformats.org/officeDocument/2006/relationships/hyperlink" Target="https://www.google.com/maps/search/?api=1&amp;query=128%20Old%20Railway%20Track%2C%20Santa%20Venera" TargetMode="External"/><Relationship Id="rId48" Type="http://schemas.openxmlformats.org/officeDocument/2006/relationships/hyperlink" Target="https://www.google.com/maps/search/?api=1&amp;query=KKW011%2C%20Corradino%20Industrial%20Estate%2C%20Paola%2C%20PLA%203000%2C%20Malta" TargetMode="External"/><Relationship Id="rId56" Type="http://schemas.openxmlformats.org/officeDocument/2006/relationships/hyperlink" Target="https://pvcmalta.com/en/home.htm" TargetMode="External"/><Relationship Id="rId64" Type="http://schemas.openxmlformats.org/officeDocument/2006/relationships/hyperlink" Target="https://findit.com.mt/en/directory/listings/5261/kubek-furniture-works.htm" TargetMode="External"/><Relationship Id="rId69" Type="http://schemas.openxmlformats.org/officeDocument/2006/relationships/hyperlink" Target="https://conforthouse.mt/" TargetMode="External"/><Relationship Id="rId8" Type="http://schemas.openxmlformats.org/officeDocument/2006/relationships/hyperlink" Target="MAILTO:candmww@gmail.com" TargetMode="External"/><Relationship Id="rId51" Type="http://schemas.openxmlformats.org/officeDocument/2006/relationships/hyperlink" Target="https://www.google.com/maps/search/?api=1&amp;query=Hal%20Far%20Road%2C%20Birzebbugia%2C%20Malta" TargetMode="External"/><Relationship Id="rId72" Type="http://schemas.openxmlformats.org/officeDocument/2006/relationships/hyperlink" Target="https://facebook.com/MasterCarpenter84/" TargetMode="External"/><Relationship Id="rId3" Type="http://schemas.openxmlformats.org/officeDocument/2006/relationships/hyperlink" Target="MAILTO:sales@ampmalta.com" TargetMode="External"/><Relationship Id="rId12" Type="http://schemas.openxmlformats.org/officeDocument/2006/relationships/hyperlink" Target="MAILTO:info@classicdesign.mt" TargetMode="External"/><Relationship Id="rId17" Type="http://schemas.openxmlformats.org/officeDocument/2006/relationships/hyperlink" Target="MAILTO:info@ddoorcompany.com" TargetMode="External"/><Relationship Id="rId25" Type="http://schemas.openxmlformats.org/officeDocument/2006/relationships/hyperlink" Target="MAILTO:info@classicdesign.mt" TargetMode="External"/><Relationship Id="rId33" Type="http://schemas.openxmlformats.org/officeDocument/2006/relationships/hyperlink" Target="https://www.google.com/maps/search/?api=1&amp;query=St.%20Anthony%20Woodworks%0ATriq%20il-Fortizza%2C%0AMosta%20MST%204000" TargetMode="External"/><Relationship Id="rId38" Type="http://schemas.openxmlformats.org/officeDocument/2006/relationships/hyperlink" Target="https://www.google.com/maps/search/?api=1&amp;query=Entrance%204%20No%3A1%20Triq%20Valletta%20Il-Marsa%20Marsa%2C%20Malta" TargetMode="External"/><Relationship Id="rId46" Type="http://schemas.openxmlformats.org/officeDocument/2006/relationships/hyperlink" Target="https://www.google.com/maps/search/?api=1&amp;query=A8%2C%20Industrial%20Estate%2C%20Marsa%2C%20Malta%2C%20MRS3000" TargetMode="External"/><Relationship Id="rId59" Type="http://schemas.openxmlformats.org/officeDocument/2006/relationships/hyperlink" Target="https://candmwoodworks.com/" TargetMode="External"/><Relationship Id="rId67" Type="http://schemas.openxmlformats.org/officeDocument/2006/relationships/hyperlink" Target="https://findit.com.mt/en/directory/listings/9171/delia-woodworks-ltd.htm" TargetMode="External"/><Relationship Id="rId20" Type="http://schemas.openxmlformats.org/officeDocument/2006/relationships/hyperlink" Target="MAILTO:luke@woodware.com.mt" TargetMode="External"/><Relationship Id="rId41" Type="http://schemas.openxmlformats.org/officeDocument/2006/relationships/hyperlink" Target="https://www.google.com/maps/search/?api=1&amp;query=Triq%20Il-Kappar%2C%20Il-Mosta%2C%20Malta%20MST%2003" TargetMode="External"/><Relationship Id="rId54" Type="http://schemas.openxmlformats.org/officeDocument/2006/relationships/hyperlink" Target="https://pvc.com.mt/" TargetMode="External"/><Relationship Id="rId62" Type="http://schemas.openxmlformats.org/officeDocument/2006/relationships/hyperlink" Target="https://findit.com.mt/en/directory/listings/9529/gilbert-micallef-woodwork-malta.htm?utm_source=chatgpt.com" TargetMode="External"/><Relationship Id="rId70" Type="http://schemas.openxmlformats.org/officeDocument/2006/relationships/hyperlink" Target="https://baldacchinogroup.com/menu/home.html" TargetMode="External"/><Relationship Id="rId75" Type="http://schemas.openxmlformats.org/officeDocument/2006/relationships/hyperlink" Target="https://classicdesign.mt/" TargetMode="External"/><Relationship Id="rId1" Type="http://schemas.openxmlformats.org/officeDocument/2006/relationships/hyperlink" Target="MAILTO:info@josephmifsud.com" TargetMode="External"/><Relationship Id="rId6" Type="http://schemas.openxmlformats.org/officeDocument/2006/relationships/hyperlink" Target="MAILTO:info@cassarwoodworks.com" TargetMode="External"/><Relationship Id="rId15" Type="http://schemas.openxmlformats.org/officeDocument/2006/relationships/hyperlink" Target="MAILTO:pdgl1969@gmail.com" TargetMode="External"/><Relationship Id="rId23" Type="http://schemas.openxmlformats.org/officeDocument/2006/relationships/hyperlink" Target="MAILTO:info@trendsltdmalta.com" TargetMode="External"/><Relationship Id="rId28" Type="http://schemas.openxmlformats.org/officeDocument/2006/relationships/hyperlink" Target="https://www.google.com/maps/search/?api=1&amp;query=Zone%202%2C%20Triq%20L-Ghadam%2C%20Central%20Business%20District%0AB%E2%80%99Kara%20-%20Malta%0ACBD%202060" TargetMode="External"/><Relationship Id="rId36" Type="http://schemas.openxmlformats.org/officeDocument/2006/relationships/hyperlink" Target="https://www.google.com/maps/search/?api=1&amp;query=106%2C%20Ind%20Estate%2C%20Luqa%2C%20LQA%203000%2C%20Malta" TargetMode="External"/><Relationship Id="rId49" Type="http://schemas.openxmlformats.org/officeDocument/2006/relationships/hyperlink" Target="https://www.google.com/maps/search/?api=1&amp;query=Naxxar%2C%20Malta" TargetMode="External"/><Relationship Id="rId57" Type="http://schemas.openxmlformats.org/officeDocument/2006/relationships/hyperlink" Target="https://cassarwoodworks.com/" TargetMode="External"/><Relationship Id="rId10" Type="http://schemas.openxmlformats.org/officeDocument/2006/relationships/hyperlink" Target="MAILTO:masterwoodmalta@gmail.com" TargetMode="External"/><Relationship Id="rId31" Type="http://schemas.openxmlformats.org/officeDocument/2006/relationships/hyperlink" Target="https://www.google.com/maps/search/?api=1&amp;query=L%2C%2052%20Triq%20Il-%20Muzika%2C%20Iklin%20IKL%201091" TargetMode="External"/><Relationship Id="rId44" Type="http://schemas.openxmlformats.org/officeDocument/2006/relationships/hyperlink" Target="https://www.google.com/maps/search/?api=1&amp;query=71%2C%20Triq%20L-Imdina%20Qormi%20%E2%80%93%20Malta" TargetMode="External"/><Relationship Id="rId52" Type="http://schemas.openxmlformats.org/officeDocument/2006/relationships/hyperlink" Target="https://josephmifsud.com/en/home.htm" TargetMode="External"/><Relationship Id="rId60" Type="http://schemas.openxmlformats.org/officeDocument/2006/relationships/hyperlink" Target="https://pisaniwoodworks.com/" TargetMode="External"/><Relationship Id="rId65" Type="http://schemas.openxmlformats.org/officeDocument/2006/relationships/hyperlink" Target="https://findit.com.mt/en/directory/listings/10200/joseph-briffa-woodworks.htm" TargetMode="External"/><Relationship Id="rId73" Type="http://schemas.openxmlformats.org/officeDocument/2006/relationships/hyperlink" Target="https://trendsltdmalta.com/" TargetMode="External"/><Relationship Id="rId4" Type="http://schemas.openxmlformats.org/officeDocument/2006/relationships/hyperlink" Target="MAILTO:sales@adoremore.eu" TargetMode="External"/><Relationship Id="rId9" Type="http://schemas.openxmlformats.org/officeDocument/2006/relationships/hyperlink" Target="MAILTO:info@pisaniwoodworks.com" TargetMode="External"/><Relationship Id="rId13" Type="http://schemas.openxmlformats.org/officeDocument/2006/relationships/hyperlink" Target="MAILTO:info@kubekgroup.com" TargetMode="External"/><Relationship Id="rId18" Type="http://schemas.openxmlformats.org/officeDocument/2006/relationships/hyperlink" Target="MAILTO:info@conforthouse.mt" TargetMode="External"/><Relationship Id="rId39" Type="http://schemas.openxmlformats.org/officeDocument/2006/relationships/hyperlink" Target="https://www.google.com/maps/search/?api=1&amp;query=Kubek%20Showroom%2C%0AMdina%20Road%2C%20Qormi" TargetMode="External"/><Relationship Id="rId34" Type="http://schemas.openxmlformats.org/officeDocument/2006/relationships/hyperlink" Target="https://www.google.com/maps/search/?api=1&amp;query=C%20%26%20M%20Woodworks%2C%20Indri%20Psaila%20Street%2C%20Handaq%20Industrial%20Estate%2C%20Qormi" TargetMode="External"/><Relationship Id="rId50" Type="http://schemas.openxmlformats.org/officeDocument/2006/relationships/hyperlink" Target="https://www.google.com/maps/search/?api=1&amp;query=Triq%20Valletta%20Il-Marsa%2C%20Marsa%2C%20Malta" TargetMode="External"/><Relationship Id="rId55" Type="http://schemas.openxmlformats.org/officeDocument/2006/relationships/hyperlink" Target="https://adoremore.com.mt/" TargetMode="External"/><Relationship Id="rId76" Type="http://schemas.openxmlformats.org/officeDocument/2006/relationships/hyperlink" Target="https://facebook.com/profile.php?id=100063608976880" TargetMode="External"/><Relationship Id="rId7" Type="http://schemas.openxmlformats.org/officeDocument/2006/relationships/hyperlink" Target="MAILTO:info@stanthonyww.com" TargetMode="External"/><Relationship Id="rId71" Type="http://schemas.openxmlformats.org/officeDocument/2006/relationships/hyperlink" Target="https://facebook.com/bespokelocalfurniture/?utm_source=Yellow&amp;utm_medium=Yellow-Website&amp;utm_campaign=Landing-Page" TargetMode="External"/></Relationships>
</file>

<file path=xl/worksheets/_rels/sheet64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trendsltdmalta.com" TargetMode="External"/><Relationship Id="rId18" Type="http://schemas.openxmlformats.org/officeDocument/2006/relationships/hyperlink" Target="MAILTO:sales@ampmalta.com" TargetMode="External"/><Relationship Id="rId26" Type="http://schemas.openxmlformats.org/officeDocument/2006/relationships/hyperlink" Target="https://www.google.com/maps/search/?api=1&amp;query=Block%20%20F%2018%2C%20%0AMidland%20Industrial%20Park%2C%20%0ABurmarrd%20Street%2C%0ANaxxar%2C%20NXR%206345" TargetMode="External"/><Relationship Id="rId39" Type="http://schemas.openxmlformats.org/officeDocument/2006/relationships/hyperlink" Target="https://adoremore.com.mt/" TargetMode="External"/><Relationship Id="rId21" Type="http://schemas.openxmlformats.org/officeDocument/2006/relationships/hyperlink" Target="MAILTO:info@grahamaluminium.com" TargetMode="External"/><Relationship Id="rId34" Type="http://schemas.openxmlformats.org/officeDocument/2006/relationships/hyperlink" Target="https://www.google.com/maps/search/?api=1&amp;query=KKW%20721%2C%20Corradino%20%0AIndustrial%20Estate%0APaola%2C%20PLA%203000%2C%20Malta" TargetMode="External"/><Relationship Id="rId42" Type="http://schemas.openxmlformats.org/officeDocument/2006/relationships/hyperlink" Target="https://windowworld.eu/" TargetMode="External"/><Relationship Id="rId7" Type="http://schemas.openxmlformats.org/officeDocument/2006/relationships/hyperlink" Target="MAILTO:info@windowworldinternational.net" TargetMode="External"/><Relationship Id="rId2" Type="http://schemas.openxmlformats.org/officeDocument/2006/relationships/hyperlink" Target="MAILTO:info@sptechniques.com" TargetMode="External"/><Relationship Id="rId16" Type="http://schemas.openxmlformats.org/officeDocument/2006/relationships/hyperlink" Target="MAILTO:info@classicdesign.mt" TargetMode="External"/><Relationship Id="rId29" Type="http://schemas.openxmlformats.org/officeDocument/2006/relationships/hyperlink" Target="https://www.google.com/maps/search/?api=1&amp;query=San%20Gwann%20Industrial%20Estate%2C%20SGN3000%2C%20Malta" TargetMode="External"/><Relationship Id="rId1" Type="http://schemas.openxmlformats.org/officeDocument/2006/relationships/hyperlink" Target="MAILTO:sales@doorsandmore.in" TargetMode="External"/><Relationship Id="rId6" Type="http://schemas.openxmlformats.org/officeDocument/2006/relationships/hyperlink" Target="MAILTO:sales@ampmalta.com" TargetMode="External"/><Relationship Id="rId11" Type="http://schemas.openxmlformats.org/officeDocument/2006/relationships/hyperlink" Target="MAILTO:info@casconeporteefinestre.it" TargetMode="External"/><Relationship Id="rId24" Type="http://schemas.openxmlformats.org/officeDocument/2006/relationships/hyperlink" Target="MAILTO:info@framegrip.com" TargetMode="External"/><Relationship Id="rId32" Type="http://schemas.openxmlformats.org/officeDocument/2006/relationships/hyperlink" Target="https://www.google.com/maps/search/?api=1&amp;query=Plot%2035%20Triq%20Mastru%20George%20Cachia%0AHal%20Qormi%2C%20Malta" TargetMode="External"/><Relationship Id="rId37" Type="http://schemas.openxmlformats.org/officeDocument/2006/relationships/hyperlink" Target="https://sptechniques.com/" TargetMode="External"/><Relationship Id="rId40" Type="http://schemas.openxmlformats.org/officeDocument/2006/relationships/hyperlink" Target="https://finestralmalta.com/" TargetMode="External"/><Relationship Id="rId45" Type="http://schemas.openxmlformats.org/officeDocument/2006/relationships/hyperlink" Target="https://nigeldimech.com/" TargetMode="External"/><Relationship Id="rId5" Type="http://schemas.openxmlformats.org/officeDocument/2006/relationships/hyperlink" Target="MAILTO:info@finestralmalta.com" TargetMode="External"/><Relationship Id="rId15" Type="http://schemas.openxmlformats.org/officeDocument/2006/relationships/hyperlink" Target="MAILTO:sales@pvcmalta.com" TargetMode="External"/><Relationship Id="rId23" Type="http://schemas.openxmlformats.org/officeDocument/2006/relationships/hyperlink" Target="MAILTO:info@a1finishesltd.com" TargetMode="External"/><Relationship Id="rId28" Type="http://schemas.openxmlformats.org/officeDocument/2006/relationships/hyperlink" Target="https://www.google.com/maps/search/?api=1&amp;query=Adore%20More%0ATriq%20Id-Difiza%20Civili.%0AMosta%2C%20MST%201743%0AMalta" TargetMode="External"/><Relationship Id="rId36" Type="http://schemas.openxmlformats.org/officeDocument/2006/relationships/hyperlink" Target="https://facebook.com/doorsand.more.3/" TargetMode="External"/><Relationship Id="rId10" Type="http://schemas.openxmlformats.org/officeDocument/2006/relationships/hyperlink" Target="MAILTO:info@nigeldimech.com" TargetMode="External"/><Relationship Id="rId19" Type="http://schemas.openxmlformats.org/officeDocument/2006/relationships/hyperlink" Target="MAILTO:sales@newstylesmalta.com" TargetMode="External"/><Relationship Id="rId31" Type="http://schemas.openxmlformats.org/officeDocument/2006/relationships/hyperlink" Target="https://www.google.com/maps/search/?api=1&amp;query=Zircon%20Suites%20Triq%20ta%27%20Zejfa%2C%0AMosta%2C%20Malta" TargetMode="External"/><Relationship Id="rId44" Type="http://schemas.openxmlformats.org/officeDocument/2006/relationships/hyperlink" Target="https://facebook.com/perfectummt/" TargetMode="External"/><Relationship Id="rId4" Type="http://schemas.openxmlformats.org/officeDocument/2006/relationships/hyperlink" Target="MAILTO:sales@adoremore.eu" TargetMode="External"/><Relationship Id="rId9" Type="http://schemas.openxmlformats.org/officeDocument/2006/relationships/hyperlink" Target="MAILTO:Info@perfectum.mt" TargetMode="External"/><Relationship Id="rId14" Type="http://schemas.openxmlformats.org/officeDocument/2006/relationships/hyperlink" Target="MAILTO:info@conforthouse.mt" TargetMode="External"/><Relationship Id="rId22" Type="http://schemas.openxmlformats.org/officeDocument/2006/relationships/hyperlink" Target="MAILTO:office@ecoplast.com.mt" TargetMode="External"/><Relationship Id="rId27" Type="http://schemas.openxmlformats.org/officeDocument/2006/relationships/hyperlink" Target="https://www.google.com/maps/search/?api=1&amp;query=Triq%20MRU%20Giorgio%20Zarb%2C%20%C4%A6al%20Qormi" TargetMode="External"/><Relationship Id="rId30" Type="http://schemas.openxmlformats.org/officeDocument/2006/relationships/hyperlink" Target="https://www.google.com/maps/search/?api=1&amp;query=8%20Garra%2C%20Is-Swieqi" TargetMode="External"/><Relationship Id="rId35" Type="http://schemas.openxmlformats.org/officeDocument/2006/relationships/hyperlink" Target="https://www.google.com/maps/search/?api=1&amp;query=Msida%20Valley%20Road%2C%20BKR9022%20Birkirkara%20-%20Malta" TargetMode="External"/><Relationship Id="rId43" Type="http://schemas.openxmlformats.org/officeDocument/2006/relationships/hyperlink" Target="https://prodoormalta.com/" TargetMode="External"/><Relationship Id="rId8" Type="http://schemas.openxmlformats.org/officeDocument/2006/relationships/hyperlink" Target="MAILTO:sales@prodoormalta.com" TargetMode="External"/><Relationship Id="rId3" Type="http://schemas.openxmlformats.org/officeDocument/2006/relationships/hyperlink" Target="MAILTO:info@jcdaluminium.com" TargetMode="External"/><Relationship Id="rId12" Type="http://schemas.openxmlformats.org/officeDocument/2006/relationships/hyperlink" Target="MAILTO:quotes@ihomes.com.mt" TargetMode="External"/><Relationship Id="rId17" Type="http://schemas.openxmlformats.org/officeDocument/2006/relationships/hyperlink" Target="MAILTO:info@cagroup.com.mt" TargetMode="External"/><Relationship Id="rId25" Type="http://schemas.openxmlformats.org/officeDocument/2006/relationships/hyperlink" Target="https://www.google.com/maps/search/?api=1&amp;query=217%2C%20Doors%20and%20More%0ATriq%20Salvo%20Psaila%0AB%27Kara%20BKR%209078%0AMalta" TargetMode="External"/><Relationship Id="rId33" Type="http://schemas.openxmlformats.org/officeDocument/2006/relationships/hyperlink" Target="https://www.google.com/maps/search/?api=1&amp;query=Valletta%2C%20Malta" TargetMode="External"/><Relationship Id="rId38" Type="http://schemas.openxmlformats.org/officeDocument/2006/relationships/hyperlink" Target="https://jcdaluminium.com/upvc-aluminium-doors-and-windows" TargetMode="External"/><Relationship Id="rId46" Type="http://schemas.openxmlformats.org/officeDocument/2006/relationships/hyperlink" Target="https://casconehome.com/en/index.php" TargetMode="External"/><Relationship Id="rId20" Type="http://schemas.openxmlformats.org/officeDocument/2006/relationships/hyperlink" Target="MAILTO:info@fourwalls.com.mt" TargetMode="External"/><Relationship Id="rId41" Type="http://schemas.openxmlformats.org/officeDocument/2006/relationships/hyperlink" Target="https://pvc.com.mt/" TargetMode="External"/></Relationships>
</file>

<file path=xl/worksheets/_rels/sheet6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Showroom%2026%2C%20Triq%20Haz-Zabbar%2C%20Paola" TargetMode="External"/><Relationship Id="rId13" Type="http://schemas.openxmlformats.org/officeDocument/2006/relationships/hyperlink" Target="https://bpapertures.com/" TargetMode="External"/><Relationship Id="rId3" Type="http://schemas.openxmlformats.org/officeDocument/2006/relationships/hyperlink" Target="MAILTO:sales@brandimports.com.mt" TargetMode="External"/><Relationship Id="rId7" Type="http://schemas.openxmlformats.org/officeDocument/2006/relationships/hyperlink" Target="https://www.google.com/maps/search/?api=1&amp;query=Triq%20l-isturnell%20Roza%2C%20Hal%20Luqa%2C%20Malta" TargetMode="External"/><Relationship Id="rId12" Type="http://schemas.openxmlformats.org/officeDocument/2006/relationships/hyperlink" Target="https://brandimports.com.mt/en/" TargetMode="External"/><Relationship Id="rId2" Type="http://schemas.openxmlformats.org/officeDocument/2006/relationships/hyperlink" Target="MAILTO:valormalta@gmail.com" TargetMode="External"/><Relationship Id="rId1" Type="http://schemas.openxmlformats.org/officeDocument/2006/relationships/hyperlink" Target="MAILTO:info@perfectum.mt" TargetMode="External"/><Relationship Id="rId6" Type="http://schemas.openxmlformats.org/officeDocument/2006/relationships/hyperlink" Target="https://www.google.com/maps/search/?api=1&amp;query=Valletta%2C%20Malta" TargetMode="External"/><Relationship Id="rId11" Type="http://schemas.openxmlformats.org/officeDocument/2006/relationships/hyperlink" Target="https://valormalta.wixsite.com/valor" TargetMode="External"/><Relationship Id="rId5" Type="http://schemas.openxmlformats.org/officeDocument/2006/relationships/hyperlink" Target="MAILTO:info@rgroupmt.com" TargetMode="External"/><Relationship Id="rId10" Type="http://schemas.openxmlformats.org/officeDocument/2006/relationships/hyperlink" Target="https://facebook.com/perfectummt/" TargetMode="External"/><Relationship Id="rId4" Type="http://schemas.openxmlformats.org/officeDocument/2006/relationships/hyperlink" Target="MAILTO:henry@bpapertures.com" TargetMode="External"/><Relationship Id="rId9" Type="http://schemas.openxmlformats.org/officeDocument/2006/relationships/hyperlink" Target="https://www.google.com/maps/search/?api=1&amp;query=Mdina%20Road%2C%20Zebbug" TargetMode="External"/><Relationship Id="rId14" Type="http://schemas.openxmlformats.org/officeDocument/2006/relationships/hyperlink" Target="https://facebook.com/RGroupMalta" TargetMode="External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bitmac.mt" TargetMode="External"/><Relationship Id="rId3" Type="http://schemas.openxmlformats.org/officeDocument/2006/relationships/hyperlink" Target="MAILTO:shop@megastore.com.mt" TargetMode="External"/><Relationship Id="rId7" Type="http://schemas.openxmlformats.org/officeDocument/2006/relationships/hyperlink" Target="MAILTO:viorel.limited@gmail.com" TargetMode="External"/><Relationship Id="rId2" Type="http://schemas.openxmlformats.org/officeDocument/2006/relationships/hyperlink" Target="MAILTO:msida@iperceramica.mt" TargetMode="External"/><Relationship Id="rId1" Type="http://schemas.openxmlformats.org/officeDocument/2006/relationships/hyperlink" Target="MAILTO:sales@maltadiy.com" TargetMode="External"/><Relationship Id="rId6" Type="http://schemas.openxmlformats.org/officeDocument/2006/relationships/hyperlink" Target="MAILTO:info@deckor.com.mt" TargetMode="External"/><Relationship Id="rId5" Type="http://schemas.openxmlformats.org/officeDocument/2006/relationships/hyperlink" Target="MAILTO:info@ddoorcompany.com" TargetMode="External"/><Relationship Id="rId10" Type="http://schemas.openxmlformats.org/officeDocument/2006/relationships/hyperlink" Target="MAILTO:sales@dimech-ent.com" TargetMode="External"/><Relationship Id="rId4" Type="http://schemas.openxmlformats.org/officeDocument/2006/relationships/hyperlink" Target="MAILTO:sales@doorsandmore.in" TargetMode="External"/><Relationship Id="rId9" Type="http://schemas.openxmlformats.org/officeDocument/2006/relationships/hyperlink" Target="MAILTO:info@rgroupmt.com" TargetMode="External"/></Relationships>
</file>

<file path=xl/worksheets/_rels/sheet67.xml.rels><?xml version="1.0" encoding="UTF-8" standalone="yes"?>
<Relationships xmlns="http://schemas.openxmlformats.org/package/2006/relationships"><Relationship Id="rId26" Type="http://schemas.openxmlformats.org/officeDocument/2006/relationships/hyperlink" Target="MAILTO:cody-camilleri@outlook.com" TargetMode="External"/><Relationship Id="rId21" Type="http://schemas.openxmlformats.org/officeDocument/2006/relationships/hyperlink" Target="MAILTO:info@opaq.mt" TargetMode="External"/><Relationship Id="rId42" Type="http://schemas.openxmlformats.org/officeDocument/2006/relationships/hyperlink" Target="https://www.google.com/maps/search/?api=1&amp;query=ReCoop%0AZone%202%20Triq%20L-Esportaturi%20Central%20Business%20District%20%2C%0AB%E2%80%99Kara%2C%20Malta%20CBD%202040" TargetMode="External"/><Relationship Id="rId47" Type="http://schemas.openxmlformats.org/officeDocument/2006/relationships/hyperlink" Target="https://www.google.com/maps/search/?api=1&amp;query=triq%20San%20Guzepp%2028%2C%20Mosta%2C%20Malta" TargetMode="External"/><Relationship Id="rId63" Type="http://schemas.openxmlformats.org/officeDocument/2006/relationships/hyperlink" Target="https://psbuhagiarconstructionltd.com/en/home.htm?utm_source=chatgpt.com" TargetMode="External"/><Relationship Id="rId68" Type="http://schemas.openxmlformats.org/officeDocument/2006/relationships/hyperlink" Target="https://pisanirestoration.com/" TargetMode="External"/><Relationship Id="rId7" Type="http://schemas.openxmlformats.org/officeDocument/2006/relationships/hyperlink" Target="MAILTO:abela.restoration@gmail.com" TargetMode="External"/><Relationship Id="rId2" Type="http://schemas.openxmlformats.org/officeDocument/2006/relationships/hyperlink" Target="MAILTO:schembriw45@gmail.com" TargetMode="External"/><Relationship Id="rId16" Type="http://schemas.openxmlformats.org/officeDocument/2006/relationships/hyperlink" Target="MAILTO:info@rgimalta.com" TargetMode="External"/><Relationship Id="rId29" Type="http://schemas.openxmlformats.org/officeDocument/2006/relationships/hyperlink" Target="MAILTO:allroundservices9@gmail.com" TargetMode="External"/><Relationship Id="rId11" Type="http://schemas.openxmlformats.org/officeDocument/2006/relationships/hyperlink" Target="MAILTO:psbcontractors@gmail.com" TargetMode="External"/><Relationship Id="rId24" Type="http://schemas.openxmlformats.org/officeDocument/2006/relationships/hyperlink" Target="MAILTO:clivelee1986@gmail.com" TargetMode="External"/><Relationship Id="rId32" Type="http://schemas.openxmlformats.org/officeDocument/2006/relationships/hyperlink" Target="MAILTO:am.stonerestoration@gmail.com" TargetMode="External"/><Relationship Id="rId37" Type="http://schemas.openxmlformats.org/officeDocument/2006/relationships/hyperlink" Target="https://www.google.com/maps/search/?api=1&amp;query=23%20Nightingale%20Triq%20Dun%20Salvatore%20Zarb%20%2C%0AGharghur%2C%20Malta%20GHR%201620" TargetMode="External"/><Relationship Id="rId40" Type="http://schemas.openxmlformats.org/officeDocument/2006/relationships/hyperlink" Target="https://www.google.com/maps/search/?api=1&amp;query=Triq%20l-Imdina%20Attard" TargetMode="External"/><Relationship Id="rId45" Type="http://schemas.openxmlformats.org/officeDocument/2006/relationships/hyperlink" Target="https://www.google.com/maps/search/?api=1&amp;query=PS%20Buhagiar%20Building%20Contractors%0A55%2C%20Anfield%2C%0ATriq%20Raddet%20ir-Roti%2C%0AMosta%2C%20Malta." TargetMode="External"/><Relationship Id="rId53" Type="http://schemas.openxmlformats.org/officeDocument/2006/relationships/hyperlink" Target="https://www.google.com/maps/search/?api=1&amp;query=19%2C%20springvale%2C%20Triq%20it-Tabib%20Nikola%20Zammit" TargetMode="External"/><Relationship Id="rId58" Type="http://schemas.openxmlformats.org/officeDocument/2006/relationships/hyperlink" Target="https://kitonkeith.wixsite.com/kitoncontractors" TargetMode="External"/><Relationship Id="rId66" Type="http://schemas.openxmlformats.org/officeDocument/2006/relationships/hyperlink" Target="https://alexblasting.com/" TargetMode="External"/><Relationship Id="rId5" Type="http://schemas.openxmlformats.org/officeDocument/2006/relationships/hyperlink" Target="MAILTO:kitonkeith@gmail.com" TargetMode="External"/><Relationship Id="rId61" Type="http://schemas.openxmlformats.org/officeDocument/2006/relationships/hyperlink" Target="https://recoop.mt/" TargetMode="External"/><Relationship Id="rId19" Type="http://schemas.openxmlformats.org/officeDocument/2006/relationships/hyperlink" Target="MAILTO:info@pisanirestoration.com" TargetMode="External"/><Relationship Id="rId14" Type="http://schemas.openxmlformats.org/officeDocument/2006/relationships/hyperlink" Target="MAILTO:info@asbusiness.art" TargetMode="External"/><Relationship Id="rId22" Type="http://schemas.openxmlformats.org/officeDocument/2006/relationships/hyperlink" Target="MAILTO:marbrian01@gmail.com" TargetMode="External"/><Relationship Id="rId27" Type="http://schemas.openxmlformats.org/officeDocument/2006/relationships/hyperlink" Target="MAILTO:Hubert.mifsud@icloud.com" TargetMode="External"/><Relationship Id="rId30" Type="http://schemas.openxmlformats.org/officeDocument/2006/relationships/hyperlink" Target="MAILTO:Tridentrockscapesolutions@gmail.com" TargetMode="External"/><Relationship Id="rId35" Type="http://schemas.openxmlformats.org/officeDocument/2006/relationships/hyperlink" Target="https://www.google.com/maps/search/?api=1&amp;query=8%20Triq%20Salvu%20Cacciattolo%20%2C%20Zejtun" TargetMode="External"/><Relationship Id="rId43" Type="http://schemas.openxmlformats.org/officeDocument/2006/relationships/hyperlink" Target="https://www.google.com/maps/search/?api=1&amp;query=Restoration%20Now%0ATriq%20il-Baltiku%20%2C%0ASan%20Giljan%2C%20Malta" TargetMode="External"/><Relationship Id="rId48" Type="http://schemas.openxmlformats.org/officeDocument/2006/relationships/hyperlink" Target="https://www.google.com/maps/search/?api=1&amp;query=30%20Triq%20L-Imradd%2C%20Ta%27%20Xbiex" TargetMode="External"/><Relationship Id="rId56" Type="http://schemas.openxmlformats.org/officeDocument/2006/relationships/hyperlink" Target="https://yellow.com.mt/nm-restoration/building-restoration-conservation/" TargetMode="External"/><Relationship Id="rId64" Type="http://schemas.openxmlformats.org/officeDocument/2006/relationships/hyperlink" Target="https://axconstruction.com.mt/" TargetMode="External"/><Relationship Id="rId69" Type="http://schemas.openxmlformats.org/officeDocument/2006/relationships/hyperlink" Target="https://facebook.com/p/Farstone-Construction-Restoration-Ltd-100042529226772/" TargetMode="External"/><Relationship Id="rId8" Type="http://schemas.openxmlformats.org/officeDocument/2006/relationships/hyperlink" Target="MAILTO:info@recoop.com.mt" TargetMode="External"/><Relationship Id="rId51" Type="http://schemas.openxmlformats.org/officeDocument/2006/relationships/hyperlink" Target="https://www.google.com/maps/search/?api=1&amp;query=2%2C%20Triq%20il-Qamh%2C%20Zebbug%2C%20%C4%A6az-Zebbug%2C%20Malta" TargetMode="External"/><Relationship Id="rId3" Type="http://schemas.openxmlformats.org/officeDocument/2006/relationships/hyperlink" Target="MAILTO:neilborg9@gmail.com" TargetMode="External"/><Relationship Id="rId12" Type="http://schemas.openxmlformats.org/officeDocument/2006/relationships/hyperlink" Target="MAILTO:info@axconstruction.mt" TargetMode="External"/><Relationship Id="rId17" Type="http://schemas.openxmlformats.org/officeDocument/2006/relationships/hyperlink" Target="MAILTO:a_ablast@live.com" TargetMode="External"/><Relationship Id="rId25" Type="http://schemas.openxmlformats.org/officeDocument/2006/relationships/hyperlink" Target="MAILTO:rmrestoration80@gmail.com" TargetMode="External"/><Relationship Id="rId33" Type="http://schemas.openxmlformats.org/officeDocument/2006/relationships/hyperlink" Target="MAILTO:ton.micallef@hotmail.com" TargetMode="External"/><Relationship Id="rId38" Type="http://schemas.openxmlformats.org/officeDocument/2006/relationships/hyperlink" Target="https://www.google.com/maps/search/?api=1&amp;query=Triq%20John%20Borg%20Zejtun%20ZTN%202077" TargetMode="External"/><Relationship Id="rId46" Type="http://schemas.openxmlformats.org/officeDocument/2006/relationships/hyperlink" Target="https://www.google.com/maps/search/?api=1&amp;query=Hardrocks%20Industrial%20Park%2C%0AL%2FO%20Burmarrad%2C%20Malta" TargetMode="External"/><Relationship Id="rId59" Type="http://schemas.openxmlformats.org/officeDocument/2006/relationships/hyperlink" Target="https://casacompletamalta.com/" TargetMode="External"/><Relationship Id="rId67" Type="http://schemas.openxmlformats.org/officeDocument/2006/relationships/hyperlink" Target="https://hicareservices.mt/" TargetMode="External"/><Relationship Id="rId20" Type="http://schemas.openxmlformats.org/officeDocument/2006/relationships/hyperlink" Target="MAILTO:info@farstoneconstruction.com" TargetMode="External"/><Relationship Id="rId41" Type="http://schemas.openxmlformats.org/officeDocument/2006/relationships/hyperlink" Target="https://www.google.com/maps/search/?api=1&amp;query=Abela%20Restoration%0A55%20Tal-Grazzja%20Triq%20Bugharbiel%20%2C%0AZejtun%2C%20Malta%20ZTN%203435" TargetMode="External"/><Relationship Id="rId54" Type="http://schemas.openxmlformats.org/officeDocument/2006/relationships/hyperlink" Target="https://fourvcmalta.com/" TargetMode="External"/><Relationship Id="rId62" Type="http://schemas.openxmlformats.org/officeDocument/2006/relationships/hyperlink" Target="https://targe.mt/" TargetMode="External"/><Relationship Id="rId70" Type="http://schemas.openxmlformats.org/officeDocument/2006/relationships/hyperlink" Target="https://opaq.mt/restoration/" TargetMode="External"/><Relationship Id="rId1" Type="http://schemas.openxmlformats.org/officeDocument/2006/relationships/hyperlink" Target="MAILTO:fourvcltd@gmail.com" TargetMode="External"/><Relationship Id="rId6" Type="http://schemas.openxmlformats.org/officeDocument/2006/relationships/hyperlink" Target="MAILTO:info@casacompleta.net" TargetMode="External"/><Relationship Id="rId15" Type="http://schemas.openxmlformats.org/officeDocument/2006/relationships/hyperlink" Target="MAILTO:bmdsolutions2018@gmail.com" TargetMode="External"/><Relationship Id="rId23" Type="http://schemas.openxmlformats.org/officeDocument/2006/relationships/hyperlink" Target="MAILTO:dgrestorations21@gmail.com" TargetMode="External"/><Relationship Id="rId28" Type="http://schemas.openxmlformats.org/officeDocument/2006/relationships/hyperlink" Target="MAILTO:rachellegaldes@gmail.com" TargetMode="External"/><Relationship Id="rId36" Type="http://schemas.openxmlformats.org/officeDocument/2006/relationships/hyperlink" Target="https://www.google.com/maps/search/?api=1&amp;query=Triq%20San%20Edwardu%2C%20Qormi%2C%20Malta" TargetMode="External"/><Relationship Id="rId49" Type="http://schemas.openxmlformats.org/officeDocument/2006/relationships/hyperlink" Target="https://www.google.com/maps/search/?api=1&amp;query=KW%2009B%20Qasam%20Industrijali%2C%20Kordin%0APaola%0APLA%203000" TargetMode="External"/><Relationship Id="rId57" Type="http://schemas.openxmlformats.org/officeDocument/2006/relationships/hyperlink" Target="https://norobinstallations.com/?utm_source=Yellow&amp;utm_medium=Yellow-Website&amp;utm_campaign=Landing-Page" TargetMode="External"/><Relationship Id="rId10" Type="http://schemas.openxmlformats.org/officeDocument/2006/relationships/hyperlink" Target="MAILTO:info@targe.mt" TargetMode="External"/><Relationship Id="rId31" Type="http://schemas.openxmlformats.org/officeDocument/2006/relationships/hyperlink" Target="MAILTO:kevinmallia85@gmail.com" TargetMode="External"/><Relationship Id="rId44" Type="http://schemas.openxmlformats.org/officeDocument/2006/relationships/hyperlink" Target="https://www.google.com/maps/search/?api=1&amp;query=Targe%20Restoration%20Ltd.%2C%2012%20Alley%2C%204%20Castro%20Street%20Naxxar%20NXR2440%2C%20Malta" TargetMode="External"/><Relationship Id="rId52" Type="http://schemas.openxmlformats.org/officeDocument/2006/relationships/hyperlink" Target="https://www.google.com/maps/search/?api=1&amp;query=The%20Peak%20Exclusive%20Residences%2014%2C%20Triq%20D%27Amato%2C%20Attard" TargetMode="External"/><Relationship Id="rId60" Type="http://schemas.openxmlformats.org/officeDocument/2006/relationships/hyperlink" Target="https://yellow.com.mt/abela-restoration_building-restoration-conservation+zejtun/" TargetMode="External"/><Relationship Id="rId65" Type="http://schemas.openxmlformats.org/officeDocument/2006/relationships/hyperlink" Target="https://facebook.com/RGImalta/" TargetMode="External"/><Relationship Id="rId4" Type="http://schemas.openxmlformats.org/officeDocument/2006/relationships/hyperlink" Target="MAILTO:norobturnkey@gmail.com" TargetMode="External"/><Relationship Id="rId9" Type="http://schemas.openxmlformats.org/officeDocument/2006/relationships/hyperlink" Target="MAILTO:lizabologna@restoration-now.com" TargetMode="External"/><Relationship Id="rId13" Type="http://schemas.openxmlformats.org/officeDocument/2006/relationships/hyperlink" Target="MAILTO:silvio.tonna@gmail.com" TargetMode="External"/><Relationship Id="rId18" Type="http://schemas.openxmlformats.org/officeDocument/2006/relationships/hyperlink" Target="MAILTO:info@hicareservices.mt" TargetMode="External"/><Relationship Id="rId39" Type="http://schemas.openxmlformats.org/officeDocument/2006/relationships/hyperlink" Target="https://www.google.com/maps/search/?api=1&amp;query=Santa%20Marija%20Flats%2C%20Flt%203%20Triq%20tal-Wej%20%2C%20Mosta%20Malta%20MST%202462" TargetMode="External"/><Relationship Id="rId34" Type="http://schemas.openxmlformats.org/officeDocument/2006/relationships/hyperlink" Target="MAILTO:marcellomultiservice@gmail.com" TargetMode="External"/><Relationship Id="rId50" Type="http://schemas.openxmlformats.org/officeDocument/2006/relationships/hyperlink" Target="https://www.google.com/maps/search/?api=1&amp;query=90%2C%20Valley%20Road%20Birkirkara%2C%20BKR%209014" TargetMode="External"/><Relationship Id="rId55" Type="http://schemas.openxmlformats.org/officeDocument/2006/relationships/hyperlink" Target="https://wsinstallationsmalta.com/" TargetMode="External"/></Relationships>
</file>

<file path=xl/worksheets/_rels/sheet68.xml.rels><?xml version="1.0" encoding="UTF-8" standalone="yes"?>
<Relationships xmlns="http://schemas.openxmlformats.org/package/2006/relationships"><Relationship Id="rId8" Type="http://schemas.openxmlformats.org/officeDocument/2006/relationships/hyperlink" Target="MAILTO:abtowerladderservice@hotmail.com" TargetMode="External"/><Relationship Id="rId13" Type="http://schemas.openxmlformats.org/officeDocument/2006/relationships/hyperlink" Target="MAILTO:vanessa_caruana@hotmail.com" TargetMode="External"/><Relationship Id="rId18" Type="http://schemas.openxmlformats.org/officeDocument/2006/relationships/hyperlink" Target="MAILTO:fabianschembri@hotmail.com" TargetMode="External"/><Relationship Id="rId26" Type="http://schemas.openxmlformats.org/officeDocument/2006/relationships/hyperlink" Target="MAILTO:info@exterminatormalta.com" TargetMode="External"/><Relationship Id="rId3" Type="http://schemas.openxmlformats.org/officeDocument/2006/relationships/hyperlink" Target="MAILTO:ramonbartolo1472@gmail.com" TargetMode="External"/><Relationship Id="rId21" Type="http://schemas.openxmlformats.org/officeDocument/2006/relationships/hyperlink" Target="MAILTO:jona.lia185@gmail.com" TargetMode="External"/><Relationship Id="rId7" Type="http://schemas.openxmlformats.org/officeDocument/2006/relationships/hyperlink" Target="MAILTO:mannicranehire@hotmail.com" TargetMode="External"/><Relationship Id="rId12" Type="http://schemas.openxmlformats.org/officeDocument/2006/relationships/hyperlink" Target="MAILTO:gaucikevin1@gmail.com" TargetMode="External"/><Relationship Id="rId17" Type="http://schemas.openxmlformats.org/officeDocument/2006/relationships/hyperlink" Target="MAILTO:dborg383@gmail.com" TargetMode="External"/><Relationship Id="rId25" Type="http://schemas.openxmlformats.org/officeDocument/2006/relationships/hyperlink" Target="MAILTO:harryc1@go.net.mt" TargetMode="External"/><Relationship Id="rId2" Type="http://schemas.openxmlformats.org/officeDocument/2006/relationships/hyperlink" Target="MAILTO:benjamin.cilia@gmail.com" TargetMode="External"/><Relationship Id="rId16" Type="http://schemas.openxmlformats.org/officeDocument/2006/relationships/hyperlink" Target="MAILTO:dwardu1988@melita.com" TargetMode="External"/><Relationship Id="rId20" Type="http://schemas.openxmlformats.org/officeDocument/2006/relationships/hyperlink" Target="MAILTO:irreggaegatt@gmail.com" TargetMode="External"/><Relationship Id="rId1" Type="http://schemas.openxmlformats.org/officeDocument/2006/relationships/hyperlink" Target="MAILTO:markanthonymicallef@gmail.com" TargetMode="External"/><Relationship Id="rId6" Type="http://schemas.openxmlformats.org/officeDocument/2006/relationships/hyperlink" Target="MAILTO:info@marktls.com" TargetMode="External"/><Relationship Id="rId11" Type="http://schemas.openxmlformats.org/officeDocument/2006/relationships/hyperlink" Target="MAILTO:johnsoncranehire@onvol.net" TargetMode="External"/><Relationship Id="rId24" Type="http://schemas.openxmlformats.org/officeDocument/2006/relationships/hyperlink" Target="MAILTO:info@godwinsgarage.com" TargetMode="External"/><Relationship Id="rId5" Type="http://schemas.openxmlformats.org/officeDocument/2006/relationships/hyperlink" Target="MAILTO:info@renergy.com.mt" TargetMode="External"/><Relationship Id="rId15" Type="http://schemas.openxmlformats.org/officeDocument/2006/relationships/hyperlink" Target="MAILTO:bch@onvol.net" TargetMode="External"/><Relationship Id="rId23" Type="http://schemas.openxmlformats.org/officeDocument/2006/relationships/hyperlink" Target="MAILTO:swaey@swaey.com" TargetMode="External"/><Relationship Id="rId10" Type="http://schemas.openxmlformats.org/officeDocument/2006/relationships/hyperlink" Target="MAILTO:chris.tl.cranes@gmail.com" TargetMode="External"/><Relationship Id="rId19" Type="http://schemas.openxmlformats.org/officeDocument/2006/relationships/hyperlink" Target="MAILTO:rg.ciantar@gmail.com" TargetMode="External"/><Relationship Id="rId4" Type="http://schemas.openxmlformats.org/officeDocument/2006/relationships/hyperlink" Target="MAILTO:jlcamilleri@mail.com" TargetMode="External"/><Relationship Id="rId9" Type="http://schemas.openxmlformats.org/officeDocument/2006/relationships/hyperlink" Target="MAILTO:svet_mifsud@hotmail.com" TargetMode="External"/><Relationship Id="rId14" Type="http://schemas.openxmlformats.org/officeDocument/2006/relationships/hyperlink" Target="MAILTO:tanuzzisons@gmail.com" TargetMode="External"/><Relationship Id="rId22" Type="http://schemas.openxmlformats.org/officeDocument/2006/relationships/hyperlink" Target="MAILTO:jlcamilleri@mail.com" TargetMode="External"/><Relationship Id="rId27" Type="http://schemas.openxmlformats.org/officeDocument/2006/relationships/hyperlink" Target="MAILTO:sales@hc.com.mt" TargetMode="External"/></Relationships>
</file>

<file path=xl/worksheets/_rels/sheet69.xml.rels><?xml version="1.0" encoding="UTF-8" standalone="yes"?>
<Relationships xmlns="http://schemas.openxmlformats.org/package/2006/relationships"><Relationship Id="rId26" Type="http://schemas.openxmlformats.org/officeDocument/2006/relationships/hyperlink" Target="MAILTO:delta_projects@hotmail.com" TargetMode="External"/><Relationship Id="rId21" Type="http://schemas.openxmlformats.org/officeDocument/2006/relationships/hyperlink" Target="MAILTO:contact@kibitec.com" TargetMode="External"/><Relationship Id="rId42" Type="http://schemas.openxmlformats.org/officeDocument/2006/relationships/hyperlink" Target="https://www.google.com/maps/search/?api=1&amp;query=Hardrocks%20Industrial%20Park%2C%0AL%2FO%20Burmarrad%2C%20Malta" TargetMode="External"/><Relationship Id="rId47" Type="http://schemas.openxmlformats.org/officeDocument/2006/relationships/hyperlink" Target="https://www.google.com/maps/search/?api=1&amp;query=64A%2C%20Level%206%2C%20Recency%20House%0ABisazza%20Street%2C%20Sliema%2C%20SLM%201640" TargetMode="External"/><Relationship Id="rId63" Type="http://schemas.openxmlformats.org/officeDocument/2006/relationships/hyperlink" Target="https://fourvcmalta.com/" TargetMode="External"/><Relationship Id="rId68" Type="http://schemas.openxmlformats.org/officeDocument/2006/relationships/hyperlink" Target="https://axconstruction.com.mt/" TargetMode="External"/><Relationship Id="rId84" Type="http://schemas.openxmlformats.org/officeDocument/2006/relationships/hyperlink" Target="https://mbm.com.mt/turnkey-contractor-malta" TargetMode="External"/><Relationship Id="rId89" Type="http://schemas.openxmlformats.org/officeDocument/2006/relationships/hyperlink" Target="https://facebook.com/IMTurnkeyContractors/" TargetMode="External"/><Relationship Id="rId16" Type="http://schemas.openxmlformats.org/officeDocument/2006/relationships/hyperlink" Target="MAILTO:info@agfmalta.com" TargetMode="External"/><Relationship Id="rId11" Type="http://schemas.openxmlformats.org/officeDocument/2006/relationships/hyperlink" Target="MAILTO:aurelia@auraprojects.eu" TargetMode="External"/><Relationship Id="rId32" Type="http://schemas.openxmlformats.org/officeDocument/2006/relationships/hyperlink" Target="MAILTO:mercieca.installations@gmail.com" TargetMode="External"/><Relationship Id="rId37" Type="http://schemas.openxmlformats.org/officeDocument/2006/relationships/hyperlink" Target="https://www.google.com/maps/search/?api=1&amp;query=8%20Triq%20Salvu%20Cacciattolo%20%2C%20Zejtun" TargetMode="External"/><Relationship Id="rId53" Type="http://schemas.openxmlformats.org/officeDocument/2006/relationships/hyperlink" Target="https://www.google.com/maps/search/?api=1&amp;query=A.C.%20Contractors%20Ltd%0A37%2C%20Triq%20L-Imghazel%2C%20Swieqi%0ASWQ%203141%2C%20Malta" TargetMode="External"/><Relationship Id="rId58" Type="http://schemas.openxmlformats.org/officeDocument/2006/relationships/hyperlink" Target="https://www.google.com/maps/search/?api=1&amp;query=Triq%20L-Imdina%2C%0AHaz-Zebbug%2C%20ZBG%209018" TargetMode="External"/><Relationship Id="rId74" Type="http://schemas.openxmlformats.org/officeDocument/2006/relationships/hyperlink" Target="https://aagturnkey.com/" TargetMode="External"/><Relationship Id="rId79" Type="http://schemas.openxmlformats.org/officeDocument/2006/relationships/hyperlink" Target="https://gypsumworksmalta.com/" TargetMode="External"/><Relationship Id="rId5" Type="http://schemas.openxmlformats.org/officeDocument/2006/relationships/hyperlink" Target="MAILTO:info@casacompleta.net" TargetMode="External"/><Relationship Id="rId90" Type="http://schemas.openxmlformats.org/officeDocument/2006/relationships/hyperlink" Target="https://facebook.com/p/ARP-Properties-100030921566866/" TargetMode="External"/><Relationship Id="rId14" Type="http://schemas.openxmlformats.org/officeDocument/2006/relationships/hyperlink" Target="MAILTO:marcofalzon@gmail.com" TargetMode="External"/><Relationship Id="rId22" Type="http://schemas.openxmlformats.org/officeDocument/2006/relationships/hyperlink" Target="MAILTO:tcj@mbm.com.mt" TargetMode="External"/><Relationship Id="rId27" Type="http://schemas.openxmlformats.org/officeDocument/2006/relationships/hyperlink" Target="MAILTO:imturnkeycontractors@gmail.com" TargetMode="External"/><Relationship Id="rId30" Type="http://schemas.openxmlformats.org/officeDocument/2006/relationships/hyperlink" Target="MAILTO:charlesturnkey35@gmail.com" TargetMode="External"/><Relationship Id="rId35" Type="http://schemas.openxmlformats.org/officeDocument/2006/relationships/hyperlink" Target="MAILTO:kbgprojects@hotmail.com" TargetMode="External"/><Relationship Id="rId43" Type="http://schemas.openxmlformats.org/officeDocument/2006/relationships/hyperlink" Target="https://www.google.com/maps/search/?api=1&amp;query=46%20The%20Cottage%20Triq%20Hal%20Dwin%20%2C%0AZebbug%2C%20ZBG%203064%2C%20MT" TargetMode="External"/><Relationship Id="rId48" Type="http://schemas.openxmlformats.org/officeDocument/2006/relationships/hyperlink" Target="https://www.google.com/maps/search/?api=1&amp;query=Fl%202%2C%20Palm%20Street%203%2C%20Paola%2C%20Malta" TargetMode="External"/><Relationship Id="rId56" Type="http://schemas.openxmlformats.org/officeDocument/2006/relationships/hyperlink" Target="https://www.google.com/maps/search/?api=1&amp;query=Triq%20Domenico%20Cachia%2054%0ABirkirkara%2C%20BKR1017%2C%20Malta" TargetMode="External"/><Relationship Id="rId64" Type="http://schemas.openxmlformats.org/officeDocument/2006/relationships/hyperlink" Target="https://wsinstallationsmalta.com/" TargetMode="External"/><Relationship Id="rId69" Type="http://schemas.openxmlformats.org/officeDocument/2006/relationships/hyperlink" Target="https://togetherturnkey.com/" TargetMode="External"/><Relationship Id="rId77" Type="http://schemas.openxmlformats.org/officeDocument/2006/relationships/hyperlink" Target="https://itpmalta.com/" TargetMode="External"/><Relationship Id="rId8" Type="http://schemas.openxmlformats.org/officeDocument/2006/relationships/hyperlink" Target="MAILTO:admin@aaconstructionworks.com" TargetMode="External"/><Relationship Id="rId51" Type="http://schemas.openxmlformats.org/officeDocument/2006/relationships/hyperlink" Target="https://www.google.com/maps/search/?api=1&amp;query=Galine%E2%80%99%2C%20Josmar%20Complex%20Triq%20id-Difiza%20Civili%2C%0AMosta%2C%20Malta%0AMST%201743" TargetMode="External"/><Relationship Id="rId72" Type="http://schemas.openxmlformats.org/officeDocument/2006/relationships/hyperlink" Target="https://yellow.com.mt/trust-projects/turnkey-contractors/" TargetMode="External"/><Relationship Id="rId80" Type="http://schemas.openxmlformats.org/officeDocument/2006/relationships/hyperlink" Target="https://accontractors.eu/" TargetMode="External"/><Relationship Id="rId85" Type="http://schemas.openxmlformats.org/officeDocument/2006/relationships/hyperlink" Target="https://evolve.com.mt/" TargetMode="External"/><Relationship Id="rId3" Type="http://schemas.openxmlformats.org/officeDocument/2006/relationships/hyperlink" Target="MAILTO:norobturnkey@gmail.com" TargetMode="External"/><Relationship Id="rId12" Type="http://schemas.openxmlformats.org/officeDocument/2006/relationships/hyperlink" Target="MAILTO:info@aagturnkey.com" TargetMode="External"/><Relationship Id="rId17" Type="http://schemas.openxmlformats.org/officeDocument/2006/relationships/hyperlink" Target="MAILTO:info@aptc.com.mt" TargetMode="External"/><Relationship Id="rId25" Type="http://schemas.openxmlformats.org/officeDocument/2006/relationships/hyperlink" Target="MAILTO:kenneth@tanti-interiors.com" TargetMode="External"/><Relationship Id="rId33" Type="http://schemas.openxmlformats.org/officeDocument/2006/relationships/hyperlink" Target="MAILTO:info.proactiveinterior@gmail.com" TargetMode="External"/><Relationship Id="rId38" Type="http://schemas.openxmlformats.org/officeDocument/2006/relationships/hyperlink" Target="https://www.google.com/maps/search/?api=1&amp;query=Triq%20San%20Edwardu%2C%20Qormi%2C%20Malta" TargetMode="External"/><Relationship Id="rId46" Type="http://schemas.openxmlformats.org/officeDocument/2006/relationships/hyperlink" Target="https://www.google.com/maps/search/?api=1&amp;query=Trust%20Projects%0ATriq%20it-Torri%20%2C%0AMosta%2C%20Malta" TargetMode="External"/><Relationship Id="rId59" Type="http://schemas.openxmlformats.org/officeDocument/2006/relationships/hyperlink" Target="https://www.google.com/maps/search/?api=1&amp;query=55%2C%20Triq%20Is-Soll%2C%20Santa%20Venera" TargetMode="External"/><Relationship Id="rId67" Type="http://schemas.openxmlformats.org/officeDocument/2006/relationships/hyperlink" Target="https://casacompletamalta.com/" TargetMode="External"/><Relationship Id="rId20" Type="http://schemas.openxmlformats.org/officeDocument/2006/relationships/hyperlink" Target="MAILTO:info@csprojects.com.mt" TargetMode="External"/><Relationship Id="rId41" Type="http://schemas.openxmlformats.org/officeDocument/2006/relationships/hyperlink" Target="https://www.google.com/maps/search/?api=1&amp;query=Triq%20l-Imdina%20Attard" TargetMode="External"/><Relationship Id="rId54" Type="http://schemas.openxmlformats.org/officeDocument/2006/relationships/hyperlink" Target="https://www.google.com/maps/search/?api=1&amp;query=Trejqet%20Isouard%0AMarsa%20MRS%202020%0AMalta" TargetMode="External"/><Relationship Id="rId62" Type="http://schemas.openxmlformats.org/officeDocument/2006/relationships/hyperlink" Target="https://www.google.com/maps/search/?api=1&amp;query=Triq%20Is-Sejba%2C%20L-Imqabba%2C%20Malta" TargetMode="External"/><Relationship Id="rId70" Type="http://schemas.openxmlformats.org/officeDocument/2006/relationships/hyperlink" Target="https://aaconstructionworks.com/" TargetMode="External"/><Relationship Id="rId75" Type="http://schemas.openxmlformats.org/officeDocument/2006/relationships/hyperlink" Target="https://ts-malta.com/" TargetMode="External"/><Relationship Id="rId83" Type="http://schemas.openxmlformats.org/officeDocument/2006/relationships/hyperlink" Target="https://kibitec.com/" TargetMode="External"/><Relationship Id="rId88" Type="http://schemas.openxmlformats.org/officeDocument/2006/relationships/hyperlink" Target="https://yellow.com.mt/delta-projects/turnkey-contractors/" TargetMode="External"/><Relationship Id="rId1" Type="http://schemas.openxmlformats.org/officeDocument/2006/relationships/hyperlink" Target="MAILTO:fourvcltd@gmail.com" TargetMode="External"/><Relationship Id="rId6" Type="http://schemas.openxmlformats.org/officeDocument/2006/relationships/hyperlink" Target="MAILTO:info@axconstruction.mt" TargetMode="External"/><Relationship Id="rId15" Type="http://schemas.openxmlformats.org/officeDocument/2006/relationships/hyperlink" Target="MAILTO:info@itpmalta.com" TargetMode="External"/><Relationship Id="rId23" Type="http://schemas.openxmlformats.org/officeDocument/2006/relationships/hyperlink" Target="MAILTO:info@rsgroup.com.mt" TargetMode="External"/><Relationship Id="rId28" Type="http://schemas.openxmlformats.org/officeDocument/2006/relationships/hyperlink" Target="MAILTO:nickybon84@gmail.com" TargetMode="External"/><Relationship Id="rId36" Type="http://schemas.openxmlformats.org/officeDocument/2006/relationships/hyperlink" Target="MAILTO:hamody.zedan00@gmail.com" TargetMode="External"/><Relationship Id="rId49" Type="http://schemas.openxmlformats.org/officeDocument/2006/relationships/hyperlink" Target="https://www.google.com/maps/search/?api=1&amp;query=Country%20View%2C%20Triq%20Tas-Sriedek%2C%20Mosta" TargetMode="External"/><Relationship Id="rId57" Type="http://schemas.openxmlformats.org/officeDocument/2006/relationships/hyperlink" Target="https://www.google.com/maps/search/?api=1&amp;query=MBM%20Smart-Depot%2C%20Upper%20Cross%20Road%20Marsa%2C%20MRS%201042" TargetMode="External"/><Relationship Id="rId10" Type="http://schemas.openxmlformats.org/officeDocument/2006/relationships/hyperlink" Target="MAILTO:info@trustprojects.com.mt" TargetMode="External"/><Relationship Id="rId31" Type="http://schemas.openxmlformats.org/officeDocument/2006/relationships/hyperlink" Target="MAILTO:joshua@joshuaturnkey.com" TargetMode="External"/><Relationship Id="rId44" Type="http://schemas.openxmlformats.org/officeDocument/2006/relationships/hyperlink" Target="https://www.google.com/maps/search/?api=1&amp;query=St.%20Helen%2C%20Triq%20Caravaggio%2C%20%C4%A6al%20G%C4%A7arg%C4%A7ur%2C%20GHR%201606" TargetMode="External"/><Relationship Id="rId52" Type="http://schemas.openxmlformats.org/officeDocument/2006/relationships/hyperlink" Target="https://www.google.com/maps/search/?api=1&amp;query=APTC%20LTD%20No.%203%20app%201%20MRO%20Frank%20Galea%20Street%20%0AZebbug%2C%20Malta" TargetMode="External"/><Relationship Id="rId60" Type="http://schemas.openxmlformats.org/officeDocument/2006/relationships/hyperlink" Target="https://www.google.com/maps/search/?api=1&amp;query=Valley%20Road%2C%20Msida%20MSD%209022%2C%20Malta" TargetMode="External"/><Relationship Id="rId65" Type="http://schemas.openxmlformats.org/officeDocument/2006/relationships/hyperlink" Target="https://norobinstallations.com/?utm_source=Yellow&amp;utm_medium=Yellow-Website&amp;utm_campaign=Landing-Page" TargetMode="External"/><Relationship Id="rId73" Type="http://schemas.openxmlformats.org/officeDocument/2006/relationships/hyperlink" Target="https://auraprojects.eu/" TargetMode="External"/><Relationship Id="rId78" Type="http://schemas.openxmlformats.org/officeDocument/2006/relationships/hyperlink" Target="https://jslholdingsltd.com/" TargetMode="External"/><Relationship Id="rId81" Type="http://schemas.openxmlformats.org/officeDocument/2006/relationships/hyperlink" Target="https://keycontractors.com.mt/" TargetMode="External"/><Relationship Id="rId86" Type="http://schemas.openxmlformats.org/officeDocument/2006/relationships/hyperlink" Target="https://gcturnkeyprojects.com/" TargetMode="External"/><Relationship Id="rId4" Type="http://schemas.openxmlformats.org/officeDocument/2006/relationships/hyperlink" Target="MAILTO:kitonkeith@gmail.com" TargetMode="External"/><Relationship Id="rId9" Type="http://schemas.openxmlformats.org/officeDocument/2006/relationships/hyperlink" Target="MAILTO:xil@xuerebinstall.com" TargetMode="External"/><Relationship Id="rId13" Type="http://schemas.openxmlformats.org/officeDocument/2006/relationships/hyperlink" Target="MAILTO:info@ts-malta.com" TargetMode="External"/><Relationship Id="rId18" Type="http://schemas.openxmlformats.org/officeDocument/2006/relationships/hyperlink" Target="MAILTO:ac@accontractors.eu" TargetMode="External"/><Relationship Id="rId39" Type="http://schemas.openxmlformats.org/officeDocument/2006/relationships/hyperlink" Target="https://www.google.com/maps/search/?api=1&amp;query=Triq%20John%20Borg%20Zejtun%20ZTN%202077" TargetMode="External"/><Relationship Id="rId34" Type="http://schemas.openxmlformats.org/officeDocument/2006/relationships/hyperlink" Target="MAILTO:mccoloursltd@gmail.com" TargetMode="External"/><Relationship Id="rId50" Type="http://schemas.openxmlformats.org/officeDocument/2006/relationships/hyperlink" Target="https://www.google.com/maps/search/?api=1&amp;query=21a%20Triq%20il-Principessa%20Margerita%20%2C%0AMsida%2C%20Malta%20MSD%201331" TargetMode="External"/><Relationship Id="rId55" Type="http://schemas.openxmlformats.org/officeDocument/2006/relationships/hyperlink" Target="https://www.google.com/maps/search/?api=1&amp;query=CS%20Group%20Limited%0A25%2C%20Triq%20il-MuzikaIklin%2C%20IKL%201091%0AMalta" TargetMode="External"/><Relationship Id="rId76" Type="http://schemas.openxmlformats.org/officeDocument/2006/relationships/hyperlink" Target="https://maltabusinessbook.com/en/directory/listings/4409/concrete-repairs/mark-falzon-construction-malta.htm?utm_source=chatgpt.com" TargetMode="External"/><Relationship Id="rId7" Type="http://schemas.openxmlformats.org/officeDocument/2006/relationships/hyperlink" Target="MAILTO:info@togetherturnkey.com" TargetMode="External"/><Relationship Id="rId71" Type="http://schemas.openxmlformats.org/officeDocument/2006/relationships/hyperlink" Target="https://xuerebinstall.com/" TargetMode="External"/><Relationship Id="rId2" Type="http://schemas.openxmlformats.org/officeDocument/2006/relationships/hyperlink" Target="MAILTO:schembriw45@gmail.com" TargetMode="External"/><Relationship Id="rId29" Type="http://schemas.openxmlformats.org/officeDocument/2006/relationships/hyperlink" Target="MAILTO:info@togetherturnkey.com" TargetMode="External"/><Relationship Id="rId24" Type="http://schemas.openxmlformats.org/officeDocument/2006/relationships/hyperlink" Target="MAILTO:info@gcturnkeyprojects.com" TargetMode="External"/><Relationship Id="rId40" Type="http://schemas.openxmlformats.org/officeDocument/2006/relationships/hyperlink" Target="https://www.google.com/maps/search/?api=1&amp;query=Santa%20Marija%20Flats%2C%20Flt%203%20Triq%20tal-Wej%20%2C%20Mosta%20Malta%20MST%202462" TargetMode="External"/><Relationship Id="rId45" Type="http://schemas.openxmlformats.org/officeDocument/2006/relationships/hyperlink" Target="https://www.google.com/maps/search/?api=1&amp;query=Xuereb%20Installations%20Ltd.%20Tal-Hlas%20Road%2C%20Qormi%20QRM%205011.%20Malt" TargetMode="External"/><Relationship Id="rId66" Type="http://schemas.openxmlformats.org/officeDocument/2006/relationships/hyperlink" Target="https://kitonkeith.wixsite.com/kitoncontractors" TargetMode="External"/><Relationship Id="rId87" Type="http://schemas.openxmlformats.org/officeDocument/2006/relationships/hyperlink" Target="https://tanti-interiors.com/" TargetMode="External"/><Relationship Id="rId61" Type="http://schemas.openxmlformats.org/officeDocument/2006/relationships/hyperlink" Target="https://www.google.com/maps/search/?api=1&amp;query=Delta%20Projects%0ATriq%20Santa%20Marija%20%2C%0ATarxien%2C%20Malta" TargetMode="External"/><Relationship Id="rId82" Type="http://schemas.openxmlformats.org/officeDocument/2006/relationships/hyperlink" Target="https://csgrouplimited.com/" TargetMode="External"/><Relationship Id="rId19" Type="http://schemas.openxmlformats.org/officeDocument/2006/relationships/hyperlink" Target="MAILTO:info@keycontractors.com.mt" TargetMode="External"/></Relationships>
</file>

<file path=xl/worksheets/_rels/sheet70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barbrosgroup.com" TargetMode="External"/><Relationship Id="rId21" Type="http://schemas.openxmlformats.org/officeDocument/2006/relationships/hyperlink" Target="MAILTO:eman.ciantar98@gmail.com" TargetMode="External"/><Relationship Id="rId42" Type="http://schemas.openxmlformats.org/officeDocument/2006/relationships/hyperlink" Target="MAILTO:c.and.g.sant.cont@gmail.com" TargetMode="External"/><Relationship Id="rId47" Type="http://schemas.openxmlformats.org/officeDocument/2006/relationships/hyperlink" Target="MAILTO:info@schranzltd.com" TargetMode="External"/><Relationship Id="rId63" Type="http://schemas.openxmlformats.org/officeDocument/2006/relationships/hyperlink" Target="https://www.google.com/maps/search/?api=1&amp;query=Bonnici%20House%20Sardine%20Street%2C%20Burmarrad%20SPB%206073%20Malta" TargetMode="External"/><Relationship Id="rId68" Type="http://schemas.openxmlformats.org/officeDocument/2006/relationships/hyperlink" Target="https://www.google.com/maps/search/?api=1&amp;query=AGF%20Turnkey%20Contractors%2C%0AGaline%E2%80%99%2C%20Josmar%20Complex%20Triq%20id-Difiza%20Civili%2C%0AMosta%2C%20Malta%2C%20%20MST%201743" TargetMode="External"/><Relationship Id="rId84" Type="http://schemas.openxmlformats.org/officeDocument/2006/relationships/hyperlink" Target="https://www.google.com/maps/search/?api=1&amp;query=Gzira%2C%20Malta" TargetMode="External"/><Relationship Id="rId89" Type="http://schemas.openxmlformats.org/officeDocument/2006/relationships/hyperlink" Target="https://bbconstruction.mt/" TargetMode="External"/><Relationship Id="rId112" Type="http://schemas.openxmlformats.org/officeDocument/2006/relationships/hyperlink" Target="https://facebook.com/sadevelopments/" TargetMode="External"/><Relationship Id="rId16" Type="http://schemas.openxmlformats.org/officeDocument/2006/relationships/hyperlink" Target="MAILTO:info@talkarmnu.com.mt" TargetMode="External"/><Relationship Id="rId107" Type="http://schemas.openxmlformats.org/officeDocument/2006/relationships/hyperlink" Target="https://taclimited.net/?utm_source=Yellow&amp;utm_medium=Yellow-Website&amp;utm_campaign=Landing-Page" TargetMode="External"/><Relationship Id="rId11" Type="http://schemas.openxmlformats.org/officeDocument/2006/relationships/hyperlink" Target="MAILTO:info@ogcw.mt" TargetMode="External"/><Relationship Id="rId32" Type="http://schemas.openxmlformats.org/officeDocument/2006/relationships/hyperlink" Target="MAILTO:info@bgs.com.mt" TargetMode="External"/><Relationship Id="rId37" Type="http://schemas.openxmlformats.org/officeDocument/2006/relationships/hyperlink" Target="MAILTO:jmsconstructionlimited@gmail.com" TargetMode="External"/><Relationship Id="rId53" Type="http://schemas.openxmlformats.org/officeDocument/2006/relationships/hyperlink" Target="MAILTO:kbgprojects@hotmail.com" TargetMode="External"/><Relationship Id="rId58" Type="http://schemas.openxmlformats.org/officeDocument/2006/relationships/hyperlink" Target="https://www.google.com/maps/search/?api=1&amp;query=Hardrocks%20Industrial%20Park%2C%0AL%2FO%20Burmarrad%2C%20Malta" TargetMode="External"/><Relationship Id="rId74" Type="http://schemas.openxmlformats.org/officeDocument/2006/relationships/hyperlink" Target="https://www.google.com/maps/search/?api=1&amp;query=C%20%26%20S%20Services%0AThe%20Orchid%20Triq%20il-Faqqus%20%2C%0AZejtun%2C%20Malta%20ZTN%204420" TargetMode="External"/><Relationship Id="rId79" Type="http://schemas.openxmlformats.org/officeDocument/2006/relationships/hyperlink" Target="https://www.google.com/maps/search/?api=1&amp;query=St.%20Paul%27s%20Bay%2C%20Malta" TargetMode="External"/><Relationship Id="rId102" Type="http://schemas.openxmlformats.org/officeDocument/2006/relationships/hyperlink" Target="https://yellow.com.mt/rs-construction/building-contractors/" TargetMode="External"/><Relationship Id="rId5" Type="http://schemas.openxmlformats.org/officeDocument/2006/relationships/hyperlink" Target="MAILTO:info@vassallogroupmalta.com" TargetMode="External"/><Relationship Id="rId90" Type="http://schemas.openxmlformats.org/officeDocument/2006/relationships/hyperlink" Target="https://vassallogroupmalta.com/construction/" TargetMode="External"/><Relationship Id="rId95" Type="http://schemas.openxmlformats.org/officeDocument/2006/relationships/hyperlink" Target="https://talbidnijademolitions.com/" TargetMode="External"/><Relationship Id="rId22" Type="http://schemas.openxmlformats.org/officeDocument/2006/relationships/hyperlink" Target="MAILTO:thomasazzopardiconstruction@gmail.com" TargetMode="External"/><Relationship Id="rId27" Type="http://schemas.openxmlformats.org/officeDocument/2006/relationships/hyperlink" Target="MAILTO:sadevelopmentsltd@gmail.com" TargetMode="External"/><Relationship Id="rId43" Type="http://schemas.openxmlformats.org/officeDocument/2006/relationships/hyperlink" Target="MAILTO:becky@colbex.my" TargetMode="External"/><Relationship Id="rId48" Type="http://schemas.openxmlformats.org/officeDocument/2006/relationships/hyperlink" Target="MAILTO:loganblakepace@yahoo.com" TargetMode="External"/><Relationship Id="rId64" Type="http://schemas.openxmlformats.org/officeDocument/2006/relationships/hyperlink" Target="https://www.google.com/maps/search/?api=1&amp;query=ELBROS%20GROUP%0AELBROS%E2%80%99%2C%20TRIQ%20L-INDUSTRIJA%2C%20KKP%209042%20MALTA" TargetMode="External"/><Relationship Id="rId69" Type="http://schemas.openxmlformats.org/officeDocument/2006/relationships/hyperlink" Target="https://www.google.com/maps/search/?api=1&amp;query=8%20Triq%20Salvu%20Cacciattolo%20%2C%20Zejtun" TargetMode="External"/><Relationship Id="rId113" Type="http://schemas.openxmlformats.org/officeDocument/2006/relationships/hyperlink" Target="https://zahragroup.com.mt/" TargetMode="External"/><Relationship Id="rId80" Type="http://schemas.openxmlformats.org/officeDocument/2006/relationships/hyperlink" Target="https://www.google.com/maps/search/?api=1&amp;query=Triq%20Mons.%20Mikielang%20Mifsud" TargetMode="External"/><Relationship Id="rId85" Type="http://schemas.openxmlformats.org/officeDocument/2006/relationships/hyperlink" Target="https://www.google.com/maps/search/?api=1&amp;query=Send%20for%20Isla" TargetMode="External"/><Relationship Id="rId12" Type="http://schemas.openxmlformats.org/officeDocument/2006/relationships/hyperlink" Target="MAILTO:info@agfmalta.com" TargetMode="External"/><Relationship Id="rId17" Type="http://schemas.openxmlformats.org/officeDocument/2006/relationships/hyperlink" Target="MAILTO:reu_sacco@hotmail.com" TargetMode="External"/><Relationship Id="rId33" Type="http://schemas.openxmlformats.org/officeDocument/2006/relationships/hyperlink" Target="MAILTO:info@ajfattard.com" TargetMode="External"/><Relationship Id="rId38" Type="http://schemas.openxmlformats.org/officeDocument/2006/relationships/hyperlink" Target="MAILTO:info@jpisanioperationsltd.com" TargetMode="External"/><Relationship Id="rId59" Type="http://schemas.openxmlformats.org/officeDocument/2006/relationships/hyperlink" Target="https://www.google.com/maps/search/?api=1&amp;query=Attard%20Bros.%20Group%2C%20Industrial%20Zone%2C%0ATa%E2%80%99%20Qali%2C%20ATD%204000%2C%20Malta" TargetMode="External"/><Relationship Id="rId103" Type="http://schemas.openxmlformats.org/officeDocument/2006/relationships/hyperlink" Target="https://yellow.com.mt/c-s-services/building-contractors/" TargetMode="External"/><Relationship Id="rId108" Type="http://schemas.openxmlformats.org/officeDocument/2006/relationships/hyperlink" Target="https://leacontractors.com/?utm_source=chatgpt.com" TargetMode="External"/><Relationship Id="rId54" Type="http://schemas.openxmlformats.org/officeDocument/2006/relationships/hyperlink" Target="MAILTO:amatohomeimprovements@gmail.com" TargetMode="External"/><Relationship Id="rId70" Type="http://schemas.openxmlformats.org/officeDocument/2006/relationships/hyperlink" Target="https://www.google.com/maps/search/?api=1&amp;query=81-83%2C%20Triq%20Baskal%20Buhagiar%20%2C%0AMosta" TargetMode="External"/><Relationship Id="rId75" Type="http://schemas.openxmlformats.org/officeDocument/2006/relationships/hyperlink" Target="https://www.google.com/maps/search/?api=1&amp;query=Philip%20Bongailas%0AFarmhouse%20Triq%20tal-Handaq%20Tal-Handaq%20%2C%0AQormi%2C%20Malta%20QRM%204001" TargetMode="External"/><Relationship Id="rId91" Type="http://schemas.openxmlformats.org/officeDocument/2006/relationships/hyperlink" Target="https://vassallogroupmalta.com/construction/" TargetMode="External"/><Relationship Id="rId96" Type="http://schemas.openxmlformats.org/officeDocument/2006/relationships/hyperlink" Target="https://ogcivilworks.com/" TargetMode="External"/><Relationship Id="rId1" Type="http://schemas.openxmlformats.org/officeDocument/2006/relationships/hyperlink" Target="MAILTO:info@axconstruction.mt" TargetMode="External"/><Relationship Id="rId6" Type="http://schemas.openxmlformats.org/officeDocument/2006/relationships/hyperlink" Target="MAILTO:info@bbg.com.mt" TargetMode="External"/><Relationship Id="rId15" Type="http://schemas.openxmlformats.org/officeDocument/2006/relationships/hyperlink" Target="MAILTO:admin@aaconstructionworks.com" TargetMode="External"/><Relationship Id="rId23" Type="http://schemas.openxmlformats.org/officeDocument/2006/relationships/hyperlink" Target="MAILTO:info@leacontractors.com" TargetMode="External"/><Relationship Id="rId28" Type="http://schemas.openxmlformats.org/officeDocument/2006/relationships/hyperlink" Target="MAILTO:joseph@zahraltd.com" TargetMode="External"/><Relationship Id="rId36" Type="http://schemas.openxmlformats.org/officeDocument/2006/relationships/hyperlink" Target="MAILTO:info@farstoneconstruction.com" TargetMode="External"/><Relationship Id="rId49" Type="http://schemas.openxmlformats.org/officeDocument/2006/relationships/hyperlink" Target="MAILTO:marozzmifsud12@gmail.com" TargetMode="External"/><Relationship Id="rId57" Type="http://schemas.openxmlformats.org/officeDocument/2006/relationships/hyperlink" Target="MAILTO:Joshua@joshuaturnkey.com" TargetMode="External"/><Relationship Id="rId106" Type="http://schemas.openxmlformats.org/officeDocument/2006/relationships/hyperlink" Target="https://yellow.com.mt/e-ciantar-construction_building-contractors+siggiewi/" TargetMode="External"/><Relationship Id="rId114" Type="http://schemas.openxmlformats.org/officeDocument/2006/relationships/hyperlink" Target="https://facebook.com/optimaprojectsmalta/" TargetMode="External"/><Relationship Id="rId10" Type="http://schemas.openxmlformats.org/officeDocument/2006/relationships/hyperlink" Target="MAILTO:mariogalea@hotmail.co.uk" TargetMode="External"/><Relationship Id="rId31" Type="http://schemas.openxmlformats.org/officeDocument/2006/relationships/hyperlink" Target="MAILTO:info@fsh.com.mt" TargetMode="External"/><Relationship Id="rId44" Type="http://schemas.openxmlformats.org/officeDocument/2006/relationships/hyperlink" Target="MAILTO:info@talkarmnu.com.mt" TargetMode="External"/><Relationship Id="rId52" Type="http://schemas.openxmlformats.org/officeDocument/2006/relationships/hyperlink" Target="MAILTO:hamody.zedan00@gmail.com" TargetMode="External"/><Relationship Id="rId60" Type="http://schemas.openxmlformats.org/officeDocument/2006/relationships/hyperlink" Target="https://www.google.com/maps/search/?api=1&amp;query=Triq%20Domenico%20Cachia%2054%0ABirkirkara%2C%20BKR1017%2C%20Malta" TargetMode="External"/><Relationship Id="rId65" Type="http://schemas.openxmlformats.org/officeDocument/2006/relationships/hyperlink" Target="https://www.google.com/maps/search/?api=1&amp;query=Tal-Maghtab%20Construction%20Co.%20Ltd.%2C%0ARamla%20Road%2C%0AMaghtab%20l%2Fo%20Naxxar" TargetMode="External"/><Relationship Id="rId73" Type="http://schemas.openxmlformats.org/officeDocument/2006/relationships/hyperlink" Target="https://www.google.com/maps/search/?api=1&amp;query=RS%20Construction%0AClover%2C%20Apt%204%20Triq%20Dun%20Karm%20Psaila%2C%0AZebbug%2C%20Malta" TargetMode="External"/><Relationship Id="rId78" Type="http://schemas.openxmlformats.org/officeDocument/2006/relationships/hyperlink" Target="https://www.google.com/maps/search/?api=1&amp;query=Azzopardi%20Thomas%20Construction%20Ltd%0ATa%E2%80%99%20Menz%20Cottage%20Triq%20il-Gnien%20%2C%0AGharghur%2C%20Malta" TargetMode="External"/><Relationship Id="rId81" Type="http://schemas.openxmlformats.org/officeDocument/2006/relationships/hyperlink" Target="https://www.google.com/maps/search/?api=1&amp;query=API%20CONTRACTORS%0A91%20Triq%20Hal%20Qormi%20%2C%0AHamrun%20HMR%202183" TargetMode="External"/><Relationship Id="rId86" Type="http://schemas.openxmlformats.org/officeDocument/2006/relationships/hyperlink" Target="https://axconstruction.com.mt/" TargetMode="External"/><Relationship Id="rId94" Type="http://schemas.openxmlformats.org/officeDocument/2006/relationships/hyperlink" Target="https://polidano-group.com/home.html" TargetMode="External"/><Relationship Id="rId99" Type="http://schemas.openxmlformats.org/officeDocument/2006/relationships/hyperlink" Target="https://yellow.com.mt/mifsud-brothers/building-contractors/" TargetMode="External"/><Relationship Id="rId101" Type="http://schemas.openxmlformats.org/officeDocument/2006/relationships/hyperlink" Target="https://talkarmnu.com.mt/" TargetMode="External"/><Relationship Id="rId4" Type="http://schemas.openxmlformats.org/officeDocument/2006/relationships/hyperlink" Target="MAILTO:info@bbconstruction.mt" TargetMode="External"/><Relationship Id="rId9" Type="http://schemas.openxmlformats.org/officeDocument/2006/relationships/hyperlink" Target="MAILTO:info@polidano-group.com" TargetMode="External"/><Relationship Id="rId13" Type="http://schemas.openxmlformats.org/officeDocument/2006/relationships/hyperlink" Target="MAILTO:fourvcltd@gmail.com" TargetMode="External"/><Relationship Id="rId18" Type="http://schemas.openxmlformats.org/officeDocument/2006/relationships/hyperlink" Target="MAILTO:Clintonspiteri94@gmail.com" TargetMode="External"/><Relationship Id="rId39" Type="http://schemas.openxmlformats.org/officeDocument/2006/relationships/hyperlink" Target="MAILTO:rubengrima@hotmail.com" TargetMode="External"/><Relationship Id="rId109" Type="http://schemas.openxmlformats.org/officeDocument/2006/relationships/hyperlink" Target="https://mtfbonannoltd.com/" TargetMode="External"/><Relationship Id="rId34" Type="http://schemas.openxmlformats.org/officeDocument/2006/relationships/hyperlink" Target="MAILTO:curmijonathan@gmail.com" TargetMode="External"/><Relationship Id="rId50" Type="http://schemas.openxmlformats.org/officeDocument/2006/relationships/hyperlink" Target="MAILTO:mvxuereb@gmail.com" TargetMode="External"/><Relationship Id="rId55" Type="http://schemas.openxmlformats.org/officeDocument/2006/relationships/hyperlink" Target="MAILTO:camilleri.services@gmail.com" TargetMode="External"/><Relationship Id="rId76" Type="http://schemas.openxmlformats.org/officeDocument/2006/relationships/hyperlink" Target="https://www.google.com/maps/search/?api=1&amp;query=Noel%20Mizzi%0AConstruction%20%26%20Development%0A117%2C%20St%20Joseph%20Street%2C%0APaola" TargetMode="External"/><Relationship Id="rId97" Type="http://schemas.openxmlformats.org/officeDocument/2006/relationships/hyperlink" Target="https://jslholdingsltd.com/" TargetMode="External"/><Relationship Id="rId104" Type="http://schemas.openxmlformats.org/officeDocument/2006/relationships/hyperlink" Target="https://yellow.com.mt/philip-bongailas/building-contractors/" TargetMode="External"/><Relationship Id="rId7" Type="http://schemas.openxmlformats.org/officeDocument/2006/relationships/hyperlink" Target="MAILTO:info@elbros.com.mt" TargetMode="External"/><Relationship Id="rId71" Type="http://schemas.openxmlformats.org/officeDocument/2006/relationships/hyperlink" Target="https://www.google.com/maps/search/?api=1&amp;query=AA%20Construction%20Works%0ASt.%20Helen%2C%20Triq%20Caravaggion%2C%20%C4%A6al%20G%C4%A7arg%C4%A7ur" TargetMode="External"/><Relationship Id="rId92" Type="http://schemas.openxmlformats.org/officeDocument/2006/relationships/hyperlink" Target="https://elbros.com.mt/" TargetMode="External"/><Relationship Id="rId2" Type="http://schemas.openxmlformats.org/officeDocument/2006/relationships/hyperlink" Target="MAILTO:info@attardbros.com" TargetMode="External"/><Relationship Id="rId29" Type="http://schemas.openxmlformats.org/officeDocument/2006/relationships/hyperlink" Target="MAILTO:info@optimaprojects.mt" TargetMode="External"/><Relationship Id="rId24" Type="http://schemas.openxmlformats.org/officeDocument/2006/relationships/hyperlink" Target="MAILTO:info@mtfbonannoltd.com" TargetMode="External"/><Relationship Id="rId40" Type="http://schemas.openxmlformats.org/officeDocument/2006/relationships/hyperlink" Target="MAILTO:ndbalzan@gmail.com" TargetMode="External"/><Relationship Id="rId45" Type="http://schemas.openxmlformats.org/officeDocument/2006/relationships/hyperlink" Target="MAILTO:properties@mna.com.mt" TargetMode="External"/><Relationship Id="rId66" Type="http://schemas.openxmlformats.org/officeDocument/2006/relationships/hyperlink" Target="https://www.google.com/maps/search/?api=1&amp;query=Hal-Farrug%20Road%2C%20Luqa%2C%20LQA%203078" TargetMode="External"/><Relationship Id="rId87" Type="http://schemas.openxmlformats.org/officeDocument/2006/relationships/hyperlink" Target="https://attardbros.com/" TargetMode="External"/><Relationship Id="rId110" Type="http://schemas.openxmlformats.org/officeDocument/2006/relationships/hyperlink" Target="https://facebook.com/profile.php?id=100064105449582&amp;utm_source=Yellow&amp;utm_medium=Yellow-Website&amp;utm_campaign=Landing-Page" TargetMode="External"/><Relationship Id="rId115" Type="http://schemas.openxmlformats.org/officeDocument/2006/relationships/hyperlink" Target="https://facebook.com/profile.php?id=100083372109614" TargetMode="External"/><Relationship Id="rId61" Type="http://schemas.openxmlformats.org/officeDocument/2006/relationships/hyperlink" Target="https://www.google.com/maps/search/?api=1&amp;query=B%26B%20Construction%20Ltd.%0ATriq%20il-Kappella%20ta%E2%80%99%20Santa%20Marija%2C%20Mag%C4%A7tab%20L%2FO%20Naxxar%2C%0ANXR6510%2C%20Malta" TargetMode="External"/><Relationship Id="rId82" Type="http://schemas.openxmlformats.org/officeDocument/2006/relationships/hyperlink" Target="https://www.google.com/maps/search/?api=1&amp;query=Barbros%20Group%2C%20Tal-Barrani%20Road%2C%20%C5%BBejtun%2C%20%C5%BBTN%209022%2C%20Malta" TargetMode="External"/><Relationship Id="rId19" Type="http://schemas.openxmlformats.org/officeDocument/2006/relationships/hyperlink" Target="MAILTO:bobli2@hotmail.com" TargetMode="External"/><Relationship Id="rId14" Type="http://schemas.openxmlformats.org/officeDocument/2006/relationships/hyperlink" Target="MAILTO:mifsudbros@hotmail.com" TargetMode="External"/><Relationship Id="rId30" Type="http://schemas.openxmlformats.org/officeDocument/2006/relationships/hyperlink" Target="MAILTO:info@brandprojectsltd.com" TargetMode="External"/><Relationship Id="rId35" Type="http://schemas.openxmlformats.org/officeDocument/2006/relationships/hyperlink" Target="MAILTO:executiveprojectsltd@gmail.com" TargetMode="External"/><Relationship Id="rId56" Type="http://schemas.openxmlformats.org/officeDocument/2006/relationships/hyperlink" Target="MAILTO:info@pisaniconstruction.com" TargetMode="External"/><Relationship Id="rId77" Type="http://schemas.openxmlformats.org/officeDocument/2006/relationships/hyperlink" Target="https://www.google.com/maps/search/?api=1&amp;query=E.Ciantar%20Construction%0ATriq%20Guzeppi%20Busuttil%20%2C%0ASiggiewi%2C%20Malta" TargetMode="External"/><Relationship Id="rId100" Type="http://schemas.openxmlformats.org/officeDocument/2006/relationships/hyperlink" Target="https://aaconstructionworks.com/?utm_source=Yellow&amp;utm_medium=Yellow-Website&amp;utm_campaign=Landing-Page" TargetMode="External"/><Relationship Id="rId105" Type="http://schemas.openxmlformats.org/officeDocument/2006/relationships/hyperlink" Target="https://noelmizzi.com/?utm_source=Yellow&amp;utm_medium=Yellow-Website&amp;utm_campaign=Landing-Page" TargetMode="External"/><Relationship Id="rId8" Type="http://schemas.openxmlformats.org/officeDocument/2006/relationships/hyperlink" Target="MAILTO:info@tmc.com.mt" TargetMode="External"/><Relationship Id="rId51" Type="http://schemas.openxmlformats.org/officeDocument/2006/relationships/hyperlink" Target="MAILTO:info@taboneconstructionworks.com" TargetMode="External"/><Relationship Id="rId72" Type="http://schemas.openxmlformats.org/officeDocument/2006/relationships/hyperlink" Target="https://www.google.com/maps/search/?api=1&amp;query=578%2C%20The%20Four%20Seasons%2C%20Triq%20Il-Qaliet%2C%20Marsaskala" TargetMode="External"/><Relationship Id="rId93" Type="http://schemas.openxmlformats.org/officeDocument/2006/relationships/hyperlink" Target="https://tmc.com.mt/" TargetMode="External"/><Relationship Id="rId98" Type="http://schemas.openxmlformats.org/officeDocument/2006/relationships/hyperlink" Target="https://fourvcmalta.com/?utm_source=Yellow&amp;utm_medium=Yellow-Website&amp;utm_campaign=Landing-Page" TargetMode="External"/><Relationship Id="rId3" Type="http://schemas.openxmlformats.org/officeDocument/2006/relationships/hyperlink" Target="MAILTO:contact@kibitec.com" TargetMode="External"/><Relationship Id="rId25" Type="http://schemas.openxmlformats.org/officeDocument/2006/relationships/hyperlink" Target="MAILTO:apicontractors@gmail.com" TargetMode="External"/><Relationship Id="rId46" Type="http://schemas.openxmlformats.org/officeDocument/2006/relationships/hyperlink" Target="MAILTO:justconstructionworks@gmail.com" TargetMode="External"/><Relationship Id="rId67" Type="http://schemas.openxmlformats.org/officeDocument/2006/relationships/hyperlink" Target="https://www.google.com/maps/search/?api=1&amp;query=Swietenia%20Triq%20il-Bdiewa%20Bidnija%0AMosta%0AMST%205073" TargetMode="External"/><Relationship Id="rId20" Type="http://schemas.openxmlformats.org/officeDocument/2006/relationships/hyperlink" Target="MAILTO:noelmizzi1976@gmail.com" TargetMode="External"/><Relationship Id="rId41" Type="http://schemas.openxmlformats.org/officeDocument/2006/relationships/hyperlink" Target="MAILTO:cvbrgroup@gmail.com" TargetMode="External"/><Relationship Id="rId62" Type="http://schemas.openxmlformats.org/officeDocument/2006/relationships/hyperlink" Target="https://www.google.com/maps/search/?api=1&amp;query=The%20Three%20Arches%0AValletta%20Road%0AMosta.%20MST%209016" TargetMode="External"/><Relationship Id="rId83" Type="http://schemas.openxmlformats.org/officeDocument/2006/relationships/hyperlink" Target="https://www.google.com/maps/search/?api=1&amp;query=Zahra%20Group%2C%20Siggiewi%20Road%20MQB%201630%20Ta%27%20Kandja%2C%20Malta" TargetMode="External"/><Relationship Id="rId88" Type="http://schemas.openxmlformats.org/officeDocument/2006/relationships/hyperlink" Target="https://kibitec.com/" TargetMode="External"/><Relationship Id="rId111" Type="http://schemas.openxmlformats.org/officeDocument/2006/relationships/hyperlink" Target="https://barbrosgroup.com/" TargetMode="External"/></Relationships>
</file>

<file path=xl/worksheets/_rels/sheet71.xml.rels><?xml version="1.0" encoding="UTF-8" standalone="yes"?>
<Relationships xmlns="http://schemas.openxmlformats.org/package/2006/relationships"><Relationship Id="rId26" Type="http://schemas.openxmlformats.org/officeDocument/2006/relationships/hyperlink" Target="MAILTO:caruanareuben@hotmail.co.uk" TargetMode="External"/><Relationship Id="rId21" Type="http://schemas.openxmlformats.org/officeDocument/2006/relationships/hyperlink" Target="MAILTO:info@aggroup.com.mt" TargetMode="External"/><Relationship Id="rId42" Type="http://schemas.openxmlformats.org/officeDocument/2006/relationships/hyperlink" Target="MAILTO:massimo_oliverio@hotmail.co.uk" TargetMode="External"/><Relationship Id="rId47" Type="http://schemas.openxmlformats.org/officeDocument/2006/relationships/hyperlink" Target="MAILTO:kevinzammit1@hotmail.com" TargetMode="External"/><Relationship Id="rId63" Type="http://schemas.openxmlformats.org/officeDocument/2006/relationships/hyperlink" Target="MAILTO:ropeaccess77@gmail.com" TargetMode="External"/><Relationship Id="rId68" Type="http://schemas.openxmlformats.org/officeDocument/2006/relationships/hyperlink" Target="MAILTO:jasontabone@hotmail.com" TargetMode="External"/><Relationship Id="rId84" Type="http://schemas.openxmlformats.org/officeDocument/2006/relationships/hyperlink" Target="https://www.google.com/maps/search/?api=1&amp;query=64%2C%20Triq%20Is-Sajjied%2C%20Qawra" TargetMode="External"/><Relationship Id="rId89" Type="http://schemas.openxmlformats.org/officeDocument/2006/relationships/hyperlink" Target="https://www.google.com/maps/search/?api=1&amp;query=118%2C%20Crystal%20Heart%2C%20Triq%20Ignazio%20Saverio%20Mifsud%2C%20Birkirkara" TargetMode="External"/><Relationship Id="rId16" Type="http://schemas.openxmlformats.org/officeDocument/2006/relationships/hyperlink" Target="MAILTO:clint22@live.com" TargetMode="External"/><Relationship Id="rId11" Type="http://schemas.openxmlformats.org/officeDocument/2006/relationships/hyperlink" Target="MAILTO:info@mcemalta.com" TargetMode="External"/><Relationship Id="rId32" Type="http://schemas.openxmlformats.org/officeDocument/2006/relationships/hyperlink" Target="MAILTO:info@smeagroup.com" TargetMode="External"/><Relationship Id="rId37" Type="http://schemas.openxmlformats.org/officeDocument/2006/relationships/hyperlink" Target="MAILTO:db.installationsltd@outlook.com" TargetMode="External"/><Relationship Id="rId53" Type="http://schemas.openxmlformats.org/officeDocument/2006/relationships/hyperlink" Target="MAILTO:clifford.callus@gmail.com" TargetMode="External"/><Relationship Id="rId58" Type="http://schemas.openxmlformats.org/officeDocument/2006/relationships/hyperlink" Target="MAILTO:marco@marcovella.com" TargetMode="External"/><Relationship Id="rId74" Type="http://schemas.openxmlformats.org/officeDocument/2006/relationships/hyperlink" Target="MAILTO:ea.solutions@hotmail.com" TargetMode="External"/><Relationship Id="rId79" Type="http://schemas.openxmlformats.org/officeDocument/2006/relationships/hyperlink" Target="MAILTO:claudioventa27@gmail.com" TargetMode="External"/><Relationship Id="rId102" Type="http://schemas.openxmlformats.org/officeDocument/2006/relationships/hyperlink" Target="https://fbpmalta.com/" TargetMode="External"/><Relationship Id="rId5" Type="http://schemas.openxmlformats.org/officeDocument/2006/relationships/hyperlink" Target="MAILTO:info@engenuity.com.mt" TargetMode="External"/><Relationship Id="rId90" Type="http://schemas.openxmlformats.org/officeDocument/2006/relationships/hyperlink" Target="https://www.google.com/maps/search/?api=1&amp;query=65%2C%20Villa%20Vellas%2C%20Triq%20Dun%20Gorg%20Preca%2C%20Il-Hamrun" TargetMode="External"/><Relationship Id="rId95" Type="http://schemas.openxmlformats.org/officeDocument/2006/relationships/hyperlink" Target="https://www.google.com/maps/search/?api=1&amp;query=32%2C%20Triq%20il-Battaljun%2C%20Mosta%2C%20Malta%20MST%202721" TargetMode="External"/><Relationship Id="rId22" Type="http://schemas.openxmlformats.org/officeDocument/2006/relationships/hyperlink" Target="MAILTO:kitonkeith@gmail.com" TargetMode="External"/><Relationship Id="rId27" Type="http://schemas.openxmlformats.org/officeDocument/2006/relationships/hyperlink" Target="MAILTO:sayca.malta@gmail.com" TargetMode="External"/><Relationship Id="rId43" Type="http://schemas.openxmlformats.org/officeDocument/2006/relationships/hyperlink" Target="MAILTO:syphase@gmail.com" TargetMode="External"/><Relationship Id="rId48" Type="http://schemas.openxmlformats.org/officeDocument/2006/relationships/hyperlink" Target="MAILTO:azzopaaron@gmail.com" TargetMode="External"/><Relationship Id="rId64" Type="http://schemas.openxmlformats.org/officeDocument/2006/relationships/hyperlink" Target="MAILTO:api101069@gmail.com" TargetMode="External"/><Relationship Id="rId69" Type="http://schemas.openxmlformats.org/officeDocument/2006/relationships/hyperlink" Target="MAILTO:info@mcimalta.com" TargetMode="External"/><Relationship Id="rId80" Type="http://schemas.openxmlformats.org/officeDocument/2006/relationships/hyperlink" Target="MAILTO:info@abs.mt" TargetMode="External"/><Relationship Id="rId85" Type="http://schemas.openxmlformats.org/officeDocument/2006/relationships/hyperlink" Target="https://www.google.com/maps/search/?api=1&amp;query=41%2C%20Triq%20Anglu%20Mallia%2C%20Birkirkara" TargetMode="External"/><Relationship Id="rId12" Type="http://schemas.openxmlformats.org/officeDocument/2006/relationships/hyperlink" Target="MAILTO:aaron.sil.zammit@gmail.com" TargetMode="External"/><Relationship Id="rId17" Type="http://schemas.openxmlformats.org/officeDocument/2006/relationships/hyperlink" Target="MAILTO:cristalbath@onvol.net" TargetMode="External"/><Relationship Id="rId25" Type="http://schemas.openxmlformats.org/officeDocument/2006/relationships/hyperlink" Target="MAILTO:bdi@contractor.net" TargetMode="External"/><Relationship Id="rId33" Type="http://schemas.openxmlformats.org/officeDocument/2006/relationships/hyperlink" Target="MAILTO:taddeobonnici@gmail.com" TargetMode="External"/><Relationship Id="rId38" Type="http://schemas.openxmlformats.org/officeDocument/2006/relationships/hyperlink" Target="MAILTO:noel.psaila@gmail.com" TargetMode="External"/><Relationship Id="rId46" Type="http://schemas.openxmlformats.org/officeDocument/2006/relationships/hyperlink" Target="MAILTO:yellowphase@gmail.com" TargetMode="External"/><Relationship Id="rId59" Type="http://schemas.openxmlformats.org/officeDocument/2006/relationships/hyperlink" Target="MAILTO:info@chi.com.mt" TargetMode="External"/><Relationship Id="rId67" Type="http://schemas.openxmlformats.org/officeDocument/2006/relationships/hyperlink" Target="MAILTO:plumber.malta@gmail.com" TargetMode="External"/><Relationship Id="rId103" Type="http://schemas.openxmlformats.org/officeDocument/2006/relationships/hyperlink" Target="https://egrechcristalbath.com/en/home.htm" TargetMode="External"/><Relationship Id="rId20" Type="http://schemas.openxmlformats.org/officeDocument/2006/relationships/hyperlink" Target="MAILTO:jtabone@jti.com.mt" TargetMode="External"/><Relationship Id="rId41" Type="http://schemas.openxmlformats.org/officeDocument/2006/relationships/hyperlink" Target="MAILTO:falzon9903@gmail.com" TargetMode="External"/><Relationship Id="rId54" Type="http://schemas.openxmlformats.org/officeDocument/2006/relationships/hyperlink" Target="MAILTO:neiltaboneinstallations@gmail.com" TargetMode="External"/><Relationship Id="rId62" Type="http://schemas.openxmlformats.org/officeDocument/2006/relationships/hyperlink" Target="MAILTO:danastasi.rt@outlook.com" TargetMode="External"/><Relationship Id="rId70" Type="http://schemas.openxmlformats.org/officeDocument/2006/relationships/hyperlink" Target="MAILTO:jevgatt@gmail.com" TargetMode="External"/><Relationship Id="rId75" Type="http://schemas.openxmlformats.org/officeDocument/2006/relationships/hyperlink" Target="MAILTO:info@emiliohandyman.com" TargetMode="External"/><Relationship Id="rId83" Type="http://schemas.openxmlformats.org/officeDocument/2006/relationships/hyperlink" Target="https://www.google.com/maps/search/?api=1&amp;query=45%2C%20Mirage%20HSE%2C%20Triq%20Santu%20Rokku%2C%20Il-Mosta" TargetMode="External"/><Relationship Id="rId88" Type="http://schemas.openxmlformats.org/officeDocument/2006/relationships/hyperlink" Target="https://www.google.com/maps/search/?api=1&amp;query=Creta%27%2C%20Dawret%20Hal%20Ghaxaq%2C%20Hal%20Ghaxaq" TargetMode="External"/><Relationship Id="rId91" Type="http://schemas.openxmlformats.org/officeDocument/2006/relationships/hyperlink" Target="https://www.google.com/maps/search/?api=1&amp;query=Pergola%2C%20Triq%20Salvu%20Buhagiar%2C%20Bella%20Vista%2C%20Marsaskala%2C%20Malta" TargetMode="External"/><Relationship Id="rId96" Type="http://schemas.openxmlformats.org/officeDocument/2006/relationships/hyperlink" Target="https://www.google.com/maps/search/?api=1&amp;query=Triq%20Tommaso%20Dingli%20%2C%0AB%E2%80%99Kara%2C%20Malta" TargetMode="External"/><Relationship Id="rId1" Type="http://schemas.openxmlformats.org/officeDocument/2006/relationships/hyperlink" Target="MAILTO:louvassallo@onvol.net" TargetMode="External"/><Relationship Id="rId6" Type="http://schemas.openxmlformats.org/officeDocument/2006/relationships/hyperlink" Target="MAILTO:info@bonicci.com" TargetMode="External"/><Relationship Id="rId15" Type="http://schemas.openxmlformats.org/officeDocument/2006/relationships/hyperlink" Target="MAILTO:info@fbpmalta.com" TargetMode="External"/><Relationship Id="rId23" Type="http://schemas.openxmlformats.org/officeDocument/2006/relationships/hyperlink" Target="MAILTO:stefan@a1holdings.eu" TargetMode="External"/><Relationship Id="rId28" Type="http://schemas.openxmlformats.org/officeDocument/2006/relationships/hyperlink" Target="MAILTO:mltproworks@gmail.com" TargetMode="External"/><Relationship Id="rId36" Type="http://schemas.openxmlformats.org/officeDocument/2006/relationships/hyperlink" Target="MAILTO:acelectric79@gmail.com" TargetMode="External"/><Relationship Id="rId49" Type="http://schemas.openxmlformats.org/officeDocument/2006/relationships/hyperlink" Target="MAILTO:micor.installations@gmail.com" TargetMode="External"/><Relationship Id="rId57" Type="http://schemas.openxmlformats.org/officeDocument/2006/relationships/hyperlink" Target="MAILTO:info@emprojectsmalta.com" TargetMode="External"/><Relationship Id="rId10" Type="http://schemas.openxmlformats.org/officeDocument/2006/relationships/hyperlink" Target="MAILTO:kevin@cobrainstallations.com" TargetMode="External"/><Relationship Id="rId31" Type="http://schemas.openxmlformats.org/officeDocument/2006/relationships/hyperlink" Target="MAILTO:jpc590@hotmail.com" TargetMode="External"/><Relationship Id="rId44" Type="http://schemas.openxmlformats.org/officeDocument/2006/relationships/hyperlink" Target="MAILTO:kevin@cobrainstallations.com" TargetMode="External"/><Relationship Id="rId52" Type="http://schemas.openxmlformats.org/officeDocument/2006/relationships/hyperlink" Target="MAILTO:lexlexinstallation@gmail.com" TargetMode="External"/><Relationship Id="rId60" Type="http://schemas.openxmlformats.org/officeDocument/2006/relationships/hyperlink" Target="MAILTO:demicolijo@gmail.com" TargetMode="External"/><Relationship Id="rId65" Type="http://schemas.openxmlformats.org/officeDocument/2006/relationships/hyperlink" Target="MAILTO:anda@maltanet.net" TargetMode="External"/><Relationship Id="rId73" Type="http://schemas.openxmlformats.org/officeDocument/2006/relationships/hyperlink" Target="MAILTO:kurtbservices@gmail.com" TargetMode="External"/><Relationship Id="rId78" Type="http://schemas.openxmlformats.org/officeDocument/2006/relationships/hyperlink" Target="MAILTO:harryc1@go.net.mt" TargetMode="External"/><Relationship Id="rId81" Type="http://schemas.openxmlformats.org/officeDocument/2006/relationships/hyperlink" Target="MAILTO:frankamore.plumber@gmail.com" TargetMode="External"/><Relationship Id="rId86" Type="http://schemas.openxmlformats.org/officeDocument/2006/relationships/hyperlink" Target="https://www.google.com/maps/search/?api=1&amp;query=Moonshadow%2C%20Triq%20Santa%20Margerita%2C%20Is-Siggiewi" TargetMode="External"/><Relationship Id="rId94" Type="http://schemas.openxmlformats.org/officeDocument/2006/relationships/hyperlink" Target="https://www.google.com/maps/search/?api=1&amp;query=Cawsli%20Court%2C%20Flt%204%2C%20Triq%20L-Imdina%2C%20Hal%20Qormi%2C%20Malta" TargetMode="External"/><Relationship Id="rId99" Type="http://schemas.openxmlformats.org/officeDocument/2006/relationships/hyperlink" Target="https://www.google.com/maps/search/?api=1&amp;query=E.%20Grech%20Cristal%20Bath%20Ltd.%0APsaila%20Street%2C%0ABirkirkara%2C%20BKR9076%20Malta" TargetMode="External"/><Relationship Id="rId101" Type="http://schemas.openxmlformats.org/officeDocument/2006/relationships/hyperlink" Target="https://melcromalta.com/" TargetMode="External"/><Relationship Id="rId4" Type="http://schemas.openxmlformats.org/officeDocument/2006/relationships/hyperlink" Target="MAILTO:info@melcromalta.com" TargetMode="External"/><Relationship Id="rId9" Type="http://schemas.openxmlformats.org/officeDocument/2006/relationships/hyperlink" Target="MAILTO:colinfarrugia.eps@gmail.com" TargetMode="External"/><Relationship Id="rId13" Type="http://schemas.openxmlformats.org/officeDocument/2006/relationships/hyperlink" Target="MAILTO:danastasi.rt@outlook.com" TargetMode="External"/><Relationship Id="rId18" Type="http://schemas.openxmlformats.org/officeDocument/2006/relationships/hyperlink" Target="MAILTO:alex@gad.com.mt" TargetMode="External"/><Relationship Id="rId39" Type="http://schemas.openxmlformats.org/officeDocument/2006/relationships/hyperlink" Target="MAILTO:jasontabone@hotmail.com" TargetMode="External"/><Relationship Id="rId34" Type="http://schemas.openxmlformats.org/officeDocument/2006/relationships/hyperlink" Target="MAILTO:abinstallationsbyformosa@gmail.com" TargetMode="External"/><Relationship Id="rId50" Type="http://schemas.openxmlformats.org/officeDocument/2006/relationships/hyperlink" Target="MAILTO:jamesmanicolo87@gmail.com" TargetMode="External"/><Relationship Id="rId55" Type="http://schemas.openxmlformats.org/officeDocument/2006/relationships/hyperlink" Target="MAILTO:taddeobonnici@gmail.com" TargetMode="External"/><Relationship Id="rId76" Type="http://schemas.openxmlformats.org/officeDocument/2006/relationships/hyperlink" Target="MAILTO:gleinstallations@gmail.com" TargetMode="External"/><Relationship Id="rId97" Type="http://schemas.openxmlformats.org/officeDocument/2006/relationships/hyperlink" Target="https://www.google.com/maps/search/?api=1&amp;query=139%2C%20Bajada%20Street%2C%20Zabbar%2C%20Malta" TargetMode="External"/><Relationship Id="rId104" Type="http://schemas.openxmlformats.org/officeDocument/2006/relationships/hyperlink" Target="https://gad.com.mt/" TargetMode="External"/><Relationship Id="rId7" Type="http://schemas.openxmlformats.org/officeDocument/2006/relationships/hyperlink" Target="mailto:jasontabone@hotmail.com/Facebook" TargetMode="External"/><Relationship Id="rId71" Type="http://schemas.openxmlformats.org/officeDocument/2006/relationships/hyperlink" Target="MAILTO:keithvella90@gmail.com" TargetMode="External"/><Relationship Id="rId92" Type="http://schemas.openxmlformats.org/officeDocument/2006/relationships/hyperlink" Target="https://www.google.com/maps/search/?api=1&amp;query=13%2C%20St%20Helen%20House%2C%20Triq%20Il-Kapuccini%2C%20San%20Gwann%2C%20Malta" TargetMode="External"/><Relationship Id="rId2" Type="http://schemas.openxmlformats.org/officeDocument/2006/relationships/hyperlink" Target="mailto:gfaenza@gmail.com/Facebook" TargetMode="External"/><Relationship Id="rId29" Type="http://schemas.openxmlformats.org/officeDocument/2006/relationships/hyperlink" Target="MAILTO:Info@PrimeSolutionsMalta.com" TargetMode="External"/><Relationship Id="rId24" Type="http://schemas.openxmlformats.org/officeDocument/2006/relationships/hyperlink" Target="MAILTO:info@aask.com.mt" TargetMode="External"/><Relationship Id="rId40" Type="http://schemas.openxmlformats.org/officeDocument/2006/relationships/hyperlink" Target="MAILTO:mkmicallef@gmail.com" TargetMode="External"/><Relationship Id="rId45" Type="http://schemas.openxmlformats.org/officeDocument/2006/relationships/hyperlink" Target="MAILTO:felixservices@gmail.com" TargetMode="External"/><Relationship Id="rId66" Type="http://schemas.openxmlformats.org/officeDocument/2006/relationships/hyperlink" Target="MAILTO:aboutpipes@hotmail.com" TargetMode="External"/><Relationship Id="rId87" Type="http://schemas.openxmlformats.org/officeDocument/2006/relationships/hyperlink" Target="https://www.google.com/maps/search/?api=1&amp;query=Triq%20Tal-Hlas%2C%20Hal%20Qormi" TargetMode="External"/><Relationship Id="rId61" Type="http://schemas.openxmlformats.org/officeDocument/2006/relationships/hyperlink" Target="MAILTO:ilenia@actsmart.com.mt" TargetMode="External"/><Relationship Id="rId82" Type="http://schemas.openxmlformats.org/officeDocument/2006/relationships/hyperlink" Target="MAILTO:toolboxsolutionss@gmail.com" TargetMode="External"/><Relationship Id="rId19" Type="http://schemas.openxmlformats.org/officeDocument/2006/relationships/hyperlink" Target="MAILTO:info@centralpower.com.mt" TargetMode="External"/><Relationship Id="rId14" Type="http://schemas.openxmlformats.org/officeDocument/2006/relationships/hyperlink" Target="MAILTO:falzonjonathan17@gmail.com" TargetMode="External"/><Relationship Id="rId30" Type="http://schemas.openxmlformats.org/officeDocument/2006/relationships/hyperlink" Target="MAILTO:massimo.aquilina28@gmail.com" TargetMode="External"/><Relationship Id="rId35" Type="http://schemas.openxmlformats.org/officeDocument/2006/relationships/hyperlink" Target="MAILTO:simonelectrodes@yahoo.com" TargetMode="External"/><Relationship Id="rId56" Type="http://schemas.openxmlformats.org/officeDocument/2006/relationships/hyperlink" Target="MAILTO:deguarajonathan@gmail.com" TargetMode="External"/><Relationship Id="rId77" Type="http://schemas.openxmlformats.org/officeDocument/2006/relationships/hyperlink" Target="MAILTO:kspiteri197@gmail.com" TargetMode="External"/><Relationship Id="rId100" Type="http://schemas.openxmlformats.org/officeDocument/2006/relationships/hyperlink" Target="https://www.google.com/maps/search/?api=1&amp;query=GAD%20Finishings%0A21%2C%20Triq%20Gellewza%20Sewda%2C%0AMidland%20Park%2C%20D7%0ABurmarrad%20Road%2C%20Burmarrad%20LO%20Naxxar%0AMalta" TargetMode="External"/><Relationship Id="rId8" Type="http://schemas.openxmlformats.org/officeDocument/2006/relationships/hyperlink" Target="mailto:info@rvcltd.com.mt/" TargetMode="External"/><Relationship Id="rId51" Type="http://schemas.openxmlformats.org/officeDocument/2006/relationships/hyperlink" Target="MAILTO:plum.eng.pz@gmail.com" TargetMode="External"/><Relationship Id="rId72" Type="http://schemas.openxmlformats.org/officeDocument/2006/relationships/hyperlink" Target="MAILTO:matthewfarrugiainstallations@gmail.com" TargetMode="External"/><Relationship Id="rId93" Type="http://schemas.openxmlformats.org/officeDocument/2006/relationships/hyperlink" Target="https://www.google.com/maps/search/?api=1&amp;query=MCE%20House%2C%20Triq%20L-Industrija%2C%20Qormi%2C%20Malta" TargetMode="External"/><Relationship Id="rId98" Type="http://schemas.openxmlformats.org/officeDocument/2006/relationships/hyperlink" Target="https://www.google.com/maps/search/?api=1&amp;query=%2F" TargetMode="External"/><Relationship Id="rId3" Type="http://schemas.openxmlformats.org/officeDocument/2006/relationships/hyperlink" Target="MAILTO:info@mcimalta.com" TargetMode="External"/></Relationships>
</file>

<file path=xl/worksheets/_rels/sheet72.xml.rels><?xml version="1.0" encoding="UTF-8" standalone="yes"?>
<Relationships xmlns="http://schemas.openxmlformats.org/package/2006/relationships"><Relationship Id="rId13" Type="http://schemas.openxmlformats.org/officeDocument/2006/relationships/hyperlink" Target="MAILTO:projects@glow.com.mt" TargetMode="External"/><Relationship Id="rId18" Type="http://schemas.openxmlformats.org/officeDocument/2006/relationships/hyperlink" Target="MAILTO:orders@ledlightsmalta.com" TargetMode="External"/><Relationship Id="rId26" Type="http://schemas.openxmlformats.org/officeDocument/2006/relationships/hyperlink" Target="https://www.google.com/maps/search/?api=1&amp;query=Baldacchino%20Building%20B%2C%20Triq%20Il-Belt%20Valletta%2C%20Zurrieq" TargetMode="External"/><Relationship Id="rId39" Type="http://schemas.openxmlformats.org/officeDocument/2006/relationships/hyperlink" Target="https://www.google.com/maps/search/?api=1&amp;query=Escoupe%20Court%2C%0ABasement%20Garage%20No.%208%2C%0ATriq%20Anton%20Inglott%2C%0AMsida%0AMSD1180" TargetMode="External"/><Relationship Id="rId21" Type="http://schemas.openxmlformats.org/officeDocument/2006/relationships/hyperlink" Target="MAILTO:info@elektra.com.mt" TargetMode="External"/><Relationship Id="rId34" Type="http://schemas.openxmlformats.org/officeDocument/2006/relationships/hyperlink" Target="https://www.google.com/maps/search/?api=1&amp;query=235%2C%20Burmarrad%20Rd%2C%20Burmarrad%2C%20SPB%209062-Malta" TargetMode="External"/><Relationship Id="rId42" Type="http://schemas.openxmlformats.org/officeDocument/2006/relationships/hyperlink" Target="https://spotonmalta.com/" TargetMode="External"/><Relationship Id="rId47" Type="http://schemas.openxmlformats.org/officeDocument/2006/relationships/hyperlink" Target="https://vct.com.mt/" TargetMode="External"/><Relationship Id="rId50" Type="http://schemas.openxmlformats.org/officeDocument/2006/relationships/hyperlink" Target="https://glsmalta.com/?page_id=78" TargetMode="External"/><Relationship Id="rId55" Type="http://schemas.openxmlformats.org/officeDocument/2006/relationships/hyperlink" Target="https://ess.com.mt/home/contact" TargetMode="External"/><Relationship Id="rId63" Type="http://schemas.openxmlformats.org/officeDocument/2006/relationships/hyperlink" Target="https://yellow.com.mt/i-m-l-electrical-supplies-ltd/light-shops/" TargetMode="External"/><Relationship Id="rId7" Type="http://schemas.openxmlformats.org/officeDocument/2006/relationships/hyperlink" Target="MAILTO:sales@lingonberries.eu" TargetMode="External"/><Relationship Id="rId2" Type="http://schemas.openxmlformats.org/officeDocument/2006/relationships/hyperlink" Target="MAILTO:sales@shaker.com.mt" TargetMode="External"/><Relationship Id="rId16" Type="http://schemas.openxmlformats.org/officeDocument/2006/relationships/hyperlink" Target="MAILTO:webshop@calleja.com.mt" TargetMode="External"/><Relationship Id="rId29" Type="http://schemas.openxmlformats.org/officeDocument/2006/relationships/hyperlink" Target="https://www.google.com/maps/search/?api=1&amp;query=The%20Lightshop%2C%0A68%2C%20Naxxar%20Road%2C%20Birkirkara%2C%0ABKR%209048%2C%20Malta" TargetMode="External"/><Relationship Id="rId11" Type="http://schemas.openxmlformats.org/officeDocument/2006/relationships/hyperlink" Target="MAILTO:pjelectricalandhardware@gmail.com" TargetMode="External"/><Relationship Id="rId24" Type="http://schemas.openxmlformats.org/officeDocument/2006/relationships/hyperlink" Target="MAILTO:chrisbltd1@gmail.com" TargetMode="External"/><Relationship Id="rId32" Type="http://schemas.openxmlformats.org/officeDocument/2006/relationships/hyperlink" Target="https://www.google.com/maps/search/?api=1&amp;query=Salvu%20Psaila%20Street%2C%20Birkirkara" TargetMode="External"/><Relationship Id="rId37" Type="http://schemas.openxmlformats.org/officeDocument/2006/relationships/hyperlink" Target="https://www.google.com/maps/search/?api=1&amp;query=31%2C%20Bishop%20Labini%20Street%2C%20B%27Kara%20BKR%201270%20Malta" TargetMode="External"/><Relationship Id="rId40" Type="http://schemas.openxmlformats.org/officeDocument/2006/relationships/hyperlink" Target="https://maltadiy.com/product-category/lights-and-tech/lights/" TargetMode="External"/><Relationship Id="rId45" Type="http://schemas.openxmlformats.org/officeDocument/2006/relationships/hyperlink" Target="https://luxonas.com/" TargetMode="External"/><Relationship Id="rId53" Type="http://schemas.openxmlformats.org/officeDocument/2006/relationships/hyperlink" Target="https://rgalternatives.com/en/contact/index.html" TargetMode="External"/><Relationship Id="rId58" Type="http://schemas.openxmlformats.org/officeDocument/2006/relationships/hyperlink" Target="https://illumitechmalta.com/pages/contact" TargetMode="External"/><Relationship Id="rId5" Type="http://schemas.openxmlformats.org/officeDocument/2006/relationships/hyperlink" Target="MAILTO:sales@lightshopmalta.com" TargetMode="External"/><Relationship Id="rId61" Type="http://schemas.openxmlformats.org/officeDocument/2006/relationships/hyperlink" Target="https://hydrolectric.com.mt/contact/" TargetMode="External"/><Relationship Id="rId19" Type="http://schemas.openxmlformats.org/officeDocument/2006/relationships/hyperlink" Target="MAILTO:info@brightersolutions.com.mt" TargetMode="External"/><Relationship Id="rId14" Type="http://schemas.openxmlformats.org/officeDocument/2006/relationships/hyperlink" Target="MAILTO:info@transientmalta.com" TargetMode="External"/><Relationship Id="rId22" Type="http://schemas.openxmlformats.org/officeDocument/2006/relationships/hyperlink" Target="MAILTO:info@farrugia.com.mt" TargetMode="External"/><Relationship Id="rId27" Type="http://schemas.openxmlformats.org/officeDocument/2006/relationships/hyperlink" Target="https://www.google.com/maps/search/?api=1&amp;query=3%2C%20Triq%20il%20Gibjun%2C%20San%20Gwann%2C%20SGN%20052%2C%20Malta" TargetMode="External"/><Relationship Id="rId30" Type="http://schemas.openxmlformats.org/officeDocument/2006/relationships/hyperlink" Target="https://www.google.com/maps/search/?api=1&amp;query=Triq%20L-Mdina%2C%20Haz-Zebbug%2C%20ZBG09018" TargetMode="External"/><Relationship Id="rId35" Type="http://schemas.openxmlformats.org/officeDocument/2006/relationships/hyperlink" Target="https://www.google.com/maps/search/?api=1&amp;query=179%2C%20Marina%20Street%2C%20Piet%C3%A0%2C%20Malta" TargetMode="External"/><Relationship Id="rId43" Type="http://schemas.openxmlformats.org/officeDocument/2006/relationships/hyperlink" Target="https://facebook.com/solealighting" TargetMode="External"/><Relationship Id="rId48" Type="http://schemas.openxmlformats.org/officeDocument/2006/relationships/hyperlink" Target="https://lds.com.mt/" TargetMode="External"/><Relationship Id="rId56" Type="http://schemas.openxmlformats.org/officeDocument/2006/relationships/hyperlink" Target="https://ledlightsmalta.com/index.php?route=information/contact" TargetMode="External"/><Relationship Id="rId8" Type="http://schemas.openxmlformats.org/officeDocument/2006/relationships/hyperlink" Target="MAILTO:info@ajelectric.com.mt" TargetMode="External"/><Relationship Id="rId51" Type="http://schemas.openxmlformats.org/officeDocument/2006/relationships/hyperlink" Target="https://glow.com.mt/" TargetMode="External"/><Relationship Id="rId3" Type="http://schemas.openxmlformats.org/officeDocument/2006/relationships/hyperlink" Target="MAILTO:info@spotonmalta.com" TargetMode="External"/><Relationship Id="rId12" Type="http://schemas.openxmlformats.org/officeDocument/2006/relationships/hyperlink" Target="MAILTO:info@glsmalta.com" TargetMode="External"/><Relationship Id="rId17" Type="http://schemas.openxmlformats.org/officeDocument/2006/relationships/hyperlink" Target="MAILTO:contactus@ess.com.mt" TargetMode="External"/><Relationship Id="rId25" Type="http://schemas.openxmlformats.org/officeDocument/2006/relationships/hyperlink" Target="MAILTO:sales@imlelectric.com" TargetMode="External"/><Relationship Id="rId33" Type="http://schemas.openxmlformats.org/officeDocument/2006/relationships/hyperlink" Target="https://www.google.com/maps/search/?api=1&amp;query=Triq%20Dun%20Gorg%20Fiteni%0ANaxxar%2C%20NXR%201122%2C%20Malta" TargetMode="External"/><Relationship Id="rId38" Type="http://schemas.openxmlformats.org/officeDocument/2006/relationships/hyperlink" Target="https://www.google.com/maps/search/?api=1&amp;query=Zone%204%2C%20Central%20Business%20District%2C%20Triq%20San%20Gwakkin%2C%20Birkirkara%20CBD%204030" TargetMode="External"/><Relationship Id="rId46" Type="http://schemas.openxmlformats.org/officeDocument/2006/relationships/hyperlink" Target="https://lingonberries.mt/" TargetMode="External"/><Relationship Id="rId59" Type="http://schemas.openxmlformats.org/officeDocument/2006/relationships/hyperlink" Target="https://elektra.com.mt/contact-us/" TargetMode="External"/><Relationship Id="rId20" Type="http://schemas.openxmlformats.org/officeDocument/2006/relationships/hyperlink" Target="MAILTO:info@illumitechmalta.com" TargetMode="External"/><Relationship Id="rId41" Type="http://schemas.openxmlformats.org/officeDocument/2006/relationships/hyperlink" Target="https://shaker.com.mt/" TargetMode="External"/><Relationship Id="rId54" Type="http://schemas.openxmlformats.org/officeDocument/2006/relationships/hyperlink" Target="https://calleja.com.mt/contact/" TargetMode="External"/><Relationship Id="rId62" Type="http://schemas.openxmlformats.org/officeDocument/2006/relationships/hyperlink" Target="https://yellow.com.mt/sbl-lighting-solutions/light-shops/" TargetMode="External"/><Relationship Id="rId1" Type="http://schemas.openxmlformats.org/officeDocument/2006/relationships/hyperlink" Target="MAILTO:sales@maltadiy.com" TargetMode="External"/><Relationship Id="rId6" Type="http://schemas.openxmlformats.org/officeDocument/2006/relationships/hyperlink" Target="MAILTO:info@luxonas.com" TargetMode="External"/><Relationship Id="rId15" Type="http://schemas.openxmlformats.org/officeDocument/2006/relationships/hyperlink" Target="MAILTO:info@rgalternatives.com" TargetMode="External"/><Relationship Id="rId23" Type="http://schemas.openxmlformats.org/officeDocument/2006/relationships/hyperlink" Target="MAILTO:info@hydrolectric.com.mt" TargetMode="External"/><Relationship Id="rId28" Type="http://schemas.openxmlformats.org/officeDocument/2006/relationships/hyperlink" Target="https://www.google.com/maps/search/?api=1&amp;query=102%20Palm%20Street%2C%0APLA1414%20Paola%20MALTA." TargetMode="External"/><Relationship Id="rId36" Type="http://schemas.openxmlformats.org/officeDocument/2006/relationships/hyperlink" Target="https://www.google.com/maps/search/?api=1&amp;query=LTC%20LED%20Lighting%20%0ASt%20Paul%20Street%2C%0ANaxxar%2C%20NXR%204016%0AMalta" TargetMode="External"/><Relationship Id="rId49" Type="http://schemas.openxmlformats.org/officeDocument/2006/relationships/hyperlink" Target="https://pjelectricmalta.com/" TargetMode="External"/><Relationship Id="rId57" Type="http://schemas.openxmlformats.org/officeDocument/2006/relationships/hyperlink" Target="https://brightersolutions.com.mt/contact/" TargetMode="External"/><Relationship Id="rId10" Type="http://schemas.openxmlformats.org/officeDocument/2006/relationships/hyperlink" Target="MAILTO:info@lds.com.mt" TargetMode="External"/><Relationship Id="rId31" Type="http://schemas.openxmlformats.org/officeDocument/2006/relationships/hyperlink" Target="https://www.google.com/maps/search/?api=1&amp;query=27%20Triq%20Wignacourt%2C%20Birkirkara" TargetMode="External"/><Relationship Id="rId44" Type="http://schemas.openxmlformats.org/officeDocument/2006/relationships/hyperlink" Target="https://lightshopmalta.com/en/shop/webshop/bycategory/937/name/asc/9/1/lighting.htm" TargetMode="External"/><Relationship Id="rId52" Type="http://schemas.openxmlformats.org/officeDocument/2006/relationships/hyperlink" Target="https://transientmalta.com/contact-us/" TargetMode="External"/><Relationship Id="rId60" Type="http://schemas.openxmlformats.org/officeDocument/2006/relationships/hyperlink" Target="https://findit.com.mt/en/directory/listings/8817/farrugia-lighting-andamp-interiors-malta.htm?utm_source=chatgpt.com" TargetMode="External"/><Relationship Id="rId4" Type="http://schemas.openxmlformats.org/officeDocument/2006/relationships/hyperlink" Target="MAILTO:info@solealighting.com" TargetMode="External"/><Relationship Id="rId9" Type="http://schemas.openxmlformats.org/officeDocument/2006/relationships/hyperlink" Target="MAILTO:info@vct.com.mt" TargetMode="External"/></Relationships>
</file>

<file path=xl/worksheets/_rels/sheet73.xml.rels><?xml version="1.0" encoding="UTF-8" standalone="yes"?>
<Relationships xmlns="http://schemas.openxmlformats.org/package/2006/relationships"><Relationship Id="rId13" Type="http://schemas.openxmlformats.org/officeDocument/2006/relationships/hyperlink" Target="MAILTO:maescaffolding@gmail.com" TargetMode="External"/><Relationship Id="rId18" Type="http://schemas.openxmlformats.org/officeDocument/2006/relationships/hyperlink" Target="MAILTO:info@agius.com.mt" TargetMode="External"/><Relationship Id="rId26" Type="http://schemas.openxmlformats.org/officeDocument/2006/relationships/hyperlink" Target="https://www.google.com/maps/search/?api=1&amp;query=Siggiewi%20Road%2C%20%C5%BBebbu%C4%A1%2C%20ZBG%202301" TargetMode="External"/><Relationship Id="rId39" Type="http://schemas.openxmlformats.org/officeDocument/2006/relationships/hyperlink" Target="https://mbfmalta.com/" TargetMode="External"/><Relationship Id="rId21" Type="http://schemas.openxmlformats.org/officeDocument/2006/relationships/hyperlink" Target="https://www.google.com/maps/search/?api=1&amp;query=Zone%201%2C%20Central%20Business%20District%2C%20Triq%20l-Imdina%2C%20Birkirkara%2C%20CBD%201010" TargetMode="External"/><Relationship Id="rId34" Type="http://schemas.openxmlformats.org/officeDocument/2006/relationships/hyperlink" Target="https://www.google.com/maps/search/?api=1&amp;query=M4%20Shopping%20Complex%20Triq%20il-Linja%20%2C%0AAttard%2C%20Malta%20ATD%201234" TargetMode="External"/><Relationship Id="rId42" Type="http://schemas.openxmlformats.org/officeDocument/2006/relationships/hyperlink" Target="https://multitrademalta.com/" TargetMode="External"/><Relationship Id="rId7" Type="http://schemas.openxmlformats.org/officeDocument/2006/relationships/hyperlink" Target="MAILTO:info@ptrmachinery.com" TargetMode="External"/><Relationship Id="rId2" Type="http://schemas.openxmlformats.org/officeDocument/2006/relationships/hyperlink" Target="MAILTO:info@makaw.com.mt" TargetMode="External"/><Relationship Id="rId16" Type="http://schemas.openxmlformats.org/officeDocument/2006/relationships/hyperlink" Target="MAILTO:arawconstructions@gmail.com" TargetMode="External"/><Relationship Id="rId29" Type="http://schemas.openxmlformats.org/officeDocument/2006/relationships/hyperlink" Target="https://www.google.com/maps/search/?api=1&amp;query=Merhba%20Triq%20I-Istefanotis%2CSta%20Lucija%2CMalta%20SLC%201810" TargetMode="External"/><Relationship Id="rId1" Type="http://schemas.openxmlformats.org/officeDocument/2006/relationships/hyperlink" Target="MAILTO:info@matrixscaffolding.com" TargetMode="External"/><Relationship Id="rId6" Type="http://schemas.openxmlformats.org/officeDocument/2006/relationships/hyperlink" Target="MAILTO:sslscaffolding@gmail.com" TargetMode="External"/><Relationship Id="rId11" Type="http://schemas.openxmlformats.org/officeDocument/2006/relationships/hyperlink" Target="MAILTO:superior.malta@gmail.com" TargetMode="External"/><Relationship Id="rId24" Type="http://schemas.openxmlformats.org/officeDocument/2006/relationships/hyperlink" Target="https://www.google.com/maps/search/?api=1&amp;query=159%2C%20Triq%20Annibale%20Preca%2C%20%C4%A6al%20Lija" TargetMode="External"/><Relationship Id="rId32" Type="http://schemas.openxmlformats.org/officeDocument/2006/relationships/hyperlink" Target="https://www.google.com/maps/search/?api=1&amp;query=c%2Fo%20M%20Space%20Triq%20Oscar%20Zammit%20%2C%0AMsida%2C%20Malta%20MSD%201280" TargetMode="External"/><Relationship Id="rId37" Type="http://schemas.openxmlformats.org/officeDocument/2006/relationships/hyperlink" Target="https://makawscaffolding.com/" TargetMode="External"/><Relationship Id="rId40" Type="http://schemas.openxmlformats.org/officeDocument/2006/relationships/hyperlink" Target="https://scaffoldingsystemltd.com/" TargetMode="External"/><Relationship Id="rId45" Type="http://schemas.openxmlformats.org/officeDocument/2006/relationships/hyperlink" Target="https://facebook.com/GBTMalta/%0aSuggest%20update" TargetMode="External"/><Relationship Id="rId5" Type="http://schemas.openxmlformats.org/officeDocument/2006/relationships/hyperlink" Target="MAILTO:info@mbfmalta.com" TargetMode="External"/><Relationship Id="rId15" Type="http://schemas.openxmlformats.org/officeDocument/2006/relationships/hyperlink" Target="MAILTO:bty@go.net.mt" TargetMode="External"/><Relationship Id="rId23" Type="http://schemas.openxmlformats.org/officeDocument/2006/relationships/hyperlink" Target="https://www.google.com/maps/search/?api=1&amp;query=70%2C%20Riviera%20Court%2F2%2C%20Triq%20Forrest%2C%20San%20%C4%A0iljan%2C%20STJ%202032" TargetMode="External"/><Relationship Id="rId28" Type="http://schemas.openxmlformats.org/officeDocument/2006/relationships/hyperlink" Target="https://www.google.com/maps/search/?api=1&amp;query=61%2C%20Triq%20Santa%20Liberata%2C%20Il-Kalkara%2C%20Malta" TargetMode="External"/><Relationship Id="rId36" Type="http://schemas.openxmlformats.org/officeDocument/2006/relationships/hyperlink" Target="https://matrixscaffolding.com/" TargetMode="External"/><Relationship Id="rId10" Type="http://schemas.openxmlformats.org/officeDocument/2006/relationships/hyperlink" Target="MAILTO:info@farrugiagroup.com" TargetMode="External"/><Relationship Id="rId19" Type="http://schemas.openxmlformats.org/officeDocument/2006/relationships/hyperlink" Target="https://www.google.com/maps/search/?api=1&amp;query=Young%20Vella%20Estates%2C%20Plot%204-5%2C%20Triq%20Tal-Handaq%2C%20Handaq%2C%20Qormi%2C%20QRM4000" TargetMode="External"/><Relationship Id="rId31" Type="http://schemas.openxmlformats.org/officeDocument/2006/relationships/hyperlink" Target="https://www.google.com/maps/search/?api=1&amp;query=Our%20Dream%20Triq%20in-Nutar%20Zarb%20%2C%0AAttard%2C%20Malta%20ATD%209041" TargetMode="External"/><Relationship Id="rId44" Type="http://schemas.openxmlformats.org/officeDocument/2006/relationships/hyperlink" Target="https://facebook.com/people/MAE-scaffolding/100054415933841/%0aSuggest%20update" TargetMode="External"/><Relationship Id="rId4" Type="http://schemas.openxmlformats.org/officeDocument/2006/relationships/hyperlink" Target="MAILTO:info@vassallogroupmalta.com" TargetMode="External"/><Relationship Id="rId9" Type="http://schemas.openxmlformats.org/officeDocument/2006/relationships/hyperlink" Target="MAILTO:sales@rigscaffolding.com.mt" TargetMode="External"/><Relationship Id="rId14" Type="http://schemas.openxmlformats.org/officeDocument/2006/relationships/hyperlink" Target="MAILTO:gbt@onvol.net" TargetMode="External"/><Relationship Id="rId22" Type="http://schemas.openxmlformats.org/officeDocument/2006/relationships/hyperlink" Target="https://www.google.com/maps/search/?api=1&amp;query=Mosta%2C%20Malta" TargetMode="External"/><Relationship Id="rId27" Type="http://schemas.openxmlformats.org/officeDocument/2006/relationships/hyperlink" Target="https://www.google.com/maps/search/?api=1&amp;query=Malta" TargetMode="External"/><Relationship Id="rId30" Type="http://schemas.openxmlformats.org/officeDocument/2006/relationships/hyperlink" Target="https://www.google.com/maps/search/?api=1&amp;query=Triq%20tal-Gallu%20%2CFgura%2CMalta%20FGR%201114" TargetMode="External"/><Relationship Id="rId35" Type="http://schemas.openxmlformats.org/officeDocument/2006/relationships/hyperlink" Target="https://www.google.com/maps/search/?api=1&amp;query=Triq%20il-Belt%20Valletta%20%2C%0AMqabba%2C%20Malta%20MQB%209019" TargetMode="External"/><Relationship Id="rId43" Type="http://schemas.openxmlformats.org/officeDocument/2006/relationships/hyperlink" Target="https://farrugiagroup.com/" TargetMode="External"/><Relationship Id="rId8" Type="http://schemas.openxmlformats.org/officeDocument/2006/relationships/hyperlink" Target="MAILTO:info@multitrademalta.com" TargetMode="External"/><Relationship Id="rId3" Type="http://schemas.openxmlformats.org/officeDocument/2006/relationships/hyperlink" Target="MAILTO:reucal01@gmail.com" TargetMode="External"/><Relationship Id="rId12" Type="http://schemas.openxmlformats.org/officeDocument/2006/relationships/hyperlink" Target="MAILTO:josephcutajar8@gmail.com" TargetMode="External"/><Relationship Id="rId17" Type="http://schemas.openxmlformats.org/officeDocument/2006/relationships/hyperlink" Target="MAILTO:nfo@access.com.mt" TargetMode="External"/><Relationship Id="rId25" Type="http://schemas.openxmlformats.org/officeDocument/2006/relationships/hyperlink" Target="https://www.google.com/maps/search/?api=1&amp;query=riq%20il-Gargir%2C%20Rabat%2C%20RBT%204638" TargetMode="External"/><Relationship Id="rId33" Type="http://schemas.openxmlformats.org/officeDocument/2006/relationships/hyperlink" Target="https://www.google.com/maps/search/?api=1&amp;query=15a%20Triq%20Tonin%20Mallia%20Vernon%20%2C%0AXewkija-Gozo%2C%20Gozo%20XWK%202502" TargetMode="External"/><Relationship Id="rId38" Type="http://schemas.openxmlformats.org/officeDocument/2006/relationships/hyperlink" Target="https://vassallogroupmalta.com/" TargetMode="External"/><Relationship Id="rId46" Type="http://schemas.openxmlformats.org/officeDocument/2006/relationships/hyperlink" Target="https://btytrading.com/" TargetMode="External"/><Relationship Id="rId20" Type="http://schemas.openxmlformats.org/officeDocument/2006/relationships/hyperlink" Target="https://www.google.com/maps/search/?api=1&amp;query=%3A%20The%20Warehouse%2C%20Triq%20Hal-Gharghur%2C%20Birkirkara%2C%20BKR%202903" TargetMode="External"/><Relationship Id="rId41" Type="http://schemas.openxmlformats.org/officeDocument/2006/relationships/hyperlink" Target="https://ptrmachinery.com/" TargetMode="External"/></Relationships>
</file>

<file path=xl/worksheets/_rels/sheet7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Malta%20Design%0A33%20Triq%20l-Oleandru%20%2C%0ASan%20Giljan%2C%20Malta" TargetMode="External"/><Relationship Id="rId13" Type="http://schemas.openxmlformats.org/officeDocument/2006/relationships/hyperlink" Target="https://malta-design.com/en/57007-pergolas" TargetMode="External"/><Relationship Id="rId3" Type="http://schemas.openxmlformats.org/officeDocument/2006/relationships/hyperlink" Target="MAILTO:sales@malta-design.com" TargetMode="External"/><Relationship Id="rId7"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/><Relationship Id="rId12" Type="http://schemas.openxmlformats.org/officeDocument/2006/relationships/hyperlink" Target="https://dv.mt/" TargetMode="External"/><Relationship Id="rId2" Type="http://schemas.openxmlformats.org/officeDocument/2006/relationships/hyperlink" Target="MAILTO:info@devalier.com.mt" TargetMode="External"/><Relationship Id="rId1" Type="http://schemas.openxmlformats.org/officeDocument/2006/relationships/hyperlink" Target="MAILTO:info@devalier.com.mt" TargetMode="External"/><Relationship Id="rId6"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/><Relationship Id="rId11" Type="http://schemas.openxmlformats.org/officeDocument/2006/relationships/hyperlink" Target="https://dv.mt/" TargetMode="External"/><Relationship Id="rId5" Type="http://schemas.openxmlformats.org/officeDocument/2006/relationships/hyperlink" Target="MAILTO:sales@dimech-ent.com" TargetMode="External"/><Relationship Id="rId15" Type="http://schemas.openxmlformats.org/officeDocument/2006/relationships/hyperlink" Target="https://dimech-ent.com/" TargetMode="External"/><Relationship Id="rId10" Type="http://schemas.openxmlformats.org/officeDocument/2006/relationships/hyperlink" Target="https://www.google.com/maps/search/?api=1&amp;query=Triq%20Valletta%2C%20Luqa%2C%20Malta" TargetMode="External"/><Relationship Id="rId4" Type="http://schemas.openxmlformats.org/officeDocument/2006/relationships/hyperlink" Target="MAILTO:info@linkprojects.com.mt" TargetMode="External"/><Relationship Id="rId9" Type="http://schemas.openxmlformats.org/officeDocument/2006/relationships/hyperlink" Target="https://www.google.com/maps/search/?api=1&amp;query=70%2C%20Ta%27%20Xbiex%20Seafront%20%2C%20Msida%2C%20Malta" TargetMode="External"/><Relationship Id="rId14" Type="http://schemas.openxmlformats.org/officeDocument/2006/relationships/hyperlink" Target="https://linkprojects.com.mt/" TargetMode="External"/></Relationships>
</file>

<file path=xl/worksheets/_rels/sheet7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sptechniques.com" TargetMode="External"/><Relationship Id="rId299" Type="http://schemas.openxmlformats.org/officeDocument/2006/relationships/hyperlink" Target="https://sfdoorstyle.com.mt/" TargetMode="External"/><Relationship Id="rId21" Type="http://schemas.openxmlformats.org/officeDocument/2006/relationships/hyperlink" Target="MAILTO:info@nkwoodworks.com" TargetMode="External"/><Relationship Id="rId63" Type="http://schemas.openxmlformats.org/officeDocument/2006/relationships/hyperlink" Target="MAILTO:info@acmamalta.com" TargetMode="External"/><Relationship Id="rId159" Type="http://schemas.openxmlformats.org/officeDocument/2006/relationships/hyperlink" Target="https://www.google.com/maps/search/?api=1&amp;query=162%20Cannon%20Road%2C%20Santa%20Venera%2C%20Malta" TargetMode="External"/><Relationship Id="rId324" Type="http://schemas.openxmlformats.org/officeDocument/2006/relationships/hyperlink" Target="https://facebook.com/people/CDS-Aluminium-work/100064086582054/" TargetMode="External"/><Relationship Id="rId170" Type="http://schemas.openxmlformats.org/officeDocument/2006/relationships/hyperlink" Target="https://www.google.com/maps/search/?api=1&amp;query=GGX%200021%20Qasam%20Industrijali%2C%20Xewkija-Gozo" TargetMode="External"/><Relationship Id="rId226" Type="http://schemas.openxmlformats.org/officeDocument/2006/relationships/hyperlink" Target="https://www.google.com/maps/search/?api=1&amp;query=A%2042%20Qasam%20Industrijali%2C%20Marsa" TargetMode="External"/><Relationship Id="rId268" Type="http://schemas.openxmlformats.org/officeDocument/2006/relationships/hyperlink" Target="https://sfdoorstyles.com.mt/" TargetMode="External"/><Relationship Id="rId32" Type="http://schemas.openxmlformats.org/officeDocument/2006/relationships/hyperlink" Target="MAILTO:stakterinacons@outlook.com" TargetMode="External"/><Relationship Id="rId74" Type="http://schemas.openxmlformats.org/officeDocument/2006/relationships/hyperlink" Target="MAILTO:cdsaluminium@gmail.com" TargetMode="External"/><Relationship Id="rId128" Type="http://schemas.openxmlformats.org/officeDocument/2006/relationships/hyperlink" Target="https://www.google.com/maps/search/?api=1&amp;query=Showroom%2026%2C%20Triq%20Haz-Zabbar%2C%20Paola%2C%20Malta" TargetMode="External"/><Relationship Id="rId335" Type="http://schemas.openxmlformats.org/officeDocument/2006/relationships/hyperlink" Target="https://expressaluminium.com/" TargetMode="External"/><Relationship Id="rId5" Type="http://schemas.openxmlformats.org/officeDocument/2006/relationships/hyperlink" Target="MAILTO:info@aluagemalta.com" TargetMode="External"/><Relationship Id="rId181" Type="http://schemas.openxmlformats.org/officeDocument/2006/relationships/hyperlink" Target="https://www.google.com/maps/search/?api=1&amp;query=Garage%2025%20Tal-Barrani%20Industrial%20Estate%20Triq%20il-Belt%20Valletta%2C%20Ghaxaq" TargetMode="External"/><Relationship Id="rId237" Type="http://schemas.openxmlformats.org/officeDocument/2006/relationships/hyperlink" Target="https://www.google.com/maps/search/?api=1&amp;query=Garage%2023%20Triq%20il-Bizzilla%2C%20Ghaxaq" TargetMode="External"/><Relationship Id="rId279" Type="http://schemas.openxmlformats.org/officeDocument/2006/relationships/hyperlink" Target="https://masterwoodmalta.net/" TargetMode="External"/><Relationship Id="rId43" Type="http://schemas.openxmlformats.org/officeDocument/2006/relationships/hyperlink" Target="MAILTO:parus984@gmail.com" TargetMode="External"/><Relationship Id="rId139" Type="http://schemas.openxmlformats.org/officeDocument/2006/relationships/hyperlink" Target="https://www.google.com/maps/search/?api=1&amp;query=8%20Garra%2C%20Is-Swieqi" TargetMode="External"/><Relationship Id="rId290" Type="http://schemas.openxmlformats.org/officeDocument/2006/relationships/hyperlink" Target="https://kbstructuresltd.com/" TargetMode="External"/><Relationship Id="rId304" Type="http://schemas.openxmlformats.org/officeDocument/2006/relationships/hyperlink" Target="https://nicholas.mt/" TargetMode="External"/><Relationship Id="rId346" Type="http://schemas.openxmlformats.org/officeDocument/2006/relationships/hyperlink" Target="https://jamarmalta.com/" TargetMode="External"/><Relationship Id="rId85" Type="http://schemas.openxmlformats.org/officeDocument/2006/relationships/hyperlink" Target="MAILTO:info@dinglialuminium.com" TargetMode="External"/><Relationship Id="rId150" Type="http://schemas.openxmlformats.org/officeDocument/2006/relationships/hyperlink" Target="https://www.google.com/maps/search/?api=1&amp;query=106%2C%20Qasam%20Industrijali%20Ta%27%20Hal-Farrug%2C%20Hal%20Luqa%2C%20Hal%20Farrug%2C%20Malta" TargetMode="External"/><Relationship Id="rId192" Type="http://schemas.openxmlformats.org/officeDocument/2006/relationships/hyperlink" Target="https://www.google.com/maps/search/?api=1&amp;query=BLB%20010C%20Qasam%20Industrijali%2C%20Bulebel%2C%20Zejtun" TargetMode="External"/><Relationship Id="rId206" Type="http://schemas.openxmlformats.org/officeDocument/2006/relationships/hyperlink" Target="https://www.google.com/maps/search/?api=1&amp;query=3%20Triq%20Manwel%20Borg%20Gauci%2C%20Qormi" TargetMode="External"/><Relationship Id="rId248" Type="http://schemas.openxmlformats.org/officeDocument/2006/relationships/hyperlink" Target="https://www.google.com/maps/search/?api=1&amp;query=F18%2C%20Lower%20Level%20Midland%20Industrial%20Oark%20Triq%20Burmarrad%2C%20Naxxar" TargetMode="External"/><Relationship Id="rId12" Type="http://schemas.openxmlformats.org/officeDocument/2006/relationships/hyperlink" Target="MAILTO:info@pvc.com.mt" TargetMode="External"/><Relationship Id="rId108" Type="http://schemas.openxmlformats.org/officeDocument/2006/relationships/hyperlink" Target="MAILTO:info@nigeldimech.com" TargetMode="External"/><Relationship Id="rId315" Type="http://schemas.openxmlformats.org/officeDocument/2006/relationships/hyperlink" Target="https://acmamalta.com/" TargetMode="External"/><Relationship Id="rId357" Type="http://schemas.openxmlformats.org/officeDocument/2006/relationships/hyperlink" Target="https://aluminium.mt/" TargetMode="External"/><Relationship Id="rId54" Type="http://schemas.openxmlformats.org/officeDocument/2006/relationships/hyperlink" Target="MAILTO:agood.installations@yahoo.com" TargetMode="External"/><Relationship Id="rId96" Type="http://schemas.openxmlformats.org/officeDocument/2006/relationships/hyperlink" Target="MAILTO:guysmalta@gmail.com" TargetMode="External"/><Relationship Id="rId161" Type="http://schemas.openxmlformats.org/officeDocument/2006/relationships/hyperlink" Target="https://www.google.com/maps/search/?api=1&amp;query=Triq%20il-Kappella%20ta%27%20Santa%20Marija%2C%20Naxxar" TargetMode="External"/><Relationship Id="rId217" Type="http://schemas.openxmlformats.org/officeDocument/2006/relationships/hyperlink" Target="https://www.google.com/maps/search/?api=1&amp;query=Express%20Bldg%20Triq%20Gharram%2C%20Zebbug" TargetMode="External"/><Relationship Id="rId259" Type="http://schemas.openxmlformats.org/officeDocument/2006/relationships/hyperlink" Target="https://brandimports.com.mt/" TargetMode="External"/><Relationship Id="rId23" Type="http://schemas.openxmlformats.org/officeDocument/2006/relationships/hyperlink" Target="MAILTO:info@grfmalta.com" TargetMode="External"/><Relationship Id="rId119" Type="http://schemas.openxmlformats.org/officeDocument/2006/relationships/hyperlink" Target="MAILTO:t.camillerialuminium@hotmail.com" TargetMode="External"/><Relationship Id="rId270" Type="http://schemas.openxmlformats.org/officeDocument/2006/relationships/hyperlink" Target="https://pvc.com.mt/" TargetMode="External"/><Relationship Id="rId326" Type="http://schemas.openxmlformats.org/officeDocument/2006/relationships/hyperlink" Target="https://facebook.com/p/TC-Aluminium-Works-100064147390058/" TargetMode="External"/><Relationship Id="rId65" Type="http://schemas.openxmlformats.org/officeDocument/2006/relationships/hyperlink" Target="MAILTO:xandrumallia@gmail.com" TargetMode="External"/><Relationship Id="rId130" Type="http://schemas.openxmlformats.org/officeDocument/2006/relationships/hyperlink" Target="https://www.google.com/maps/search/?api=1&amp;query=Mdina%20Road%2C%20%C5%BBebbu%C4%A1%2C%20ZBG%2001%2C%20Malta" TargetMode="External"/><Relationship Id="rId172" Type="http://schemas.openxmlformats.org/officeDocument/2006/relationships/hyperlink" Target="https://www.google.com/maps/search/?api=1&amp;query=31%20Triq%20il-Furnar%2C%20Qormi" TargetMode="External"/><Relationship Id="rId228" Type="http://schemas.openxmlformats.org/officeDocument/2006/relationships/hyperlink" Target="https://www.google.com/maps/search/?api=1&amp;query=Triq%20I-Imdina%2C%20Zebbug" TargetMode="External"/><Relationship Id="rId281" Type="http://schemas.openxmlformats.org/officeDocument/2006/relationships/hyperlink" Target="https://casconehome.com/en/index.php" TargetMode="External"/><Relationship Id="rId337" Type="http://schemas.openxmlformats.org/officeDocument/2006/relationships/hyperlink" Target="https://aluminiumworks.in/" TargetMode="External"/><Relationship Id="rId34" Type="http://schemas.openxmlformats.org/officeDocument/2006/relationships/hyperlink" Target="MAILTO:info@framegrip.com" TargetMode="External"/><Relationship Id="rId76" Type="http://schemas.openxmlformats.org/officeDocument/2006/relationships/hyperlink" Target="MAILTO:cachiapatrick68@gmail.com" TargetMode="External"/><Relationship Id="rId141" Type="http://schemas.openxmlformats.org/officeDocument/2006/relationships/hyperlink" Target="https://www.google.com/maps/search/?api=1&amp;query=73%20Sir%20Arthur%20Burton%20Street%2C%20Mosta%20MST%201883%2C%20Malta" TargetMode="External"/><Relationship Id="rId7" Type="http://schemas.openxmlformats.org/officeDocument/2006/relationships/hyperlink" Target="MAILTO:info@ddoorcompany.com" TargetMode="External"/><Relationship Id="rId183" Type="http://schemas.openxmlformats.org/officeDocument/2006/relationships/hyperlink" Target="https://www.google.com/maps/search/?api=1&amp;query=Triq%20San%20Pawl%20ll-Bahar" TargetMode="External"/><Relationship Id="rId239" Type="http://schemas.openxmlformats.org/officeDocument/2006/relationships/hyperlink" Target="https://www.google.com/maps/search/?api=1&amp;query=Casa%20Pisani%20Triq%20Pisoniano%2C%20Sannat-Gozo" TargetMode="External"/><Relationship Id="rId250" Type="http://schemas.openxmlformats.org/officeDocument/2006/relationships/hyperlink" Target="https://www.google.com/maps/search/?api=1&amp;query=8%20Triq%20ll-Madonna%20Ta%27%20Pompej%2C%20B%27Kara" TargetMode="External"/><Relationship Id="rId292" Type="http://schemas.openxmlformats.org/officeDocument/2006/relationships/hyperlink" Target="https://framegrip.com/" TargetMode="External"/><Relationship Id="rId306" Type="http://schemas.openxmlformats.org/officeDocument/2006/relationships/hyperlink" Target="https://abelawoodworks.wixsite.com/abelawoodworks?utm_source=Yellow&amp;utm_medium=Yellow-Website&amp;utm_campaign=Landing-Page" TargetMode="External"/><Relationship Id="rId45" Type="http://schemas.openxmlformats.org/officeDocument/2006/relationships/hyperlink" Target="MAILTO:info@brandimports.com.mt" TargetMode="External"/><Relationship Id="rId87" Type="http://schemas.openxmlformats.org/officeDocument/2006/relationships/hyperlink" Target="MAILTO:dxaluworks@gmail.com" TargetMode="External"/><Relationship Id="rId110" Type="http://schemas.openxmlformats.org/officeDocument/2006/relationships/hyperlink" Target="MAILTO:gormialum@gmail.com" TargetMode="External"/><Relationship Id="rId348" Type="http://schemas.openxmlformats.org/officeDocument/2006/relationships/hyperlink" Target="https://facebook.com/KKAluWorks/" TargetMode="External"/><Relationship Id="rId152" Type="http://schemas.openxmlformats.org/officeDocument/2006/relationships/hyperlink" Target="https://www.google.com/maps/search/?api=1&amp;query=Msida%20Valley%20Road%2C%20BKR9022%20Birkirkara%20-%20Malta" TargetMode="External"/><Relationship Id="rId194" Type="http://schemas.openxmlformats.org/officeDocument/2006/relationships/hyperlink" Target="https://www.google.com/maps/search/?api=1&amp;query=4%20Triq%20il-Lvant%2C%20Zejtun" TargetMode="External"/><Relationship Id="rId208" Type="http://schemas.openxmlformats.org/officeDocument/2006/relationships/hyperlink" Target="https://www.google.com/maps/search/?api=1&amp;query=10c%20Midland%20Park%20Triq%20Burmarrad%2C%20Naxxar" TargetMode="External"/><Relationship Id="rId261" Type="http://schemas.openxmlformats.org/officeDocument/2006/relationships/hyperlink" Target="https://aluscreens.com/" TargetMode="External"/><Relationship Id="rId14" Type="http://schemas.openxmlformats.org/officeDocument/2006/relationships/hyperlink" Target="MAILTO:hello@starfurniture.com.mt" TargetMode="External"/><Relationship Id="rId56" Type="http://schemas.openxmlformats.org/officeDocument/2006/relationships/hyperlink" Target="MAILTO:jsbaluminiumworks@gmail.com" TargetMode="External"/><Relationship Id="rId317" Type="http://schemas.openxmlformats.org/officeDocument/2006/relationships/hyperlink" Target="https://aluminium-ltd.business.site/" TargetMode="External"/><Relationship Id="rId359" Type="http://schemas.openxmlformats.org/officeDocument/2006/relationships/hyperlink" Target="https://trendsltdmalta.com/" TargetMode="External"/><Relationship Id="rId98" Type="http://schemas.openxmlformats.org/officeDocument/2006/relationships/hyperlink" Target="MAILTO:johnjandb@gmail.com" TargetMode="External"/><Relationship Id="rId121" Type="http://schemas.openxmlformats.org/officeDocument/2006/relationships/hyperlink" Target="MAILTO:info@towergroupmalta.com" TargetMode="External"/><Relationship Id="rId163" Type="http://schemas.openxmlformats.org/officeDocument/2006/relationships/hyperlink" Target="https://www.google.com/maps/search/?api=1&amp;query=Triq%20il-Mosta%2C%20Lija" TargetMode="External"/><Relationship Id="rId219" Type="http://schemas.openxmlformats.org/officeDocument/2006/relationships/hyperlink" Target="https://www.google.com/maps/search/?api=1&amp;query=SUB%20029B%20Qasam%20Industrijali%2C%20San%20Gwann" TargetMode="External"/><Relationship Id="rId230" Type="http://schemas.openxmlformats.org/officeDocument/2006/relationships/hyperlink" Target="https://www.google.com/maps/search/?api=1&amp;query=John%20Garage%20Triq%20Haz-Zebbug%2C%20Attard" TargetMode="External"/><Relationship Id="rId25" Type="http://schemas.openxmlformats.org/officeDocument/2006/relationships/hyperlink" Target="MAILTO:info@promaninteriors.com" TargetMode="External"/><Relationship Id="rId67" Type="http://schemas.openxmlformats.org/officeDocument/2006/relationships/hyperlink" Target="MAILTO:alultd@go.net.mt" TargetMode="External"/><Relationship Id="rId272" Type="http://schemas.openxmlformats.org/officeDocument/2006/relationships/hyperlink" Target="https://starfurniture.com.mt/" TargetMode="External"/><Relationship Id="rId328" Type="http://schemas.openxmlformats.org/officeDocument/2006/relationships/hyperlink" Target="https://facebook.com/p/Choco-aluminium-works-100064574387617/" TargetMode="External"/><Relationship Id="rId88" Type="http://schemas.openxmlformats.org/officeDocument/2006/relationships/hyperlink" Target="MAILTO:info@expressaluminium.com" TargetMode="External"/><Relationship Id="rId111" Type="http://schemas.openxmlformats.org/officeDocument/2006/relationships/hyperlink" Target="MAILTO:raluminiumworks@hotmail.com" TargetMode="External"/><Relationship Id="rId132" Type="http://schemas.openxmlformats.org/officeDocument/2006/relationships/hyperlink" Target="https://www.google.com/maps/search/?api=1&amp;query=%3A%20Triq%20id-Dejma%2C%20Tarxien%2C%20Malta" TargetMode="External"/><Relationship Id="rId153" Type="http://schemas.openxmlformats.org/officeDocument/2006/relationships/hyperlink" Target="https://www.google.com/maps/search/?api=1&amp;query=Proman%20Interiors%2C%0A115%2C%20Valley%20Road%2C%0AB%27Kara.%20BKR%209022.%0AMalta." TargetMode="External"/><Relationship Id="rId174" Type="http://schemas.openxmlformats.org/officeDocument/2006/relationships/hyperlink" Target="https://www.google.com/maps/search/?api=1&amp;query=26%20Triq%20Haz-Zabbar%2C%20Paola" TargetMode="External"/><Relationship Id="rId195" Type="http://schemas.openxmlformats.org/officeDocument/2006/relationships/hyperlink" Target="https://www.google.com/maps/search/?api=1&amp;query=57%20Triq%20il-Qasam%20Sperimentali%20Hal%20Farrug%2C%20Luqa" TargetMode="External"/><Relationship Id="rId209" Type="http://schemas.openxmlformats.org/officeDocument/2006/relationships/hyperlink" Target="https://www.google.com/maps/search/?api=1&amp;query=Triq%20it-Territorji%2C%20B%27Kara" TargetMode="External"/><Relationship Id="rId360" Type="http://schemas.openxmlformats.org/officeDocument/2006/relationships/hyperlink" Target="https://valormalta.wixsite.com/valor" TargetMode="External"/><Relationship Id="rId220" Type="http://schemas.openxmlformats.org/officeDocument/2006/relationships/hyperlink" Target="https://www.google.com/maps/search/?api=1&amp;query=Garage%20144%20Triq%20San%20Xmun%2C%20Fgura" TargetMode="External"/><Relationship Id="rId241" Type="http://schemas.openxmlformats.org/officeDocument/2006/relationships/hyperlink" Target="https://www.google.com/maps/search/?api=1&amp;query=12%20Triq%20il-Parsott%2C%20Mosta" TargetMode="External"/><Relationship Id="rId15" Type="http://schemas.openxmlformats.org/officeDocument/2006/relationships/hyperlink" Target="MAILTO:sales@powerhousemalta.com.eu" TargetMode="External"/><Relationship Id="rId36" Type="http://schemas.openxmlformats.org/officeDocument/2006/relationships/hyperlink" Target="MAILTO:info@a1finishesltd.com" TargetMode="External"/><Relationship Id="rId57" Type="http://schemas.openxmlformats.org/officeDocument/2006/relationships/hyperlink" Target="MAILTO:classicdesignwoodworks@gmail.com" TargetMode="External"/><Relationship Id="rId262" Type="http://schemas.openxmlformats.org/officeDocument/2006/relationships/hyperlink" Target="https://dimech-ent.com/" TargetMode="External"/><Relationship Id="rId283" Type="http://schemas.openxmlformats.org/officeDocument/2006/relationships/hyperlink" Target="https://maltadiy.com/product-category/doors-windows/internal-door/pocket-doors/" TargetMode="External"/><Relationship Id="rId318" Type="http://schemas.openxmlformats.org/officeDocument/2006/relationships/hyperlink" Target="https://facebook.com/AluwoodCoLtd" TargetMode="External"/><Relationship Id="rId339" Type="http://schemas.openxmlformats.org/officeDocument/2006/relationships/hyperlink" Target="https://cassarwoodworks.com/" TargetMode="External"/><Relationship Id="rId78" Type="http://schemas.openxmlformats.org/officeDocument/2006/relationships/hyperlink" Target="MAILTO:mrgmv@onvol.net" TargetMode="External"/><Relationship Id="rId99" Type="http://schemas.openxmlformats.org/officeDocument/2006/relationships/hyperlink" Target="MAILTO:info@jcdaluminium.com" TargetMode="External"/><Relationship Id="rId101" Type="http://schemas.openxmlformats.org/officeDocument/2006/relationships/hyperlink" Target="MAILTO:jborg0408@gmail.com" TargetMode="External"/><Relationship Id="rId122" Type="http://schemas.openxmlformats.org/officeDocument/2006/relationships/hyperlink" Target="MAILTO:info@trendsltdmalta.com" TargetMode="External"/><Relationship Id="rId143" Type="http://schemas.openxmlformats.org/officeDocument/2006/relationships/hyperlink" Target="https://www.google.com/maps/search/?api=1&amp;query=52%2CTriq%20ll-Muzika%20%2C%20L-Lkin%20%2C%20Malta%20IKL%201091" TargetMode="External"/><Relationship Id="rId164" Type="http://schemas.openxmlformats.org/officeDocument/2006/relationships/hyperlink" Target="https://www.google.com/maps/search/?api=1&amp;query=Triq%20it-Torri%2C%20Msida" TargetMode="External"/><Relationship Id="rId185" Type="http://schemas.openxmlformats.org/officeDocument/2006/relationships/hyperlink" Target="https://www.google.com/maps/search/?api=1&amp;query=Triq%20Pawlu%20Mifsud%2C%20Zebbug" TargetMode="External"/><Relationship Id="rId350" Type="http://schemas.openxmlformats.org/officeDocument/2006/relationships/hyperlink" Target="https://nigeldimech.com/" TargetMode="External"/><Relationship Id="rId9" Type="http://schemas.openxmlformats.org/officeDocument/2006/relationships/hyperlink" Target="MAILTO:info@fourwalls.com.mt" TargetMode="External"/><Relationship Id="rId210" Type="http://schemas.openxmlformats.org/officeDocument/2006/relationships/hyperlink" Target="https://www.google.com/maps/search/?api=1&amp;query=Sub%20029A%20Qasam%20Industrijali%2C%20San%20Gwann" TargetMode="External"/><Relationship Id="rId26" Type="http://schemas.openxmlformats.org/officeDocument/2006/relationships/hyperlink" Target="MAILTO:sales@maltadiy.com" TargetMode="External"/><Relationship Id="rId231" Type="http://schemas.openxmlformats.org/officeDocument/2006/relationships/hyperlink" Target="https://www.google.com/maps/search/?api=1&amp;query=Sqaq%2011%2C%20Nru%202%20Triq%20Santa%20Lucija%2C%20Naxxar" TargetMode="External"/><Relationship Id="rId252" Type="http://schemas.openxmlformats.org/officeDocument/2006/relationships/hyperlink" Target="https://www.google.com/maps/search/?api=1&amp;query=Towe%20Buildings%20Triq%20Graham%2C%20Zebbug" TargetMode="External"/><Relationship Id="rId273" Type="http://schemas.openxmlformats.org/officeDocument/2006/relationships/hyperlink" Target="https://powerhousemalta.eu.com.mt/" TargetMode="External"/><Relationship Id="rId294" Type="http://schemas.openxmlformats.org/officeDocument/2006/relationships/hyperlink" Target="https://newstylesmalta.com/" TargetMode="External"/><Relationship Id="rId308" Type="http://schemas.openxmlformats.org/officeDocument/2006/relationships/hyperlink" Target="https://facebook.com/p/Josef-Aluminium-Metal-Works-100054319188613/" TargetMode="External"/><Relationship Id="rId329" Type="http://schemas.openxmlformats.org/officeDocument/2006/relationships/hyperlink" Target="https://comfortabita.com/" TargetMode="External"/><Relationship Id="rId47" Type="http://schemas.openxmlformats.org/officeDocument/2006/relationships/hyperlink" Target="MAILTO:sgt1183@gmail.com" TargetMode="External"/><Relationship Id="rId68" Type="http://schemas.openxmlformats.org/officeDocument/2006/relationships/hyperlink" Target="MAILTO:info@aluwoodmalta.com" TargetMode="External"/><Relationship Id="rId89" Type="http://schemas.openxmlformats.org/officeDocument/2006/relationships/hyperlink" Target="MAILTO:simdebwebb@hotmail.com" TargetMode="External"/><Relationship Id="rId112" Type="http://schemas.openxmlformats.org/officeDocument/2006/relationships/hyperlink" Target="MAILTO:rcalworks@gmail.com" TargetMode="External"/><Relationship Id="rId133" Type="http://schemas.openxmlformats.org/officeDocument/2006/relationships/hyperlink" Target="https://www.google.com/maps/search/?api=1&amp;query=Handaq%2C%20Malta" TargetMode="External"/><Relationship Id="rId154" Type="http://schemas.openxmlformats.org/officeDocument/2006/relationships/hyperlink" Target="https://www.google.com/maps/search/?api=1&amp;query=Baldacchino%20Building%20B%2C%20Triq%20Il-Belt%20Valletta%2C%20Zurrieq" TargetMode="External"/><Relationship Id="rId175" Type="http://schemas.openxmlformats.org/officeDocument/2006/relationships/hyperlink" Target="https://www.google.com/maps/search/?api=1&amp;query=Triq%20Mro%20Giorgio%20Zarb%20Tal-Handaq%2C%20Qormi" TargetMode="External"/><Relationship Id="rId340" Type="http://schemas.openxmlformats.org/officeDocument/2006/relationships/hyperlink" Target="https://grahamaluminium.com/" TargetMode="External"/><Relationship Id="rId361" Type="http://schemas.openxmlformats.org/officeDocument/2006/relationships/hyperlink" Target="https://facebook.com/windmillltd/" TargetMode="External"/><Relationship Id="rId196" Type="http://schemas.openxmlformats.org/officeDocument/2006/relationships/hyperlink" Target="https://www.google.com/maps/search/?api=1&amp;query=4%2C%2011%20Triq%20Valletta%20Qasam%20Industrijali%2C%20Marsa" TargetMode="External"/><Relationship Id="rId200" Type="http://schemas.openxmlformats.org/officeDocument/2006/relationships/hyperlink" Target="https://www.google.com/maps/search/?api=1&amp;query=Zone%203%20Triq%20San%20Gwakkin%20Central%20Business%20District%2C%20B%27Kara" TargetMode="External"/><Relationship Id="rId16" Type="http://schemas.openxmlformats.org/officeDocument/2006/relationships/hyperlink" Target="MAILTO:sales@pvcmalta.com" TargetMode="External"/><Relationship Id="rId221" Type="http://schemas.openxmlformats.org/officeDocument/2006/relationships/hyperlink" Target="https://www.google.com/maps/search/?api=1&amp;query=263%20Triq%20il-Merhba%2C%20Fgura" TargetMode="External"/><Relationship Id="rId242" Type="http://schemas.openxmlformats.org/officeDocument/2006/relationships/hyperlink" Target="https://www.google.com/maps/search/?api=1&amp;query=43%20Triq%20Dun%20Bartilmew%20Attard%2C%20Zebbug" TargetMode="External"/><Relationship Id="rId263" Type="http://schemas.openxmlformats.org/officeDocument/2006/relationships/hyperlink" Target="https://aluage.com/" TargetMode="External"/><Relationship Id="rId284" Type="http://schemas.openxmlformats.org/officeDocument/2006/relationships/hyperlink" Target="https://cassarwoodworks.com/opening-solutions-by-george-cassar-woodworks/" TargetMode="External"/><Relationship Id="rId319" Type="http://schemas.openxmlformats.org/officeDocument/2006/relationships/hyperlink" Target="https://facebook.com/people/Andrew-vella-aluminium/100064883072627/" TargetMode="External"/><Relationship Id="rId37" Type="http://schemas.openxmlformats.org/officeDocument/2006/relationships/hyperlink" Target="MAILTO:sales@newstylesmalta.com" TargetMode="External"/><Relationship Id="rId58" Type="http://schemas.openxmlformats.org/officeDocument/2006/relationships/hyperlink" Target="MAILTO:sales@doorsandmore.in" TargetMode="External"/><Relationship Id="rId79" Type="http://schemas.openxmlformats.org/officeDocument/2006/relationships/hyperlink" Target="MAILTO:chocoaluminium@gmail.com" TargetMode="External"/><Relationship Id="rId102" Type="http://schemas.openxmlformats.org/officeDocument/2006/relationships/hyperlink" Target="MAILTO:admin@jamarmalta.com" TargetMode="External"/><Relationship Id="rId123" Type="http://schemas.openxmlformats.org/officeDocument/2006/relationships/hyperlink" Target="MAILTO:valormalta@gmail.com" TargetMode="External"/><Relationship Id="rId144" Type="http://schemas.openxmlformats.org/officeDocument/2006/relationships/hyperlink" Target="https://www.google.com/maps/search/?api=1&amp;query=Triq%20Il-Mosta%2C%20Hal%20Lija%2C%20Malta%20LJA%209010" TargetMode="External"/><Relationship Id="rId330" Type="http://schemas.openxmlformats.org/officeDocument/2006/relationships/hyperlink" Target="https://cuschierigroup.com/" TargetMode="External"/><Relationship Id="rId90" Type="http://schemas.openxmlformats.org/officeDocument/2006/relationships/hyperlink" Target="MAILTO:sales@finestralmalta.com" TargetMode="External"/><Relationship Id="rId165" Type="http://schemas.openxmlformats.org/officeDocument/2006/relationships/hyperlink" Target="https://www.google.com/maps/search/?api=1&amp;query=2%20Triq%20Lorenzo%20Gafa%2C%20Zebbug" TargetMode="External"/><Relationship Id="rId186" Type="http://schemas.openxmlformats.org/officeDocument/2006/relationships/hyperlink" Target="https://www.google.com/maps/search/?api=1&amp;query=Entrance%204%2C%20Showroom%20No%206%20Triq%20Valletta%2C%20Marsa" TargetMode="External"/><Relationship Id="rId351" Type="http://schemas.openxmlformats.org/officeDocument/2006/relationships/hyperlink" Target="https://facebook.com/QormiAluminium" TargetMode="External"/><Relationship Id="rId211" Type="http://schemas.openxmlformats.org/officeDocument/2006/relationships/hyperlink" Target="https://www.google.com/maps/search/?api=1&amp;query=Landscape%20Triq%20Gnien%20Fieres%2C%20Rabat" TargetMode="External"/><Relationship Id="rId232" Type="http://schemas.openxmlformats.org/officeDocument/2006/relationships/hyperlink" Target="https://www.google.com/maps/search/?api=1&amp;query=110%2C%20Triq%20Dun%20Bartilmew%20Attard%2C%20Zebbug" TargetMode="External"/><Relationship Id="rId253" Type="http://schemas.openxmlformats.org/officeDocument/2006/relationships/hyperlink" Target="https://www.google.com/maps/search/?api=1&amp;query=KK%20011%20Qasam%20Industrijali%2C%20Kordin%2C%20Paola" TargetMode="External"/><Relationship Id="rId274" Type="http://schemas.openxmlformats.org/officeDocument/2006/relationships/hyperlink" Target="https://pvcmalta.com/" TargetMode="External"/><Relationship Id="rId295" Type="http://schemas.openxmlformats.org/officeDocument/2006/relationships/hyperlink" Target="https://grimafurniture.com/" TargetMode="External"/><Relationship Id="rId309" Type="http://schemas.openxmlformats.org/officeDocument/2006/relationships/hyperlink" Target="https://facebook.com/people/Northalu/100055070154471/?utm_source=Yellow&amp;utm_medium=Yellow-Website&amp;utm_campaign=Landing-Page" TargetMode="External"/><Relationship Id="rId27" Type="http://schemas.openxmlformats.org/officeDocument/2006/relationships/hyperlink" Target="MAILTO:info@cassarwordworks.com" TargetMode="External"/><Relationship Id="rId48" Type="http://schemas.openxmlformats.org/officeDocument/2006/relationships/hyperlink" Target="MAILTO:info@nicholas.mt" TargetMode="External"/><Relationship Id="rId69" Type="http://schemas.openxmlformats.org/officeDocument/2006/relationships/hyperlink" Target="MAILTO:andrewvella66@gmail.com" TargetMode="External"/><Relationship Id="rId113" Type="http://schemas.openxmlformats.org/officeDocument/2006/relationships/hyperlink" Target="MAILTO:rapa.aluminium@gmail.com" TargetMode="External"/><Relationship Id="rId134" Type="http://schemas.openxmlformats.org/officeDocument/2006/relationships/hyperlink" Target="https://www.google.com/maps/search/?api=1&amp;query=128%20old%20Railway%20Track%20%2C%20Santa%20venera%20%2C%20Malta" TargetMode="External"/><Relationship Id="rId320" Type="http://schemas.openxmlformats.org/officeDocument/2006/relationships/hyperlink" Target="https://facebook.com/azzopardialum" TargetMode="External"/><Relationship Id="rId80" Type="http://schemas.openxmlformats.org/officeDocument/2006/relationships/hyperlink" Target="MAILTO:info@comforabita.com" TargetMode="External"/><Relationship Id="rId155" Type="http://schemas.openxmlformats.org/officeDocument/2006/relationships/hyperlink" Target="https://www.google.com/maps/search/?api=1&amp;query=Plot%20TQL027%2C%20Crafts%20Village%2C%20Ta%27Qali%2C%20ATD%204000%2C%20Malta" TargetMode="External"/><Relationship Id="rId176" Type="http://schemas.openxmlformats.org/officeDocument/2006/relationships/hyperlink" Target="https://www.google.com/maps/search/?api=1&amp;query=Triq%20il-Parsott%2C%20Mosta" TargetMode="External"/><Relationship Id="rId197" Type="http://schemas.openxmlformats.org/officeDocument/2006/relationships/hyperlink" Target="https://www.google.com/maps/search/?api=1&amp;query=Plot%20121%2C%20Aluwood%20Bldg%20Triq%20Ha%3B%20Qormi%20Qasam%20Industrijali%2C%20Luqa" TargetMode="External"/><Relationship Id="rId341" Type="http://schemas.openxmlformats.org/officeDocument/2006/relationships/hyperlink" Target="https://facebook.com/Guys21485785/" TargetMode="External"/><Relationship Id="rId362" Type="http://schemas.openxmlformats.org/officeDocument/2006/relationships/hyperlink" Target="https://facebook.com/bespokelocalfurniture" TargetMode="External"/><Relationship Id="rId201" Type="http://schemas.openxmlformats.org/officeDocument/2006/relationships/hyperlink" Target="https://www.google.com/maps/search/?api=1&amp;query=13%2C%20Triq%20Luretu%20Cutajar%2C%20Zebbug%2C%20Haz-Zebbug" TargetMode="External"/><Relationship Id="rId222" Type="http://schemas.openxmlformats.org/officeDocument/2006/relationships/hyperlink" Target="https://www.google.com/maps/search/?api=1&amp;query=Triq%20Mro%20Giuseppe%20Camilleri%20Tal-Hanhaq%2C%20Qormi" TargetMode="External"/><Relationship Id="rId243" Type="http://schemas.openxmlformats.org/officeDocument/2006/relationships/hyperlink" Target="https://www.google.com/maps/search/?api=1&amp;query=New%20Building%20Triq%20id-Dawwara%2C%20Victoria-Gozo" TargetMode="External"/><Relationship Id="rId264" Type="http://schemas.openxmlformats.org/officeDocument/2006/relationships/hyperlink" Target="https://facebook.com/mtrefurbishing/" TargetMode="External"/><Relationship Id="rId285" Type="http://schemas.openxmlformats.org/officeDocument/2006/relationships/hyperlink" Target="https://ddoorcompany.com/" TargetMode="External"/><Relationship Id="rId17" Type="http://schemas.openxmlformats.org/officeDocument/2006/relationships/hyperlink" Target="MAILTO:clients@framegrip.com" TargetMode="External"/><Relationship Id="rId38" Type="http://schemas.openxmlformats.org/officeDocument/2006/relationships/hyperlink" Target="MAILTO:info@grimafurniture.com" TargetMode="External"/><Relationship Id="rId59" Type="http://schemas.openxmlformats.org/officeDocument/2006/relationships/hyperlink" Target="MAILTO:mario.camilleri9@gmail.com" TargetMode="External"/><Relationship Id="rId103" Type="http://schemas.openxmlformats.org/officeDocument/2006/relationships/hyperlink" Target="MAILTO:info@jasonaluminium.com" TargetMode="External"/><Relationship Id="rId124" Type="http://schemas.openxmlformats.org/officeDocument/2006/relationships/hyperlink" Target="MAILTO:mario@windmillmalta.com" TargetMode="External"/><Relationship Id="rId310" Type="http://schemas.openxmlformats.org/officeDocument/2006/relationships/hyperlink" Target="https://agoodchildinstallations.com/" TargetMode="External"/><Relationship Id="rId70" Type="http://schemas.openxmlformats.org/officeDocument/2006/relationships/hyperlink" Target="MAILTO:azzopardialuminiumworks@gmail.com" TargetMode="External"/><Relationship Id="rId91" Type="http://schemas.openxmlformats.org/officeDocument/2006/relationships/hyperlink" Target="MAILTO:faworks123@gmail.com" TargetMode="External"/><Relationship Id="rId145" Type="http://schemas.openxmlformats.org/officeDocument/2006/relationships/hyperlink" Target="https://www.google.com/maps/search/?api=1&amp;query=triq%20-il%20kappar%20%2C%20ll-Mosta%20%2C%20Malta%20MST%2003" TargetMode="External"/><Relationship Id="rId166" Type="http://schemas.openxmlformats.org/officeDocument/2006/relationships/hyperlink" Target="https://www.google.com/maps/search/?api=1&amp;query=SUB%20030A%20Qasam%20Industrijali%2C%20San%20Gwann" TargetMode="External"/><Relationship Id="rId187" Type="http://schemas.openxmlformats.org/officeDocument/2006/relationships/hyperlink" Target="https://www.google.com/maps/search/?api=1&amp;query=217%20Triq%20Salvu%20Psaila%2C%20B%27Kara" TargetMode="External"/><Relationship Id="rId331" Type="http://schemas.openxmlformats.org/officeDocument/2006/relationships/hyperlink" Target="https://facebook.com/deckor.mt/" TargetMode="External"/><Relationship Id="rId352" Type="http://schemas.openxmlformats.org/officeDocument/2006/relationships/hyperlink" Target="https://facebook.com/people/Rapa-Aluminium-Victoria-Gozo/100063473081953/?utm_source=Yellow&amp;utm_medium=Yellow-Website&amp;utm_campaign=Landing-Page" TargetMode="External"/><Relationship Id="rId1" Type="http://schemas.openxmlformats.org/officeDocument/2006/relationships/hyperlink" Target="MAILTO:sales@brandimports.com.mt" TargetMode="External"/><Relationship Id="rId212" Type="http://schemas.openxmlformats.org/officeDocument/2006/relationships/hyperlink" Target="https://www.google.com/maps/search/?api=1&amp;query=114%20Triq%20il-Wied%2C%20B%27Kara" TargetMode="External"/><Relationship Id="rId233" Type="http://schemas.openxmlformats.org/officeDocument/2006/relationships/hyperlink" Target="https://www.google.com/maps/search/?api=1&amp;query=KW%2019J%20Qasam%20Industrijali%2C%20Kordin%2C%20Paola" TargetMode="External"/><Relationship Id="rId254" Type="http://schemas.openxmlformats.org/officeDocument/2006/relationships/hyperlink" Target="https://www.google.com/maps/search/?api=1&amp;query=Triq%20l-isturnell%20Roza%2C%20Hal%20Luqa%2C%20Malta" TargetMode="External"/><Relationship Id="rId28" Type="http://schemas.openxmlformats.org/officeDocument/2006/relationships/hyperlink" Target="MAILTO:info@ddoorcompany.com" TargetMode="External"/><Relationship Id="rId49" Type="http://schemas.openxmlformats.org/officeDocument/2006/relationships/hyperlink" Target="MAILTO:info@ihomes.com.mt" TargetMode="External"/><Relationship Id="rId114" Type="http://schemas.openxmlformats.org/officeDocument/2006/relationships/hyperlink" Target="MAILTO:raymondfarrugia74@gmail.com" TargetMode="External"/><Relationship Id="rId275" Type="http://schemas.openxmlformats.org/officeDocument/2006/relationships/hyperlink" Target="https://framegrip.com/" TargetMode="External"/><Relationship Id="rId296" Type="http://schemas.openxmlformats.org/officeDocument/2006/relationships/hyperlink" Target="https://amabilegalea.com/" TargetMode="External"/><Relationship Id="rId300" Type="http://schemas.openxmlformats.org/officeDocument/2006/relationships/hyperlink" Target="https://afdaaluminium.com/" TargetMode="External"/><Relationship Id="rId60" Type="http://schemas.openxmlformats.org/officeDocument/2006/relationships/hyperlink" Target="MAILTO:info@acaluminium.com" TargetMode="External"/><Relationship Id="rId81" Type="http://schemas.openxmlformats.org/officeDocument/2006/relationships/hyperlink" Target="MAILTO:info@cda.com.mt" TargetMode="External"/><Relationship Id="rId135" Type="http://schemas.openxmlformats.org/officeDocument/2006/relationships/hyperlink" Target="https://www.google.com/maps/search/?api=1&amp;query=Centre%20point%20%2C%20Triq%20Valleta%20%2C%20Luqa%20%20LQA%201762%20%2C%20Malta" TargetMode="External"/><Relationship Id="rId156" Type="http://schemas.openxmlformats.org/officeDocument/2006/relationships/hyperlink" Target="https://www.google.com/maps/search/?api=1&amp;query=128%20Old%20Railway%20Track%2C%20Santa%20Venera" TargetMode="External"/><Relationship Id="rId177" Type="http://schemas.openxmlformats.org/officeDocument/2006/relationships/hyperlink" Target="https://www.google.com/maps/search/?api=1&amp;query=33%20Triq%20Angelo%20Melilli%2C%20Zebbug" TargetMode="External"/><Relationship Id="rId198" Type="http://schemas.openxmlformats.org/officeDocument/2006/relationships/hyperlink" Target="https://www.google.com/maps/search/?api=1&amp;query=Triq%20in-Naggar%2C%20Mosta" TargetMode="External"/><Relationship Id="rId321" Type="http://schemas.openxmlformats.org/officeDocument/2006/relationships/hyperlink" Target="https://basonaluminium.com/" TargetMode="External"/><Relationship Id="rId342" Type="http://schemas.openxmlformats.org/officeDocument/2006/relationships/hyperlink" Target="https://horvinltd.com/" TargetMode="External"/><Relationship Id="rId363" Type="http://schemas.openxmlformats.org/officeDocument/2006/relationships/hyperlink" Target="https://facebook.com/zammitaluminum/" TargetMode="External"/><Relationship Id="rId202" Type="http://schemas.openxmlformats.org/officeDocument/2006/relationships/hyperlink" Target="https://www.google.com/maps/search/?api=1&amp;query=Mdina%20Road%2C%20Zebbug" TargetMode="External"/><Relationship Id="rId223" Type="http://schemas.openxmlformats.org/officeDocument/2006/relationships/hyperlink" Target="https://www.google.com/maps/search/?api=1&amp;query=TQL%20027%20Crafts%20Village%20Ta%27%20Qali%2C%20Attard" TargetMode="External"/><Relationship Id="rId244" Type="http://schemas.openxmlformats.org/officeDocument/2006/relationships/hyperlink" Target="https://www.google.com/maps/search/?api=1&amp;query=Triq%20Pietru%20D%27%20Armenia%2C%20Pembroke" TargetMode="External"/><Relationship Id="rId18" Type="http://schemas.openxmlformats.org/officeDocument/2006/relationships/hyperlink" Target="MAILTO:pdgl@go.net.mt" TargetMode="External"/><Relationship Id="rId39" Type="http://schemas.openxmlformats.org/officeDocument/2006/relationships/hyperlink" Target="MAILTO:info@amabilegalea.com" TargetMode="External"/><Relationship Id="rId265" Type="http://schemas.openxmlformats.org/officeDocument/2006/relationships/hyperlink" Target="https://ddoorcompany.com/" TargetMode="External"/><Relationship Id="rId286" Type="http://schemas.openxmlformats.org/officeDocument/2006/relationships/hyperlink" Target="https://megastore.com.mt/" TargetMode="External"/><Relationship Id="rId50" Type="http://schemas.openxmlformats.org/officeDocument/2006/relationships/hyperlink" Target="MAILTO:abelawoodworks@gmail.com" TargetMode="External"/><Relationship Id="rId104" Type="http://schemas.openxmlformats.org/officeDocument/2006/relationships/hyperlink" Target="MAILTO:kkalworks@gmail.com" TargetMode="External"/><Relationship Id="rId125" Type="http://schemas.openxmlformats.org/officeDocument/2006/relationships/hyperlink" Target="MAILTO:luke@woodware.mt" TargetMode="External"/><Relationship Id="rId146" Type="http://schemas.openxmlformats.org/officeDocument/2006/relationships/hyperlink" Target="https://www.google.com/maps/search/?api=1&amp;query=Triq%20Mastru%20Gorg%20Cachia%2C%20Tal-%C4%A6andaq%2C%20%C4%A6al%20Qormi%2C%20Malta%20QRM%204000" TargetMode="External"/><Relationship Id="rId167" Type="http://schemas.openxmlformats.org/officeDocument/2006/relationships/hyperlink" Target="https://www.google.com/maps/search/?api=1&amp;query=Zone%202%20Triq%20L-Ghadam%20Central%20Business%20District%2C%20B%27Kara" TargetMode="External"/><Relationship Id="rId188" Type="http://schemas.openxmlformats.org/officeDocument/2006/relationships/hyperlink" Target="https://www.google.com/maps/search/?api=1&amp;query=10%20Triq%20Bingemma%2C%20Nadur-Gozo" TargetMode="External"/><Relationship Id="rId311" Type="http://schemas.openxmlformats.org/officeDocument/2006/relationships/hyperlink" Target="https://facebook.com/jsbaluminium.works" TargetMode="External"/><Relationship Id="rId332" Type="http://schemas.openxmlformats.org/officeDocument/2006/relationships/hyperlink" Target="https://dimechapertures.com/" TargetMode="External"/><Relationship Id="rId353" Type="http://schemas.openxmlformats.org/officeDocument/2006/relationships/hyperlink" Target="https://facebook.com/RayAluWorks/" TargetMode="External"/><Relationship Id="rId71" Type="http://schemas.openxmlformats.org/officeDocument/2006/relationships/hyperlink" Target="MAILTO:info@basonaluminium.com" TargetMode="External"/><Relationship Id="rId92" Type="http://schemas.openxmlformats.org/officeDocument/2006/relationships/hyperlink" Target="MAILTO:azzopardimark8@gmail.com" TargetMode="External"/><Relationship Id="rId213" Type="http://schemas.openxmlformats.org/officeDocument/2006/relationships/hyperlink" Target="https://www.google.com/maps/search/?api=1&amp;query=3%20Triq%20iz-Znuber%2C%20Mosta" TargetMode="External"/><Relationship Id="rId234" Type="http://schemas.openxmlformats.org/officeDocument/2006/relationships/hyperlink" Target="https://www.google.com/maps/search/?api=1&amp;query=Oceanis%20Triq%20tas-Sliema%2C%20Gzira" TargetMode="External"/><Relationship Id="rId2" Type="http://schemas.openxmlformats.org/officeDocument/2006/relationships/hyperlink" Target="MAILTO:sales@newstylesmalta.com" TargetMode="External"/><Relationship Id="rId29" Type="http://schemas.openxmlformats.org/officeDocument/2006/relationships/hyperlink" Target="MAILTO:shop@megastore.com.mt" TargetMode="External"/><Relationship Id="rId255" Type="http://schemas.openxmlformats.org/officeDocument/2006/relationships/hyperlink" Target="https://www.google.com/maps/search/?api=1&amp;query=MRA%20053%20Qasam%20Industrijali%2C%20Marsa" TargetMode="External"/><Relationship Id="rId276" Type="http://schemas.openxmlformats.org/officeDocument/2006/relationships/hyperlink" Target="https://gauciwoodsmalta.com/" TargetMode="External"/><Relationship Id="rId297" Type="http://schemas.openxmlformats.org/officeDocument/2006/relationships/hyperlink" Target="https://facebook.com/GozoAluminium/" TargetMode="External"/><Relationship Id="rId40" Type="http://schemas.openxmlformats.org/officeDocument/2006/relationships/hyperlink" Target="MAILTO:info@gozoaluminium.com" TargetMode="External"/><Relationship Id="rId115" Type="http://schemas.openxmlformats.org/officeDocument/2006/relationships/hyperlink" Target="MAILTO:refinedaluworks@gmail.com" TargetMode="External"/><Relationship Id="rId136" Type="http://schemas.openxmlformats.org/officeDocument/2006/relationships/hyperlink" Target="https://www.google.com/maps/search/?api=1&amp;query=Triq%20il-Kappillan%20Mifsud%20%2C%20Santa%20venera%20%2C%20Malta" TargetMode="External"/><Relationship Id="rId157" Type="http://schemas.openxmlformats.org/officeDocument/2006/relationships/hyperlink" Target="https://www.google.com/maps/search/?api=1&amp;query=Warehouse%20No.%2025%2C%20Hard%20Rocks%20Industrial%20Park%2C%20Burmarrad%20Road%2C%20Naxxar%2C%20Malta" TargetMode="External"/><Relationship Id="rId178" Type="http://schemas.openxmlformats.org/officeDocument/2006/relationships/hyperlink" Target="https://www.google.com/maps/search/?api=1&amp;query=No5%20Triq%20Mons%20Alfred%20Mifsud%2C%20B%27Kara" TargetMode="External"/><Relationship Id="rId301" Type="http://schemas.openxmlformats.org/officeDocument/2006/relationships/hyperlink" Target="https://brandimports.com.mt/" TargetMode="External"/><Relationship Id="rId322" Type="http://schemas.openxmlformats.org/officeDocument/2006/relationships/hyperlink" Target="https://facebook.com/borgalum/" TargetMode="External"/><Relationship Id="rId343" Type="http://schemas.openxmlformats.org/officeDocument/2006/relationships/hyperlink" Target="https://icsaluminium.yolasite.com/" TargetMode="External"/><Relationship Id="rId364" Type="http://schemas.openxmlformats.org/officeDocument/2006/relationships/hyperlink" Target="https://facebook.com/RGroupMalta" TargetMode="External"/><Relationship Id="rId61" Type="http://schemas.openxmlformats.org/officeDocument/2006/relationships/hyperlink" Target="MAILTO:lexport@go.com.mt" TargetMode="External"/><Relationship Id="rId82" Type="http://schemas.openxmlformats.org/officeDocument/2006/relationships/hyperlink" Target="MAILTO:daniobarbara1977@gmail.com" TargetMode="External"/><Relationship Id="rId199" Type="http://schemas.openxmlformats.org/officeDocument/2006/relationships/hyperlink" Target="https://www.google.com/maps/search/?api=1&amp;query=Garage%207%2C%20Drive%20In%20Triq%20Lydda%2C%20Qormi" TargetMode="External"/><Relationship Id="rId203" Type="http://schemas.openxmlformats.org/officeDocument/2006/relationships/hyperlink" Target="https://www.google.com/maps/search/?api=1&amp;query=Garage%20No%202%20Triq%20tas-Sejba%2C%20Mqabba" TargetMode="External"/><Relationship Id="rId19" Type="http://schemas.openxmlformats.org/officeDocument/2006/relationships/hyperlink" Target="MAILTO:clydeaquil@gmail.com" TargetMode="External"/><Relationship Id="rId224" Type="http://schemas.openxmlformats.org/officeDocument/2006/relationships/hyperlink" Target="https://www.google.com/maps/search/?api=1&amp;query=23%20Graham%20Aluminium%20Triq%20John%20Michael%20Testa%20Tal-Handaq%2C%20Qormi" TargetMode="External"/><Relationship Id="rId245" Type="http://schemas.openxmlformats.org/officeDocument/2006/relationships/hyperlink" Target="https://www.google.com/maps/search/?api=1&amp;query=Triq%20I-Imdina%2C%20Zebbug" TargetMode="External"/><Relationship Id="rId266" Type="http://schemas.openxmlformats.org/officeDocument/2006/relationships/hyperlink" Target="https://dimech-ent.com/" TargetMode="External"/><Relationship Id="rId287" Type="http://schemas.openxmlformats.org/officeDocument/2006/relationships/hyperlink" Target="https://bitmacltd.com/" TargetMode="External"/><Relationship Id="rId30" Type="http://schemas.openxmlformats.org/officeDocument/2006/relationships/hyperlink" Target="MAILTO:sales@bitmac.mt" TargetMode="External"/><Relationship Id="rId105" Type="http://schemas.openxmlformats.org/officeDocument/2006/relationships/hyperlink" Target="MAILTO:bjorn.vassallo@gmail.com" TargetMode="External"/><Relationship Id="rId126" Type="http://schemas.openxmlformats.org/officeDocument/2006/relationships/hyperlink" Target="MAILTO:zammitalu@gmail.com" TargetMode="External"/><Relationship Id="rId147" Type="http://schemas.openxmlformats.org/officeDocument/2006/relationships/hyperlink" Target="https://www.google.com/maps/search/?api=1&amp;query=166-167%2C%20Qasam%20Industrijali%20Ta%27%20Hal%20Luqa%2C%20Hal%20Luqa%2C%20Malta" TargetMode="External"/><Relationship Id="rId168" Type="http://schemas.openxmlformats.org/officeDocument/2006/relationships/hyperlink" Target="https://www.google.com/maps/search/?api=1&amp;query=34%20Triq%20it-Torri%20San%20Gwann%2C%20Birgu" TargetMode="External"/><Relationship Id="rId312" Type="http://schemas.openxmlformats.org/officeDocument/2006/relationships/hyperlink" Target="https://classicdesignwoodworksmalta.com/" TargetMode="External"/><Relationship Id="rId333" Type="http://schemas.openxmlformats.org/officeDocument/2006/relationships/hyperlink" Target="https://pvcmalta.com/" TargetMode="External"/><Relationship Id="rId354" Type="http://schemas.openxmlformats.org/officeDocument/2006/relationships/hyperlink" Target="https://facebook.com/people/Refined-Aluminium-Metal-Works/100063567219937/?utm_source=Yellow&amp;utm_medium=Yellow-Website&amp;utm_campaign=Landing-Page" TargetMode="External"/><Relationship Id="rId51" Type="http://schemas.openxmlformats.org/officeDocument/2006/relationships/hyperlink" Target="MAILTO:chayron186@gmail.com" TargetMode="External"/><Relationship Id="rId72" Type="http://schemas.openxmlformats.org/officeDocument/2006/relationships/hyperlink" Target="MAILTO:borgaluminiummalta@gmail.com" TargetMode="External"/><Relationship Id="rId93" Type="http://schemas.openxmlformats.org/officeDocument/2006/relationships/hyperlink" Target="MAILTO:info@alugiorgio.com" TargetMode="External"/><Relationship Id="rId189" Type="http://schemas.openxmlformats.org/officeDocument/2006/relationships/hyperlink" Target="https://www.google.com/maps/search/?api=1&amp;query=18%20Triq%20Salvinu%20Spiteri%2C%20Sta%20Venera" TargetMode="External"/><Relationship Id="rId3" Type="http://schemas.openxmlformats.org/officeDocument/2006/relationships/hyperlink" Target="MAILTO:info@aluscreens.com" TargetMode="External"/><Relationship Id="rId214" Type="http://schemas.openxmlformats.org/officeDocument/2006/relationships/hyperlink" Target="https://www.google.com/maps/search/?api=1&amp;query=Qasam%20Industrijali%2C%20Tal-Handaq%2C%20Qormi" TargetMode="External"/><Relationship Id="rId235" Type="http://schemas.openxmlformats.org/officeDocument/2006/relationships/hyperlink" Target="https://www.google.com/maps/search/?api=1&amp;query=82%20Triq%20il-Hareb%2C%20Ghaxaq" TargetMode="External"/><Relationship Id="rId256" Type="http://schemas.openxmlformats.org/officeDocument/2006/relationships/hyperlink" Target="https://www.google.com/maps/search/?api=1&amp;query=77%20Triq%20il-Ballut%20Qasam%20Industrijali%2C%20Mosta" TargetMode="External"/><Relationship Id="rId277" Type="http://schemas.openxmlformats.org/officeDocument/2006/relationships/hyperlink" Target="https://alfredbaldacchinoltd.net/" TargetMode="External"/><Relationship Id="rId298" Type="http://schemas.openxmlformats.org/officeDocument/2006/relationships/hyperlink" Target="https://facebook.com/p/Nu-Aluminium-100064044373074/" TargetMode="External"/><Relationship Id="rId116" Type="http://schemas.openxmlformats.org/officeDocument/2006/relationships/hyperlink" Target="MAILTO:info@servgroupmalta.com" TargetMode="External"/><Relationship Id="rId137" Type="http://schemas.openxmlformats.org/officeDocument/2006/relationships/hyperlink" Target="https://www.google.com/maps/search/?api=1&amp;query=Unit%201%262%2C%20Industrial%20Estate%20Luqa%20MT%20LQA%203000%2C%20%C4%A6al%20Luqa" TargetMode="External"/><Relationship Id="rId158" Type="http://schemas.openxmlformats.org/officeDocument/2006/relationships/hyperlink" Target="https://www.google.com/maps/search/?api=1&amp;query=Bitmac%20Ltd.%0ATal-Balal%20Road%2C%0AIklin%2C%20IKL%209013%0AMalta" TargetMode="External"/><Relationship Id="rId302" Type="http://schemas.openxmlformats.org/officeDocument/2006/relationships/hyperlink" Target="https://j3alumiuniumworks.com/" TargetMode="External"/><Relationship Id="rId323" Type="http://schemas.openxmlformats.org/officeDocument/2006/relationships/hyperlink" Target="https://bpapertures.com/" TargetMode="External"/><Relationship Id="rId344" Type="http://schemas.openxmlformats.org/officeDocument/2006/relationships/hyperlink" Target="https://jcdaluminium.com/" TargetMode="External"/><Relationship Id="rId20" Type="http://schemas.openxmlformats.org/officeDocument/2006/relationships/hyperlink" Target="MAILTO:info@alfredbaldacchinoltd.net" TargetMode="External"/><Relationship Id="rId41" Type="http://schemas.openxmlformats.org/officeDocument/2006/relationships/hyperlink" Target="MAILTO:nu-aluminium@outlook.com" TargetMode="External"/><Relationship Id="rId62" Type="http://schemas.openxmlformats.org/officeDocument/2006/relationships/hyperlink" Target="MAILTO:sales@adoremore.eu" TargetMode="External"/><Relationship Id="rId83" Type="http://schemas.openxmlformats.org/officeDocument/2006/relationships/hyperlink" Target="MAILTO:info@deckor.com.mt" TargetMode="External"/><Relationship Id="rId179" Type="http://schemas.openxmlformats.org/officeDocument/2006/relationships/hyperlink" Target="https://www.google.com/maps/search/?api=1&amp;query=34%20Triq%20Indri%20Psaila%2C%20Qormi" TargetMode="External"/><Relationship Id="rId190" Type="http://schemas.openxmlformats.org/officeDocument/2006/relationships/hyperlink" Target="https://www.google.com/maps/search/?api=1&amp;query=124%20Triq%20San%20Gejtanu%2C%20Hamrun" TargetMode="External"/><Relationship Id="rId204" Type="http://schemas.openxmlformats.org/officeDocument/2006/relationships/hyperlink" Target="https://www.google.com/maps/search/?api=1&amp;query=52%2C%20Triq%20Pinto%2C%20Qormi" TargetMode="External"/><Relationship Id="rId225" Type="http://schemas.openxmlformats.org/officeDocument/2006/relationships/hyperlink" Target="https://www.google.com/maps/search/?api=1&amp;query=Drive%20in%20fi%20triq%20il-Belt%20Valletta%2C%20Qormi" TargetMode="External"/><Relationship Id="rId246" Type="http://schemas.openxmlformats.org/officeDocument/2006/relationships/hyperlink" Target="https://www.google.com/maps/search/?api=1&amp;query=KW36%20Qasam%20Indrustrijali%20Kordin%20Paola" TargetMode="External"/><Relationship Id="rId267" Type="http://schemas.openxmlformats.org/officeDocument/2006/relationships/hyperlink" Target="https://fourwalls.com.mt/" TargetMode="External"/><Relationship Id="rId288" Type="http://schemas.openxmlformats.org/officeDocument/2006/relationships/hyperlink" Target="https://maltashopper.com/" TargetMode="External"/><Relationship Id="rId106" Type="http://schemas.openxmlformats.org/officeDocument/2006/relationships/hyperlink" Target="MAILTO:gmuscat@live.com" TargetMode="External"/><Relationship Id="rId127" Type="http://schemas.openxmlformats.org/officeDocument/2006/relationships/hyperlink" Target="MAILTO:info@rgroupmt.com" TargetMode="External"/><Relationship Id="rId313" Type="http://schemas.openxmlformats.org/officeDocument/2006/relationships/hyperlink" Target="https://facebook.com/doorsand.more.3" TargetMode="External"/><Relationship Id="rId10" Type="http://schemas.openxmlformats.org/officeDocument/2006/relationships/hyperlink" Target="MAILTO:info@sfdoorstyles.com.mt" TargetMode="External"/><Relationship Id="rId31" Type="http://schemas.openxmlformats.org/officeDocument/2006/relationships/hyperlink" Target="MAILTO:sales@maltashopper.com" TargetMode="External"/><Relationship Id="rId52" Type="http://schemas.openxmlformats.org/officeDocument/2006/relationships/hyperlink" Target="MAILTO:josefvella72@gmail.com" TargetMode="External"/><Relationship Id="rId73" Type="http://schemas.openxmlformats.org/officeDocument/2006/relationships/hyperlink" Target="MAILTO:henry@bpapertures.com" TargetMode="External"/><Relationship Id="rId94" Type="http://schemas.openxmlformats.org/officeDocument/2006/relationships/hyperlink" Target="MAILTO:info@cassarwoodworks.com" TargetMode="External"/><Relationship Id="rId148" Type="http://schemas.openxmlformats.org/officeDocument/2006/relationships/hyperlink" Target="https://www.google.com/maps/search/?api=1&amp;query=Triq%20Valletta%20Triq%20Gdida%20Fi%2C%20Hal%20Luqa%2C%20Malta" TargetMode="External"/><Relationship Id="rId169" Type="http://schemas.openxmlformats.org/officeDocument/2006/relationships/hyperlink" Target="https://www.google.com/maps/search/?api=1&amp;query=Factory%20GZB%202%20Qasam%20Industrijali%2C%20Xewkija-Gozo" TargetMode="External"/><Relationship Id="rId334" Type="http://schemas.openxmlformats.org/officeDocument/2006/relationships/hyperlink" Target="https://facebook.com/p/DX-Aluminium-Works-100064182690832/" TargetMode="External"/><Relationship Id="rId355" Type="http://schemas.openxmlformats.org/officeDocument/2006/relationships/hyperlink" Target="https://servgroupmalta.com/" TargetMode="External"/><Relationship Id="rId4" Type="http://schemas.openxmlformats.org/officeDocument/2006/relationships/hyperlink" Target="MAILTO:sales@dimech-ent.com" TargetMode="External"/><Relationship Id="rId180" Type="http://schemas.openxmlformats.org/officeDocument/2006/relationships/hyperlink" Target="https://www.google.com/maps/search/?api=1&amp;query=Emmarie%20Triq%20id-Dahla%20Ta%27%20San%20Tumas%2C%20M%27Skala" TargetMode="External"/><Relationship Id="rId215" Type="http://schemas.openxmlformats.org/officeDocument/2006/relationships/hyperlink" Target="https://www.google.com/maps/search/?api=1&amp;query=52%20Triq%20il-Muzika%2C%20Iklin" TargetMode="External"/><Relationship Id="rId236" Type="http://schemas.openxmlformats.org/officeDocument/2006/relationships/hyperlink" Target="https://www.google.com/maps/search/?api=1&amp;query=12%20Triq%20Wenzu%20Despott%2C%20Tarxien" TargetMode="External"/><Relationship Id="rId257" Type="http://schemas.openxmlformats.org/officeDocument/2006/relationships/hyperlink" Target="https://www.google.com/maps/search/?api=1&amp;query=A8%20Qasam%20Industrijali%2C%20Marsa" TargetMode="External"/><Relationship Id="rId278" Type="http://schemas.openxmlformats.org/officeDocument/2006/relationships/hyperlink" Target="https://nkwoodworks.com/" TargetMode="External"/><Relationship Id="rId303" Type="http://schemas.openxmlformats.org/officeDocument/2006/relationships/hyperlink" Target="https://sgt1183woodworks.com/" TargetMode="External"/><Relationship Id="rId42" Type="http://schemas.openxmlformats.org/officeDocument/2006/relationships/hyperlink" Target="MAILTO:info@sfdoorstyles.com.mt" TargetMode="External"/><Relationship Id="rId84" Type="http://schemas.openxmlformats.org/officeDocument/2006/relationships/hyperlink" Target="MAILTO:savdim65@gmail.com" TargetMode="External"/><Relationship Id="rId138" Type="http://schemas.openxmlformats.org/officeDocument/2006/relationships/hyperlink" Target="https://www.google.com/maps/search/?api=1&amp;query=Domestica%20Complex%2C%20Level%201%20%2CValley%20road%20%2C%20Msida%20%20MSD%209091%20%2CMalta" TargetMode="External"/><Relationship Id="rId345" Type="http://schemas.openxmlformats.org/officeDocument/2006/relationships/hyperlink" Target="https://jk-aluminium.com/" TargetMode="External"/><Relationship Id="rId191" Type="http://schemas.openxmlformats.org/officeDocument/2006/relationships/hyperlink" Target="https://www.google.com/maps/search/?api=1&amp;query=Triq%20id-Difiza%20Civili%2C%20Mosta" TargetMode="External"/><Relationship Id="rId205" Type="http://schemas.openxmlformats.org/officeDocument/2006/relationships/hyperlink" Target="https://www.google.com/maps/search/?api=1&amp;query=Garage%20No%201%20Triq%20Anthony%20John%20Coleiro%20Tal-Handaq%2C%20Qormi" TargetMode="External"/><Relationship Id="rId247" Type="http://schemas.openxmlformats.org/officeDocument/2006/relationships/hyperlink" Target="https://www.google.com/maps/search/?api=1&amp;query=Zone%202%20Triq%20ll-Ghain%20Central%20Business%20District%2C%20B%27Kara" TargetMode="External"/><Relationship Id="rId107" Type="http://schemas.openxmlformats.org/officeDocument/2006/relationships/hyperlink" Target="MAILTO:nicdimech@gmail.com" TargetMode="External"/><Relationship Id="rId289" Type="http://schemas.openxmlformats.org/officeDocument/2006/relationships/hyperlink" Target="https://pvc.com.mt/" TargetMode="External"/><Relationship Id="rId11" Type="http://schemas.openxmlformats.org/officeDocument/2006/relationships/hyperlink" Target="MAILTO:info@domestica.com.mt" TargetMode="External"/><Relationship Id="rId53" Type="http://schemas.openxmlformats.org/officeDocument/2006/relationships/hyperlink" Target="MAILTO:northalu@gmail.com" TargetMode="External"/><Relationship Id="rId149" Type="http://schemas.openxmlformats.org/officeDocument/2006/relationships/hyperlink" Target="https://www.google.com/maps/search/?api=1&amp;query=No%207%2C%20Triq%20Il-Ballut%2C%20Il-Mosta%2C%20Malta" TargetMode="External"/><Relationship Id="rId314" Type="http://schemas.openxmlformats.org/officeDocument/2006/relationships/hyperlink" Target="https://adoremore.com.mt/" TargetMode="External"/><Relationship Id="rId356" Type="http://schemas.openxmlformats.org/officeDocument/2006/relationships/hyperlink" Target="https://sptechniques.com/" TargetMode="External"/><Relationship Id="rId95" Type="http://schemas.openxmlformats.org/officeDocument/2006/relationships/hyperlink" Target="MAILTO:info@grahamaluminium.com" TargetMode="External"/><Relationship Id="rId160" Type="http://schemas.openxmlformats.org/officeDocument/2006/relationships/hyperlink" Target="https://www.google.com/maps/search/?api=1&amp;query=8%20Triq%20il-Garra%20Victoria%20Gardens%20L-Ibrag%2C%20Swieqi" TargetMode="External"/><Relationship Id="rId216" Type="http://schemas.openxmlformats.org/officeDocument/2006/relationships/hyperlink" Target="https://www.google.com/maps/search/?api=1&amp;query=Five%20Star%20Business%20Park%20Triq%20il-Belt%20Valetta%2C%20Ghaxaq" TargetMode="External"/><Relationship Id="rId258" Type="http://schemas.openxmlformats.org/officeDocument/2006/relationships/hyperlink" Target="https://www.google.com/maps/search/?api=1&amp;query=Sqaq%20Privat%20Triq%20tal-Ghajn%2C%20Fontana-Gozo" TargetMode="External"/><Relationship Id="rId22" Type="http://schemas.openxmlformats.org/officeDocument/2006/relationships/hyperlink" Target="MAILTO:occas2@gmail.com" TargetMode="External"/><Relationship Id="rId64" Type="http://schemas.openxmlformats.org/officeDocument/2006/relationships/hyperlink" Target="MAILTO:alfalu@melita.com" TargetMode="External"/><Relationship Id="rId118" Type="http://schemas.openxmlformats.org/officeDocument/2006/relationships/hyperlink" Target="MAILTO:sunaluminium@hotmail.com" TargetMode="External"/><Relationship Id="rId325" Type="http://schemas.openxmlformats.org/officeDocument/2006/relationships/hyperlink" Target="https://cagroup.com.mt/" TargetMode="External"/><Relationship Id="rId171" Type="http://schemas.openxmlformats.org/officeDocument/2006/relationships/hyperlink" Target="https://www.google.com/maps/search/?api=1&amp;query=Unit%201%20%26%202%20Qasam%20Industrijali%2C%20Luqa" TargetMode="External"/><Relationship Id="rId227" Type="http://schemas.openxmlformats.org/officeDocument/2006/relationships/hyperlink" Target="https://www.google.com/maps/search/?api=1&amp;query=Qart%20D%27Orange%20Garage%20Trejqet%20il-Wied%2C%20Qormi" TargetMode="External"/><Relationship Id="rId269" Type="http://schemas.openxmlformats.org/officeDocument/2006/relationships/hyperlink" Target="https://domestica.com.mt/" TargetMode="External"/><Relationship Id="rId33" Type="http://schemas.openxmlformats.org/officeDocument/2006/relationships/hyperlink" Target="MAILTO:info@stanthonyww.com" TargetMode="External"/><Relationship Id="rId129" Type="http://schemas.openxmlformats.org/officeDocument/2006/relationships/hyperlink" Target="https://www.google.com/maps/search/?api=1&amp;query=SUB%20030A%2C%20Qasam%20Industrijali%2C%20San%20%C4%A0wann%2C%20SGN%203000%2C%20Malta" TargetMode="External"/><Relationship Id="rId280" Type="http://schemas.openxmlformats.org/officeDocument/2006/relationships/hyperlink" Target="https://grfmalta.com/" TargetMode="External"/><Relationship Id="rId336" Type="http://schemas.openxmlformats.org/officeDocument/2006/relationships/hyperlink" Target="https://finestralmalta.com/" TargetMode="External"/><Relationship Id="rId75" Type="http://schemas.openxmlformats.org/officeDocument/2006/relationships/hyperlink" Target="MAILTO:info@cagroup.com.mt" TargetMode="External"/><Relationship Id="rId140" Type="http://schemas.openxmlformats.org/officeDocument/2006/relationships/hyperlink" Target="https://www.google.com/maps/search/?api=1&amp;query=WC4R%2B335%2C%20Triq%20il-mosta%2C%20Lija%20LJA%209010" TargetMode="External"/><Relationship Id="rId182" Type="http://schemas.openxmlformats.org/officeDocument/2006/relationships/hyperlink" Target="https://www.google.com/maps/search/?api=1&amp;query=Scorpio%20Triq%20Garcia%20De%20Toledo%20Qawra%2C%20San%20Pawl%20ll-Bahar" TargetMode="External"/><Relationship Id="rId6" Type="http://schemas.openxmlformats.org/officeDocument/2006/relationships/hyperlink" Target="MAILTO:info@hirisegroup.com.mt" TargetMode="External"/><Relationship Id="rId238" Type="http://schemas.openxmlformats.org/officeDocument/2006/relationships/hyperlink" Target="https://www.google.com/maps/search/?api=1&amp;query=KKW%20721%2C%20Corradino%20%0AIndustrial%20Estate%0APaola%2C%20PLA%203000%2C%20Malta" TargetMode="External"/><Relationship Id="rId291" Type="http://schemas.openxmlformats.org/officeDocument/2006/relationships/hyperlink" Target="https://stanthonyww.com/" TargetMode="External"/><Relationship Id="rId305" Type="http://schemas.openxmlformats.org/officeDocument/2006/relationships/hyperlink" Target="https://facebook.com/ihomes" TargetMode="External"/><Relationship Id="rId347" Type="http://schemas.openxmlformats.org/officeDocument/2006/relationships/hyperlink" Target="https://jasonaluminium.com/" TargetMode="External"/><Relationship Id="rId44" Type="http://schemas.openxmlformats.org/officeDocument/2006/relationships/hyperlink" Target="MAILTO:info@afdaaluminium.com" TargetMode="External"/><Relationship Id="rId86" Type="http://schemas.openxmlformats.org/officeDocument/2006/relationships/hyperlink" Target="MAILTO:sales@pvcmalta.com" TargetMode="External"/><Relationship Id="rId151" Type="http://schemas.openxmlformats.org/officeDocument/2006/relationships/hyperlink" Target="https://www.google.com/maps/search/?api=1&amp;query=117%20Triq%20L-Assemblea%20Nazzjonali%2C%0ASan%20Gwann%20SGN%203034%2C%20Malta" TargetMode="External"/><Relationship Id="rId193" Type="http://schemas.openxmlformats.org/officeDocument/2006/relationships/hyperlink" Target="https://www.google.com/maps/search/?api=1&amp;query=45%20Stella%20Maris%20Triq%20James%20Smith%20Qawra%2C%20San%20Pawl%20ll-Bahar" TargetMode="External"/><Relationship Id="rId207" Type="http://schemas.openxmlformats.org/officeDocument/2006/relationships/hyperlink" Target="https://www.google.com/maps/search/?api=1&amp;query=16-17%20Waterside%20Place%2C%20Flt%209%20Ix-Xatt%20ta%27%20Qui%20Si-Sana%2C%20Sliema" TargetMode="External"/><Relationship Id="rId249" Type="http://schemas.openxmlformats.org/officeDocument/2006/relationships/hyperlink" Target="https://www.google.com/maps/search/?api=1&amp;query=23%20Triq%20Angelo%20Melilli%2C%20Zebbug" TargetMode="External"/><Relationship Id="rId13" Type="http://schemas.openxmlformats.org/officeDocument/2006/relationships/hyperlink" Target="MAILTO:info@italtrade.com.mt" TargetMode="External"/><Relationship Id="rId109" Type="http://schemas.openxmlformats.org/officeDocument/2006/relationships/hyperlink" Target="MAILTO:matteo.pisani40@gmail.com" TargetMode="External"/><Relationship Id="rId260" Type="http://schemas.openxmlformats.org/officeDocument/2006/relationships/hyperlink" Target="https://newstylesmalta.com/" TargetMode="External"/><Relationship Id="rId316" Type="http://schemas.openxmlformats.org/officeDocument/2006/relationships/hyperlink" Target="https://facebook.com/alukeyaluminium" TargetMode="External"/><Relationship Id="rId55" Type="http://schemas.openxmlformats.org/officeDocument/2006/relationships/hyperlink" Target="MAILTO:gsf-1200@hotmail.com" TargetMode="External"/><Relationship Id="rId97" Type="http://schemas.openxmlformats.org/officeDocument/2006/relationships/hyperlink" Target="MAILTO:horvinltd@gmail.com" TargetMode="External"/><Relationship Id="rId120" Type="http://schemas.openxmlformats.org/officeDocument/2006/relationships/hyperlink" Target="MAILTO:tonnaalum@yahoo.com" TargetMode="External"/><Relationship Id="rId358" Type="http://schemas.openxmlformats.org/officeDocument/2006/relationships/hyperlink" Target="https://towergroupmalta.com/" TargetMode="External"/><Relationship Id="rId162" Type="http://schemas.openxmlformats.org/officeDocument/2006/relationships/hyperlink" Target="https://www.google.com/maps/search/?api=1&amp;query=Triq%20il-Fortizza%2C%20Mosta" TargetMode="External"/><Relationship Id="rId218" Type="http://schemas.openxmlformats.org/officeDocument/2006/relationships/hyperlink" Target="https://www.google.com/maps/search/?api=1&amp;query=Oliand%20Triq%20Anthony%20John%20Coleiro%20Tal-Handaq%2C%20Qormi" TargetMode="External"/><Relationship Id="rId271" Type="http://schemas.openxmlformats.org/officeDocument/2006/relationships/hyperlink" Target="https://italtrade.com.mt/" TargetMode="External"/><Relationship Id="rId24" Type="http://schemas.openxmlformats.org/officeDocument/2006/relationships/hyperlink" Target="MAILTO:info@casconeporteefinestre.it" TargetMode="External"/><Relationship Id="rId66" Type="http://schemas.openxmlformats.org/officeDocument/2006/relationships/hyperlink" Target="MAILTO:info@alukey.com.mt" TargetMode="External"/><Relationship Id="rId131" Type="http://schemas.openxmlformats.org/officeDocument/2006/relationships/hyperlink" Target="https://www.google.com/maps/search/?api=1&amp;query=Centre%20Point%2C%20Triq%20Valletta%2C%20%C4%A6al%20Luqa%2C%20LQA%201762%2C%20Malta" TargetMode="External"/><Relationship Id="rId327" Type="http://schemas.openxmlformats.org/officeDocument/2006/relationships/hyperlink" Target="https://salamander-windows.com/?utm_source=Yellow&amp;utm_medium=Yellow-Website&amp;utm_campaign=Landing-Page" TargetMode="External"/><Relationship Id="rId173" Type="http://schemas.openxmlformats.org/officeDocument/2006/relationships/hyperlink" Target="https://www.google.com/maps/search/?api=1&amp;query=Garage%2010%2C%20Level%20-2%20Sqaq%20il-Mithna%20Triq%20I-Imqabba%2C%20Qrendi" TargetMode="External"/><Relationship Id="rId229" Type="http://schemas.openxmlformats.org/officeDocument/2006/relationships/hyperlink" Target="https://www.google.com/maps/search/?api=1&amp;query=13%20Triq%20Mro%20Giorgio%20Zarb%20Tal-Handaq%2C%20Qormi" TargetMode="External"/><Relationship Id="rId240" Type="http://schemas.openxmlformats.org/officeDocument/2006/relationships/hyperlink" Target="https://www.google.com/maps/search/?api=1&amp;query=Triq%20il-Palazz%20L-Ahmar%2C%20Sta%20Venera" TargetMode="External"/><Relationship Id="rId35" Type="http://schemas.openxmlformats.org/officeDocument/2006/relationships/hyperlink" Target="MAILTO:sales@jlautier.com" TargetMode="External"/><Relationship Id="rId77" Type="http://schemas.openxmlformats.org/officeDocument/2006/relationships/hyperlink" Target="MAILTO:sales@tcalu.com" TargetMode="External"/><Relationship Id="rId100" Type="http://schemas.openxmlformats.org/officeDocument/2006/relationships/hyperlink" Target="MAILTO:jk.aluminium@yahoo.com" TargetMode="External"/><Relationship Id="rId282" Type="http://schemas.openxmlformats.org/officeDocument/2006/relationships/hyperlink" Target="https://promaninteriors.com/" TargetMode="External"/><Relationship Id="rId338" Type="http://schemas.openxmlformats.org/officeDocument/2006/relationships/hyperlink" Target="https://facebook.com/p/Giorgio-Aluminium-Co-Ltd-100065044507710/" TargetMode="External"/><Relationship Id="rId8" Type="http://schemas.openxmlformats.org/officeDocument/2006/relationships/hyperlink" Target="MAILTO:sales@dimech-ent.com" TargetMode="External"/><Relationship Id="rId142" Type="http://schemas.openxmlformats.org/officeDocument/2006/relationships/hyperlink" Target="https://www.google.com/maps/search/?api=1&amp;query=13%20Censu%20Bugeja%20Street%20%2C%20Birkirkara%20%2C%20Malta" TargetMode="External"/><Relationship Id="rId184" Type="http://schemas.openxmlformats.org/officeDocument/2006/relationships/hyperlink" Target="https://www.google.com/maps/search/?api=1&amp;query=197%20Telgha%20tal-Gizwiti%2C%20Marsa" TargetMode="External"/><Relationship Id="rId251" Type="http://schemas.openxmlformats.org/officeDocument/2006/relationships/hyperlink" Target="https://www.google.com/maps/search/?api=1&amp;query=29%20Triq%20E%20Attard%20Bezzina%2C%20Zejtun" TargetMode="External"/><Relationship Id="rId46" Type="http://schemas.openxmlformats.org/officeDocument/2006/relationships/hyperlink" Target="MAILTO:j3alumiunium@gmail.com" TargetMode="External"/><Relationship Id="rId293" Type="http://schemas.openxmlformats.org/officeDocument/2006/relationships/hyperlink" Target="https://jlautier.com/" TargetMode="External"/><Relationship Id="rId307" Type="http://schemas.openxmlformats.org/officeDocument/2006/relationships/hyperlink" Target="https://facebook.com/p/Melvin-Aluminium-works-100057483907699/" TargetMode="External"/><Relationship Id="rId349" Type="http://schemas.openxmlformats.org/officeDocument/2006/relationships/hyperlink" Target="https://facebook.com/p/Munita-Aluminium-100063476861515/" TargetMode="External"/></Relationships>
</file>

<file path=xl/worksheets/_rels/sheet76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chicliving.com.mt" TargetMode="External"/><Relationship Id="rId18" Type="http://schemas.openxmlformats.org/officeDocument/2006/relationships/hyperlink" Target="https://www.google.com/maps/search/?api=1&amp;query=Handaq%20Road%2C%20Qormi%2C%20QRM%204000%2C%20Malta" TargetMode="External"/><Relationship Id="rId26" Type="http://schemas.openxmlformats.org/officeDocument/2006/relationships/hyperlink" Target="https://www.google.com/maps/search/?api=1&amp;query=triq%20Durumblat%2C%20Il-Mosta%2C%20Malta%20MST%204816" TargetMode="External"/><Relationship Id="rId21" Type="http://schemas.openxmlformats.org/officeDocument/2006/relationships/hyperlink" Target="https://www.google.com/maps/search/?api=1&amp;query=Marsalforn%20Road%20%2C%20xaghra%20%2C%20Gozo%20%2CMalta" TargetMode="External"/><Relationship Id="rId34" Type="http://schemas.openxmlformats.org/officeDocument/2006/relationships/hyperlink" Target="https://juliansmarble.com/" TargetMode="External"/><Relationship Id="rId7" Type="http://schemas.openxmlformats.org/officeDocument/2006/relationships/hyperlink" Target="MAILTO:info@rabatmarbles.com" TargetMode="External"/><Relationship Id="rId12" Type="http://schemas.openxmlformats.org/officeDocument/2006/relationships/hyperlink" Target="MAILTO:icamill52@gmail.com" TargetMode="External"/><Relationship Id="rId17" Type="http://schemas.openxmlformats.org/officeDocument/2006/relationships/hyperlink" Target="https://www.google.com/maps/search/?api=1&amp;query=355%2C%20Triq%20l-Imdina%2C%20%C4%A6al%20Qormi%2C%20Malta%20QRM%209012" TargetMode="External"/><Relationship Id="rId25" Type="http://schemas.openxmlformats.org/officeDocument/2006/relationships/hyperlink" Target="https://www.google.com/maps/search/?api=1&amp;query=Triq%20Hal%20Tarxien%2C%20Il-Gudja%2C%20Malta%20ZTN%2014" TargetMode="External"/><Relationship Id="rId33" Type="http://schemas.openxmlformats.org/officeDocument/2006/relationships/hyperlink" Target="https://rabatmarbles.com/" TargetMode="External"/><Relationship Id="rId2" Type="http://schemas.openxmlformats.org/officeDocument/2006/relationships/hyperlink" Target="MAILTO:sales@marbleinnovation.com" TargetMode="External"/><Relationship Id="rId16" Type="http://schemas.openxmlformats.org/officeDocument/2006/relationships/hyperlink" Target="https://www.google.com/maps/search/?api=1&amp;query=%C4%A6a%C5%BC-%C5%BBebbu%C4%A1%2C%20Malta" TargetMode="External"/><Relationship Id="rId20" Type="http://schemas.openxmlformats.org/officeDocument/2006/relationships/hyperlink" Target="https://www.google.com/maps/search/?api=1&amp;query=Labour%20Avenue%2C%20Rabat%20RBT%201769%20%2C%20Malta" TargetMode="External"/><Relationship Id="rId29" Type="http://schemas.openxmlformats.org/officeDocument/2006/relationships/hyperlink" Target="https://rgpmarblemalta.com/" TargetMode="External"/><Relationship Id="rId1" Type="http://schemas.openxmlformats.org/officeDocument/2006/relationships/hyperlink" Target="MAILTO:info@desanamarbles.com" TargetMode="External"/><Relationship Id="rId6" Type="http://schemas.openxmlformats.org/officeDocument/2006/relationships/hyperlink" Target="MAILTO:info@hmvella.com" TargetMode="External"/><Relationship Id="rId11" Type="http://schemas.openxmlformats.org/officeDocument/2006/relationships/hyperlink" Target="MAILTO:bugejamarbles@gmail.com" TargetMode="External"/><Relationship Id="rId24" Type="http://schemas.openxmlformats.org/officeDocument/2006/relationships/hyperlink" Target="https://www.google.com/maps/search/?api=1&amp;query=Zone%203%2C%20Central%20Business%20District%2C%20Triq%20San%20Gwakkin%2C%20Birkirkara%2C%20Mriehel%2C%20Malta" TargetMode="External"/><Relationship Id="rId32" Type="http://schemas.openxmlformats.org/officeDocument/2006/relationships/hyperlink" Target="https://halmanvella.com/" TargetMode="External"/><Relationship Id="rId37" Type="http://schemas.openxmlformats.org/officeDocument/2006/relationships/hyperlink" Target="https://bugeja-marbles.com/" TargetMode="External"/><Relationship Id="rId5" Type="http://schemas.openxmlformats.org/officeDocument/2006/relationships/hyperlink" Target="MAILTO:info@cinimarbles.com" TargetMode="External"/><Relationship Id="rId15" Type="http://schemas.openxmlformats.org/officeDocument/2006/relationships/hyperlink" Target="https://www.google.com/maps/search/?api=1&amp;query=KKW601%2C%20Triq%20Kordin%2C%20Paola%2C%20Malta" TargetMode="External"/><Relationship Id="rId23" Type="http://schemas.openxmlformats.org/officeDocument/2006/relationships/hyperlink" Target="https://www.google.com/maps/search/?api=1&amp;query=Il-Pressa%2C%20Triq%20Il-Biccerija%2C%20Ix-Xewkija%2C%20Gozo%2C%20Malta%20XWK%203000" TargetMode="External"/><Relationship Id="rId28" Type="http://schemas.openxmlformats.org/officeDocument/2006/relationships/hyperlink" Target="https://marbleinnovation.com/" TargetMode="External"/><Relationship Id="rId36" Type="http://schemas.openxmlformats.org/officeDocument/2006/relationships/hyperlink" Target="https://afellismarbleworks.com/" TargetMode="External"/><Relationship Id="rId10" Type="http://schemas.openxmlformats.org/officeDocument/2006/relationships/hyperlink" Target="MAILTO:afellismarbleworks@gmail.com" TargetMode="External"/><Relationship Id="rId19" Type="http://schemas.openxmlformats.org/officeDocument/2006/relationships/hyperlink" Target="https://www.google.com/maps/search/?api=1&amp;query=Handaq%20Road%2C%20Qormi%2C%20QRM%204000%2C%20Malta" TargetMode="External"/><Relationship Id="rId31" Type="http://schemas.openxmlformats.org/officeDocument/2006/relationships/hyperlink" Target="https://cinimarbles.com/" TargetMode="External"/><Relationship Id="rId4" Type="http://schemas.openxmlformats.org/officeDocument/2006/relationships/hyperlink" Target="MAILTO:amuscatmarble@gmail.com" TargetMode="External"/><Relationship Id="rId9" Type="http://schemas.openxmlformats.org/officeDocument/2006/relationships/hyperlink" Target="MAILTO:grechmarbles@onvol.net" TargetMode="External"/><Relationship Id="rId14" Type="http://schemas.openxmlformats.org/officeDocument/2006/relationships/hyperlink" Target="https://www.google.com/maps/search/?api=1&amp;query=Buskett%20Road%2C%20Dingli%2C%20DGL%202709%2C%20Malta" TargetMode="External"/><Relationship Id="rId22" Type="http://schemas.openxmlformats.org/officeDocument/2006/relationships/hyperlink" Target="https://www.google.com/maps/search/?api=1&amp;query=Triq%20L-Mdina%20%2C%20H%20Attard%20%2C%20Malta%20ATD%209037" TargetMode="External"/><Relationship Id="rId27" Type="http://schemas.openxmlformats.org/officeDocument/2006/relationships/hyperlink" Target="https://desanamarbles.com/" TargetMode="External"/><Relationship Id="rId30" Type="http://schemas.openxmlformats.org/officeDocument/2006/relationships/hyperlink" Target="https://muscarmarbleworks.com/" TargetMode="External"/><Relationship Id="rId35" Type="http://schemas.openxmlformats.org/officeDocument/2006/relationships/hyperlink" Target="https://cgrechmarbles.com/" TargetMode="External"/><Relationship Id="rId8" Type="http://schemas.openxmlformats.org/officeDocument/2006/relationships/hyperlink" Target="MAILTO:info@juliansmarble.com" TargetMode="External"/><Relationship Id="rId3" Type="http://schemas.openxmlformats.org/officeDocument/2006/relationships/hyperlink" Target="MAILTO:rgpmarblemalta@gmail.com" TargetMode="External"/></Relationships>
</file>

<file path=xl/worksheets/_rels/sheet77.xml.rels><?xml version="1.0" encoding="UTF-8" standalone="yes"?>
<Relationships xmlns="http://schemas.openxmlformats.org/package/2006/relationships"><Relationship Id="rId8" Type="http://schemas.openxmlformats.org/officeDocument/2006/relationships/hyperlink" Target="https://cassarwoodworks.com/opening-solutions-by-george-cassar-woodworks/" TargetMode="External"/><Relationship Id="rId3" Type="http://schemas.openxmlformats.org/officeDocument/2006/relationships/hyperlink" Target="MAILTO:info@ddoorcompany.com" TargetMode="External"/><Relationship Id="rId7" Type="http://schemas.openxmlformats.org/officeDocument/2006/relationships/hyperlink" Target="https://maltadiy.com/product-category/doors-windows/internal-door/pocket-doors/" TargetMode="External"/><Relationship Id="rId2" Type="http://schemas.openxmlformats.org/officeDocument/2006/relationships/hyperlink" Target="MAILTO:info@cassarwordworks.com" TargetMode="External"/><Relationship Id="rId1" Type="http://schemas.openxmlformats.org/officeDocument/2006/relationships/hyperlink" Target="MAILTO:sales@maltadiy.com" TargetMode="External"/><Relationship Id="rId6" Type="http://schemas.openxmlformats.org/officeDocument/2006/relationships/hyperlink" Target="https://www.google.com/maps/search/?api=1&amp;query=128%20Old%20Railway%20Track%2C%20Santa%20Venera" TargetMode="External"/><Relationship Id="rId5" Type="http://schemas.openxmlformats.org/officeDocument/2006/relationships/hyperlink" Target="https://www.google.com/maps/search/?api=1&amp;query=Plot%20TQL027%2C%20Crafts%20Village%2C%20Ta%27Qali%2C%20ATD%204000%2C%20Malta" TargetMode="External"/><Relationship Id="rId4" Type="http://schemas.openxmlformats.org/officeDocument/2006/relationships/hyperlink" Target="https://www.google.com/maps/search/?api=1&amp;query=Baldacchino%20Building%20B%2C%20Triq%20Il-Belt%20Valletta%2C%20Zurrieq" TargetMode="External"/><Relationship Id="rId9" Type="http://schemas.openxmlformats.org/officeDocument/2006/relationships/hyperlink" Target="https://ddoorcompany.com/" TargetMode="External"/></Relationships>
</file>

<file path=xl/worksheets/_rels/sheet78.xml.rels><?xml version="1.0" encoding="UTF-8" standalone="yes"?>
<Relationships xmlns="http://schemas.openxmlformats.org/package/2006/relationships"><Relationship Id="rId13" Type="http://schemas.openxmlformats.org/officeDocument/2006/relationships/hyperlink" Target="MAILTO:clydeaquil@gmail.com" TargetMode="External"/><Relationship Id="rId18" Type="http://schemas.openxmlformats.org/officeDocument/2006/relationships/hyperlink" Target="MAILTO:info@casconeporteefinestre.it" TargetMode="External"/><Relationship Id="rId26" Type="http://schemas.openxmlformats.org/officeDocument/2006/relationships/hyperlink" Target="https://www.google.com/maps/search/?api=1&amp;query=WC4R%2B335%2C%20Triq%20il-mosta%2C%20Lija%20LJA%209010" TargetMode="External"/><Relationship Id="rId39" Type="http://schemas.openxmlformats.org/officeDocument/2006/relationships/hyperlink" Target="https://www.google.com/maps/search/?api=1&amp;query=Proman%20Interiors%2C%0A115%2C%20Valley%20Road%2C%0AB%27Kara.%20BKR%209022.%0AMalta." TargetMode="External"/><Relationship Id="rId21" Type="http://schemas.openxmlformats.org/officeDocument/2006/relationships/hyperlink" Target="https://www.google.com/maps/search/?api=1&amp;query=Centre%20point%20%2C%20Triq%20Valleta%20%2C%20Luqa%20%20LQA%201762%20%2C%20Malta" TargetMode="External"/><Relationship Id="rId34" Type="http://schemas.openxmlformats.org/officeDocument/2006/relationships/hyperlink" Target="https://www.google.com/maps/search/?api=1&amp;query=Triq%20Valletta%20Triq%20Gdida%20Fi%2C%20Hal%20Luqa%2C%20Malta" TargetMode="External"/><Relationship Id="rId42" Type="http://schemas.openxmlformats.org/officeDocument/2006/relationships/hyperlink" Target="https://fourwalls.com.mt/" TargetMode="External"/><Relationship Id="rId47" Type="http://schemas.openxmlformats.org/officeDocument/2006/relationships/hyperlink" Target="https://starfurniture.com.mt/" TargetMode="External"/><Relationship Id="rId50" Type="http://schemas.openxmlformats.org/officeDocument/2006/relationships/hyperlink" Target="https://framegrip.com/" TargetMode="External"/><Relationship Id="rId55" Type="http://schemas.openxmlformats.org/officeDocument/2006/relationships/hyperlink" Target="https://grfmalta.com/" TargetMode="External"/><Relationship Id="rId7" Type="http://schemas.openxmlformats.org/officeDocument/2006/relationships/hyperlink" Target="MAILTO:info@italtrade.com.mt" TargetMode="External"/><Relationship Id="rId2" Type="http://schemas.openxmlformats.org/officeDocument/2006/relationships/hyperlink" Target="MAILTO:sales@dimech-ent.com" TargetMode="External"/><Relationship Id="rId16" Type="http://schemas.openxmlformats.org/officeDocument/2006/relationships/hyperlink" Target="MAILTO:occas2@gmail.com" TargetMode="External"/><Relationship Id="rId29" Type="http://schemas.openxmlformats.org/officeDocument/2006/relationships/hyperlink" Target="https://www.google.com/maps/search/?api=1&amp;query=52%2CTriq%20ll-Muzika%20%2C%20L-Lkin%20%2C%20Malta%20IKL%201091" TargetMode="External"/><Relationship Id="rId11" Type="http://schemas.openxmlformats.org/officeDocument/2006/relationships/hyperlink" Target="MAILTO:clients@framegrip.com" TargetMode="External"/><Relationship Id="rId24" Type="http://schemas.openxmlformats.org/officeDocument/2006/relationships/hyperlink" Target="https://www.google.com/maps/search/?api=1&amp;query=Domestica%20Complex%2C%20Level%201%20%2CValley%20road%20%2C%20Msida%20%20MSD%209091%20%2CMalta" TargetMode="External"/><Relationship Id="rId32" Type="http://schemas.openxmlformats.org/officeDocument/2006/relationships/hyperlink" Target="https://www.google.com/maps/search/?api=1&amp;query=Triq%20Mastru%20Gorg%20Cachia%2C%20Tal-%C4%A6andaq%2C%20%C4%A6al%20Qormi%2C%20Malta%20QRM%204000" TargetMode="External"/><Relationship Id="rId37" Type="http://schemas.openxmlformats.org/officeDocument/2006/relationships/hyperlink" Target="https://www.google.com/maps/search/?api=1&amp;query=117%20Triq%20L-Assemblea%20Nazzjonali%2C%0ASan%20Gwann%20SGN%203034%2C%20Malta" TargetMode="External"/><Relationship Id="rId40" Type="http://schemas.openxmlformats.org/officeDocument/2006/relationships/hyperlink" Target="https://ddoorcompany.com/" TargetMode="External"/><Relationship Id="rId45" Type="http://schemas.openxmlformats.org/officeDocument/2006/relationships/hyperlink" Target="https://pvc.com.mt/" TargetMode="External"/><Relationship Id="rId53" Type="http://schemas.openxmlformats.org/officeDocument/2006/relationships/hyperlink" Target="https://nkwoodworks.com/" TargetMode="External"/><Relationship Id="rId5" Type="http://schemas.openxmlformats.org/officeDocument/2006/relationships/hyperlink" Target="MAILTO:info@domestica.com.mt" TargetMode="External"/><Relationship Id="rId19" Type="http://schemas.openxmlformats.org/officeDocument/2006/relationships/hyperlink" Target="MAILTO:info@promaninteriors.com" TargetMode="External"/><Relationship Id="rId4" Type="http://schemas.openxmlformats.org/officeDocument/2006/relationships/hyperlink" Target="MAILTO:info@sfdoorstyles.com.mt" TargetMode="External"/><Relationship Id="rId9" Type="http://schemas.openxmlformats.org/officeDocument/2006/relationships/hyperlink" Target="MAILTO:sales@powerhousemalta.com.eu" TargetMode="External"/><Relationship Id="rId14" Type="http://schemas.openxmlformats.org/officeDocument/2006/relationships/hyperlink" Target="MAILTO:info@alfredbaldacchinoltd.net" TargetMode="External"/><Relationship Id="rId22" Type="http://schemas.openxmlformats.org/officeDocument/2006/relationships/hyperlink" Target="https://www.google.com/maps/search/?api=1&amp;query=Triq%20il-Kappillan%20Mifsud%20%2C%20Santa%20venera%20%2C%20Malta" TargetMode="External"/><Relationship Id="rId27" Type="http://schemas.openxmlformats.org/officeDocument/2006/relationships/hyperlink" Target="https://www.google.com/maps/search/?api=1&amp;query=73%20Sir%20Arthur%20Burton%20Street%2C%20Mosta%20MST%201883%2C%20Malta" TargetMode="External"/><Relationship Id="rId30" Type="http://schemas.openxmlformats.org/officeDocument/2006/relationships/hyperlink" Target="https://www.google.com/maps/search/?api=1&amp;query=Triq%20Il-Mosta%2C%20Hal%20Lija%2C%20Malta%20LJA%209010" TargetMode="External"/><Relationship Id="rId35" Type="http://schemas.openxmlformats.org/officeDocument/2006/relationships/hyperlink" Target="https://www.google.com/maps/search/?api=1&amp;query=No%207%2C%20Triq%20Il-Ballut%2C%20Il-Mosta%2C%20Malta" TargetMode="External"/><Relationship Id="rId43" Type="http://schemas.openxmlformats.org/officeDocument/2006/relationships/hyperlink" Target="https://sfdoorstyles.com.mt/" TargetMode="External"/><Relationship Id="rId48" Type="http://schemas.openxmlformats.org/officeDocument/2006/relationships/hyperlink" Target="https://powerhousemalta.eu.com.mt/" TargetMode="External"/><Relationship Id="rId56" Type="http://schemas.openxmlformats.org/officeDocument/2006/relationships/hyperlink" Target="https://casconehome.com/en/index.php" TargetMode="External"/><Relationship Id="rId8" Type="http://schemas.openxmlformats.org/officeDocument/2006/relationships/hyperlink" Target="MAILTO:hello@starfurniture.com.mt" TargetMode="External"/><Relationship Id="rId51" Type="http://schemas.openxmlformats.org/officeDocument/2006/relationships/hyperlink" Target="https://gauciwoodsmalta.com/" TargetMode="External"/><Relationship Id="rId3" Type="http://schemas.openxmlformats.org/officeDocument/2006/relationships/hyperlink" Target="MAILTO:info@fourwalls.com.mt" TargetMode="External"/><Relationship Id="rId12" Type="http://schemas.openxmlformats.org/officeDocument/2006/relationships/hyperlink" Target="MAILTO:pdgl@go.net.mt" TargetMode="External"/><Relationship Id="rId17" Type="http://schemas.openxmlformats.org/officeDocument/2006/relationships/hyperlink" Target="MAILTO:info@grfmalta.com" TargetMode="External"/><Relationship Id="rId25" Type="http://schemas.openxmlformats.org/officeDocument/2006/relationships/hyperlink" Target="https://www.google.com/maps/search/?api=1&amp;query=8%20Garra%2C%20Is-Swieqi" TargetMode="External"/><Relationship Id="rId33" Type="http://schemas.openxmlformats.org/officeDocument/2006/relationships/hyperlink" Target="https://www.google.com/maps/search/?api=1&amp;query=166-167%2C%20Qasam%20Industrijali%20Ta%27%20Hal%20Luqa%2C%20Hal%20Luqa%2C%20Malta" TargetMode="External"/><Relationship Id="rId38" Type="http://schemas.openxmlformats.org/officeDocument/2006/relationships/hyperlink" Target="https://www.google.com/maps/search/?api=1&amp;query=Msida%20Valley%20Road%2C%20BKR9022%20Birkirkara%20-%20Malta" TargetMode="External"/><Relationship Id="rId46" Type="http://schemas.openxmlformats.org/officeDocument/2006/relationships/hyperlink" Target="https://italtrade.com.mt/" TargetMode="External"/><Relationship Id="rId20" Type="http://schemas.openxmlformats.org/officeDocument/2006/relationships/hyperlink" Target="https://www.google.com/maps/search/?api=1&amp;query=128%20old%20Railway%20Track%20%2C%20Santa%20venera%20%2C%20Malta" TargetMode="External"/><Relationship Id="rId41" Type="http://schemas.openxmlformats.org/officeDocument/2006/relationships/hyperlink" Target="https://dimech-ent.com/" TargetMode="External"/><Relationship Id="rId54" Type="http://schemas.openxmlformats.org/officeDocument/2006/relationships/hyperlink" Target="https://masterwoodmalta.net/" TargetMode="External"/><Relationship Id="rId1" Type="http://schemas.openxmlformats.org/officeDocument/2006/relationships/hyperlink" Target="MAILTO:info@ddoorcompany.com" TargetMode="External"/><Relationship Id="rId6" Type="http://schemas.openxmlformats.org/officeDocument/2006/relationships/hyperlink" Target="MAILTO:info@pvc.com.mt" TargetMode="External"/><Relationship Id="rId15" Type="http://schemas.openxmlformats.org/officeDocument/2006/relationships/hyperlink" Target="MAILTO:info@nkwoodworks.com" TargetMode="External"/><Relationship Id="rId23" Type="http://schemas.openxmlformats.org/officeDocument/2006/relationships/hyperlink" Target="https://www.google.com/maps/search/?api=1&amp;query=Unit%201%262%2C%20Industrial%20Estate%20Luqa%20MT%20LQA%203000%2C%20%C4%A6al%20Luqa" TargetMode="External"/><Relationship Id="rId28" Type="http://schemas.openxmlformats.org/officeDocument/2006/relationships/hyperlink" Target="https://www.google.com/maps/search/?api=1&amp;query=13%20Censu%20Bugeja%20Street%20%2C%20Birkirkara%20%2C%20Malta" TargetMode="External"/><Relationship Id="rId36" Type="http://schemas.openxmlformats.org/officeDocument/2006/relationships/hyperlink" Target="https://www.google.com/maps/search/?api=1&amp;query=106%2C%20Qasam%20Industrijali%20Ta%27%20Hal-Farrug%2C%20Hal%20Luqa%2C%20Hal%20Farrug%2C%20Malta" TargetMode="External"/><Relationship Id="rId49" Type="http://schemas.openxmlformats.org/officeDocument/2006/relationships/hyperlink" Target="https://pvcmalta.com/" TargetMode="External"/><Relationship Id="rId57" Type="http://schemas.openxmlformats.org/officeDocument/2006/relationships/hyperlink" Target="https://promaninteriors.com/" TargetMode="External"/><Relationship Id="rId10" Type="http://schemas.openxmlformats.org/officeDocument/2006/relationships/hyperlink" Target="MAILTO:sales@pvcmalta.com" TargetMode="External"/><Relationship Id="rId31" Type="http://schemas.openxmlformats.org/officeDocument/2006/relationships/hyperlink" Target="https://www.google.com/maps/search/?api=1&amp;query=triq%20-il%20kappar%20%2C%20ll-Mosta%20%2C%20Malta%20MST%2003" TargetMode="External"/><Relationship Id="rId44" Type="http://schemas.openxmlformats.org/officeDocument/2006/relationships/hyperlink" Target="https://domestica.com.mt/" TargetMode="External"/><Relationship Id="rId52" Type="http://schemas.openxmlformats.org/officeDocument/2006/relationships/hyperlink" Target="https://alfredbaldacchinoltd.net/" TargetMode="External"/></Relationships>
</file>

<file path=xl/worksheets/_rels/sheet79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clima755.com" TargetMode="External"/><Relationship Id="rId21" Type="http://schemas.openxmlformats.org/officeDocument/2006/relationships/hyperlink" Target="MAILTO:info@ac-malta.com" TargetMode="External"/><Relationship Id="rId42" Type="http://schemas.openxmlformats.org/officeDocument/2006/relationships/hyperlink" Target="https://www.google.com/maps/search/?api=1&amp;query=Flat%204%2C%20Hinxman%20Court%2C%20Trejqet%20Il-Gewz%2C%20Ir-Rabat%2C%20Il-Bahrija" TargetMode="External"/><Relationship Id="rId47" Type="http://schemas.openxmlformats.org/officeDocument/2006/relationships/hyperlink" Target="https://www.google.com/maps/search/?api=1&amp;query=The%20Lyric%2C%20Triq%20Antonio%20Bosio%2C%20Msida%2C%20Malta" TargetMode="External"/><Relationship Id="rId63" Type="http://schemas.openxmlformats.org/officeDocument/2006/relationships/hyperlink" Target="https://btmalta.com/" TargetMode="External"/><Relationship Id="rId68" Type="http://schemas.openxmlformats.org/officeDocument/2006/relationships/hyperlink" Target="https://smarteffects.com.mt/" TargetMode="External"/><Relationship Id="rId16" Type="http://schemas.openxmlformats.org/officeDocument/2006/relationships/hyperlink" Target="MAILTO:info@engenuity.com.mt" TargetMode="External"/><Relationship Id="rId11" Type="http://schemas.openxmlformats.org/officeDocument/2006/relationships/hyperlink" Target="MAILTO:futurahomeappliances@gmail.com" TargetMode="External"/><Relationship Id="rId32" Type="http://schemas.openxmlformats.org/officeDocument/2006/relationships/hyperlink" Target="MAILTO:sales@venturamalta.com" TargetMode="External"/><Relationship Id="rId37" Type="http://schemas.openxmlformats.org/officeDocument/2006/relationships/hyperlink" Target="https://www.google.com/maps/search/?api=1&amp;query=Cutrico%20Building%2C%20Triq%20L-Imriehel%2C%20Mriehel%2C%20Birkirkara%20BKR%203000" TargetMode="External"/><Relationship Id="rId53" Type="http://schemas.openxmlformats.org/officeDocument/2006/relationships/hyperlink" Target="https://www.google.com/maps/search/?api=1&amp;query=168%2C%20Luqa%20Industrial%20Estate%2C%20Luqa" TargetMode="External"/><Relationship Id="rId58" Type="http://schemas.openxmlformats.org/officeDocument/2006/relationships/hyperlink" Target="https://www.google.com/maps/search/?api=1&amp;query=18%2C%20Guzeppi%20Licari%2C%20Birkirkara%2C%20Malta" TargetMode="External"/><Relationship Id="rId74" Type="http://schemas.openxmlformats.org/officeDocument/2006/relationships/hyperlink" Target="https://coolforyoumalta.com/?brid=ZrlreT6d_V10djmjAX8k5Q" TargetMode="External"/><Relationship Id="rId79" Type="http://schemas.openxmlformats.org/officeDocument/2006/relationships/hyperlink" Target="https://cooltekservices.com.mt/" TargetMode="External"/><Relationship Id="rId5" Type="http://schemas.openxmlformats.org/officeDocument/2006/relationships/hyperlink" Target="MAILTO:airsolutions@ezee.mt" TargetMode="External"/><Relationship Id="rId61" Type="http://schemas.openxmlformats.org/officeDocument/2006/relationships/hyperlink" Target="https://able.com.mt/" TargetMode="External"/><Relationship Id="rId82" Type="http://schemas.openxmlformats.org/officeDocument/2006/relationships/hyperlink" Target="https://facebook.com/steffannnn/" TargetMode="External"/><Relationship Id="rId19" Type="http://schemas.openxmlformats.org/officeDocument/2006/relationships/hyperlink" Target="MAILTO:info@hvacsupplies.eu" TargetMode="External"/><Relationship Id="rId14" Type="http://schemas.openxmlformats.org/officeDocument/2006/relationships/hyperlink" Target="MAILTO:info@titan.mizzi.com.mt" TargetMode="External"/><Relationship Id="rId22" Type="http://schemas.openxmlformats.org/officeDocument/2006/relationships/hyperlink" Target="MAILTO:gyorgymihalka@gmail.com" TargetMode="External"/><Relationship Id="rId27" Type="http://schemas.openxmlformats.org/officeDocument/2006/relationships/hyperlink" Target="MAILTO:info@cooltekservices.com.mt" TargetMode="External"/><Relationship Id="rId30" Type="http://schemas.openxmlformats.org/officeDocument/2006/relationships/hyperlink" Target="MAILTO:Stefandebono90@gmail.com" TargetMode="External"/><Relationship Id="rId35" Type="http://schemas.openxmlformats.org/officeDocument/2006/relationships/hyperlink" Target="https://www.google.com/maps/search/?api=1&amp;query=Daikin%20Showroom%2C%20Triq%20Il-Belt%20Valletta%2C%20Hal%20Qormi%20QRM%203619" TargetMode="External"/><Relationship Id="rId43" Type="http://schemas.openxmlformats.org/officeDocument/2006/relationships/hyperlink" Target="https://www.google.com/maps/search/?api=1&amp;query=Phoenix%20Apartments%2C%20No%205%2C%20Triq%20Tas-Sisla%2C%20Birkirkara%2C%20Is-Swatar" TargetMode="External"/><Relationship Id="rId48" Type="http://schemas.openxmlformats.org/officeDocument/2006/relationships/hyperlink" Target="https://www.google.com/maps/search/?api=1&amp;query=Triq%20Nazzjonali%2C%20%C4%A6amrun%2C%20Malta" TargetMode="External"/><Relationship Id="rId56" Type="http://schemas.openxmlformats.org/officeDocument/2006/relationships/hyperlink" Target="https://www.google.com/maps/search/?api=1&amp;query=GPL%20Business%20Centre%2C%0ATriq%20l-Esportaturi%20Zone%201%2C%0ACentral%20Business%20District%2C%0AL-Imriehel%20CBD%201040" TargetMode="External"/><Relationship Id="rId64" Type="http://schemas.openxmlformats.org/officeDocument/2006/relationships/hyperlink" Target="https://cutrico.com/" TargetMode="External"/><Relationship Id="rId69" Type="http://schemas.openxmlformats.org/officeDocument/2006/relationships/hyperlink" Target="https://titan.com.mt/" TargetMode="External"/><Relationship Id="rId77" Type="http://schemas.openxmlformats.org/officeDocument/2006/relationships/hyperlink" Target="https://panta.mt/" TargetMode="External"/><Relationship Id="rId8" Type="http://schemas.openxmlformats.org/officeDocument/2006/relationships/hyperlink" Target="MAILTO:info@shead.com.mt" TargetMode="External"/><Relationship Id="rId51" Type="http://schemas.openxmlformats.org/officeDocument/2006/relationships/hyperlink" Target="https://www.google.com/maps/search/?api=1&amp;query=9D%2C%20Midland%20Micro%20Enterprise%20Park%2C%20Triq%20Il-Burmarrad%2C%20Burmarrad%2C%20Malta" TargetMode="External"/><Relationship Id="rId72" Type="http://schemas.openxmlformats.org/officeDocument/2006/relationships/hyperlink" Target="https://econetique.com/" TargetMode="External"/><Relationship Id="rId80" Type="http://schemas.openxmlformats.org/officeDocument/2006/relationships/hyperlink" Target="https://yellow.com.mt/arjakon-co-ltd/air-conditioners/" TargetMode="External"/><Relationship Id="rId3" Type="http://schemas.openxmlformats.org/officeDocument/2006/relationships/hyperlink" Target="MAILTO:sales@btmalta.com" TargetMode="External"/><Relationship Id="rId12" Type="http://schemas.openxmlformats.org/officeDocument/2006/relationships/hyperlink" Target="MAILTO:info@attardsmalta.com" TargetMode="External"/><Relationship Id="rId17" Type="http://schemas.openxmlformats.org/officeDocument/2006/relationships/hyperlink" Target="MAILTO:info@econetique.com" TargetMode="External"/><Relationship Id="rId25" Type="http://schemas.openxmlformats.org/officeDocument/2006/relationships/hyperlink" Target="MAILTO:enquiries@panta.mt" TargetMode="External"/><Relationship Id="rId33" Type="http://schemas.openxmlformats.org/officeDocument/2006/relationships/hyperlink" Target="MAILTO:mark_nova@hotmail.com" TargetMode="External"/><Relationship Id="rId38" Type="http://schemas.openxmlformats.org/officeDocument/2006/relationships/hyperlink" Target="https://www.google.com/maps/search/?api=1&amp;query=Triq%20Il-Blata%20L-Kahla%2C%20Santa%20Venera" TargetMode="External"/><Relationship Id="rId46" Type="http://schemas.openxmlformats.org/officeDocument/2006/relationships/hyperlink" Target="https://www.google.com/maps/search/?api=1&amp;query=MPT%20Business%20Centre%2C%20Level%203%2C%20Triq%20Dun%20Karm%2C%20Birkirkara%2C%20Malta" TargetMode="External"/><Relationship Id="rId59" Type="http://schemas.openxmlformats.org/officeDocument/2006/relationships/hyperlink" Target="https://www.google.com/maps/search/?api=1&amp;query=Vairni%20Services%20Ltd%0A5%20Triq%20Titu%20Brandsma%20%2C%0AFgura%2C%20Malta%20FGR%202131" TargetMode="External"/><Relationship Id="rId67" Type="http://schemas.openxmlformats.org/officeDocument/2006/relationships/hyperlink" Target="https://attardsmalta.com/" TargetMode="External"/><Relationship Id="rId20" Type="http://schemas.openxmlformats.org/officeDocument/2006/relationships/hyperlink" Target="MAILTO:sales@midea.mt" TargetMode="External"/><Relationship Id="rId41" Type="http://schemas.openxmlformats.org/officeDocument/2006/relationships/hyperlink" Target="https://www.google.com/maps/search/?api=1&amp;query=Triq%20Tal-Mensija%2C%20San%20Gwann" TargetMode="External"/><Relationship Id="rId54" Type="http://schemas.openxmlformats.org/officeDocument/2006/relationships/hyperlink" Target="https://www.google.com/maps/search/?api=1&amp;query=Air%20Conditioners%20Malta%20%2C%20San%20Giljan" TargetMode="External"/><Relationship Id="rId62" Type="http://schemas.openxmlformats.org/officeDocument/2006/relationships/hyperlink" Target="https://daikin.com.mt/" TargetMode="External"/><Relationship Id="rId70" Type="http://schemas.openxmlformats.org/officeDocument/2006/relationships/hyperlink" Target="https://itc-malta.com/" TargetMode="External"/><Relationship Id="rId75" Type="http://schemas.openxmlformats.org/officeDocument/2006/relationships/hyperlink" Target="https://tekno.com.mt/contact/" TargetMode="External"/><Relationship Id="rId83" Type="http://schemas.openxmlformats.org/officeDocument/2006/relationships/hyperlink" Target="https://novatrading.com.mt/contact/" TargetMode="External"/><Relationship Id="rId1" Type="http://schemas.openxmlformats.org/officeDocument/2006/relationships/hyperlink" Target="MAILTO:jethro@able.com.mnt" TargetMode="External"/><Relationship Id="rId6" Type="http://schemas.openxmlformats.org/officeDocument/2006/relationships/hyperlink" Target="MAILTO:info@casmalta.com" TargetMode="External"/><Relationship Id="rId15" Type="http://schemas.openxmlformats.org/officeDocument/2006/relationships/hyperlink" Target="MAILTO:showroom@itc-malta.com" TargetMode="External"/><Relationship Id="rId23" Type="http://schemas.openxmlformats.org/officeDocument/2006/relationships/hyperlink" Target="MAILTO:sales@tekno.com.mt" TargetMode="External"/><Relationship Id="rId28" Type="http://schemas.openxmlformats.org/officeDocument/2006/relationships/hyperlink" Target="MAILTO:sales@arjakon.com" TargetMode="External"/><Relationship Id="rId36" Type="http://schemas.openxmlformats.org/officeDocument/2006/relationships/hyperlink" Target="https://www.google.com/maps/search/?api=1&amp;query=B.T.%20Buildings%2C%20300%2C%20Triq%20San%20Tumas%2C%20Hal%20Tarxien%20TXN%201602" TargetMode="External"/><Relationship Id="rId49" Type="http://schemas.openxmlformats.org/officeDocument/2006/relationships/hyperlink" Target="https://www.google.com/maps/search/?api=1&amp;query=Triq%20Tal-Hlas%20%2CHal%20Qormi%20%2C%20Malta" TargetMode="External"/><Relationship Id="rId57" Type="http://schemas.openxmlformats.org/officeDocument/2006/relationships/hyperlink" Target="https://www.google.com/maps/search/?api=1&amp;query=Valley%20Road%20Msida" TargetMode="External"/><Relationship Id="rId10" Type="http://schemas.openxmlformats.org/officeDocument/2006/relationships/hyperlink" Target="MAILTO:maintainit.mt@gmail.com" TargetMode="External"/><Relationship Id="rId31" Type="http://schemas.openxmlformats.org/officeDocument/2006/relationships/hyperlink" Target="MAILTO:info@novatrading.com.mt" TargetMode="External"/><Relationship Id="rId44" Type="http://schemas.openxmlformats.org/officeDocument/2006/relationships/hyperlink" Target="https://www.google.com/maps/search/?api=1&amp;query=220%2C%20Triq%20In-Naxxar%2C%20San%20%C4%A0wann%2C%20Malta%20SGN%209030" TargetMode="External"/><Relationship Id="rId52" Type="http://schemas.openxmlformats.org/officeDocument/2006/relationships/hyperlink" Target="https://www.google.com/maps/search/?api=1&amp;query=Triq%20%C4%A6al%20Luqa%2C%20Qormi%2C%20QRM%209070" TargetMode="External"/><Relationship Id="rId60" Type="http://schemas.openxmlformats.org/officeDocument/2006/relationships/hyperlink" Target="https://www.google.com/maps/search/?api=1&amp;query=29%20Maggie%20Moran%20Street%2C%20Paola" TargetMode="External"/><Relationship Id="rId65" Type="http://schemas.openxmlformats.org/officeDocument/2006/relationships/hyperlink" Target="https://airsolutions.com.mt/" TargetMode="External"/><Relationship Id="rId73" Type="http://schemas.openxmlformats.org/officeDocument/2006/relationships/hyperlink" Target="https://ac-malta.com/en/contacts.html" TargetMode="External"/><Relationship Id="rId78" Type="http://schemas.openxmlformats.org/officeDocument/2006/relationships/hyperlink" Target="https://clima755.com/" TargetMode="External"/><Relationship Id="rId81" Type="http://schemas.openxmlformats.org/officeDocument/2006/relationships/hyperlink" Target="https://vairni.com/wp/?utm_source=Yellow&amp;utm_medium=Yellow-Website&amp;utm_campaign=Landing-Page" TargetMode="External"/><Relationship Id="rId4" Type="http://schemas.openxmlformats.org/officeDocument/2006/relationships/hyperlink" Target="MAILTO:sales@cutrico.com" TargetMode="External"/><Relationship Id="rId9" Type="http://schemas.openxmlformats.org/officeDocument/2006/relationships/hyperlink" Target="MAILTO:bamburas583@gmail.com" TargetMode="External"/><Relationship Id="rId13" Type="http://schemas.openxmlformats.org/officeDocument/2006/relationships/hyperlink" Target="MAILTO:afenech@smarteffects.com.mt" TargetMode="External"/><Relationship Id="rId18" Type="http://schemas.openxmlformats.org/officeDocument/2006/relationships/hyperlink" Target="MAILTO:info@knlservice.com" TargetMode="External"/><Relationship Id="rId39" Type="http://schemas.openxmlformats.org/officeDocument/2006/relationships/hyperlink" Target="https://www.google.com/maps/search/?api=1&amp;query=307%2C%20Triq%20Misrah%20Il-Barrieri%2C%20Santa%20Venera%20SVR%201758" TargetMode="External"/><Relationship Id="rId34" Type="http://schemas.openxmlformats.org/officeDocument/2006/relationships/hyperlink" Target="https://www.google.com/maps/search/?api=1&amp;query=baxa%20buildings%2C%20Triq%20Valleta%20%2C%20II-Mosta%20MST%209010" TargetMode="External"/><Relationship Id="rId50" Type="http://schemas.openxmlformats.org/officeDocument/2006/relationships/hyperlink" Target="https://www.google.com/maps/search/?api=1&amp;query=Triq%20L-Industrija%2C%20Xewkija%2C%20Gozo" TargetMode="External"/><Relationship Id="rId55" Type="http://schemas.openxmlformats.org/officeDocument/2006/relationships/hyperlink" Target="https://www.google.com/maps/search/?api=1&amp;query=Triq%20Is-Salib%20ta%20L-Imriehel%2C%20Birkirkara" TargetMode="External"/><Relationship Id="rId76" Type="http://schemas.openxmlformats.org/officeDocument/2006/relationships/hyperlink" Target="https://mekanika.com.mt/?brid=yOf5xAjx5Rj8r2210S_NJg" TargetMode="External"/><Relationship Id="rId7" Type="http://schemas.openxmlformats.org/officeDocument/2006/relationships/hyperlink" Target="MAILTO:reniergrima.com@gmail.com" TargetMode="External"/><Relationship Id="rId71" Type="http://schemas.openxmlformats.org/officeDocument/2006/relationships/hyperlink" Target="https://engenuity.com.mt/" TargetMode="External"/><Relationship Id="rId2" Type="http://schemas.openxmlformats.org/officeDocument/2006/relationships/hyperlink" Target="MAILTO:info@maa.com.mt" TargetMode="External"/><Relationship Id="rId29" Type="http://schemas.openxmlformats.org/officeDocument/2006/relationships/hyperlink" Target="MAILTO:sales@vairni.com" TargetMode="External"/><Relationship Id="rId24" Type="http://schemas.openxmlformats.org/officeDocument/2006/relationships/hyperlink" Target="MAILTO:mekanika@gasan.com" TargetMode="External"/><Relationship Id="rId40" Type="http://schemas.openxmlformats.org/officeDocument/2006/relationships/hyperlink" Target="https://www.google.com/maps/search/?api=1&amp;query=Triq%20Guzeppi%20Agius%2C%20Is-Siggiewi" TargetMode="External"/><Relationship Id="rId45" Type="http://schemas.openxmlformats.org/officeDocument/2006/relationships/hyperlink" Target="https://www.google.com/maps/search/?api=1&amp;query=125%2C%20Triq%20Il-Kbira%20San%20%C4%A0u%C5%BCepp%2C%20%C4%A6amrun%2C%20Malta" TargetMode="External"/><Relationship Id="rId66" Type="http://schemas.openxmlformats.org/officeDocument/2006/relationships/hyperlink" Target="https://casmalta.com/" TargetMode="External"/></Relationships>
</file>

<file path=xl/worksheets/_rels/sheet80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protrade.com.mt" TargetMode="External"/><Relationship Id="rId18" Type="http://schemas.openxmlformats.org/officeDocument/2006/relationships/hyperlink" Target="https://www.google.com/maps/search/?api=1&amp;query=Zone%201%2C%20Central%20Business%20District%2C%20Bone%20Street%2C%20Mriehel%20Bypass%20%E2%80%93%20Birkirkara%2C%20CBD1060%20Malta" TargetMode="External"/><Relationship Id="rId26" Type="http://schemas.openxmlformats.org/officeDocument/2006/relationships/hyperlink" Target="https://www.google.com/maps/search/?api=1&amp;query=triq%20%C4%A6al%20Tarxien%2C%20Il-Gudja%2C%20Malta" TargetMode="External"/><Relationship Id="rId39" Type="http://schemas.openxmlformats.org/officeDocument/2006/relationships/hyperlink" Target="https://andrewvassallo.com/" TargetMode="External"/><Relationship Id="rId21" Type="http://schemas.openxmlformats.org/officeDocument/2006/relationships/hyperlink" Target="https://www.google.com/maps/search/?api=1&amp;query=162%2C%20Cannon%20Road%2C%20Santa%20Venera%2C%20Malta" TargetMode="External"/><Relationship Id="rId34" Type="http://schemas.openxmlformats.org/officeDocument/2006/relationships/hyperlink" Target="https://pmhobby.com.mt/" TargetMode="External"/><Relationship Id="rId42" Type="http://schemas.openxmlformats.org/officeDocument/2006/relationships/hyperlink" Target="https://protrade.com.mt/" TargetMode="External"/><Relationship Id="rId7" Type="http://schemas.openxmlformats.org/officeDocument/2006/relationships/hyperlink" Target="MAILTO:bmsltdmalta@gmail.com" TargetMode="External"/><Relationship Id="rId2" Type="http://schemas.openxmlformats.org/officeDocument/2006/relationships/hyperlink" Target="MAILTO:Sales@pmhobby.com.mt" TargetMode="External"/><Relationship Id="rId16" Type="http://schemas.openxmlformats.org/officeDocument/2006/relationships/hyperlink" Target="MAILTO:tuttoparquetmalta@gmail.com" TargetMode="External"/><Relationship Id="rId29" Type="http://schemas.openxmlformats.org/officeDocument/2006/relationships/hyperlink" Target="https://www.google.com/maps/search/?api=1&amp;query=Zone%205%2C%20Triq%20Is-Seb%C4%A7%2C%20Central%20Business%20District%2C%20Qormi%2C%20Malta" TargetMode="External"/><Relationship Id="rId1" Type="http://schemas.openxmlformats.org/officeDocument/2006/relationships/hyperlink" Target="MAILTO:sales@dimech-ent.com" TargetMode="External"/><Relationship Id="rId6" Type="http://schemas.openxmlformats.org/officeDocument/2006/relationships/hyperlink" Target="MAILTO:sales@pvcmalta.com" TargetMode="External"/><Relationship Id="rId11" Type="http://schemas.openxmlformats.org/officeDocument/2006/relationships/hyperlink" Target="MAILTO:info@theprofessionalsmalta.com" TargetMode="External"/><Relationship Id="rId24" Type="http://schemas.openxmlformats.org/officeDocument/2006/relationships/hyperlink" Target="https://www.google.com/maps/search/?api=1&amp;query=Triq%20Tumas%20Galea%2C%20Birkirkara%2C%20BKR%204519%2C%20Malta" TargetMode="External"/><Relationship Id="rId32" Type="http://schemas.openxmlformats.org/officeDocument/2006/relationships/hyperlink" Target="https://www.google.com/maps/search/?api=1&amp;query=10%2C%20Triq%20Dun%20Karm%0ABirkirkara%2C%20Malta" TargetMode="External"/><Relationship Id="rId37" Type="http://schemas.openxmlformats.org/officeDocument/2006/relationships/hyperlink" Target="https://maltashopper.com/" TargetMode="External"/><Relationship Id="rId40" Type="http://schemas.openxmlformats.org/officeDocument/2006/relationships/hyperlink" Target="https://theprofessionalsmalta.com/" TargetMode="External"/><Relationship Id="rId45" Type="http://schemas.openxmlformats.org/officeDocument/2006/relationships/hyperlink" Target="https://tuttoparquetmalta.com/index.html" TargetMode="External"/><Relationship Id="rId5" Type="http://schemas.openxmlformats.org/officeDocument/2006/relationships/hyperlink" Target="MAILTO:sales@maltashopper.com" TargetMode="External"/><Relationship Id="rId15" Type="http://schemas.openxmlformats.org/officeDocument/2006/relationships/hyperlink" Target="MAILTO:sales@deckfab.co.uk" TargetMode="External"/><Relationship Id="rId23" Type="http://schemas.openxmlformats.org/officeDocument/2006/relationships/hyperlink" Target="https://www.google.com/maps/search/?api=1&amp;query=Mdina%20Road%2C%20Qormi%2C%20QRM%209011%2C%20Malta" TargetMode="External"/><Relationship Id="rId28" Type="http://schemas.openxmlformats.org/officeDocument/2006/relationships/hyperlink" Target="https://www.google.com/maps/search/?api=1&amp;query=VFWV%2BV77%2C%20ix-Xatt%2C%20Ta%27%20Xbiex" TargetMode="External"/><Relationship Id="rId36" Type="http://schemas.openxmlformats.org/officeDocument/2006/relationships/hyperlink" Target="https://calypsomfg.com/" TargetMode="External"/><Relationship Id="rId10" Type="http://schemas.openxmlformats.org/officeDocument/2006/relationships/hyperlink" Target="MAILTO:info@adrewvassallo.com" TargetMode="External"/><Relationship Id="rId19" Type="http://schemas.openxmlformats.org/officeDocument/2006/relationships/hyperlink" Target="https://www.google.com/maps/search/?api=1&amp;query=Olive%20Square%2C%20Qormi%2C%20QRM%2011%2C%20Malta" TargetMode="External"/><Relationship Id="rId31" Type="http://schemas.openxmlformats.org/officeDocument/2006/relationships/hyperlink" Target="https://www.google.com/maps/search/?api=1&amp;query=malta" TargetMode="External"/><Relationship Id="rId44" Type="http://schemas.openxmlformats.org/officeDocument/2006/relationships/hyperlink" Target="https://deckfabmarine.com/" TargetMode="External"/><Relationship Id="rId4" Type="http://schemas.openxmlformats.org/officeDocument/2006/relationships/hyperlink" Target="MAILTO:info@calypsomfg.com" TargetMode="External"/><Relationship Id="rId9" Type="http://schemas.openxmlformats.org/officeDocument/2006/relationships/hyperlink" Target="MAILTO:info@marineservicesmalta.com" TargetMode="External"/><Relationship Id="rId14" Type="http://schemas.openxmlformats.org/officeDocument/2006/relationships/hyperlink" Target="MAILTO:info@salibawoodworks.com" TargetMode="External"/><Relationship Id="rId22" Type="http://schemas.openxmlformats.org/officeDocument/2006/relationships/hyperlink" Target="https://www.google.com/maps/search/?api=1&amp;query=52%20Triq%20il-Mu%C5%BCika%2C%20Iklin%2C%20IKL%201091%2C%20Malta" TargetMode="External"/><Relationship Id="rId27" Type="http://schemas.openxmlformats.org/officeDocument/2006/relationships/hyperlink" Target="https://www.google.com/maps/search/?api=1&amp;query=Qormi%2C%20Malta" TargetMode="External"/><Relationship Id="rId30" Type="http://schemas.openxmlformats.org/officeDocument/2006/relationships/hyperlink" Target="https://www.google.com/maps/search/?api=1&amp;query=St%20Mary%20Garage%2C%20Triq%20%C4%A6al%20Tarxien%2C%20Gudja%2C%20Malta" TargetMode="External"/><Relationship Id="rId35" Type="http://schemas.openxmlformats.org/officeDocument/2006/relationships/hyperlink" Target="https://demajotimbers.com/" TargetMode="External"/><Relationship Id="rId43" Type="http://schemas.openxmlformats.org/officeDocument/2006/relationships/hyperlink" Target="https://salibawoodworks.com/" TargetMode="External"/><Relationship Id="rId8" Type="http://schemas.openxmlformats.org/officeDocument/2006/relationships/hyperlink" Target="MAILTO:info@galtd.com" TargetMode="External"/><Relationship Id="rId3" Type="http://schemas.openxmlformats.org/officeDocument/2006/relationships/hyperlink" Target="MAILTO:timbers@demajo.com" TargetMode="External"/><Relationship Id="rId12" Type="http://schemas.openxmlformats.org/officeDocument/2006/relationships/hyperlink" Target="MAILTO:info@linkprojects.com.mt" TargetMode="External"/><Relationship Id="rId17" Type="http://schemas.openxmlformats.org/officeDocument/2006/relationships/hyperlink" Target="https://www.google.com/maps/search/?api=1&amp;query=Centre%20Point%2C%20Triq%20Valletta%2C%20Luqa%2C%20Malta%20LQA%201762" TargetMode="External"/><Relationship Id="rId25" Type="http://schemas.openxmlformats.org/officeDocument/2006/relationships/hyperlink" Target="https://www.google.com/maps/search/?api=1&amp;query=MSL%20Boat%20Yard%2C%20Triq%20il-Kappella%20ta%E2%80%99%20Santa%20Marija%2C%20Mag%C4%A7tab%2C%20Naxxar%2C%20NXR%206511%2C%20Malta" TargetMode="External"/><Relationship Id="rId33" Type="http://schemas.openxmlformats.org/officeDocument/2006/relationships/hyperlink" Target="https://dimech-ent.com/outdoors" TargetMode="External"/><Relationship Id="rId38" Type="http://schemas.openxmlformats.org/officeDocument/2006/relationships/hyperlink" Target="https://marineservicesmalta.com/" TargetMode="External"/><Relationship Id="rId20" Type="http://schemas.openxmlformats.org/officeDocument/2006/relationships/hyperlink" Target="https://www.google.com/maps/search/?api=1&amp;query=5%2C%20Cospicua%20Road%2C%20Fgura%20FGR%201261%2C%20Malta" TargetMode="External"/><Relationship Id="rId41" Type="http://schemas.openxmlformats.org/officeDocument/2006/relationships/hyperlink" Target="https://linkprojects.com.mt/" TargetMode="External"/></Relationships>
</file>

<file path=xl/worksheets/_rels/sheet8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fourseasonspools.com.mt" TargetMode="External"/><Relationship Id="rId18" Type="http://schemas.openxmlformats.org/officeDocument/2006/relationships/hyperlink" Target="https://www.google.com/maps/search/?api=1&amp;query=M4%20Shopping%20Complex%2C%20Triq%20il-Linja%2C%20Attard%2C%20ATD1234%2C%20Malta" TargetMode="External"/><Relationship Id="rId26" Type="http://schemas.openxmlformats.org/officeDocument/2006/relationships/hyperlink" Target="https://www.google.com/maps/search/?api=1&amp;query=Xuereb%20Installations%20Ltd.%20Tal-Hlas%20Road%2C%20Qormi%20QRM%205011.%20Malta" TargetMode="External"/><Relationship Id="rId3" Type="http://schemas.openxmlformats.org/officeDocument/2006/relationships/hyperlink" Target="MAILTO:sales@carinibathrooms.com" TargetMode="External"/><Relationship Id="rId21" Type="http://schemas.openxmlformats.org/officeDocument/2006/relationships/hyperlink" Target="https://www.google.com/maps/search/?api=1&amp;query=Fino%20Buildings%2C%20Triq%20l-Imdina%2C%20Zone%204%2C%20Central%20Business%20District%2C%20Birkirkara%2C%20Malta" TargetMode="External"/><Relationship Id="rId34" Type="http://schemas.openxmlformats.org/officeDocument/2006/relationships/hyperlink" Target="https://grfmalta.com/" TargetMode="External"/><Relationship Id="rId7" Type="http://schemas.openxmlformats.org/officeDocument/2006/relationships/hyperlink" Target="MAILTO:info@dv.mt" TargetMode="External"/><Relationship Id="rId12" Type="http://schemas.openxmlformats.org/officeDocument/2006/relationships/hyperlink" Target="MAILTO:marco@marcovella.com" TargetMode="External"/><Relationship Id="rId17" Type="http://schemas.openxmlformats.org/officeDocument/2006/relationships/hyperlink" Target="https://www.google.com/maps/search/?api=1&amp;query=Tarxien%20Road%2C%20Gudja%2C%20GDJ%201905%2C%20Malta" TargetMode="External"/><Relationship Id="rId25" Type="http://schemas.openxmlformats.org/officeDocument/2006/relationships/hyperlink" Target="https://www.google.com/maps/search/?api=1&amp;query=Triq%20il-Karmnu%2C%20Luqa%2C%20Malta" TargetMode="External"/><Relationship Id="rId33" Type="http://schemas.openxmlformats.org/officeDocument/2006/relationships/hyperlink" Target="https://dv.mt/" TargetMode="External"/><Relationship Id="rId2" Type="http://schemas.openxmlformats.org/officeDocument/2006/relationships/hyperlink" Target="MAILTO:tcj@mbm.com.mt" TargetMode="External"/><Relationship Id="rId16" Type="http://schemas.openxmlformats.org/officeDocument/2006/relationships/hyperlink" Target="MAILTO:info@medprojects.com.mt" TargetMode="External"/><Relationship Id="rId20" Type="http://schemas.openxmlformats.org/officeDocument/2006/relationships/hyperlink" Target="https://www.google.com/maps/search/?api=1&amp;query=The%20Factory%2C%20Mosta%20Road%2C%20Lija%2C%20LJA9016%2C%20Malta" TargetMode="External"/><Relationship Id="rId29" Type="http://schemas.openxmlformats.org/officeDocument/2006/relationships/hyperlink" Target="https://carinibathrooms.com/" TargetMode="External"/><Relationship Id="rId1" Type="http://schemas.openxmlformats.org/officeDocument/2006/relationships/hyperlink" Target="MAILTO:info@andrewvassallo.com" TargetMode="External"/><Relationship Id="rId6" Type="http://schemas.openxmlformats.org/officeDocument/2006/relationships/hyperlink" Target="MAILTO:info@vivendo.mt" TargetMode="External"/><Relationship Id="rId11" Type="http://schemas.openxmlformats.org/officeDocument/2006/relationships/hyperlink" Target="MAILTO:allroundservices9@gmail.com" TargetMode="External"/><Relationship Id="rId24" Type="http://schemas.openxmlformats.org/officeDocument/2006/relationships/hyperlink" Target="https://www.google.com/maps/search/?api=1&amp;query=117%20Triq%20L-Assemblea%20Nazzjonali%2C%20San%20%C4%A0wann%20SGN%203034" TargetMode="External"/><Relationship Id="rId32" Type="http://schemas.openxmlformats.org/officeDocument/2006/relationships/hyperlink" Target="https://vivendo.com/" TargetMode="External"/><Relationship Id="rId5" Type="http://schemas.openxmlformats.org/officeDocument/2006/relationships/hyperlink" Target="MAILTO:info@fino.com.mt" TargetMode="External"/><Relationship Id="rId15" Type="http://schemas.openxmlformats.org/officeDocument/2006/relationships/hyperlink" Target="MAILTO:info@ptk.mt" TargetMode="External"/><Relationship Id="rId23" Type="http://schemas.openxmlformats.org/officeDocument/2006/relationships/hyperlink" Target="https://www.google.com/maps/search/?api=1&amp;query=Fairline%20Centre%2C%20Santa%20Marta%20Str%2C%20Victoria%20Gozo%2C%20VCT%202552%2C%20Malta" TargetMode="External"/><Relationship Id="rId28" Type="http://schemas.openxmlformats.org/officeDocument/2006/relationships/hyperlink" Target="https://mbm.com.mt/" TargetMode="External"/><Relationship Id="rId36" Type="http://schemas.openxmlformats.org/officeDocument/2006/relationships/hyperlink" Target="https://xuerebinstall.com/" TargetMode="External"/><Relationship Id="rId10" Type="http://schemas.openxmlformats.org/officeDocument/2006/relationships/hyperlink" Target="MAILTO:xil@xuerebinstall.com" TargetMode="External"/><Relationship Id="rId19" Type="http://schemas.openxmlformats.org/officeDocument/2006/relationships/hyperlink" Target="https://www.google.com/maps/search/?api=1&amp;query=435%2CSt.%20Joseph%20High%20Road%20%2C%20St%20Venera%20%2C%20Malta" TargetMode="External"/><Relationship Id="rId31" Type="http://schemas.openxmlformats.org/officeDocument/2006/relationships/hyperlink" Target="https://fino.com.mt/" TargetMode="External"/><Relationship Id="rId4" Type="http://schemas.openxmlformats.org/officeDocument/2006/relationships/hyperlink" Target="MAILTO:info@hmkint.com" TargetMode="External"/><Relationship Id="rId9" Type="http://schemas.openxmlformats.org/officeDocument/2006/relationships/hyperlink" Target="MAILTO:info@trendsltdmalta.com" TargetMode="External"/><Relationship Id="rId14" Type="http://schemas.openxmlformats.org/officeDocument/2006/relationships/hyperlink" Target="MAILTO:info@linkprojects.com.mt" TargetMode="External"/><Relationship Id="rId22" Type="http://schemas.openxmlformats.org/officeDocument/2006/relationships/hyperlink" Target="https://www.google.com/maps/search/?api=1&amp;query=Mdina%2C%20road%20Qormi%2CMalta" TargetMode="External"/><Relationship Id="rId27" Type="http://schemas.openxmlformats.org/officeDocument/2006/relationships/hyperlink" Target="https://andrewvassallo.com/" TargetMode="External"/><Relationship Id="rId30" Type="http://schemas.openxmlformats.org/officeDocument/2006/relationships/hyperlink" Target="https://hmkint.com/" TargetMode="External"/><Relationship Id="rId35" Type="http://schemas.openxmlformats.org/officeDocument/2006/relationships/hyperlink" Target="https://trendsltdmalta.com/" TargetMode="External"/><Relationship Id="rId8" Type="http://schemas.openxmlformats.org/officeDocument/2006/relationships/hyperlink" Target="MAILTO:info@grfmalta.com" TargetMode="External"/></Relationships>
</file>

<file path=xl/worksheets/_rels/sheet8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95%2C%20triq%20Sajd%20%2C%20Haz-Zebbug%20%2C%20ZBG%203047%2CMalta" TargetMode="External"/><Relationship Id="rId13" Type="http://schemas.openxmlformats.org/officeDocument/2006/relationships/hyperlink" Target="https://www.google.com/maps/search/?api=1&amp;query=Attard%20Bros%20Group%2C%20Industrial%20Zone%2C%E2%80%A8%0ATa%E2%80%99%20Qali%2C%20ATD%204000%2C%20Malta" TargetMode="External"/><Relationship Id="rId18" Type="http://schemas.openxmlformats.org/officeDocument/2006/relationships/hyperlink" Target="https://facebook.com/BTCommercialMalta/" TargetMode="External"/><Relationship Id="rId3" Type="http://schemas.openxmlformats.org/officeDocument/2006/relationships/hyperlink" Target="MAILTO:info@bitmac.mt" TargetMode="External"/><Relationship Id="rId7" Type="http://schemas.openxmlformats.org/officeDocument/2006/relationships/hyperlink" Target="MAILTO:gsturnkeyprojects@gmail.com" TargetMode="External"/><Relationship Id="rId12" Type="http://schemas.openxmlformats.org/officeDocument/2006/relationships/hyperlink" Target="https://www.google.com/maps/search/?api=1&amp;query=BT%20Commercial%20LTD.%20The%20Watercourse%2C%20Triq%20L-Imdina%2C%20Zone%202%20Central%20Business%20District%2C%20Birkirkara%2C%20Malta%2C%20CBD2010" TargetMode="External"/><Relationship Id="rId17" Type="http://schemas.openxmlformats.org/officeDocument/2006/relationships/hyperlink" Target="https://dv.mt/de-valtech/" TargetMode="External"/><Relationship Id="rId2" Type="http://schemas.openxmlformats.org/officeDocument/2006/relationships/hyperlink" Target="MAILTO:pacesons@gmail.com" TargetMode="External"/><Relationship Id="rId16" Type="http://schemas.openxmlformats.org/officeDocument/2006/relationships/hyperlink" Target="https://bitmacltd.com/" TargetMode="External"/><Relationship Id="rId1" Type="http://schemas.openxmlformats.org/officeDocument/2006/relationships/hyperlink" Target="MAILTO:bestinsulationltd@gmail.com" TargetMode="External"/><Relationship Id="rId6" Type="http://schemas.openxmlformats.org/officeDocument/2006/relationships/hyperlink" Target="MAILTO:info@attardbros.com" TargetMode="External"/><Relationship Id="rId11" Type="http://schemas.openxmlformats.org/officeDocument/2006/relationships/hyperlink" Target="https://www.google.com/maps/search/?api=1&amp;query=The%20Old%20Factory%2C%20San%20Gwakkin%20Str%2C%20Zone%203%2C%20Central%20Business%20District%2C%20Mriehel%2C%20B%E2%80%99kara%2C%20CBD%203030%2C%20Malta" TargetMode="External"/><Relationship Id="rId5" Type="http://schemas.openxmlformats.org/officeDocument/2006/relationships/hyperlink" Target="MAILTO:sales@btmalta.com" TargetMode="External"/><Relationship Id="rId15" Type="http://schemas.openxmlformats.org/officeDocument/2006/relationships/hyperlink" Target="https://yellow.com.mt/" TargetMode="External"/><Relationship Id="rId10" Type="http://schemas.openxmlformats.org/officeDocument/2006/relationships/hyperlink" Target="https://www.google.com/maps/search/?api=1&amp;query=Tal-Balal%20Road%20%2C%20Lklin%20%2CIKL%209013%20%2C%20Malta" TargetMode="External"/><Relationship Id="rId19" Type="http://schemas.openxmlformats.org/officeDocument/2006/relationships/hyperlink" Target="https://attardbros.com/" TargetMode="External"/><Relationship Id="rId4" Type="http://schemas.openxmlformats.org/officeDocument/2006/relationships/hyperlink" Target="MAILTO:info@devalier.com.mt" TargetMode="External"/><Relationship Id="rId9" Type="http://schemas.openxmlformats.org/officeDocument/2006/relationships/hyperlink" Target="https://www.google.com/maps/search/?api=1&amp;query=Triq%20il-Mdina%20%2CAttard%20%2CMalta%20ATD%209039" TargetMode="External"/><Relationship Id="rId14" Type="http://schemas.openxmlformats.org/officeDocument/2006/relationships/hyperlink" Target="https://facebook.com/iglumalta" TargetMode="External"/></Relationships>
</file>

<file path=xl/worksheets/_rels/sheet8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bconstruction.mt" TargetMode="External"/><Relationship Id="rId13" Type="http://schemas.openxmlformats.org/officeDocument/2006/relationships/hyperlink" Target="MAILTO:kpt.kpttradingmalta@gmail.com" TargetMode="External"/><Relationship Id="rId18" Type="http://schemas.openxmlformats.org/officeDocument/2006/relationships/hyperlink" Target="https://jmvibro.com/structural-steel" TargetMode="External"/><Relationship Id="rId3" Type="http://schemas.openxmlformats.org/officeDocument/2006/relationships/hyperlink" Target="MAILTO:info@attardbros.com" TargetMode="External"/><Relationship Id="rId7" Type="http://schemas.openxmlformats.org/officeDocument/2006/relationships/hyperlink" Target="MAILTO:info@jpbaldacchino.com" TargetMode="External"/><Relationship Id="rId12" Type="http://schemas.openxmlformats.org/officeDocument/2006/relationships/hyperlink" Target="MAILTO:info@rasonsltd.com" TargetMode="External"/><Relationship Id="rId17" Type="http://schemas.openxmlformats.org/officeDocument/2006/relationships/hyperlink" Target="https://generalprecastconcrete.com/downloads/" TargetMode="External"/><Relationship Id="rId2" Type="http://schemas.openxmlformats.org/officeDocument/2006/relationships/hyperlink" Target="MAILTO:ballut@ballutblocks.com" TargetMode="External"/><Relationship Id="rId16" Type="http://schemas.openxmlformats.org/officeDocument/2006/relationships/hyperlink" Target="https://facebook.com/attardbros" TargetMode="External"/><Relationship Id="rId20" Type="http://schemas.openxmlformats.org/officeDocument/2006/relationships/hyperlink" Target="https://jpbaldacchino.com/" TargetMode="External"/><Relationship Id="rId1" Type="http://schemas.openxmlformats.org/officeDocument/2006/relationships/hyperlink" Target="MAILTO:info@blokrete.com.mt" TargetMode="External"/><Relationship Id="rId6" Type="http://schemas.openxmlformats.org/officeDocument/2006/relationships/hyperlink" Target="MAILTO:info@polidano-group.com" TargetMode="External"/><Relationship Id="rId11" Type="http://schemas.openxmlformats.org/officeDocument/2006/relationships/hyperlink" Target="MAILTO:info@michaelcaruanaltd.com" TargetMode="External"/><Relationship Id="rId5" Type="http://schemas.openxmlformats.org/officeDocument/2006/relationships/hyperlink" Target="MAILTO:sales@jmvibro.com" TargetMode="External"/><Relationship Id="rId15" Type="http://schemas.openxmlformats.org/officeDocument/2006/relationships/hyperlink" Target="https://ballutblocks.com/contact-us/" TargetMode="External"/><Relationship Id="rId10" Type="http://schemas.openxmlformats.org/officeDocument/2006/relationships/hyperlink" Target="MAILTO:info@ogcw.mt" TargetMode="External"/><Relationship Id="rId19" Type="http://schemas.openxmlformats.org/officeDocument/2006/relationships/hyperlink" Target="https://polidano-group.com/content_id_260158.html" TargetMode="External"/><Relationship Id="rId4" Type="http://schemas.openxmlformats.org/officeDocument/2006/relationships/hyperlink" Target="MAILTO:info@generalprecastconcrete.com" TargetMode="External"/><Relationship Id="rId9" Type="http://schemas.openxmlformats.org/officeDocument/2006/relationships/hyperlink" Target="MAILTO:info@elbros.com.mt" TargetMode="External"/><Relationship Id="rId14" Type="http://schemas.openxmlformats.org/officeDocument/2006/relationships/hyperlink" Target="https://blokrete.com.mt/contact/" TargetMode="External"/></Relationships>
</file>

<file path=xl/worksheets/_rels/sheet8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Triq%20Il-Wied%20Ta%27%20L-Imsida%2C%20L-Imsida%2C%20Malta" TargetMode="External"/><Relationship Id="rId13" Type="http://schemas.openxmlformats.org/officeDocument/2006/relationships/hyperlink" Target="https://strandelectronics.com/" TargetMode="External"/><Relationship Id="rId3" Type="http://schemas.openxmlformats.org/officeDocument/2006/relationships/hyperlink" Target="MAILTO:info@ramilenemalta.com" TargetMode="External"/><Relationship Id="rId7" Type="http://schemas.openxmlformats.org/officeDocument/2006/relationships/hyperlink" Target="https://www.google.com/maps/search/?api=1&amp;query=50%2F51%2C%20Ramilene%20Building%2C%20Triq%20It-Torri%2C%20Swatar%2C%20BKR%204011%2C%20Malta" TargetMode="External"/><Relationship Id="rId12" Type="http://schemas.openxmlformats.org/officeDocument/2006/relationships/hyperlink" Target="https://ramilenemalta.com/" TargetMode="External"/><Relationship Id="rId2" Type="http://schemas.openxmlformats.org/officeDocument/2006/relationships/hyperlink" Target="MAILTO:info@imagesystems.com.mt" TargetMode="External"/><Relationship Id="rId1" Type="http://schemas.openxmlformats.org/officeDocument/2006/relationships/hyperlink" Target="MAILTO:info@forestals.com" TargetMode="External"/><Relationship Id="rId6" Type="http://schemas.openxmlformats.org/officeDocument/2006/relationships/hyperlink" Target="https://www.google.com/maps/search/?api=1&amp;query=19%2C%20Vincenti%20Buildings%2C%2011%20Strait%20Street%2C%20Valletta%20VLT%201432%2C%20Malta" TargetMode="External"/><Relationship Id="rId11" Type="http://schemas.openxmlformats.org/officeDocument/2006/relationships/hyperlink" Target="https://imagesystems.com.mt/" TargetMode="External"/><Relationship Id="rId5" Type="http://schemas.openxmlformats.org/officeDocument/2006/relationships/hyperlink" Target="https://www.google.com/maps/search/?api=1&amp;query=Lead%20Business%20Centre%2C%20Triq%20L-Intrapriza%2C%20Zone%204%2C%20Central%20Business%20District%2C%20Birkirkara%20CBD%204080%2C%20Malta" TargetMode="External"/><Relationship Id="rId10" Type="http://schemas.openxmlformats.org/officeDocument/2006/relationships/hyperlink" Target="https://forestals.com/" TargetMode="External"/><Relationship Id="rId4" Type="http://schemas.openxmlformats.org/officeDocument/2006/relationships/hyperlink" Target="MAILTO:info@bitsandbytesmalta.com" TargetMode="External"/><Relationship Id="rId9" Type="http://schemas.openxmlformats.org/officeDocument/2006/relationships/hyperlink" Target="https://www.google.com/maps/search/?api=1&amp;query=St.%20Aloysius%20Square%2C%20Birkirkara%20BKR%201474%2C%20Malta" TargetMode="External"/><Relationship Id="rId14" Type="http://schemas.openxmlformats.org/officeDocument/2006/relationships/hyperlink" Target="https://bitsandbytesmalta.com/" TargetMode="External"/></Relationships>
</file>

<file path=xl/worksheets/_rels/sheet85.xml.rels><?xml version="1.0" encoding="UTF-8" standalone="yes"?>
<Relationships xmlns="http://schemas.openxmlformats.org/package/2006/relationships"><Relationship Id="rId13" Type="http://schemas.openxmlformats.org/officeDocument/2006/relationships/hyperlink" Target="MAILTO:toptiermalta@gmail.com" TargetMode="External"/><Relationship Id="rId18" Type="http://schemas.openxmlformats.org/officeDocument/2006/relationships/hyperlink" Target="https://www.google.com/maps/search/?api=1&amp;query=15%20Graham%20Street%2C%20Sliema%2C%20Malta" TargetMode="External"/><Relationship Id="rId26" Type="http://schemas.openxmlformats.org/officeDocument/2006/relationships/hyperlink" Target="https://vizwali.com/" TargetMode="External"/><Relationship Id="rId21" Type="http://schemas.openxmlformats.org/officeDocument/2006/relationships/hyperlink" Target="https://www.google.com/maps/search/?api=1&amp;query=Qrendi%2C%20Malta" TargetMode="External"/><Relationship Id="rId34" Type="http://schemas.openxmlformats.org/officeDocument/2006/relationships/hyperlink" Target="https://facebook.com/moredetailedvisuals" TargetMode="External"/><Relationship Id="rId7" Type="http://schemas.openxmlformats.org/officeDocument/2006/relationships/hyperlink" Target="MAILTO:info@entifystudio.com" TargetMode="External"/><Relationship Id="rId12" Type="http://schemas.openxmlformats.org/officeDocument/2006/relationships/hyperlink" Target="MAILTO:info@pialidesign.com" TargetMode="External"/><Relationship Id="rId17" Type="http://schemas.openxmlformats.org/officeDocument/2006/relationships/hyperlink" Target="https://www.google.com/maps/search/?api=1&amp;query=39%2C%20G%C4%A7ajnsielem%20Street%0AG%C4%A7ajnsielem%20GSM%201185%0AGozo%2C%20Malta" TargetMode="External"/><Relationship Id="rId25" Type="http://schemas.openxmlformats.org/officeDocument/2006/relationships/hyperlink" Target="https://dprostudio.com/" TargetMode="External"/><Relationship Id="rId33" Type="http://schemas.openxmlformats.org/officeDocument/2006/relationships/hyperlink" Target="https://vrsmalta.com/" TargetMode="External"/><Relationship Id="rId2" Type="http://schemas.openxmlformats.org/officeDocument/2006/relationships/hyperlink" Target="MAILTO:info@vizwali.com" TargetMode="External"/><Relationship Id="rId16" Type="http://schemas.openxmlformats.org/officeDocument/2006/relationships/hyperlink" Target="https://www.google.com/maps/search/?api=1&amp;query=%2F" TargetMode="External"/><Relationship Id="rId20" Type="http://schemas.openxmlformats.org/officeDocument/2006/relationships/hyperlink" Target="https://www.google.com/maps/search/?api=1&amp;query=4%20Flat%201%2C%20Veduta%20Apartments%2C%0ALuigi%20Ellul%20Street%2C%0AAttard%2C%20ATD%203023%2C%0AMalta" TargetMode="External"/><Relationship Id="rId29" Type="http://schemas.openxmlformats.org/officeDocument/2006/relationships/hyperlink" Target="https://3dsocietymalta.com/" TargetMode="External"/><Relationship Id="rId1" Type="http://schemas.openxmlformats.org/officeDocument/2006/relationships/hyperlink" Target="MAILTO:info@dprostudio.com" TargetMode="External"/><Relationship Id="rId6" Type="http://schemas.openxmlformats.org/officeDocument/2006/relationships/hyperlink" Target="MAILTO:3dvisualsmalta@gmail.com" TargetMode="External"/><Relationship Id="rId11" Type="http://schemas.openxmlformats.org/officeDocument/2006/relationships/hyperlink" Target="MAILTO:info@designprinciple.com.mt" TargetMode="External"/><Relationship Id="rId24" Type="http://schemas.openxmlformats.org/officeDocument/2006/relationships/hyperlink" Target="https://www.google.com/maps/search/?api=1&amp;query=Valletta%2C%20Malta" TargetMode="External"/><Relationship Id="rId32" Type="http://schemas.openxmlformats.org/officeDocument/2006/relationships/hyperlink" Target="https://kibitec.com/" TargetMode="External"/><Relationship Id="rId37" Type="http://schemas.openxmlformats.org/officeDocument/2006/relationships/hyperlink" Target="https://facebook.com/TopTierMediaMalta/" TargetMode="External"/><Relationship Id="rId5" Type="http://schemas.openxmlformats.org/officeDocument/2006/relationships/hyperlink" Target="MAILTO:3dsocietymalta@gmail.com" TargetMode="External"/><Relationship Id="rId15" Type="http://schemas.openxmlformats.org/officeDocument/2006/relationships/hyperlink" Target="https://www.google.com/maps/search/?api=1&amp;query=%2F" TargetMode="External"/><Relationship Id="rId23" Type="http://schemas.openxmlformats.org/officeDocument/2006/relationships/hyperlink" Target="https://www.google.com/maps/search/?api=1&amp;query=Mdina%20Road%2C%0A%C4%A6az-Zebbug%2C%20Malta" TargetMode="External"/><Relationship Id="rId28" Type="http://schemas.openxmlformats.org/officeDocument/2006/relationships/hyperlink" Target="https://kt3dstudio.com/" TargetMode="External"/><Relationship Id="rId36" Type="http://schemas.openxmlformats.org/officeDocument/2006/relationships/hyperlink" Target="https://pialidesign.com/" TargetMode="External"/><Relationship Id="rId10" Type="http://schemas.openxmlformats.org/officeDocument/2006/relationships/hyperlink" Target="MAILTO:mdvisualsmalta@gmail.com" TargetMode="External"/><Relationship Id="rId19" Type="http://schemas.openxmlformats.org/officeDocument/2006/relationships/hyperlink" Target="https://www.google.com/maps/search/?api=1&amp;query=Triq%20Domenico%20Cachia%2054%0ABirkirkara%2C%20BKR1017%2C%20Malta" TargetMode="External"/><Relationship Id="rId31" Type="http://schemas.openxmlformats.org/officeDocument/2006/relationships/hyperlink" Target="https://entifystudio.com/" TargetMode="External"/><Relationship Id="rId4" Type="http://schemas.openxmlformats.org/officeDocument/2006/relationships/hyperlink" Target="MAILTO:info@KT3DStudio.mt" TargetMode="External"/><Relationship Id="rId9" Type="http://schemas.openxmlformats.org/officeDocument/2006/relationships/hyperlink" Target="MAILTO:jpace@vrsmalta.com" TargetMode="External"/><Relationship Id="rId14" Type="http://schemas.openxmlformats.org/officeDocument/2006/relationships/hyperlink" Target="MAILTO:sales@malta-design.com" TargetMode="External"/><Relationship Id="rId22" Type="http://schemas.openxmlformats.org/officeDocument/2006/relationships/hyperlink" Target="https://www.google.com/maps/search/?api=1&amp;query=Design%20Principle%0A52%2C%20St%20Paul%20Street%0AValletta%20VLT%201212%0AMalta" TargetMode="External"/><Relationship Id="rId27" Type="http://schemas.openxmlformats.org/officeDocument/2006/relationships/hyperlink" Target="https://solideye.eu/" TargetMode="External"/><Relationship Id="rId30" Type="http://schemas.openxmlformats.org/officeDocument/2006/relationships/hyperlink" Target="https://3dvisualsmalta.com/" TargetMode="External"/><Relationship Id="rId35" Type="http://schemas.openxmlformats.org/officeDocument/2006/relationships/hyperlink" Target="https://designprinciple.com.mt/" TargetMode="External"/><Relationship Id="rId8" Type="http://schemas.openxmlformats.org/officeDocument/2006/relationships/hyperlink" Target="MAILTO:contact@kibitec.com" TargetMode="External"/><Relationship Id="rId3" Type="http://schemas.openxmlformats.org/officeDocument/2006/relationships/hyperlink" Target="MAILTO:hello@solideye.eu" TargetMode="External"/></Relationships>
</file>

<file path=xl/worksheets/_rels/sheet86.xml.rels><?xml version="1.0" encoding="UTF-8" standalone="yes"?>
<Relationships xmlns="http://schemas.openxmlformats.org/package/2006/relationships"><Relationship Id="rId13" Type="http://schemas.openxmlformats.org/officeDocument/2006/relationships/hyperlink" Target="MAILTO:creativeworksmalta@gmail.com" TargetMode="External"/><Relationship Id="rId18" Type="http://schemas.openxmlformats.org/officeDocument/2006/relationships/hyperlink" Target="MAILTO:nadia@pplmalta.com" TargetMode="External"/><Relationship Id="rId26" Type="http://schemas.openxmlformats.org/officeDocument/2006/relationships/hyperlink" Target="https://www.google.com/maps/search/?api=1&amp;query=Sliema%20Road%2C%20Gzira" TargetMode="External"/><Relationship Id="rId39" Type="http://schemas.openxmlformats.org/officeDocument/2006/relationships/hyperlink" Target="https://www.google.com/maps/search/?api=1&amp;query=CCG%20Building%2C%20Triq%203%20Ta%E2%80%99%20Settembru%201798%0AZone%203%2C%20Central%20Business%20District%2C%0ABirkirkara%20CBD%203100%20Malta" TargetMode="External"/><Relationship Id="rId21" Type="http://schemas.openxmlformats.org/officeDocument/2006/relationships/hyperlink" Target="MAILTO:admin@zaffarese.com" TargetMode="External"/><Relationship Id="rId34" Type="http://schemas.openxmlformats.org/officeDocument/2006/relationships/hyperlink" Target="https://www.google.com/maps/search/?api=1&amp;query=53%2C%20Triq%20Marina%20Piet%C3%A0%20%28Sa%20Maison%29" TargetMode="External"/><Relationship Id="rId42" Type="http://schemas.openxmlformats.org/officeDocument/2006/relationships/hyperlink" Target="https://maltasigns.com/" TargetMode="External"/><Relationship Id="rId47" Type="http://schemas.openxmlformats.org/officeDocument/2006/relationships/hyperlink" Target="https://fastsigns.mt/" TargetMode="External"/><Relationship Id="rId50" Type="http://schemas.openxmlformats.org/officeDocument/2006/relationships/hyperlink" Target="https://facebook.com/houseofsignsmalta/" TargetMode="External"/><Relationship Id="rId55" Type="http://schemas.openxmlformats.org/officeDocument/2006/relationships/hyperlink" Target="https://dzynmalta.com/" TargetMode="External"/><Relationship Id="rId63" Type="http://schemas.openxmlformats.org/officeDocument/2006/relationships/hyperlink" Target="https://decomalta.com/contact" TargetMode="External"/><Relationship Id="rId7" Type="http://schemas.openxmlformats.org/officeDocument/2006/relationships/hyperlink" Target="MAILTO:customer.care@fastsigns.com" TargetMode="External"/><Relationship Id="rId2" Type="http://schemas.openxmlformats.org/officeDocument/2006/relationships/hyperlink" Target="MAILTO:sales@maltasigns.com" TargetMode="External"/><Relationship Id="rId16" Type="http://schemas.openxmlformats.org/officeDocument/2006/relationships/hyperlink" Target="MAILTO:info@gozo.graphics" TargetMode="External"/><Relationship Id="rId29" Type="http://schemas.openxmlformats.org/officeDocument/2006/relationships/hyperlink" Target="https://www.google.com/maps/search/?api=1&amp;query=SMC%20Designs%0APortico%20Flt%201%2C%2023rd%20April%20Street%0AVictoria%2C%20Gozo%20-%20Malta." TargetMode="External"/><Relationship Id="rId11" Type="http://schemas.openxmlformats.org/officeDocument/2006/relationships/hyperlink" Target="MAILTO:sales@mgmalta.com" TargetMode="External"/><Relationship Id="rId24" Type="http://schemas.openxmlformats.org/officeDocument/2006/relationships/hyperlink" Target="https://www.google.com/maps/search/?api=1&amp;query=The%20Sign%20Factory%0ATriq%20Dun%20Luret%20Callus%0A%C4%A6a%C5%BC-%C5%BBebbu%C4%A1%20-%20ZBG%202495" TargetMode="External"/><Relationship Id="rId32" Type="http://schemas.openxmlformats.org/officeDocument/2006/relationships/hyperlink" Target="https://www.google.com/maps/search/?api=1&amp;query=Indri%20Psaila%20Street%2C%0AQormi%20QRM4000%2C%20Malta." TargetMode="External"/><Relationship Id="rId37" Type="http://schemas.openxmlformats.org/officeDocument/2006/relationships/hyperlink" Target="https://www.google.com/maps/search/?api=1&amp;query=11%2C%20Triq%20II-Burmarrad%0ANaxxar%2C%20NXR%206345%0AMalta" TargetMode="External"/><Relationship Id="rId40" Type="http://schemas.openxmlformats.org/officeDocument/2006/relationships/hyperlink" Target="https://www.google.com/maps/search/?api=1&amp;query=Bulebel%2C%20Zejtun" TargetMode="External"/><Relationship Id="rId45" Type="http://schemas.openxmlformats.org/officeDocument/2006/relationships/hyperlink" Target="https://gescosigns.com/index.html" TargetMode="External"/><Relationship Id="rId53" Type="http://schemas.openxmlformats.org/officeDocument/2006/relationships/hyperlink" Target="https://bannersmalta.com/" TargetMode="External"/><Relationship Id="rId58" Type="http://schemas.openxmlformats.org/officeDocument/2006/relationships/hyperlink" Target="https://eseengraving.com/" TargetMode="External"/><Relationship Id="rId5" Type="http://schemas.openxmlformats.org/officeDocument/2006/relationships/hyperlink" Target="MAILTO:info@gescosigns.com" TargetMode="External"/><Relationship Id="rId61" Type="http://schemas.openxmlformats.org/officeDocument/2006/relationships/hyperlink" Target="https://prismprinting.com.mt/" TargetMode="External"/><Relationship Id="rId19" Type="http://schemas.openxmlformats.org/officeDocument/2006/relationships/hyperlink" Target="MAILTO:info@printagram.com.mt" TargetMode="External"/><Relationship Id="rId14" Type="http://schemas.openxmlformats.org/officeDocument/2006/relationships/hyperlink" Target="MAILTO:info@DZYNmalta.com" TargetMode="External"/><Relationship Id="rId22" Type="http://schemas.openxmlformats.org/officeDocument/2006/relationships/hyperlink" Target="MAILTO:info@decomalta.com" TargetMode="External"/><Relationship Id="rId27" Type="http://schemas.openxmlformats.org/officeDocument/2006/relationships/hyperlink" Target="https://www.google.com/maps/search/?api=1&amp;query=128%20Pitkali%20Road%2C%20Attard%0AM01%2C%202214" TargetMode="External"/><Relationship Id="rId30" Type="http://schemas.openxmlformats.org/officeDocument/2006/relationships/hyperlink" Target="https://www.google.com/maps/search/?api=1&amp;query=3%2C%20Triq%20Bugharbiel%20ZTN%203436%20Iz-Zejtun%2C%20Malta" TargetMode="External"/><Relationship Id="rId35" Type="http://schemas.openxmlformats.org/officeDocument/2006/relationships/hyperlink" Target="https://www.google.com/maps/search/?api=1&amp;query=Zabbar%2C%20Malta" TargetMode="External"/><Relationship Id="rId43" Type="http://schemas.openxmlformats.org/officeDocument/2006/relationships/hyperlink" Target="https://signfactory.com.mt/" TargetMode="External"/><Relationship Id="rId48" Type="http://schemas.openxmlformats.org/officeDocument/2006/relationships/hyperlink" Target="https://deltamedia.services/" TargetMode="External"/><Relationship Id="rId56" Type="http://schemas.openxmlformats.org/officeDocument/2006/relationships/hyperlink" Target="https://essencyengraving.com/mt" TargetMode="External"/><Relationship Id="rId8" Type="http://schemas.openxmlformats.org/officeDocument/2006/relationships/hyperlink" Target="MAILTO:info@deltamedia.services" TargetMode="External"/><Relationship Id="rId51" Type="http://schemas.openxmlformats.org/officeDocument/2006/relationships/hyperlink" Target="https://facebook.com/ajet.signs/" TargetMode="External"/><Relationship Id="rId3" Type="http://schemas.openxmlformats.org/officeDocument/2006/relationships/hyperlink" Target="MAILTO:info@signfactory.com.mt" TargetMode="External"/><Relationship Id="rId12" Type="http://schemas.openxmlformats.org/officeDocument/2006/relationships/hyperlink" Target="MAILTO:bannersmalta@gmail.com" TargetMode="External"/><Relationship Id="rId17" Type="http://schemas.openxmlformats.org/officeDocument/2006/relationships/hyperlink" Target="MAILTO:edgar.engraving@gmail.com" TargetMode="External"/><Relationship Id="rId25" Type="http://schemas.openxmlformats.org/officeDocument/2006/relationships/hyperlink" Target="https://www.google.com/maps/search/?api=1&amp;query=Triq%20il-Frangiskani%2C%20L-Imsida%0AMSD%201120%2C%20Malta" TargetMode="External"/><Relationship Id="rId33" Type="http://schemas.openxmlformats.org/officeDocument/2006/relationships/hyperlink" Target="https://www.google.com/maps/search/?api=1&amp;query=Santa%20Venera" TargetMode="External"/><Relationship Id="rId38" Type="http://schemas.openxmlformats.org/officeDocument/2006/relationships/hyperlink" Target="https://www.google.com/maps/search/?api=1&amp;query=Merkanti%2C%20Prism%20Printing%2C%0ANaggar%20Street%2C%0AMosta%2C%0AMST%201761" TargetMode="External"/><Relationship Id="rId46" Type="http://schemas.openxmlformats.org/officeDocument/2006/relationships/hyperlink" Target="https://vikingsignrite.com/" TargetMode="External"/><Relationship Id="rId59" Type="http://schemas.openxmlformats.org/officeDocument/2006/relationships/hyperlink" Target="https://pplmalta.com/" TargetMode="External"/><Relationship Id="rId20" Type="http://schemas.openxmlformats.org/officeDocument/2006/relationships/hyperlink" Target="MAILTO:sales@prismprinting.com.mt" TargetMode="External"/><Relationship Id="rId41" Type="http://schemas.openxmlformats.org/officeDocument/2006/relationships/hyperlink" Target="https://cmyk.com.mt/" TargetMode="External"/><Relationship Id="rId54" Type="http://schemas.openxmlformats.org/officeDocument/2006/relationships/hyperlink" Target="https://creativeworksmalta.com/" TargetMode="External"/><Relationship Id="rId62" Type="http://schemas.openxmlformats.org/officeDocument/2006/relationships/hyperlink" Target="https://zaffarese.com/" TargetMode="External"/><Relationship Id="rId1" Type="http://schemas.openxmlformats.org/officeDocument/2006/relationships/hyperlink" Target="MAILTO:info@cmyk.com.mt" TargetMode="External"/><Relationship Id="rId6" Type="http://schemas.openxmlformats.org/officeDocument/2006/relationships/hyperlink" Target="MAILTO:info@vikingsignrite.com" TargetMode="External"/><Relationship Id="rId15" Type="http://schemas.openxmlformats.org/officeDocument/2006/relationships/hyperlink" Target="MAILTO:connor@essencyengraving.com" TargetMode="External"/><Relationship Id="rId23" Type="http://schemas.openxmlformats.org/officeDocument/2006/relationships/hyperlink" Target="https://www.google.com/maps/search/?api=1&amp;query=118%20Triq%20Glormu%20Cassar%2C%20Mosta%20MST4112" TargetMode="External"/><Relationship Id="rId28" Type="http://schemas.openxmlformats.org/officeDocument/2006/relationships/hyperlink" Target="https://www.google.com/maps/search/?api=1&amp;query=Industrial%20Area%2C%20H%27Attard" TargetMode="External"/><Relationship Id="rId36" Type="http://schemas.openxmlformats.org/officeDocument/2006/relationships/hyperlink" Target="https://www.google.com/maps/search/?api=1&amp;query=Industrial%20Estate%2C%20Luqa%2C%20Malta" TargetMode="External"/><Relationship Id="rId49" Type="http://schemas.openxmlformats.org/officeDocument/2006/relationships/hyperlink" Target="https://smcdesignstudio.com/" TargetMode="External"/><Relationship Id="rId57" Type="http://schemas.openxmlformats.org/officeDocument/2006/relationships/hyperlink" Target="https://gozographics.com/" TargetMode="External"/><Relationship Id="rId10" Type="http://schemas.openxmlformats.org/officeDocument/2006/relationships/hyperlink" Target="MAILTO:hello@ajet.mt" TargetMode="External"/><Relationship Id="rId31" Type="http://schemas.openxmlformats.org/officeDocument/2006/relationships/hyperlink" Target="https://www.google.com/maps/search/?api=1&amp;query=MG%20Signs%0A90%20%7C%2091%20%7C%2092x%20%2C%20Luqa%20industrial%20estate%0ALuqa%2C%20LQA%203000" TargetMode="External"/><Relationship Id="rId44" Type="http://schemas.openxmlformats.org/officeDocument/2006/relationships/hyperlink" Target="https://signworldmalta.com/" TargetMode="External"/><Relationship Id="rId52" Type="http://schemas.openxmlformats.org/officeDocument/2006/relationships/hyperlink" Target="https://facebook.com/mgsignsmalta/" TargetMode="External"/><Relationship Id="rId60" Type="http://schemas.openxmlformats.org/officeDocument/2006/relationships/hyperlink" Target="https://printagram.com.mt/" TargetMode="External"/><Relationship Id="rId4" Type="http://schemas.openxmlformats.org/officeDocument/2006/relationships/hyperlink" Target="MAILTO:info@signworldmalta.com" TargetMode="External"/><Relationship Id="rId9" Type="http://schemas.openxmlformats.org/officeDocument/2006/relationships/hyperlink" Target="MAILTO:smcsigns@gmail.com" TargetMode="External"/></Relationships>
</file>

<file path=xl/worksheets/_rels/sheet87.xml.rels><?xml version="1.0" encoding="UTF-8" standalone="yes"?>
<Relationships xmlns="http://schemas.openxmlformats.org/package/2006/relationships"><Relationship Id="rId13" Type="http://schemas.openxmlformats.org/officeDocument/2006/relationships/hyperlink" Target="MAILTO:bugejamarbles@gmail.com" TargetMode="External"/><Relationship Id="rId18" Type="http://schemas.openxmlformats.org/officeDocument/2006/relationships/hyperlink" Target="MAILTO:info@maltatiles.com" TargetMode="External"/><Relationship Id="rId26" Type="http://schemas.openxmlformats.org/officeDocument/2006/relationships/hyperlink" Target="MAILTO:info@vellafalzon.com" TargetMode="External"/><Relationship Id="rId39" Type="http://schemas.openxmlformats.org/officeDocument/2006/relationships/hyperlink" Target="https://www.google.com/maps/search/?api=1&amp;query=355%2C%20Triq%20l-Imdina%2C%20%C4%A6al%20Qormi%2C%20Malta%20QRM%209012" TargetMode="External"/><Relationship Id="rId21" Type="http://schemas.openxmlformats.org/officeDocument/2006/relationships/hyperlink" Target="MAILTO:info@jpitre.com" TargetMode="External"/><Relationship Id="rId34" Type="http://schemas.openxmlformats.org/officeDocument/2006/relationships/hyperlink" Target="https://www.google.com/maps/search/?api=1&amp;query=Triq%20Pantar%2C%20Hal%20Lija" TargetMode="External"/><Relationship Id="rId42" Type="http://schemas.openxmlformats.org/officeDocument/2006/relationships/hyperlink" Target="https://www.google.com/maps/search/?api=1&amp;query=Labour%20Avenue%2C%20Rabat%20RBT%201769%20%2C%20Malta" TargetMode="External"/><Relationship Id="rId47" Type="http://schemas.openxmlformats.org/officeDocument/2006/relationships/hyperlink" Target="https://www.google.com/maps/search/?api=1&amp;query=Triq%20Hal%20Tarxien%2C%20Il-Gudja%2C%20Malta%20ZTN%2014" TargetMode="External"/><Relationship Id="rId50" Type="http://schemas.openxmlformats.org/officeDocument/2006/relationships/hyperlink" Target="https://absolute.com.mt/" TargetMode="External"/><Relationship Id="rId55" Type="http://schemas.openxmlformats.org/officeDocument/2006/relationships/hyperlink" Target="https://muscarmarbleworks.com/" TargetMode="External"/><Relationship Id="rId63" Type="http://schemas.openxmlformats.org/officeDocument/2006/relationships/hyperlink" Target="https://bfmarbles.com/" TargetMode="External"/><Relationship Id="rId7" Type="http://schemas.openxmlformats.org/officeDocument/2006/relationships/hyperlink" Target="MAILTO:info@cinimarbles.com" TargetMode="External"/><Relationship Id="rId2" Type="http://schemas.openxmlformats.org/officeDocument/2006/relationships/hyperlink" Target="MAILTO:kbugeja@qualitystonemalta.com" TargetMode="External"/><Relationship Id="rId16" Type="http://schemas.openxmlformats.org/officeDocument/2006/relationships/hyperlink" Target="MAILTO:info@bfmarbles.com" TargetMode="External"/><Relationship Id="rId29" Type="http://schemas.openxmlformats.org/officeDocument/2006/relationships/hyperlink" Target="MAILTO:info@dinofino.com" TargetMode="External"/><Relationship Id="rId11" Type="http://schemas.openxmlformats.org/officeDocument/2006/relationships/hyperlink" Target="MAILTO:grechmarbles@onvol.net" TargetMode="External"/><Relationship Id="rId24" Type="http://schemas.openxmlformats.org/officeDocument/2006/relationships/hyperlink" Target="MAILTO:info@the-tile.com" TargetMode="External"/><Relationship Id="rId32" Type="http://schemas.openxmlformats.org/officeDocument/2006/relationships/hyperlink" Target="MAILTO:info@radosystems.eu" TargetMode="External"/><Relationship Id="rId37" Type="http://schemas.openxmlformats.org/officeDocument/2006/relationships/hyperlink" Target="https://www.google.com/maps/search/?api=1&amp;query=KKW601%2C%20Triq%20Kordin%2C%20Paola%2C%20Malta" TargetMode="External"/><Relationship Id="rId40" Type="http://schemas.openxmlformats.org/officeDocument/2006/relationships/hyperlink" Target="https://www.google.com/maps/search/?api=1&amp;query=Handaq%20Road%2C%20Qormi%2C%20QRM%204000%2C%20Malta" TargetMode="External"/><Relationship Id="rId45" Type="http://schemas.openxmlformats.org/officeDocument/2006/relationships/hyperlink" Target="https://www.google.com/maps/search/?api=1&amp;query=Il-Pressa%2C%20Triq%20Il-Biccerija%2C%20Ix-Xewkija%2C%20Gozo%2C%20Malta%20XWK%203000" TargetMode="External"/><Relationship Id="rId53" Type="http://schemas.openxmlformats.org/officeDocument/2006/relationships/hyperlink" Target="https://marbleinnovation.com/" TargetMode="External"/><Relationship Id="rId58" Type="http://schemas.openxmlformats.org/officeDocument/2006/relationships/hyperlink" Target="https://rabatmarbles.com/" TargetMode="External"/><Relationship Id="rId5" Type="http://schemas.openxmlformats.org/officeDocument/2006/relationships/hyperlink" Target="MAILTO:rgpmarblemalta@gmail.com" TargetMode="External"/><Relationship Id="rId61" Type="http://schemas.openxmlformats.org/officeDocument/2006/relationships/hyperlink" Target="https://afellismarbleworks.com/" TargetMode="External"/><Relationship Id="rId19" Type="http://schemas.openxmlformats.org/officeDocument/2006/relationships/hyperlink" Target="MAILTO:sales@carinibathrooms.com" TargetMode="External"/><Relationship Id="rId14" Type="http://schemas.openxmlformats.org/officeDocument/2006/relationships/hyperlink" Target="MAILTO:icamill52@gmail.com" TargetMode="External"/><Relationship Id="rId22" Type="http://schemas.openxmlformats.org/officeDocument/2006/relationships/hyperlink" Target="MAILTO:tilesandmarbleinfo@gmail.com" TargetMode="External"/><Relationship Id="rId27" Type="http://schemas.openxmlformats.org/officeDocument/2006/relationships/hyperlink" Target="MAILTO:cristalbath@onvol.net" TargetMode="External"/><Relationship Id="rId30" Type="http://schemas.openxmlformats.org/officeDocument/2006/relationships/hyperlink" Target="MAILTO:sales@thetubmalta.com" TargetMode="External"/><Relationship Id="rId35" Type="http://schemas.openxmlformats.org/officeDocument/2006/relationships/hyperlink" Target="https://www.google.com/maps/search/?api=1&amp;query=John%20Micheal%20Testa%20Handaq%2C%20Qormi%2C%20Malta" TargetMode="External"/><Relationship Id="rId43" Type="http://schemas.openxmlformats.org/officeDocument/2006/relationships/hyperlink" Target="https://www.google.com/maps/search/?api=1&amp;query=Marsalforn%20Road%20%2C%20xaghra%20%2C%20Gozo%20%2CMalta" TargetMode="External"/><Relationship Id="rId48" Type="http://schemas.openxmlformats.org/officeDocument/2006/relationships/hyperlink" Target="https://www.google.com/maps/search/?api=1&amp;query=triq%20Durumblat%2C%20Il-Mosta%2C%20Malta%20MST%204816" TargetMode="External"/><Relationship Id="rId56" Type="http://schemas.openxmlformats.org/officeDocument/2006/relationships/hyperlink" Target="https://cinimarbles.com/" TargetMode="External"/><Relationship Id="rId64" Type="http://schemas.openxmlformats.org/officeDocument/2006/relationships/hyperlink" Target="https://soll.mt/" TargetMode="External"/><Relationship Id="rId8" Type="http://schemas.openxmlformats.org/officeDocument/2006/relationships/hyperlink" Target="MAILTO:info@hmvella.com" TargetMode="External"/><Relationship Id="rId51" Type="http://schemas.openxmlformats.org/officeDocument/2006/relationships/hyperlink" Target="https://facebook.com/QualityStoneMalta/" TargetMode="External"/><Relationship Id="rId3" Type="http://schemas.openxmlformats.org/officeDocument/2006/relationships/hyperlink" Target="MAILTO:info@desanamarbles.com" TargetMode="External"/><Relationship Id="rId12" Type="http://schemas.openxmlformats.org/officeDocument/2006/relationships/hyperlink" Target="MAILTO:afellismarbleworks@gmail.com" TargetMode="External"/><Relationship Id="rId17" Type="http://schemas.openxmlformats.org/officeDocument/2006/relationships/hyperlink" Target="MAILTO:info@soll.mt" TargetMode="External"/><Relationship Id="rId25" Type="http://schemas.openxmlformats.org/officeDocument/2006/relationships/hyperlink" Target="MAILTO:info@ssbathrooms.com" TargetMode="External"/><Relationship Id="rId33" Type="http://schemas.openxmlformats.org/officeDocument/2006/relationships/hyperlink" Target="MAILTO:admin@bhome.com.mt" TargetMode="External"/><Relationship Id="rId38" Type="http://schemas.openxmlformats.org/officeDocument/2006/relationships/hyperlink" Target="https://www.google.com/maps/search/?api=1&amp;query=%C4%A6a%C5%BC-%C5%BBebbu%C4%A1%2C%20Malta" TargetMode="External"/><Relationship Id="rId46" Type="http://schemas.openxmlformats.org/officeDocument/2006/relationships/hyperlink" Target="https://www.google.com/maps/search/?api=1&amp;query=Zone%203%2C%20Central%20Business%20District%2C%20Triq%20San%20Gwakkin%2C%20Birkirkara%2C%20Mriehel%2C%20Malta" TargetMode="External"/><Relationship Id="rId59" Type="http://schemas.openxmlformats.org/officeDocument/2006/relationships/hyperlink" Target="https://juliansmarble.com/" TargetMode="External"/><Relationship Id="rId20" Type="http://schemas.openxmlformats.org/officeDocument/2006/relationships/hyperlink" Target="MAILTO:info@okhome.com.mt" TargetMode="External"/><Relationship Id="rId41" Type="http://schemas.openxmlformats.org/officeDocument/2006/relationships/hyperlink" Target="https://www.google.com/maps/search/?api=1&amp;query=Handaq%20Road%2C%20Qormi%2C%20QRM%204000%2C%20Malta" TargetMode="External"/><Relationship Id="rId54" Type="http://schemas.openxmlformats.org/officeDocument/2006/relationships/hyperlink" Target="https://rgpmarblemalta.com/" TargetMode="External"/><Relationship Id="rId62" Type="http://schemas.openxmlformats.org/officeDocument/2006/relationships/hyperlink" Target="https://bugeja-marbles.com/" TargetMode="External"/><Relationship Id="rId1" Type="http://schemas.openxmlformats.org/officeDocument/2006/relationships/hyperlink" Target="MAILTO:info@absolute.com.mt" TargetMode="External"/><Relationship Id="rId6" Type="http://schemas.openxmlformats.org/officeDocument/2006/relationships/hyperlink" Target="MAILTO:amuscatmarble@gmail.com" TargetMode="External"/><Relationship Id="rId15" Type="http://schemas.openxmlformats.org/officeDocument/2006/relationships/hyperlink" Target="MAILTO:info@chicliving.com.mt" TargetMode="External"/><Relationship Id="rId23" Type="http://schemas.openxmlformats.org/officeDocument/2006/relationships/hyperlink" Target="MAILTO:info@bigmatmalta.com" TargetMode="External"/><Relationship Id="rId28" Type="http://schemas.openxmlformats.org/officeDocument/2006/relationships/hyperlink" Target="MAILTO:info@mrcd.com.mt" TargetMode="External"/><Relationship Id="rId36" Type="http://schemas.openxmlformats.org/officeDocument/2006/relationships/hyperlink" Target="https://www.google.com/maps/search/?api=1&amp;query=Buskett%20Road%2C%20Dingli%2C%20DGL%202709%2C%20Malta" TargetMode="External"/><Relationship Id="rId49" Type="http://schemas.openxmlformats.org/officeDocument/2006/relationships/hyperlink" Target="https://www.google.com/maps/search/?api=1&amp;query=B1%2C%20Midland%20Enterprise%20Park%0ABurmarrad%20Road%2C%0ANaxxar%2C%20Malta" TargetMode="External"/><Relationship Id="rId57" Type="http://schemas.openxmlformats.org/officeDocument/2006/relationships/hyperlink" Target="https://halmanvella.com/" TargetMode="External"/><Relationship Id="rId10" Type="http://schemas.openxmlformats.org/officeDocument/2006/relationships/hyperlink" Target="MAILTO:info@juliansmarble.com" TargetMode="External"/><Relationship Id="rId31" Type="http://schemas.openxmlformats.org/officeDocument/2006/relationships/hyperlink" Target="MAILTO:josies@josies.mt" TargetMode="External"/><Relationship Id="rId44" Type="http://schemas.openxmlformats.org/officeDocument/2006/relationships/hyperlink" Target="https://www.google.com/maps/search/?api=1&amp;query=Triq%20L-Mdina%20%2C%20H%20Attard%20%2C%20Malta%20ATD%209037" TargetMode="External"/><Relationship Id="rId52" Type="http://schemas.openxmlformats.org/officeDocument/2006/relationships/hyperlink" Target="https://desanamarbles.com/" TargetMode="External"/><Relationship Id="rId60" Type="http://schemas.openxmlformats.org/officeDocument/2006/relationships/hyperlink" Target="https://cgrechmarbles.com/" TargetMode="External"/><Relationship Id="rId4" Type="http://schemas.openxmlformats.org/officeDocument/2006/relationships/hyperlink" Target="MAILTO:sales@marbleinnovation.com" TargetMode="External"/><Relationship Id="rId9" Type="http://schemas.openxmlformats.org/officeDocument/2006/relationships/hyperlink" Target="MAILTO:info@rabatmarbles.com" TargetMode="External"/></Relationships>
</file>

<file path=xl/worksheets/_rels/sheet88.xml.rels><?xml version="1.0" encoding="UTF-8" standalone="yes"?>
<Relationships xmlns="http://schemas.openxmlformats.org/package/2006/relationships"><Relationship Id="rId13" Type="http://schemas.openxmlformats.org/officeDocument/2006/relationships/hyperlink" Target="MAILTO:alibodhir@yahoo.co.uk" TargetMode="External"/><Relationship Id="rId18" Type="http://schemas.openxmlformats.org/officeDocument/2006/relationships/hyperlink" Target="MAILTO:info@rainbowlimited.com" TargetMode="External"/><Relationship Id="rId26" Type="http://schemas.openxmlformats.org/officeDocument/2006/relationships/hyperlink" Target="MAILTO:japlastering@gmail.com" TargetMode="External"/><Relationship Id="rId39" Type="http://schemas.openxmlformats.org/officeDocument/2006/relationships/hyperlink" Target="MAILTO:damianfava27@gmail.com" TargetMode="External"/><Relationship Id="rId21" Type="http://schemas.openxmlformats.org/officeDocument/2006/relationships/hyperlink" Target="MAILTO:info@ptk.mt" TargetMode="External"/><Relationship Id="rId34" Type="http://schemas.openxmlformats.org/officeDocument/2006/relationships/hyperlink" Target="MAILTO:Clydespiteri123@gmail.com" TargetMode="External"/><Relationship Id="rId42" Type="http://schemas.openxmlformats.org/officeDocument/2006/relationships/hyperlink" Target="https://www.google.com/maps/search/?api=1&amp;query=Antreas%27%2C%20Triq%20Pietru%20Saliba%2C%20%C4%A6al%20Luqa%2C%20Malta" TargetMode="External"/><Relationship Id="rId7" Type="http://schemas.openxmlformats.org/officeDocument/2006/relationships/hyperlink" Target="MAILTO:gattjason76@gmail.com" TargetMode="External"/><Relationship Id="rId2" Type="http://schemas.openxmlformats.org/officeDocument/2006/relationships/hyperlink" Target="MAILTO:darrensb@hotmail.co.uk" TargetMode="External"/><Relationship Id="rId16" Type="http://schemas.openxmlformats.org/officeDocument/2006/relationships/hyperlink" Target="MAILTO:galeasupplies@gmail.com" TargetMode="External"/><Relationship Id="rId29" Type="http://schemas.openxmlformats.org/officeDocument/2006/relationships/hyperlink" Target="MAILTO:Josefborg2009@hotmail.com" TargetMode="External"/><Relationship Id="rId1" Type="http://schemas.openxmlformats.org/officeDocument/2006/relationships/hyperlink" Target="MAILTO:cagypsum@onvol.net" TargetMode="External"/><Relationship Id="rId6" Type="http://schemas.openxmlformats.org/officeDocument/2006/relationships/hyperlink" Target="MAILTO:sunnyabdilla@yahoo.com" TargetMode="External"/><Relationship Id="rId11" Type="http://schemas.openxmlformats.org/officeDocument/2006/relationships/hyperlink" Target="MAILTO:Ghazi.zedan@gmail.com" TargetMode="External"/><Relationship Id="rId24" Type="http://schemas.openxmlformats.org/officeDocument/2006/relationships/hyperlink" Target="MAILTO:roderickmicallef1993@gmail.com" TargetMode="External"/><Relationship Id="rId32" Type="http://schemas.openxmlformats.org/officeDocument/2006/relationships/hyperlink" Target="MAILTO:EdutzuDutzu@gmail.com" TargetMode="External"/><Relationship Id="rId37" Type="http://schemas.openxmlformats.org/officeDocument/2006/relationships/hyperlink" Target="MAILTO:galeapainters@gmail.com" TargetMode="External"/><Relationship Id="rId40" Type="http://schemas.openxmlformats.org/officeDocument/2006/relationships/hyperlink" Target="https://www.google.com/maps/search/?api=1&amp;query=44%2C%20Triq%20V%20Boron%2C%20Naxxar%20NXR%201862%2C%20Malta" TargetMode="External"/><Relationship Id="rId45" Type="http://schemas.openxmlformats.org/officeDocument/2006/relationships/hyperlink" Target="https://gattjason.com/" TargetMode="External"/><Relationship Id="rId5" Type="http://schemas.openxmlformats.org/officeDocument/2006/relationships/hyperlink" Target="MAILTO:siamnd1985@gmail.com" TargetMode="External"/><Relationship Id="rId15" Type="http://schemas.openxmlformats.org/officeDocument/2006/relationships/hyperlink" Target="MAILTO:hello@gypsumworks-malta.com" TargetMode="External"/><Relationship Id="rId23" Type="http://schemas.openxmlformats.org/officeDocument/2006/relationships/hyperlink" Target="MAILTO:doriantheuma@yahoo.com" TargetMode="External"/><Relationship Id="rId28" Type="http://schemas.openxmlformats.org/officeDocument/2006/relationships/hyperlink" Target="MAILTO:rp_plastering@hotmail.com" TargetMode="External"/><Relationship Id="rId36" Type="http://schemas.openxmlformats.org/officeDocument/2006/relationships/hyperlink" Target="MAILTO:grimainteriors@hotmail.com" TargetMode="External"/><Relationship Id="rId10" Type="http://schemas.openxmlformats.org/officeDocument/2006/relationships/hyperlink" Target="MAILTO:oscardebono@hotmail.com" TargetMode="External"/><Relationship Id="rId19" Type="http://schemas.openxmlformats.org/officeDocument/2006/relationships/hyperlink" Target="MAILTO:info@wsinstallations.com" TargetMode="External"/><Relationship Id="rId31" Type="http://schemas.openxmlformats.org/officeDocument/2006/relationships/hyperlink" Target="MAILTO:rmgypsumworks@gmail.com" TargetMode="External"/><Relationship Id="rId44" Type="http://schemas.openxmlformats.org/officeDocument/2006/relationships/hyperlink" Target="https://www.google.com/maps/search/?api=1&amp;query=Qormi%2C%20Malta" TargetMode="External"/><Relationship Id="rId4" Type="http://schemas.openxmlformats.org/officeDocument/2006/relationships/hyperlink" Target="MAILTO:malta.tiling@gmail.com" TargetMode="External"/><Relationship Id="rId9" Type="http://schemas.openxmlformats.org/officeDocument/2006/relationships/hyperlink" Target="MAILTO:walldonegozo@gmail.com" TargetMode="External"/><Relationship Id="rId14" Type="http://schemas.openxmlformats.org/officeDocument/2006/relationships/hyperlink" Target="MAILTO:clintsaliba3@gmail.com" TargetMode="External"/><Relationship Id="rId22" Type="http://schemas.openxmlformats.org/officeDocument/2006/relationships/hyperlink" Target="MAILTO:hamody.zedan00@gmail.com" TargetMode="External"/><Relationship Id="rId27" Type="http://schemas.openxmlformats.org/officeDocument/2006/relationships/hyperlink" Target="MAILTO:wayne_7489@msn.com" TargetMode="External"/><Relationship Id="rId30" Type="http://schemas.openxmlformats.org/officeDocument/2006/relationships/hyperlink" Target="MAILTO:mhmdbdallh72544@gmail.com" TargetMode="External"/><Relationship Id="rId35" Type="http://schemas.openxmlformats.org/officeDocument/2006/relationships/hyperlink" Target="MAILTO:briangrech@hotmail.com" TargetMode="External"/><Relationship Id="rId43" Type="http://schemas.openxmlformats.org/officeDocument/2006/relationships/hyperlink" Target="https://www.google.com/maps/search/?api=1&amp;query=32%2C%20Redeemer%2C%20Triq%20Ta%27%20Masrija%2C%20Il-Mellie%C4%A7a%2C%20Malta%20MLH%201637" TargetMode="External"/><Relationship Id="rId8" Type="http://schemas.openxmlformats.org/officeDocument/2006/relationships/hyperlink" Target="MAILTO:curmijonathan@gmail.com" TargetMode="External"/><Relationship Id="rId3" Type="http://schemas.openxmlformats.org/officeDocument/2006/relationships/hyperlink" Target="MAILTO:contact@kibitec.com" TargetMode="External"/><Relationship Id="rId12" Type="http://schemas.openxmlformats.org/officeDocument/2006/relationships/hyperlink" Target="MAILTO:tcj@mbm.com.mt" TargetMode="External"/><Relationship Id="rId17" Type="http://schemas.openxmlformats.org/officeDocument/2006/relationships/hyperlink" Target="MAILTO:info@mbfmalta.com" TargetMode="External"/><Relationship Id="rId25" Type="http://schemas.openxmlformats.org/officeDocument/2006/relationships/hyperlink" Target="MAILTO:alexcalafato@live.com" TargetMode="External"/><Relationship Id="rId33" Type="http://schemas.openxmlformats.org/officeDocument/2006/relationships/hyperlink" Target="MAILTO:alihamza44500@gmail.com" TargetMode="External"/><Relationship Id="rId38" Type="http://schemas.openxmlformats.org/officeDocument/2006/relationships/hyperlink" Target="MAILTO:emadcmf@gmail.com" TargetMode="External"/><Relationship Id="rId46" Type="http://schemas.openxmlformats.org/officeDocument/2006/relationships/hyperlink" Target="https://facebook.com/zedanconstructionandplastering/" TargetMode="External"/><Relationship Id="rId20" Type="http://schemas.openxmlformats.org/officeDocument/2006/relationships/hyperlink" Target="MAILTO:xil@xuerebinstall.com" TargetMode="External"/><Relationship Id="rId41" Type="http://schemas.openxmlformats.org/officeDocument/2006/relationships/hyperlink" Target="https://www.google.com/maps/search/?api=1&amp;query=47%2F1%20Sqaq%20Tomna%2C%20San%20%C4%A0wann%2C%20Malta" TargetMode="External"/></Relationships>
</file>

<file path=xl/worksheets/_rels/sheet89.xml.rels><?xml version="1.0" encoding="UTF-8" standalone="yes"?>
<Relationships xmlns="http://schemas.openxmlformats.org/package/2006/relationships"><Relationship Id="rId8" Type="http://schemas.openxmlformats.org/officeDocument/2006/relationships/hyperlink" Target="MAILTO:dean.bonello29@gmail.com" TargetMode="External"/><Relationship Id="rId13" Type="http://schemas.openxmlformats.org/officeDocument/2006/relationships/hyperlink" Target="https://www.google.com/maps/search/?api=1&amp;query=25%2C%20Triq%20Il-Muzika%2C%20L-Iklin%2C%20Malta%2C%20IKL1091" TargetMode="External"/><Relationship Id="rId18" Type="http://schemas.openxmlformats.org/officeDocument/2006/relationships/hyperlink" Target="https://csgrouplimited.com/" TargetMode="External"/><Relationship Id="rId3" Type="http://schemas.openxmlformats.org/officeDocument/2006/relationships/hyperlink" Target="MAILTO:contact@kibitec.com" TargetMode="External"/><Relationship Id="rId7" Type="http://schemas.openxmlformats.org/officeDocument/2006/relationships/hyperlink" Target="MAILTO:dwtinstallations@gmail.com" TargetMode="External"/><Relationship Id="rId12" Type="http://schemas.openxmlformats.org/officeDocument/2006/relationships/hyperlink" Target="https://www.google.com/maps/search/?api=1&amp;query=Trejqet%20Isouard%0AMarsa%20MRS%202020%0AMalta" TargetMode="External"/><Relationship Id="rId17" Type="http://schemas.openxmlformats.org/officeDocument/2006/relationships/hyperlink" Target="https://facebook.com/customconcretemalta/" TargetMode="External"/><Relationship Id="rId2" Type="http://schemas.openxmlformats.org/officeDocument/2006/relationships/hyperlink" Target="MAILTO:decofinishesmt@gmail.com" TargetMode="External"/><Relationship Id="rId16" Type="http://schemas.openxmlformats.org/officeDocument/2006/relationships/hyperlink" Target="https://kibitec.com/contact-us/" TargetMode="External"/><Relationship Id="rId1" Type="http://schemas.openxmlformats.org/officeDocument/2006/relationships/hyperlink" Target="MAILTO:info@keycontractors.com.mt" TargetMode="External"/><Relationship Id="rId6" Type="http://schemas.openxmlformats.org/officeDocument/2006/relationships/hyperlink" Target="MAILTO:info@csprojects.com.mt" TargetMode="External"/><Relationship Id="rId11" Type="http://schemas.openxmlformats.org/officeDocument/2006/relationships/hyperlink" Target="MAILTO:info@Fodha.mt" TargetMode="External"/><Relationship Id="rId5" Type="http://schemas.openxmlformats.org/officeDocument/2006/relationships/hyperlink" Target="MAILTO:pronesti@mail.com" TargetMode="External"/><Relationship Id="rId15" Type="http://schemas.openxmlformats.org/officeDocument/2006/relationships/hyperlink" Target="https://microcementmalta.com/contact-us" TargetMode="External"/><Relationship Id="rId10" Type="http://schemas.openxmlformats.org/officeDocument/2006/relationships/hyperlink" Target="MAILTO:info@radosystems.eu" TargetMode="External"/><Relationship Id="rId4" Type="http://schemas.openxmlformats.org/officeDocument/2006/relationships/hyperlink" Target="MAILTO:protilingmalta@gmail.com" TargetMode="External"/><Relationship Id="rId9" Type="http://schemas.openxmlformats.org/officeDocument/2006/relationships/hyperlink" Target="MAILTO:gypsumwizards@gmail.com" TargetMode="External"/><Relationship Id="rId14" Type="http://schemas.openxmlformats.org/officeDocument/2006/relationships/hyperlink" Target="https://keycontractors.com.mt/contact-us/" TargetMode="External"/></Relationships>
</file>

<file path=xl/worksheets/_rels/sheet90.xml.rels><?xml version="1.0" encoding="UTF-8" standalone="yes"?>
<Relationships xmlns="http://schemas.openxmlformats.org/package/2006/relationships"><Relationship Id="rId8" Type="http://schemas.openxmlformats.org/officeDocument/2006/relationships/hyperlink" Target="MAILTO:qamarwaterproofing.insulation@gmail.com" TargetMode="External"/><Relationship Id="rId13" Type="http://schemas.openxmlformats.org/officeDocument/2006/relationships/hyperlink" Target="MAILTO:tcj@mbm.com.mt" TargetMode="External"/><Relationship Id="rId18" Type="http://schemas.openxmlformats.org/officeDocument/2006/relationships/hyperlink" Target="MAILTO:info@mbfmalta.com" TargetMode="External"/><Relationship Id="rId26" Type="http://schemas.openxmlformats.org/officeDocument/2006/relationships/hyperlink" Target="MAILTO:contact@ge-stones.com" TargetMode="External"/><Relationship Id="rId3" Type="http://schemas.openxmlformats.org/officeDocument/2006/relationships/hyperlink" Target="MAILTO:contact@kibitec.com" TargetMode="External"/><Relationship Id="rId21" Type="http://schemas.openxmlformats.org/officeDocument/2006/relationships/hyperlink" Target="MAILTO:sales@jmvibro.com" TargetMode="External"/><Relationship Id="rId7" Type="http://schemas.openxmlformats.org/officeDocument/2006/relationships/hyperlink" Target="MAILTO:info@ecogroup-mt.com" TargetMode="External"/><Relationship Id="rId12" Type="http://schemas.openxmlformats.org/officeDocument/2006/relationships/hyperlink" Target="MAILTO:info@betacentre.com.mt" TargetMode="External"/><Relationship Id="rId17" Type="http://schemas.openxmlformats.org/officeDocument/2006/relationships/hyperlink" Target="MAILTO:info@iqbloc.com" TargetMode="External"/><Relationship Id="rId25" Type="http://schemas.openxmlformats.org/officeDocument/2006/relationships/hyperlink" Target="MAILTO:info@t4bservices.com" TargetMode="External"/><Relationship Id="rId2" Type="http://schemas.openxmlformats.org/officeDocument/2006/relationships/hyperlink" Target="MAILTO:info@bitmac.com.mt" TargetMode="External"/><Relationship Id="rId16" Type="http://schemas.openxmlformats.org/officeDocument/2006/relationships/hyperlink" Target="MAILTO:sales@maltashopper.com" TargetMode="External"/><Relationship Id="rId20" Type="http://schemas.openxmlformats.org/officeDocument/2006/relationships/hyperlink" Target="MAILTO:alexgrech.waterproofing@gmail.com" TargetMode="External"/><Relationship Id="rId29" Type="http://schemas.openxmlformats.org/officeDocument/2006/relationships/hyperlink" Target="MAILTO:info@macmed.com.mt" TargetMode="External"/><Relationship Id="rId1" Type="http://schemas.openxmlformats.org/officeDocument/2006/relationships/hyperlink" Target="MAILTO:bestinsulationltd@gmail.com" TargetMode="External"/><Relationship Id="rId6" Type="http://schemas.openxmlformats.org/officeDocument/2006/relationships/hyperlink" Target="MAILTO:info@baldacchinogroup.com" TargetMode="External"/><Relationship Id="rId11" Type="http://schemas.openxmlformats.org/officeDocument/2006/relationships/hyperlink" Target="MAILTO:kpt.kpttradingmalta@gmail.com" TargetMode="External"/><Relationship Id="rId24" Type="http://schemas.openxmlformats.org/officeDocument/2006/relationships/hyperlink" Target="MAILTO:bestinsulationltd@gmail.com" TargetMode="External"/><Relationship Id="rId5" Type="http://schemas.openxmlformats.org/officeDocument/2006/relationships/hyperlink" Target="MAILTO:decgypsum@gmail.com" TargetMode="External"/><Relationship Id="rId15" Type="http://schemas.openxmlformats.org/officeDocument/2006/relationships/hyperlink" Target="MAILTO:marketing@crcmalta.com" TargetMode="External"/><Relationship Id="rId23" Type="http://schemas.openxmlformats.org/officeDocument/2006/relationships/hyperlink" Target="MAILTO:sales@wuerth.com.mt" TargetMode="External"/><Relationship Id="rId28" Type="http://schemas.openxmlformats.org/officeDocument/2006/relationships/hyperlink" Target="MAILTO:info@creativeprojects.eu" TargetMode="External"/><Relationship Id="rId10" Type="http://schemas.openxmlformats.org/officeDocument/2006/relationships/hyperlink" Target="MAILTO:info@bms-malta.com" TargetMode="External"/><Relationship Id="rId19" Type="http://schemas.openxmlformats.org/officeDocument/2006/relationships/hyperlink" Target="MAILTO:info@389.com.mt" TargetMode="External"/><Relationship Id="rId4" Type="http://schemas.openxmlformats.org/officeDocument/2006/relationships/hyperlink" Target="MAILTO:thermapro@outlook.com" TargetMode="External"/><Relationship Id="rId9" Type="http://schemas.openxmlformats.org/officeDocument/2006/relationships/hyperlink" Target="MAILTO:tnwaterproof@gmail.com" TargetMode="External"/><Relationship Id="rId14" Type="http://schemas.openxmlformats.org/officeDocument/2006/relationships/hyperlink" Target="MAILTO:info@attardbros.com" TargetMode="External"/><Relationship Id="rId22" Type="http://schemas.openxmlformats.org/officeDocument/2006/relationships/hyperlink" Target="MAILTO:sales@patabone.com" TargetMode="External"/><Relationship Id="rId27" Type="http://schemas.openxmlformats.org/officeDocument/2006/relationships/hyperlink" Target="MAILTO:admin@thermasealmalta.com" TargetMode="External"/><Relationship Id="rId30" Type="http://schemas.openxmlformats.org/officeDocument/2006/relationships/hyperlink" Target="MAILTO:info@rsgroup.com.mt" TargetMode="External"/></Relationships>
</file>

<file path=xl/worksheets/_rels/sheet9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xn-teq.com.mt" TargetMode="External"/><Relationship Id="rId13" Type="http://schemas.openxmlformats.org/officeDocument/2006/relationships/hyperlink" Target="https://www.google.com/maps/search/?api=1&amp;query=Luqa%20Industrial%20Estate%2C%20Parcela%20102%2C%20Hal%20Farrug%2C%20Malta" TargetMode="External"/><Relationship Id="rId18" Type="http://schemas.openxmlformats.org/officeDocument/2006/relationships/hyperlink" Target="https://www.google.com/maps/search/?api=1&amp;query=F%C3%A1brica%20MRA%20057A%2C%20Qasam%20Industrijali%2C%20Il-Marsa%2C%20Malta" TargetMode="External"/><Relationship Id="rId3" Type="http://schemas.openxmlformats.org/officeDocument/2006/relationships/hyperlink" Target="MAILTO:info@fantinmetalworks.com" TargetMode="External"/><Relationship Id="rId21" Type="http://schemas.openxmlformats.org/officeDocument/2006/relationships/hyperlink" Target="https://www.google.com/maps/search/?api=1&amp;query=Triq%20il-Kappella%20ta%E2%80%99%20Santa%20Marija%20%2C%0ANaxxar%2C%20Malta%20NXR%205613" TargetMode="External"/><Relationship Id="rId7" Type="http://schemas.openxmlformats.org/officeDocument/2006/relationships/hyperlink" Target="MAILTO:info@expressblasting.com" TargetMode="External"/><Relationship Id="rId12" Type="http://schemas.openxmlformats.org/officeDocument/2006/relationships/hyperlink" Target="https://www.google.com/maps/search/?api=1&amp;query=Bieb%20is-Sultan%20Street%2C%20%C5%BBabbar%2C%20Malta" TargetMode="External"/><Relationship Id="rId17" Type="http://schemas.openxmlformats.org/officeDocument/2006/relationships/hyperlink" Target="https://www.google.com/maps/search/?api=1&amp;query=Entrada%204%2C%20Puerta%2012%2C%20Triq%20Valletta%2C%20%C4%A6al%20Luqa%2C%20Malta" TargetMode="External"/><Relationship Id="rId2" Type="http://schemas.openxmlformats.org/officeDocument/2006/relationships/hyperlink" Target="MAILTO:info@ironmalta.com" TargetMode="External"/><Relationship Id="rId16" Type="http://schemas.openxmlformats.org/officeDocument/2006/relationships/hyperlink" Target="https://www.google.com/maps/search/?api=1&amp;query=Garage%2025%2C%20Tal-Barrani%20Industrial%20Estate%2C%20Triq%20Il-Belt%20Valletta%2C%20%C4%A6al%20G%C4%A7axaq%2C%20Malta" TargetMode="External"/><Relationship Id="rId20" Type="http://schemas.openxmlformats.org/officeDocument/2006/relationships/hyperlink" Target="https://www.google.com/maps/search/?api=1&amp;query=34%20Triq%20it-Torri%20San%20Gwann%20%2C%0ABirgu%2C%20Malta%20BRG%201116" TargetMode="External"/><Relationship Id="rId1" Type="http://schemas.openxmlformats.org/officeDocument/2006/relationships/hyperlink" Target="MAILTO:info@generalmetalworks.com.mt" TargetMode="External"/><Relationship Id="rId6" Type="http://schemas.openxmlformats.org/officeDocument/2006/relationships/hyperlink" Target="MAILTO:saliba2@maltanet.net" TargetMode="External"/><Relationship Id="rId11" Type="http://schemas.openxmlformats.org/officeDocument/2006/relationships/hyperlink" Target="MAILTO:info@gml.com.mt" TargetMode="External"/><Relationship Id="rId5" Type="http://schemas.openxmlformats.org/officeDocument/2006/relationships/hyperlink" Target="MAILTO:josefvella72@gmail.com" TargetMode="External"/><Relationship Id="rId15" Type="http://schemas.openxmlformats.org/officeDocument/2006/relationships/hyperlink" Target="https://www.google.com/maps/search/?api=1&amp;query=%3A%20Andreas%20Yard%2C%20Garage%20No%201%2C%20Triq%20L-Imdina%2C%20%C4%A6a%C5%BC-%C5%BBebbu%C4%A1%2C%20Malta" TargetMode="External"/><Relationship Id="rId10" Type="http://schemas.openxmlformats.org/officeDocument/2006/relationships/hyperlink" Target="MAILTO:stakterinacons@outlook.com" TargetMode="External"/><Relationship Id="rId19" Type="http://schemas.openxmlformats.org/officeDocument/2006/relationships/hyperlink" Target="https://www.google.com/maps/search/?api=1&amp;query=MRA%2015A%2C%20Qasam%20Industrijali%2C%20Il-Marsa%2C%20Malta" TargetMode="External"/><Relationship Id="rId4" Type="http://schemas.openxmlformats.org/officeDocument/2006/relationships/hyperlink" Target="MAILTO:info@gmscreation.com" TargetMode="External"/><Relationship Id="rId9" Type="http://schemas.openxmlformats.org/officeDocument/2006/relationships/hyperlink" Target="MAILTO:amabileg@onvol.net" TargetMode="External"/><Relationship Id="rId14" Type="http://schemas.openxmlformats.org/officeDocument/2006/relationships/hyperlink" Target="https://www.google.com/maps/search/?api=1&amp;query=Mgarr%20Road%2C%20G%C4%A7ajnsielem%2C%20Gozo" TargetMode="External"/><Relationship Id="rId22" Type="http://schemas.openxmlformats.org/officeDocument/2006/relationships/hyperlink" Target="https://www.google.com/maps/search/?api=1&amp;query=HHF%20033%20Qasam%20Industrijali%2C%20Hal%20Far%20%2C%0AB%E2%80%99Bugia%2C%20Malta%20BBG%203000" TargetMode="External"/></Relationships>
</file>

<file path=xl/worksheets/_rels/sheet92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anvil-forge.com" TargetMode="External"/><Relationship Id="rId18" Type="http://schemas.openxmlformats.org/officeDocument/2006/relationships/hyperlink" Target="MAILTO:j3aluminium@gmail.com" TargetMode="External"/><Relationship Id="rId26" Type="http://schemas.openxmlformats.org/officeDocument/2006/relationships/hyperlink" Target="MAILTO:gilbertglassandmore@gmail.com" TargetMode="External"/><Relationship Id="rId39" Type="http://schemas.openxmlformats.org/officeDocument/2006/relationships/hyperlink" Target="https://capriceglass.com/" TargetMode="External"/><Relationship Id="rId21" Type="http://schemas.openxmlformats.org/officeDocument/2006/relationships/hyperlink" Target="MAILTO:taboneglassltd@gmail.com" TargetMode="External"/><Relationship Id="rId34" Type="http://schemas.openxmlformats.org/officeDocument/2006/relationships/hyperlink" Target="https://yellow.com.mt/paul-tonna-son-of-santu-ltd/glass-contractors/" TargetMode="External"/><Relationship Id="rId42" Type="http://schemas.openxmlformats.org/officeDocument/2006/relationships/hyperlink" Target="https://facebook.com/MiryaLimited/" TargetMode="External"/><Relationship Id="rId47" Type="http://schemas.openxmlformats.org/officeDocument/2006/relationships/hyperlink" Target="https://facebook.com/RayAluWorks/" TargetMode="External"/><Relationship Id="rId7" Type="http://schemas.openxmlformats.org/officeDocument/2006/relationships/hyperlink" Target="MAILTO:Quotes@capriceltd.com" TargetMode="External"/><Relationship Id="rId2" Type="http://schemas.openxmlformats.org/officeDocument/2006/relationships/hyperlink" Target="MAILTO:info@fzammitglass.com" TargetMode="External"/><Relationship Id="rId16" Type="http://schemas.openxmlformats.org/officeDocument/2006/relationships/hyperlink" Target="MAILTO:salvodsicilia@hotmail.it" TargetMode="External"/><Relationship Id="rId29" Type="http://schemas.openxmlformats.org/officeDocument/2006/relationships/hyperlink" Target="https://www.google.com/maps/search/?api=1&amp;query=Paul%20Tonna%20Son%20of%20Santu%20Ltd%0AZone%201%20Triq%20L-Intornjatur%20Central%20Business%20District%20%2C%0AB%E2%80%99Kara%2C%20Malta%20CBD%201050" TargetMode="External"/><Relationship Id="rId1" Type="http://schemas.openxmlformats.org/officeDocument/2006/relationships/hyperlink" Target="MAILTO:info@tonnaglass.com" TargetMode="External"/><Relationship Id="rId6" Type="http://schemas.openxmlformats.org/officeDocument/2006/relationships/hyperlink" Target="MAILTO:info@jamarmalta.com" TargetMode="External"/><Relationship Id="rId11" Type="http://schemas.openxmlformats.org/officeDocument/2006/relationships/hyperlink" Target="MAILTO:info@cagroup.com.mt" TargetMode="External"/><Relationship Id="rId24" Type="http://schemas.openxmlformats.org/officeDocument/2006/relationships/hyperlink" Target="MAILTO:medalls.aluminium@gmail.com" TargetMode="External"/><Relationship Id="rId32" Type="http://schemas.openxmlformats.org/officeDocument/2006/relationships/hyperlink" Target="https://www.google.com/maps/search/?api=1&amp;query=12%20Old%20Trafford%2C%20Dun%20Filippu%20Borg%2C%20Birkirkara%2C%20Malta." TargetMode="External"/><Relationship Id="rId37" Type="http://schemas.openxmlformats.org/officeDocument/2006/relationships/hyperlink" Target="https://klglassmalta.com/?utm_source=Yellow&amp;utm_medium=Yellow-Website&amp;utm_campaign=Landing-Page" TargetMode="External"/><Relationship Id="rId40" Type="http://schemas.openxmlformats.org/officeDocument/2006/relationships/hyperlink" Target="https://dimech-ent.com/" TargetMode="External"/><Relationship Id="rId45" Type="http://schemas.openxmlformats.org/officeDocument/2006/relationships/hyperlink" Target="https://facebook.com/innovativesteeldesign/" TargetMode="External"/><Relationship Id="rId5" Type="http://schemas.openxmlformats.org/officeDocument/2006/relationships/hyperlink" Target="MAILTO:jacap@jacap.net" TargetMode="External"/><Relationship Id="rId15" Type="http://schemas.openxmlformats.org/officeDocument/2006/relationships/hyperlink" Target="MAILTO:raymondfarrugia74@gmail.com" TargetMode="External"/><Relationship Id="rId23" Type="http://schemas.openxmlformats.org/officeDocument/2006/relationships/hyperlink" Target="MAILTO:jeaninstallations@gmail.com" TargetMode="External"/><Relationship Id="rId28" Type="http://schemas.openxmlformats.org/officeDocument/2006/relationships/hyperlink" Target="MAILTO:valormalta@gmail.com" TargetMode="External"/><Relationship Id="rId36" Type="http://schemas.openxmlformats.org/officeDocument/2006/relationships/hyperlink" Target="https://floatglassltd.com/en/home.htm" TargetMode="External"/><Relationship Id="rId10" Type="http://schemas.openxmlformats.org/officeDocument/2006/relationships/hyperlink" Target="MAILTO:miryaltd@gmail.com" TargetMode="External"/><Relationship Id="rId19" Type="http://schemas.openxmlformats.org/officeDocument/2006/relationships/hyperlink" Target="MAILTO:laenterprises73@gmail.com" TargetMode="External"/><Relationship Id="rId31" Type="http://schemas.openxmlformats.org/officeDocument/2006/relationships/hyperlink" Target="https://www.google.com/maps/search/?api=1&amp;query=Dimech%20Enterprises%20Ltd%20Centre%20Point%2C%20Triq%20Valletta%20Luqa" TargetMode="External"/><Relationship Id="rId44" Type="http://schemas.openxmlformats.org/officeDocument/2006/relationships/hyperlink" Target="https://facebook.com/profile.php?id=100057245816371" TargetMode="External"/><Relationship Id="rId4" Type="http://schemas.openxmlformats.org/officeDocument/2006/relationships/hyperlink" Target="MAILTO:kl.glass@outlook.com" TargetMode="External"/><Relationship Id="rId9" Type="http://schemas.openxmlformats.org/officeDocument/2006/relationships/hyperlink" Target="MAILTO:info@glassdesignmalta.com" TargetMode="External"/><Relationship Id="rId14" Type="http://schemas.openxmlformats.org/officeDocument/2006/relationships/hyperlink" Target="MAILTO:info@andrewvassallo.com" TargetMode="External"/><Relationship Id="rId22" Type="http://schemas.openxmlformats.org/officeDocument/2006/relationships/hyperlink" Target="MAILTO:info@xgglass.com.mt" TargetMode="External"/><Relationship Id="rId27" Type="http://schemas.openxmlformats.org/officeDocument/2006/relationships/hyperlink" Target="MAILTO:jesmond.dragonforge@yahoo.com" TargetMode="External"/><Relationship Id="rId30" Type="http://schemas.openxmlformats.org/officeDocument/2006/relationships/hyperlink" Target="https://www.google.com/maps/search/?api=1&amp;query=Triq%20l-Imdina%20%2CZebbug%2C%20Malta%20ZBG%209019" TargetMode="External"/><Relationship Id="rId35" Type="http://schemas.openxmlformats.org/officeDocument/2006/relationships/hyperlink" Target="https://fzammitglass.com/en/?utm_source=Yellow&amp;utm_medium=Yellow-Website&amp;utm_campaign=Landing-Page" TargetMode="External"/><Relationship Id="rId43" Type="http://schemas.openxmlformats.org/officeDocument/2006/relationships/hyperlink" Target="https://facebook.com/profile.php?id=100066455006954" TargetMode="External"/><Relationship Id="rId8" Type="http://schemas.openxmlformats.org/officeDocument/2006/relationships/hyperlink" Target="MAILTO:sales@dimech-ent.com" TargetMode="External"/><Relationship Id="rId3" Type="http://schemas.openxmlformats.org/officeDocument/2006/relationships/hyperlink" Target="MAILTO:info@floatglassltd.com" TargetMode="External"/><Relationship Id="rId12" Type="http://schemas.openxmlformats.org/officeDocument/2006/relationships/hyperlink" Target="MAILTO:crgrech.steel@gmail.com" TargetMode="External"/><Relationship Id="rId17" Type="http://schemas.openxmlformats.org/officeDocument/2006/relationships/hyperlink" Target="MAILTO:info@a1finishesltd.com" TargetMode="External"/><Relationship Id="rId25" Type="http://schemas.openxmlformats.org/officeDocument/2006/relationships/hyperlink" Target="MAILTO:info@newalucare.com" TargetMode="External"/><Relationship Id="rId33" Type="http://schemas.openxmlformats.org/officeDocument/2006/relationships/hyperlink" Target="https://www.google.com/maps/search/?api=1&amp;query=Mirya%2C%20VF9V%2BPQ8%2C%20Marsa%2C%20Malta%2C%20Marsa%2C%20Malta%2C%20MRS3000" TargetMode="External"/><Relationship Id="rId38" Type="http://schemas.openxmlformats.org/officeDocument/2006/relationships/hyperlink" Target="https://jamarmalta.com/" TargetMode="External"/><Relationship Id="rId46" Type="http://schemas.openxmlformats.org/officeDocument/2006/relationships/hyperlink" Target="https://facebook.com/Andrewvassalloltd/" TargetMode="External"/><Relationship Id="rId20" Type="http://schemas.openxmlformats.org/officeDocument/2006/relationships/hyperlink" Target="MAILTO:quotes@jlautier.com" TargetMode="External"/><Relationship Id="rId41" Type="http://schemas.openxmlformats.org/officeDocument/2006/relationships/hyperlink" Target="https://glassdesignmalta.com/copy-of-glass-walls" TargetMode="External"/></Relationships>
</file>

<file path=xl/worksheets/_rels/sheet9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78%2C%20Triq%20San%20Pawl%20NXR%204016%20Naxxar%2C%20Malta" TargetMode="External"/><Relationship Id="rId3" Type="http://schemas.openxmlformats.org/officeDocument/2006/relationships/hyperlink" Target="MAILTO:tuttoparquetmalta@gmail.com" TargetMode="External"/><Relationship Id="rId7" Type="http://schemas.openxmlformats.org/officeDocument/2006/relationships/hyperlink" Target="https://www.google.com/maps/search/?api=1&amp;query=10%2C%20Triq%20Dun%20Karm%0ABirkirkara%2C%20Malta" TargetMode="External"/><Relationship Id="rId12" Type="http://schemas.openxmlformats.org/officeDocument/2006/relationships/hyperlink" Target="https://facebook.com/showtilesnaxxar/" TargetMode="External"/><Relationship Id="rId2" Type="http://schemas.openxmlformats.org/officeDocument/2006/relationships/hyperlink" Target="MAILTO:info@farrugiagroup.com" TargetMode="External"/><Relationship Id="rId1" Type="http://schemas.openxmlformats.org/officeDocument/2006/relationships/hyperlink" Target="MAILTO:info@hirisegroup.com.mt" TargetMode="External"/><Relationship Id="rId6" Type="http://schemas.openxmlformats.org/officeDocument/2006/relationships/hyperlink" Target="https://www.google.com/maps/search/?api=1&amp;query=Farrugia%20Woodworks%0A60%20Ta%E2%80%99%20Magi%20Industrial%20Park%20Triq%20San%20Leonardu%20%2C%0AXghajra%2C%20Malta" TargetMode="External"/><Relationship Id="rId11" Type="http://schemas.openxmlformats.org/officeDocument/2006/relationships/hyperlink" Target="https://tuttoparquetmalta.com/index.html" TargetMode="External"/><Relationship Id="rId5" Type="http://schemas.openxmlformats.org/officeDocument/2006/relationships/hyperlink" Target="https://www.google.com/maps/search/?api=1&amp;query=Tal-%C4%A6andaq%2C%20Qormi%2C%20Malta" TargetMode="External"/><Relationship Id="rId10" Type="http://schemas.openxmlformats.org/officeDocument/2006/relationships/hyperlink" Target="https://yellow.com.mt/farrugia-woodworks/furniture/" TargetMode="External"/><Relationship Id="rId4" Type="http://schemas.openxmlformats.org/officeDocument/2006/relationships/hyperlink" Target="MAILTO:showtiles@gmail.com" TargetMode="External"/><Relationship Id="rId9" Type="http://schemas.openxmlformats.org/officeDocument/2006/relationships/hyperlink" Target="https://facebook.com/mtrefurbish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8" sqref="C18"/>
    </sheetView>
  </sheetViews>
  <sheetFormatPr defaultRowHeight="14.4" x14ac:dyDescent="0.3"/>
  <cols>
    <col min="1" max="1" width="6.33203125" customWidth="1"/>
    <col min="2" max="2" width="21.5546875" customWidth="1"/>
    <col min="3" max="3" width="31.44140625" customWidth="1"/>
    <col min="4" max="4" width="18.6640625" customWidth="1"/>
    <col min="5" max="5" width="11.33203125" customWidth="1"/>
    <col min="6" max="6" width="98.6640625" customWidth="1"/>
    <col min="7" max="7" width="7.5546875" customWidth="1"/>
  </cols>
  <sheetData>
    <row r="1" spans="1:7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5387</v>
      </c>
    </row>
    <row r="2" spans="1:7" x14ac:dyDescent="0.3">
      <c r="A2" s="2"/>
      <c r="B2" s="2" t="s">
        <v>1</v>
      </c>
      <c r="C2" s="3" t="s">
        <v>6</v>
      </c>
      <c r="D2" s="2" t="str">
        <f>CONCATENATE(HYPERLINK("CALLTO:%2B356%202147%200282", "+356 2147 0282"))</f>
        <v>+356 2147 0282</v>
      </c>
      <c r="E2" s="3" t="s">
        <v>15</v>
      </c>
      <c r="F2" s="3" t="s">
        <v>21</v>
      </c>
      <c r="G2" s="2"/>
    </row>
    <row r="3" spans="1:7" x14ac:dyDescent="0.3">
      <c r="A3" s="4"/>
      <c r="B3" s="4" t="s">
        <v>2</v>
      </c>
      <c r="C3" s="5" t="s">
        <v>7</v>
      </c>
      <c r="D3" s="4" t="str">
        <f>CONCATENATE(HYPERLINK("CALLTO:%2B356%209942%200586", "+356 9942 0586"))</f>
        <v>+356 9942 0586</v>
      </c>
      <c r="E3" s="5" t="s">
        <v>16</v>
      </c>
      <c r="F3" s="5" t="s">
        <v>22</v>
      </c>
      <c r="G3" s="4"/>
    </row>
    <row r="4" spans="1:7" x14ac:dyDescent="0.3">
      <c r="A4" s="2"/>
      <c r="B4" s="2" t="s">
        <v>3</v>
      </c>
      <c r="C4" s="3" t="s">
        <v>8</v>
      </c>
      <c r="D4" s="2" t="str">
        <f>CONCATENATE(HYPERLINK("CALLTO:%2B356%202189%208046", "+356 2189 8046"))</f>
        <v>+356 2189 8046</v>
      </c>
      <c r="E4" s="3" t="s">
        <v>17</v>
      </c>
      <c r="F4" s="3" t="s">
        <v>23</v>
      </c>
      <c r="G4" s="2"/>
    </row>
    <row r="5" spans="1:7" x14ac:dyDescent="0.3">
      <c r="A5" s="4"/>
      <c r="B5" s="4" t="s">
        <v>4</v>
      </c>
      <c r="C5" s="5" t="s">
        <v>9</v>
      </c>
      <c r="D5" s="4" t="str">
        <f>CONCATENATE(HYPERLINK("CALLTO:%2B356%202148%205748", "+356 2148 5748"))</f>
        <v>+356 2148 5748</v>
      </c>
      <c r="E5" s="5" t="s">
        <v>18</v>
      </c>
      <c r="F5" s="5" t="s">
        <v>24</v>
      </c>
      <c r="G5" s="4"/>
    </row>
    <row r="6" spans="1:7" x14ac:dyDescent="0.3">
      <c r="A6" s="2"/>
      <c r="B6" s="2" t="s">
        <v>5</v>
      </c>
      <c r="C6" s="3" t="s">
        <v>10</v>
      </c>
      <c r="D6" s="2" t="str">
        <f>CONCATENATE(HYPERLINK("CALLTO:%2B356%207905%200545", "+356 7905 0545"))</f>
        <v>+356 7905 0545</v>
      </c>
      <c r="E6" s="3" t="s">
        <v>19</v>
      </c>
      <c r="F6" s="2"/>
      <c r="G6" s="2"/>
    </row>
    <row r="7" spans="1:7" x14ac:dyDescent="0.3">
      <c r="A7" s="4"/>
      <c r="B7" s="4"/>
      <c r="C7" s="5" t="s">
        <v>11</v>
      </c>
      <c r="D7" s="4"/>
      <c r="E7" s="4"/>
      <c r="F7" s="4"/>
      <c r="G7" s="4"/>
    </row>
    <row r="8" spans="1:7" x14ac:dyDescent="0.3">
      <c r="A8" s="2"/>
      <c r="B8" s="2"/>
      <c r="C8" s="3" t="s">
        <v>12</v>
      </c>
      <c r="D8" s="2"/>
      <c r="E8" s="2"/>
      <c r="F8" s="2"/>
      <c r="G8" s="2"/>
    </row>
    <row r="9" spans="1:7" x14ac:dyDescent="0.3">
      <c r="A9" s="4"/>
      <c r="B9" s="4"/>
      <c r="C9" s="5" t="s">
        <v>10</v>
      </c>
      <c r="D9" s="4"/>
      <c r="E9" s="4"/>
      <c r="F9" s="4"/>
      <c r="G9" s="4"/>
    </row>
    <row r="10" spans="1:7" x14ac:dyDescent="0.3">
      <c r="A10" s="2"/>
      <c r="B10" s="2"/>
      <c r="C10" s="3" t="s">
        <v>7</v>
      </c>
      <c r="D10" s="2"/>
      <c r="E10" s="2"/>
      <c r="F10" s="2"/>
      <c r="G10" s="2"/>
    </row>
    <row r="11" spans="1:7" x14ac:dyDescent="0.3">
      <c r="A11" s="4"/>
      <c r="B11" s="4"/>
      <c r="C11" s="5" t="s">
        <v>13</v>
      </c>
      <c r="D11" s="4"/>
      <c r="E11" s="4"/>
      <c r="F11" s="4"/>
      <c r="G11" s="4"/>
    </row>
    <row r="12" spans="1:7" x14ac:dyDescent="0.3">
      <c r="A12" s="2"/>
      <c r="B12" s="2"/>
      <c r="C12" s="3" t="s">
        <v>14</v>
      </c>
      <c r="D12" s="2"/>
      <c r="E12" s="2"/>
      <c r="F12" s="2"/>
      <c r="G12" s="2"/>
    </row>
    <row r="19" spans="3:3" ht="18" x14ac:dyDescent="0.35">
      <c r="C19" s="6" t="s">
        <v>1178</v>
      </c>
    </row>
  </sheetData>
  <hyperlinks>
    <hyperlink ref="C2" r:id="rId1" tooltip="Send a mail to info@micalleffibreglassworks.com" xr:uid="{00000000-0004-0000-0000-000000000000}"/>
    <hyperlink ref="C3" r:id="rId2" tooltip="Send a mail to info@silvercraftltd.com" xr:uid="{00000000-0004-0000-0000-000001000000}"/>
    <hyperlink ref="C4" r:id="rId3" tooltip="Send a mail to etienne@silvercraftltd.com" xr:uid="{00000000-0004-0000-0000-000002000000}"/>
    <hyperlink ref="C5" r:id="rId4" tooltip="Send a mail to angela@silvercraftltd.com" xr:uid="{00000000-0004-0000-0000-000003000000}"/>
    <hyperlink ref="C6" r:id="rId5" tooltip="Send a mail to info@crownfibreglass.com" xr:uid="{00000000-0004-0000-0000-000004000000}"/>
    <hyperlink ref="C7" r:id="rId6" tooltip="Send a mail to info@micallefpools.com" xr:uid="{00000000-0004-0000-0000-000005000000}"/>
    <hyperlink ref="C8" r:id="rId7" tooltip="Send a mail to natasha@glassfibreindustries.net" xr:uid="{00000000-0004-0000-0000-000006000000}"/>
    <hyperlink ref="C9" r:id="rId8" tooltip="Send a mail to info@crownfibreglass.com" xr:uid="{00000000-0004-0000-0000-000007000000}"/>
    <hyperlink ref="C10" r:id="rId9" tooltip="Send a mail to info@silvercraftltd.com" xr:uid="{00000000-0004-0000-0000-000008000000}"/>
    <hyperlink ref="C11" r:id="rId10" tooltip="Send a mail to fashionfibre@hotmail.com" xr:uid="{00000000-0004-0000-0000-000009000000}"/>
    <hyperlink ref="C12" r:id="rId11" tooltip="Send a mail to info@seabravemarine.com" xr:uid="{00000000-0004-0000-0000-00000A000000}"/>
    <hyperlink ref="E2" r:id="rId12" tooltip="Search Birkirkara on Google Maps" xr:uid="{00000000-0004-0000-0000-00000B000000}"/>
    <hyperlink ref="E3" r:id="rId13" tooltip="Search Zetjun on Google Maps" xr:uid="{00000000-0004-0000-0000-00000C000000}"/>
    <hyperlink ref="E4" r:id="rId14" tooltip="Search Marsa on Google Maps" xr:uid="{00000000-0004-0000-0000-00000D000000}"/>
    <hyperlink ref="E5" r:id="rId15" tooltip="Search Qormi on Google Maps" xr:uid="{00000000-0004-0000-0000-00000E000000}"/>
    <hyperlink ref="E6" r:id="rId16" tooltip="Search Birzebbugia on Google Maps" xr:uid="{00000000-0004-0000-0000-00000F000000}"/>
    <hyperlink ref="F2" r:id="rId17" tooltip="Visit glassfibreindustries.net/?utm_source=Yellow&amp;utm_medium=Yellow-Website&amp;utm_campaign=Landing-Page" xr:uid="{00000000-0004-0000-0000-000010000000}"/>
    <hyperlink ref="F3" r:id="rId18" tooltip="Visit crownfibreglass.com/?utm_source=Yellow&amp;utm_medium=Yellow-Website&amp;utm_campaign=Landing-Page" xr:uid="{00000000-0004-0000-0000-000011000000}"/>
    <hyperlink ref="F4" r:id="rId19" tooltip="Visit silvercraftltd.com/?utm_source=Yellow&amp;utm_medium=Yellow-Website&amp;utm_campaign=Landing-Page" xr:uid="{00000000-0004-0000-0000-000012000000}"/>
    <hyperlink ref="F5" r:id="rId20" tooltip="Visit facebook.com/people/Seabrave-Marine/100057368593400/" xr:uid="{00000000-0004-0000-0000-000013000000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3"/>
  <cols>
    <col min="1" max="1" width="10.5546875" customWidth="1"/>
    <col min="2" max="2" width="85.44140625" customWidth="1"/>
    <col min="3" max="3" width="28.88671875" customWidth="1"/>
    <col min="4" max="4" width="18.6640625" customWidth="1"/>
    <col min="5" max="5" width="71" customWidth="1"/>
    <col min="6" max="6" width="33.6640625" customWidth="1"/>
    <col min="7" max="7" width="132.5546875" customWidth="1"/>
  </cols>
  <sheetData>
    <row r="1" spans="1:7" ht="18" x14ac:dyDescent="0.35">
      <c r="A1" s="1" t="s">
        <v>3111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85</v>
      </c>
    </row>
    <row r="2" spans="1:7" x14ac:dyDescent="0.3">
      <c r="A2" s="2" t="s">
        <v>26</v>
      </c>
      <c r="B2" s="2" t="s">
        <v>27</v>
      </c>
      <c r="C2" s="3" t="s">
        <v>54</v>
      </c>
      <c r="D2" s="2" t="str">
        <f>CONCATENATE(HYPERLINK("CALLTO:%2B356%209942%201158", "+356 9942 1158"))</f>
        <v>+356 9942 1158</v>
      </c>
      <c r="E2" s="3" t="s">
        <v>73</v>
      </c>
      <c r="F2" s="3" t="s">
        <v>82</v>
      </c>
      <c r="G2" s="2"/>
    </row>
    <row r="3" spans="1:7" x14ac:dyDescent="0.3">
      <c r="A3" s="4" t="s">
        <v>26</v>
      </c>
      <c r="B3" s="4" t="s">
        <v>28</v>
      </c>
      <c r="C3" s="5" t="s">
        <v>55</v>
      </c>
      <c r="D3" s="4" t="str">
        <f>CONCATENATE(HYPERLINK("CALLTO:%2B356%209999%204570", "+356 9999 4570"))</f>
        <v>+356 9999 4570</v>
      </c>
      <c r="E3" s="5" t="s">
        <v>74</v>
      </c>
      <c r="F3" s="5" t="s">
        <v>83</v>
      </c>
      <c r="G3" s="4"/>
    </row>
    <row r="4" spans="1:7" x14ac:dyDescent="0.3">
      <c r="A4" s="2" t="s">
        <v>26</v>
      </c>
      <c r="B4" s="2" t="s">
        <v>29</v>
      </c>
      <c r="C4" s="3" t="s">
        <v>56</v>
      </c>
      <c r="D4" s="2" t="str">
        <f>CONCATENATE(HYPERLINK("CALLTO:%2B356%202149%208658", "+356 2149 8658"))</f>
        <v>+356 2149 8658</v>
      </c>
      <c r="E4" s="3" t="s">
        <v>75</v>
      </c>
      <c r="F4" s="3" t="s">
        <v>84</v>
      </c>
      <c r="G4" s="2"/>
    </row>
    <row r="5" spans="1:7" x14ac:dyDescent="0.3">
      <c r="A5" s="4" t="s">
        <v>26</v>
      </c>
      <c r="B5" s="4" t="s">
        <v>30</v>
      </c>
      <c r="C5" s="5" t="s">
        <v>57</v>
      </c>
      <c r="D5" s="4" t="str">
        <f>CONCATENATE(HYPERLINK("CALLTO:%2B356%202143%207403", "+356 2143 7403"))</f>
        <v>+356 2143 7403</v>
      </c>
      <c r="E5" s="5" t="s">
        <v>76</v>
      </c>
      <c r="F5" s="5" t="s">
        <v>81</v>
      </c>
      <c r="G5" s="4"/>
    </row>
    <row r="6" spans="1:7" x14ac:dyDescent="0.3">
      <c r="A6" s="2" t="s">
        <v>26</v>
      </c>
      <c r="B6" s="2" t="s">
        <v>31</v>
      </c>
      <c r="C6" s="3" t="s">
        <v>58</v>
      </c>
      <c r="D6" s="2" t="str">
        <f>CONCATENATE(HYPERLINK("CALLTO:%2B356%202123%201892", "+356 2123 1892"))</f>
        <v>+356 2123 1892</v>
      </c>
      <c r="E6" s="3" t="s">
        <v>77</v>
      </c>
      <c r="F6" s="3" t="s">
        <v>86</v>
      </c>
      <c r="G6" s="2"/>
    </row>
    <row r="7" spans="1:7" x14ac:dyDescent="0.3">
      <c r="A7" s="4" t="s">
        <v>26</v>
      </c>
      <c r="B7" s="4" t="s">
        <v>32</v>
      </c>
      <c r="C7" s="5" t="s">
        <v>59</v>
      </c>
      <c r="D7" s="4" t="str">
        <f>CONCATENATE(HYPERLINK("CALLTO:%2B356%207920%206640", "+356 7920 6640"))</f>
        <v>+356 7920 6640</v>
      </c>
      <c r="E7" s="5" t="s">
        <v>78</v>
      </c>
      <c r="F7" s="5" t="s">
        <v>87</v>
      </c>
      <c r="G7" s="4"/>
    </row>
    <row r="8" spans="1:7" x14ac:dyDescent="0.3">
      <c r="A8" s="2" t="s">
        <v>26</v>
      </c>
      <c r="B8" s="2" t="s">
        <v>33</v>
      </c>
      <c r="C8" s="3" t="s">
        <v>60</v>
      </c>
      <c r="D8" s="2" t="str">
        <f>CONCATENATE(HYPERLINK("CALLTO:%2B356%209947%206119", "+356 9947 6119"))</f>
        <v>+356 9947 6119</v>
      </c>
      <c r="E8" s="3" t="s">
        <v>79</v>
      </c>
      <c r="F8" s="3" t="s">
        <v>88</v>
      </c>
      <c r="G8" s="2"/>
    </row>
    <row r="9" spans="1:7" x14ac:dyDescent="0.3">
      <c r="A9" s="4" t="s">
        <v>26</v>
      </c>
      <c r="B9" s="4" t="s">
        <v>34</v>
      </c>
      <c r="C9" s="5" t="s">
        <v>61</v>
      </c>
      <c r="D9" s="4" t="str">
        <f>CONCATENATE(HYPERLINK("CALLTO:%2B356%202767%207822", "+356 2767 7822"))</f>
        <v>+356 2767 7822</v>
      </c>
      <c r="E9" s="5" t="s">
        <v>80</v>
      </c>
      <c r="F9" s="5" t="s">
        <v>89</v>
      </c>
      <c r="G9" s="4"/>
    </row>
    <row r="10" spans="1:7" x14ac:dyDescent="0.3">
      <c r="A10" s="2" t="s">
        <v>26</v>
      </c>
      <c r="B10" s="2" t="s">
        <v>35</v>
      </c>
      <c r="C10" s="3" t="s">
        <v>62</v>
      </c>
      <c r="D10" s="2" t="str">
        <f>CONCATENATE(HYPERLINK("CALLTO:%2B356%209940%201247", "+356 9940 1247"))</f>
        <v>+356 9940 1247</v>
      </c>
      <c r="E10" s="2"/>
      <c r="F10" s="3" t="s">
        <v>90</v>
      </c>
      <c r="G10" s="2"/>
    </row>
    <row r="11" spans="1:7" x14ac:dyDescent="0.3">
      <c r="A11" s="4" t="s">
        <v>26</v>
      </c>
      <c r="B11" s="4" t="s">
        <v>36</v>
      </c>
      <c r="C11" s="5" t="s">
        <v>63</v>
      </c>
      <c r="D11" s="4" t="str">
        <f>CONCATENATE(HYPERLINK("CALLTO:%2B356%207966%207908", "+356 7966 7908"))</f>
        <v>+356 7966 7908</v>
      </c>
      <c r="E11" s="4"/>
      <c r="F11" s="5" t="s">
        <v>91</v>
      </c>
      <c r="G11" s="4"/>
    </row>
    <row r="12" spans="1:7" x14ac:dyDescent="0.3">
      <c r="A12" s="2" t="s">
        <v>26</v>
      </c>
      <c r="B12" s="2" t="s">
        <v>37</v>
      </c>
      <c r="C12" s="3" t="s">
        <v>65</v>
      </c>
      <c r="D12" s="2" t="str">
        <f>CONCATENATE(HYPERLINK("CALLTO:%2B356%202137%200404", "+356 2137 0404"))</f>
        <v>+356 2137 0404</v>
      </c>
      <c r="E12" s="2"/>
      <c r="F12" s="3" t="s">
        <v>92</v>
      </c>
      <c r="G12" s="2"/>
    </row>
    <row r="13" spans="1:7" x14ac:dyDescent="0.3">
      <c r="A13" s="4" t="s">
        <v>26</v>
      </c>
      <c r="B13" s="4" t="s">
        <v>38</v>
      </c>
      <c r="C13" s="5" t="s">
        <v>64</v>
      </c>
      <c r="D13" s="4"/>
      <c r="E13" s="4"/>
      <c r="F13" s="5" t="s">
        <v>93</v>
      </c>
      <c r="G13" s="4"/>
    </row>
    <row r="14" spans="1:7" x14ac:dyDescent="0.3">
      <c r="A14" s="2" t="s">
        <v>26</v>
      </c>
      <c r="B14" s="2" t="s">
        <v>39</v>
      </c>
      <c r="C14" s="3" t="s">
        <v>66</v>
      </c>
      <c r="D14" s="2"/>
      <c r="E14" s="2"/>
      <c r="F14" s="2"/>
      <c r="G14" s="2"/>
    </row>
    <row r="15" spans="1:7" x14ac:dyDescent="0.3">
      <c r="A15" s="4" t="s">
        <v>26</v>
      </c>
      <c r="B15" s="4" t="s">
        <v>40</v>
      </c>
      <c r="C15" s="5" t="s">
        <v>67</v>
      </c>
      <c r="D15" s="4"/>
      <c r="E15" s="4"/>
      <c r="F15" s="4"/>
      <c r="G15" s="4"/>
    </row>
    <row r="16" spans="1:7" x14ac:dyDescent="0.3">
      <c r="A16" s="2" t="s">
        <v>26</v>
      </c>
      <c r="B16" s="2" t="s">
        <v>41</v>
      </c>
      <c r="C16" s="3" t="s">
        <v>68</v>
      </c>
      <c r="D16" s="2"/>
      <c r="E16" s="2"/>
      <c r="F16" s="2"/>
      <c r="G16" s="2"/>
    </row>
    <row r="17" spans="1:7" x14ac:dyDescent="0.3">
      <c r="A17" s="4" t="s">
        <v>26</v>
      </c>
      <c r="B17" s="4" t="s">
        <v>42</v>
      </c>
      <c r="C17" s="5" t="s">
        <v>69</v>
      </c>
      <c r="D17" s="4"/>
      <c r="E17" s="4"/>
      <c r="F17" s="4"/>
      <c r="G17" s="4"/>
    </row>
    <row r="18" spans="1:7" x14ac:dyDescent="0.3">
      <c r="A18" s="2" t="s">
        <v>26</v>
      </c>
      <c r="B18" s="2" t="s">
        <v>43</v>
      </c>
      <c r="C18" s="3" t="s">
        <v>70</v>
      </c>
      <c r="D18" s="2"/>
      <c r="E18" s="2"/>
      <c r="F18" s="2"/>
      <c r="G18" s="2"/>
    </row>
    <row r="19" spans="1:7" x14ac:dyDescent="0.3">
      <c r="A19" s="4" t="s">
        <v>26</v>
      </c>
      <c r="B19" s="4" t="s">
        <v>44</v>
      </c>
      <c r="C19" s="5" t="s">
        <v>71</v>
      </c>
      <c r="D19" s="4"/>
      <c r="E19" s="4"/>
      <c r="F19" s="4"/>
      <c r="G19" s="4"/>
    </row>
    <row r="20" spans="1:7" x14ac:dyDescent="0.3">
      <c r="A20" s="2" t="s">
        <v>26</v>
      </c>
      <c r="B20" s="2" t="s">
        <v>45</v>
      </c>
      <c r="C20" s="3" t="s">
        <v>72</v>
      </c>
      <c r="D20" s="2"/>
      <c r="E20" s="2"/>
      <c r="F20" s="2"/>
      <c r="G20" s="2"/>
    </row>
    <row r="21" spans="1:7" x14ac:dyDescent="0.3">
      <c r="A21" s="4" t="s">
        <v>26</v>
      </c>
      <c r="B21" s="4" t="s">
        <v>46</v>
      </c>
      <c r="C21" s="4"/>
      <c r="D21" s="4"/>
      <c r="E21" s="4"/>
      <c r="F21" s="4"/>
      <c r="G21" s="4"/>
    </row>
    <row r="22" spans="1:7" x14ac:dyDescent="0.3">
      <c r="A22" s="2" t="s">
        <v>26</v>
      </c>
      <c r="B22" s="2" t="s">
        <v>47</v>
      </c>
      <c r="C22" s="2"/>
      <c r="D22" s="2"/>
      <c r="E22" s="2"/>
      <c r="F22" s="2"/>
      <c r="G22" s="2"/>
    </row>
    <row r="23" spans="1:7" x14ac:dyDescent="0.3">
      <c r="A23" s="4"/>
      <c r="B23" s="4" t="s">
        <v>48</v>
      </c>
      <c r="C23" s="4"/>
      <c r="D23" s="4"/>
      <c r="E23" s="4"/>
      <c r="F23" s="4"/>
      <c r="G23" s="4"/>
    </row>
    <row r="24" spans="1:7" x14ac:dyDescent="0.3">
      <c r="A24" s="2"/>
      <c r="B24" s="2" t="s">
        <v>49</v>
      </c>
      <c r="C24" s="2"/>
      <c r="D24" s="2"/>
      <c r="E24" s="2"/>
      <c r="F24" s="2"/>
      <c r="G24" s="2"/>
    </row>
    <row r="25" spans="1:7" x14ac:dyDescent="0.3">
      <c r="A25" s="4"/>
      <c r="B25" s="4" t="s">
        <v>50</v>
      </c>
      <c r="C25" s="4"/>
      <c r="D25" s="4"/>
      <c r="E25" s="4"/>
      <c r="F25" s="4"/>
      <c r="G25" s="4"/>
    </row>
    <row r="26" spans="1:7" x14ac:dyDescent="0.3">
      <c r="A26" s="2"/>
      <c r="B26" s="2" t="s">
        <v>51</v>
      </c>
      <c r="C26" s="2"/>
      <c r="D26" s="2"/>
      <c r="E26" s="2"/>
      <c r="F26" s="2"/>
      <c r="G26" s="2"/>
    </row>
    <row r="27" spans="1:7" x14ac:dyDescent="0.3">
      <c r="A27" s="4"/>
      <c r="B27" s="4" t="s">
        <v>52</v>
      </c>
      <c r="C27" s="4"/>
      <c r="D27" s="4"/>
      <c r="E27" s="4"/>
      <c r="F27" s="4"/>
      <c r="G27" s="4"/>
    </row>
    <row r="28" spans="1:7" x14ac:dyDescent="0.3">
      <c r="A28" s="2"/>
      <c r="B28" s="2" t="s">
        <v>53</v>
      </c>
      <c r="C28" s="2"/>
      <c r="D28" s="2"/>
      <c r="E28" s="2"/>
      <c r="F28" s="2"/>
      <c r="G28" s="2"/>
    </row>
  </sheetData>
  <hyperlinks>
    <hyperlink ref="C2" r:id="rId1" tooltip="Send a mail to econovamalta@gmail.com" xr:uid="{00000000-0004-0000-0100-000000000000}"/>
    <hyperlink ref="C3" r:id="rId2" tooltip="Send a mail to info@hvacsupplies.eu" xr:uid="{00000000-0004-0000-0100-000001000000}"/>
    <hyperlink ref="C4" r:id="rId3" tooltip="Send a mail to info@cutrico.com" xr:uid="{00000000-0004-0000-0100-000002000000}"/>
    <hyperlink ref="C5" r:id="rId4" tooltip="Send a mail to dpcomfortek@gmail.com" xr:uid="{00000000-0004-0000-0100-000003000000}"/>
    <hyperlink ref="C6" r:id="rId5" tooltip="Send a mail to info@bezzbros.com" xr:uid="{00000000-0004-0000-0100-000004000000}"/>
    <hyperlink ref="C7" r:id="rId6" tooltip="Send a mail to info@cdinstallations.com.mt" xr:uid="{00000000-0004-0000-0100-000005000000}"/>
    <hyperlink ref="C8" r:id="rId7" tooltip="Send a mail to energexservices@gmail.com" xr:uid="{00000000-0004-0000-0100-000006000000}"/>
    <hyperlink ref="C9" r:id="rId8" tooltip="Send a mail to info@cooltekservices.com.mt" xr:uid="{00000000-0004-0000-0100-000007000000}"/>
    <hyperlink ref="C10" r:id="rId9" tooltip="Send a mail to rosamonddesira@gmail.com" xr:uid="{00000000-0004-0000-0100-000008000000}"/>
    <hyperlink ref="C11" r:id="rId10" tooltip="Send a mail to info@ceinstallations.com.mt" xr:uid="{00000000-0004-0000-0100-000009000000}"/>
    <hyperlink ref="C12" r:id="rId11" tooltip="Send a mail to info@weduct.com.mt" xr:uid="{00000000-0004-0000-0100-00000A000000}"/>
    <hyperlink ref="C13" r:id="rId12" tooltip="Send a mail to projects@proklimamalta.com" xr:uid="{00000000-0004-0000-0100-00000B000000}"/>
    <hyperlink ref="C14" r:id="rId13" tooltip="Send a mail to sales@midea.mt" xr:uid="{00000000-0004-0000-0100-00000C000000}"/>
    <hyperlink ref="C15" r:id="rId14" tooltip="Send a mail to webshop@calleja.com.mt" xr:uid="{00000000-0004-0000-0100-00000D000000}"/>
    <hyperlink ref="C16" r:id="rId15" tooltip="Send a mail to sales@tabonedirect.com" xr:uid="{00000000-0004-0000-0100-00000E000000}"/>
    <hyperlink ref="C17" r:id="rId16" tooltip="Send a mail to info@geoholistic.com" xr:uid="{00000000-0004-0000-0100-00000F000000}"/>
    <hyperlink ref="C18" r:id="rId17" tooltip="Send a mail to sales@thetccgroup.org" xr:uid="{00000000-0004-0000-0100-000010000000}"/>
    <hyperlink ref="C19" r:id="rId18" tooltip="Send a mail to sales@mff-isl.com" xr:uid="{00000000-0004-0000-0100-000011000000}"/>
    <hyperlink ref="C20" r:id="rId19" tooltip="Send a mail to afenech@smarteffects.com.mt" xr:uid="{00000000-0004-0000-0100-000012000000}"/>
    <hyperlink ref="E2" r:id="rId20" tooltip="Search 50, Triq Salvu Psaila, Birkirkara, Malta, BKR9072 on Google Maps" xr:uid="{00000000-0004-0000-0100-000013000000}"/>
    <hyperlink ref="E3" r:id="rId21" tooltip="Search Triq Ħal Luqa, Qormi, QRM 9070, Malta on Google Maps" xr:uid="{00000000-0004-0000-0100-000014000000}"/>
    <hyperlink ref="E4" r:id="rId22" tooltip="Search Cutrico Ltd,_x000a_Mriehel By-pass, Mriehel,_x000a_Malta on Google Maps" xr:uid="{00000000-0004-0000-0100-000015000000}"/>
    <hyperlink ref="E5" r:id="rId23" tooltip="Search 94 Triq wied hal-Balzan, Balzan, Malta on Google Maps" xr:uid="{00000000-0004-0000-0100-000016000000}"/>
    <hyperlink ref="E6" r:id="rId24" tooltip="Search Aldo Moro Rd., Marsa, Malta, MRS9065 on Google Maps" xr:uid="{00000000-0004-0000-0100-000017000000}"/>
    <hyperlink ref="E7" r:id="rId25" tooltip="Search 28, Triq Borg, Fleur-De-Lys, Birkirkara, BKR 4963 on Google Maps" xr:uid="{00000000-0004-0000-0100-000018000000}"/>
    <hyperlink ref="E8" r:id="rId26" tooltip="Search Garage V15 Warehouse First Floor, Binja San Guzepp Haddiem Triq Indri Psaila_x000a_Qormi on Google Maps" xr:uid="{00000000-0004-0000-0100-000019000000}"/>
    <hyperlink ref="E9" r:id="rId27" tooltip="Search Geo Holistic Co. Ltd._x000a_G1, Five Star Business Park,_x000a_Triq il-Belt Valletta,_x000a_Ghaxaq on Google Maps" xr:uid="{00000000-0004-0000-0100-00001A000000}"/>
    <hyperlink ref="F2" r:id="rId28" tooltip="Visit facebook.com/econovamalta/" xr:uid="{00000000-0004-0000-0100-00001B000000}"/>
    <hyperlink ref="F3" r:id="rId29" tooltip="Visit hvacsupplies.eu/about-us/" xr:uid="{00000000-0004-0000-0100-00001C000000}"/>
    <hyperlink ref="F4" r:id="rId30" tooltip="Visit cutrico.com/en/home.htm" xr:uid="{00000000-0004-0000-0100-00001D000000}"/>
    <hyperlink ref="F5" r:id="rId31" tooltip="Visit comfortek.mt" xr:uid="{00000000-0004-0000-0100-00001E000000}"/>
    <hyperlink ref="F6" r:id="rId32" tooltip="Visit bezzbros.com/" xr:uid="{00000000-0004-0000-0100-00001F000000}"/>
    <hyperlink ref="F7" r:id="rId33" tooltip="Visit cdinstallations.com.mt/" xr:uid="{00000000-0004-0000-0100-000020000000}"/>
    <hyperlink ref="F8" r:id="rId34" tooltip="Visit cooltekservices.com.mt/contact-us/" xr:uid="{00000000-0004-0000-0100-000021000000}"/>
    <hyperlink ref="F9" r:id="rId35" tooltip="Visit ceinstallations.com.mt/" xr:uid="{00000000-0004-0000-0100-000022000000}"/>
    <hyperlink ref="F10" r:id="rId36" tooltip="Visit proklimamalta.com/" xr:uid="{00000000-0004-0000-0100-000023000000}"/>
    <hyperlink ref="F11" r:id="rId37" tooltip="Visit midea.mt/contact/" xr:uid="{00000000-0004-0000-0100-000024000000}"/>
    <hyperlink ref="F12" r:id="rId38" tooltip="Visit calleja.com.mt/contact/" xr:uid="{00000000-0004-0000-0100-000025000000}"/>
    <hyperlink ref="F13" r:id="rId39" tooltip="Visit geoholistic.com/ventilation.html" xr:uid="{00000000-0004-0000-0100-000026000000}"/>
  </hyperlink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/>
  </sheetViews>
  <sheetFormatPr defaultRowHeight="14.4" x14ac:dyDescent="0.3"/>
  <cols>
    <col min="1" max="1" width="10.6640625" customWidth="1"/>
    <col min="2" max="2" width="36.6640625" customWidth="1"/>
    <col min="3" max="3" width="35.109375" customWidth="1"/>
    <col min="4" max="4" width="18.6640625" customWidth="1"/>
    <col min="5" max="5" width="79.33203125" customWidth="1"/>
    <col min="6" max="6" width="24.6640625" customWidth="1"/>
    <col min="7" max="7" width="30.109375" customWidth="1"/>
    <col min="8" max="8" width="47.109375" customWidth="1"/>
  </cols>
  <sheetData>
    <row r="1" spans="1:8" ht="18" x14ac:dyDescent="0.35">
      <c r="A1" s="1" t="s">
        <v>5384</v>
      </c>
      <c r="B1" s="1" t="s">
        <v>25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176</v>
      </c>
      <c r="H1" s="1" t="s">
        <v>180</v>
      </c>
    </row>
    <row r="2" spans="1:8" x14ac:dyDescent="0.3">
      <c r="A2" s="2" t="s">
        <v>95</v>
      </c>
      <c r="B2" s="2" t="s">
        <v>97</v>
      </c>
      <c r="C2" s="3" t="s">
        <v>121</v>
      </c>
      <c r="D2" s="2" t="str">
        <f>CONCATENATE(HYPERLINK("CALLTO:%2B356%202733%200364", "+356 2733 0364"))</f>
        <v>+356 2733 0364</v>
      </c>
      <c r="E2" s="3" t="s">
        <v>147</v>
      </c>
      <c r="F2" s="3" t="s">
        <v>168</v>
      </c>
      <c r="G2" s="2" t="s">
        <v>178</v>
      </c>
      <c r="H2" s="2" t="s">
        <v>181</v>
      </c>
    </row>
    <row r="3" spans="1:8" x14ac:dyDescent="0.3">
      <c r="A3" s="4" t="s">
        <v>95</v>
      </c>
      <c r="B3" s="4" t="s">
        <v>96</v>
      </c>
      <c r="C3" s="5" t="s">
        <v>122</v>
      </c>
      <c r="D3" s="4" t="str">
        <f>CONCATENATE(HYPERLINK("CALLTO:%2B356%207922%201982", "+356 7922 1982"))</f>
        <v>+356 7922 1982</v>
      </c>
      <c r="E3" s="5" t="s">
        <v>148</v>
      </c>
      <c r="F3" s="5" t="s">
        <v>169</v>
      </c>
      <c r="G3" s="4" t="s">
        <v>178</v>
      </c>
      <c r="H3" s="4" t="s">
        <v>182</v>
      </c>
    </row>
    <row r="4" spans="1:8" x14ac:dyDescent="0.3">
      <c r="A4" s="2" t="s">
        <v>95</v>
      </c>
      <c r="B4" s="2" t="s">
        <v>98</v>
      </c>
      <c r="C4" s="3" t="s">
        <v>123</v>
      </c>
      <c r="D4" s="2" t="str">
        <f>CONCATENATE(HYPERLINK("CALLTO:%2B356%209965%205581", "+356 9965 5581"))</f>
        <v>+356 9965 5581</v>
      </c>
      <c r="E4" s="3" t="s">
        <v>149</v>
      </c>
      <c r="F4" s="3" t="s">
        <v>171</v>
      </c>
      <c r="G4" s="2" t="s">
        <v>178</v>
      </c>
      <c r="H4" s="2" t="s">
        <v>183</v>
      </c>
    </row>
    <row r="5" spans="1:8" x14ac:dyDescent="0.3">
      <c r="A5" s="4" t="s">
        <v>95</v>
      </c>
      <c r="B5" s="4" t="s">
        <v>99</v>
      </c>
      <c r="C5" s="5" t="s">
        <v>124</v>
      </c>
      <c r="D5" s="4" t="str">
        <f>CONCATENATE(HYPERLINK("CALLTO:%2B356%207713%201210", "+356 7713 1210"))</f>
        <v>+356 7713 1210</v>
      </c>
      <c r="E5" s="5" t="s">
        <v>150</v>
      </c>
      <c r="F5" s="4" t="s">
        <v>146</v>
      </c>
      <c r="G5" s="4" t="s">
        <v>178</v>
      </c>
      <c r="H5" s="4" t="s">
        <v>184</v>
      </c>
    </row>
    <row r="6" spans="1:8" x14ac:dyDescent="0.3">
      <c r="A6" s="2" t="s">
        <v>95</v>
      </c>
      <c r="B6" s="2" t="s">
        <v>100</v>
      </c>
      <c r="C6" s="3" t="s">
        <v>125</v>
      </c>
      <c r="D6" s="2" t="str">
        <f>CONCATENATE(HYPERLINK("CALLTO:%2B356%209911%201247", "+356 9911 1247"))</f>
        <v>+356 9911 1247</v>
      </c>
      <c r="E6" s="3" t="s">
        <v>151</v>
      </c>
      <c r="F6" s="2" t="s">
        <v>146</v>
      </c>
      <c r="G6" s="2" t="s">
        <v>179</v>
      </c>
      <c r="H6" s="2"/>
    </row>
    <row r="7" spans="1:8" x14ac:dyDescent="0.3">
      <c r="A7" s="4" t="s">
        <v>95</v>
      </c>
      <c r="B7" s="4" t="s">
        <v>101</v>
      </c>
      <c r="C7" s="5" t="s">
        <v>126</v>
      </c>
      <c r="D7" s="4" t="str">
        <f>CONCATENATE(HYPERLINK("CALLTO:%2B356%202152%209528", "+356 2152 9528"))</f>
        <v>+356 2152 9528</v>
      </c>
      <c r="E7" s="5" t="s">
        <v>152</v>
      </c>
      <c r="F7" s="5" t="s">
        <v>170</v>
      </c>
      <c r="G7" s="4" t="s">
        <v>178</v>
      </c>
      <c r="H7" s="4"/>
    </row>
    <row r="8" spans="1:8" x14ac:dyDescent="0.3">
      <c r="A8" s="2" t="s">
        <v>95</v>
      </c>
      <c r="B8" s="2" t="s">
        <v>102</v>
      </c>
      <c r="C8" s="3" t="s">
        <v>127</v>
      </c>
      <c r="D8" s="2" t="str">
        <f>CONCATENATE(HYPERLINK("CALLTO:%2B356%209947%205511", "+356 9947 5511"))</f>
        <v>+356 9947 5511</v>
      </c>
      <c r="E8" s="3" t="s">
        <v>153</v>
      </c>
      <c r="F8" s="2" t="s">
        <v>146</v>
      </c>
      <c r="G8" s="2" t="s">
        <v>179</v>
      </c>
      <c r="H8" s="2"/>
    </row>
    <row r="9" spans="1:8" x14ac:dyDescent="0.3">
      <c r="A9" s="4" t="s">
        <v>95</v>
      </c>
      <c r="B9" s="4" t="s">
        <v>103</v>
      </c>
      <c r="C9" s="5" t="s">
        <v>128</v>
      </c>
      <c r="D9" s="4" t="str">
        <f>CONCATENATE(HYPERLINK("CALLTO:%2B356%209958%200909", "+356 9958 0909"))</f>
        <v>+356 9958 0909</v>
      </c>
      <c r="E9" s="5" t="s">
        <v>154</v>
      </c>
      <c r="F9" s="5" t="s">
        <v>172</v>
      </c>
      <c r="G9" s="4" t="s">
        <v>178</v>
      </c>
      <c r="H9" s="4"/>
    </row>
    <row r="10" spans="1:8" x14ac:dyDescent="0.3">
      <c r="A10" s="2" t="s">
        <v>95</v>
      </c>
      <c r="B10" s="2" t="s">
        <v>104</v>
      </c>
      <c r="C10" s="3" t="s">
        <v>129</v>
      </c>
      <c r="D10" s="2" t="str">
        <f>CONCATENATE(HYPERLINK("CALLTO:%2B356%207709%208188", "+356 7709 8188"))</f>
        <v>+356 7709 8188</v>
      </c>
      <c r="E10" s="3" t="s">
        <v>155</v>
      </c>
      <c r="F10" s="2" t="s">
        <v>146</v>
      </c>
      <c r="G10" s="2" t="s">
        <v>179</v>
      </c>
      <c r="H10" s="2"/>
    </row>
    <row r="11" spans="1:8" x14ac:dyDescent="0.3">
      <c r="A11" s="4" t="s">
        <v>95</v>
      </c>
      <c r="B11" s="4" t="s">
        <v>105</v>
      </c>
      <c r="C11" s="5" t="s">
        <v>130</v>
      </c>
      <c r="D11" s="4" t="str">
        <f>CONCATENATE(HYPERLINK("CALLTO:%2B356%207929%209918", "+356 7929 9918"))</f>
        <v>+356 7929 9918</v>
      </c>
      <c r="E11" s="5" t="s">
        <v>156</v>
      </c>
      <c r="F11" s="4" t="s">
        <v>146</v>
      </c>
      <c r="G11" s="4" t="s">
        <v>179</v>
      </c>
      <c r="H11" s="4"/>
    </row>
    <row r="12" spans="1:8" x14ac:dyDescent="0.3">
      <c r="A12" s="2" t="s">
        <v>95</v>
      </c>
      <c r="B12" s="2" t="s">
        <v>106</v>
      </c>
      <c r="C12" s="2" t="s">
        <v>131</v>
      </c>
      <c r="D12" s="2" t="str">
        <f>CONCATENATE(HYPERLINK("CALLTO:%2B356%207900%200000", "+356 7900 0000"))</f>
        <v>+356 7900 0000</v>
      </c>
      <c r="E12" s="3" t="s">
        <v>157</v>
      </c>
      <c r="F12" s="3" t="s">
        <v>173</v>
      </c>
      <c r="G12" s="2" t="s">
        <v>178</v>
      </c>
      <c r="H12" s="2"/>
    </row>
    <row r="13" spans="1:8" x14ac:dyDescent="0.3">
      <c r="A13" s="4" t="s">
        <v>95</v>
      </c>
      <c r="B13" s="4" t="s">
        <v>107</v>
      </c>
      <c r="C13" s="5" t="s">
        <v>132</v>
      </c>
      <c r="D13" s="4" t="str">
        <f>CONCATENATE(HYPERLINK("CALLTO:%2B356%202733%200364", "+356 2733 0364"))</f>
        <v>+356 2733 0364</v>
      </c>
      <c r="E13" s="5" t="s">
        <v>147</v>
      </c>
      <c r="F13" s="5" t="s">
        <v>168</v>
      </c>
      <c r="G13" s="4" t="s">
        <v>178</v>
      </c>
      <c r="H13" s="4"/>
    </row>
    <row r="14" spans="1:8" x14ac:dyDescent="0.3">
      <c r="A14" s="2" t="s">
        <v>95</v>
      </c>
      <c r="B14" s="2" t="s">
        <v>108</v>
      </c>
      <c r="C14" s="3" t="s">
        <v>133</v>
      </c>
      <c r="D14" s="2" t="str">
        <f>CONCATENATE(HYPERLINK("CALLTO:%2B356%209907%204325", "+356 9907 4325"))</f>
        <v>+356 9907 4325</v>
      </c>
      <c r="E14" s="3" t="s">
        <v>158</v>
      </c>
      <c r="F14" s="2" t="s">
        <v>146</v>
      </c>
      <c r="G14" s="2" t="s">
        <v>179</v>
      </c>
      <c r="H14" s="2"/>
    </row>
    <row r="15" spans="1:8" x14ac:dyDescent="0.3">
      <c r="A15" s="4" t="s">
        <v>95</v>
      </c>
      <c r="B15" s="4" t="s">
        <v>109</v>
      </c>
      <c r="C15" s="5" t="s">
        <v>134</v>
      </c>
      <c r="D15" s="4" t="str">
        <f>CONCATENATE(HYPERLINK("CALLTO:%2B356%207944%202574", "+356 7944 2574"))</f>
        <v>+356 7944 2574</v>
      </c>
      <c r="E15" s="5" t="s">
        <v>151</v>
      </c>
      <c r="F15" s="4" t="s">
        <v>146</v>
      </c>
      <c r="G15" s="4" t="s">
        <v>179</v>
      </c>
      <c r="H15" s="4"/>
    </row>
    <row r="16" spans="1:8" x14ac:dyDescent="0.3">
      <c r="A16" s="2" t="s">
        <v>95</v>
      </c>
      <c r="B16" s="2" t="s">
        <v>110</v>
      </c>
      <c r="C16" s="3" t="s">
        <v>135</v>
      </c>
      <c r="D16" s="2" t="str">
        <f>CONCATENATE(HYPERLINK("CALLTO:%2B356%207982%207981", "+356 7982 7981"))</f>
        <v>+356 7982 7981</v>
      </c>
      <c r="E16" s="3" t="s">
        <v>159</v>
      </c>
      <c r="F16" s="2" t="s">
        <v>146</v>
      </c>
      <c r="G16" s="2" t="s">
        <v>179</v>
      </c>
      <c r="H16" s="2"/>
    </row>
    <row r="17" spans="1:8" x14ac:dyDescent="0.3">
      <c r="A17" s="4" t="s">
        <v>95</v>
      </c>
      <c r="B17" s="4" t="s">
        <v>111</v>
      </c>
      <c r="C17" s="5" t="s">
        <v>136</v>
      </c>
      <c r="D17" s="4" t="str">
        <f>CONCATENATE(HYPERLINK("CALLTO:%2B356%207777%209098", "+356 7777 9098"))</f>
        <v>+356 7777 9098</v>
      </c>
      <c r="E17" s="5" t="s">
        <v>160</v>
      </c>
      <c r="F17" s="4" t="s">
        <v>146</v>
      </c>
      <c r="G17" s="4" t="s">
        <v>178</v>
      </c>
      <c r="H17" s="4"/>
    </row>
    <row r="18" spans="1:8" x14ac:dyDescent="0.3">
      <c r="A18" s="2" t="s">
        <v>95</v>
      </c>
      <c r="B18" s="2" t="s">
        <v>113</v>
      </c>
      <c r="C18" s="3" t="s">
        <v>137</v>
      </c>
      <c r="D18" s="2" t="str">
        <f>CONCATENATE(HYPERLINK("CALLTO:%2B356%207905%205452", "+356 7905 5452"))</f>
        <v>+356 7905 5452</v>
      </c>
      <c r="E18" s="3" t="s">
        <v>161</v>
      </c>
      <c r="F18" s="2" t="s">
        <v>146</v>
      </c>
      <c r="G18" s="2" t="s">
        <v>179</v>
      </c>
      <c r="H18" s="2"/>
    </row>
    <row r="19" spans="1:8" x14ac:dyDescent="0.3">
      <c r="A19" s="4" t="s">
        <v>95</v>
      </c>
      <c r="B19" s="4" t="s">
        <v>112</v>
      </c>
      <c r="C19" s="5" t="s">
        <v>138</v>
      </c>
      <c r="D19" s="4" t="str">
        <f>CONCATENATE(HYPERLINK("CALLTO:%2B356%207999%203858", "+356 7999 3858"))</f>
        <v>+356 7999 3858</v>
      </c>
      <c r="E19" s="5" t="s">
        <v>162</v>
      </c>
      <c r="F19" s="4" t="s">
        <v>146</v>
      </c>
      <c r="G19" s="4" t="s">
        <v>179</v>
      </c>
      <c r="H19" s="4"/>
    </row>
    <row r="20" spans="1:8" x14ac:dyDescent="0.3">
      <c r="A20" s="2" t="s">
        <v>95</v>
      </c>
      <c r="B20" s="2" t="s">
        <v>114</v>
      </c>
      <c r="C20" s="3" t="s">
        <v>139</v>
      </c>
      <c r="D20" s="2" t="str">
        <f>CONCATENATE(HYPERLINK("CALLTO:%2B356%202765%206533", "+356 2765 6533"))</f>
        <v>+356 2765 6533</v>
      </c>
      <c r="E20" s="3" t="s">
        <v>163</v>
      </c>
      <c r="F20" s="3" t="s">
        <v>174</v>
      </c>
      <c r="G20" s="2" t="s">
        <v>178</v>
      </c>
      <c r="H20" s="2"/>
    </row>
    <row r="21" spans="1:8" x14ac:dyDescent="0.3">
      <c r="A21" s="4" t="s">
        <v>95</v>
      </c>
      <c r="B21" s="4" t="s">
        <v>115</v>
      </c>
      <c r="C21" s="5" t="s">
        <v>140</v>
      </c>
      <c r="D21" s="4" t="str">
        <f>CONCATENATE(HYPERLINK("CALLTO:%2B356%209982%205505", "+356 9982 5505"))</f>
        <v>+356 9982 5505</v>
      </c>
      <c r="E21" s="5" t="s">
        <v>164</v>
      </c>
      <c r="F21" s="4" t="s">
        <v>146</v>
      </c>
      <c r="G21" s="4" t="s">
        <v>179</v>
      </c>
      <c r="H21" s="4"/>
    </row>
    <row r="22" spans="1:8" x14ac:dyDescent="0.3">
      <c r="A22" s="2" t="s">
        <v>95</v>
      </c>
      <c r="B22" s="2" t="s">
        <v>116</v>
      </c>
      <c r="C22" s="3" t="s">
        <v>141</v>
      </c>
      <c r="D22" s="2" t="str">
        <f>CONCATENATE(HYPERLINK("CALLTO:%2B356%207905%201396", "+356 7905 1396"))</f>
        <v>+356 7905 1396</v>
      </c>
      <c r="E22" s="3" t="s">
        <v>155</v>
      </c>
      <c r="F22" s="2" t="s">
        <v>146</v>
      </c>
      <c r="G22" s="2" t="s">
        <v>179</v>
      </c>
      <c r="H22" s="2"/>
    </row>
    <row r="23" spans="1:8" x14ac:dyDescent="0.3">
      <c r="A23" s="4" t="s">
        <v>95</v>
      </c>
      <c r="B23" s="4" t="s">
        <v>117</v>
      </c>
      <c r="C23" s="5" t="s">
        <v>142</v>
      </c>
      <c r="D23" s="4" t="str">
        <f>CONCATENATE(HYPERLINK("CALLTO:%2B356%209972%206390", "+356 9972 6390"))</f>
        <v>+356 9972 6390</v>
      </c>
      <c r="E23" s="5" t="s">
        <v>165</v>
      </c>
      <c r="F23" s="4" t="s">
        <v>146</v>
      </c>
      <c r="G23" s="4" t="s">
        <v>179</v>
      </c>
      <c r="H23" s="4"/>
    </row>
    <row r="24" spans="1:8" x14ac:dyDescent="0.3">
      <c r="A24" s="2" t="s">
        <v>95</v>
      </c>
      <c r="B24" s="2" t="s">
        <v>118</v>
      </c>
      <c r="C24" s="3" t="s">
        <v>143</v>
      </c>
      <c r="D24" s="2" t="s">
        <v>146</v>
      </c>
      <c r="E24" s="3" t="s">
        <v>166</v>
      </c>
      <c r="F24" s="3" t="s">
        <v>175</v>
      </c>
      <c r="G24" s="2" t="s">
        <v>179</v>
      </c>
      <c r="H24" s="2"/>
    </row>
    <row r="25" spans="1:8" x14ac:dyDescent="0.3">
      <c r="A25" s="4" t="s">
        <v>95</v>
      </c>
      <c r="B25" s="4" t="s">
        <v>119</v>
      </c>
      <c r="C25" s="5" t="s">
        <v>144</v>
      </c>
      <c r="D25" s="4" t="str">
        <f>CONCATENATE(HYPERLINK("CALLTO:%2B356%202702%208282", "+356 2702 8282"))</f>
        <v>+356 2702 8282</v>
      </c>
      <c r="E25" s="5" t="s">
        <v>167</v>
      </c>
      <c r="F25" s="5" t="s">
        <v>177</v>
      </c>
      <c r="G25" s="4" t="s">
        <v>178</v>
      </c>
      <c r="H25" s="4"/>
    </row>
    <row r="26" spans="1:8" x14ac:dyDescent="0.3">
      <c r="A26" s="2" t="s">
        <v>95</v>
      </c>
      <c r="B26" s="2" t="s">
        <v>120</v>
      </c>
      <c r="C26" s="3" t="s">
        <v>145</v>
      </c>
      <c r="D26" s="2" t="str">
        <f>CONCATENATE(HYPERLINK("CALLTO:%2B356%207928%208241", "+356 7928 8241"))</f>
        <v>+356 7928 8241</v>
      </c>
      <c r="E26" s="3" t="s">
        <v>151</v>
      </c>
      <c r="F26" s="2" t="s">
        <v>146</v>
      </c>
      <c r="G26" s="2" t="s">
        <v>178</v>
      </c>
      <c r="H26" s="2"/>
    </row>
    <row r="27" spans="1:8" x14ac:dyDescent="0.3">
      <c r="A27" s="4" t="s">
        <v>95</v>
      </c>
      <c r="B27" s="4"/>
      <c r="C27" s="4"/>
      <c r="D27" s="4"/>
      <c r="E27" s="4"/>
      <c r="F27" s="4"/>
      <c r="G27" s="4"/>
      <c r="H27" s="4"/>
    </row>
    <row r="28" spans="1:8" x14ac:dyDescent="0.3">
      <c r="A28" s="2" t="s">
        <v>95</v>
      </c>
      <c r="B28" s="2"/>
      <c r="C28" s="2"/>
      <c r="D28" s="2"/>
      <c r="E28" s="2"/>
      <c r="F28" s="2"/>
      <c r="G28" s="2"/>
      <c r="H28" s="2"/>
    </row>
    <row r="29" spans="1:8" x14ac:dyDescent="0.3">
      <c r="A29" s="4" t="s">
        <v>95</v>
      </c>
      <c r="B29" s="4"/>
      <c r="C29" s="4"/>
      <c r="D29" s="4"/>
      <c r="E29" s="4"/>
      <c r="F29" s="4"/>
      <c r="G29" s="4"/>
      <c r="H29" s="4"/>
    </row>
    <row r="30" spans="1:8" x14ac:dyDescent="0.3">
      <c r="A30" s="2" t="s">
        <v>95</v>
      </c>
      <c r="B30" s="2"/>
      <c r="C30" s="2"/>
      <c r="D30" s="2"/>
      <c r="E30" s="2"/>
      <c r="F30" s="2"/>
      <c r="G30" s="2"/>
      <c r="H30" s="2"/>
    </row>
    <row r="31" spans="1:8" x14ac:dyDescent="0.3">
      <c r="A31" s="4" t="s">
        <v>95</v>
      </c>
      <c r="B31" s="4"/>
      <c r="C31" s="4"/>
      <c r="D31" s="4"/>
      <c r="E31" s="4"/>
      <c r="F31" s="4"/>
      <c r="G31" s="4"/>
      <c r="H31" s="4"/>
    </row>
    <row r="32" spans="1:8" x14ac:dyDescent="0.3">
      <c r="A32" s="2" t="s">
        <v>95</v>
      </c>
      <c r="B32" s="2"/>
      <c r="C32" s="2"/>
      <c r="D32" s="2"/>
      <c r="E32" s="2"/>
      <c r="F32" s="2"/>
      <c r="G32" s="2"/>
      <c r="H32" s="2"/>
    </row>
    <row r="33" spans="1:8" x14ac:dyDescent="0.3">
      <c r="A33" s="4" t="s">
        <v>95</v>
      </c>
      <c r="B33" s="4"/>
      <c r="C33" s="4"/>
      <c r="D33" s="4"/>
      <c r="E33" s="4"/>
      <c r="F33" s="4"/>
      <c r="G33" s="4"/>
      <c r="H33" s="4"/>
    </row>
    <row r="34" spans="1:8" x14ac:dyDescent="0.3">
      <c r="A34" s="2" t="s">
        <v>95</v>
      </c>
      <c r="B34" s="2"/>
      <c r="C34" s="2"/>
      <c r="D34" s="2"/>
      <c r="E34" s="2"/>
      <c r="F34" s="2"/>
      <c r="G34" s="2"/>
      <c r="H34" s="2"/>
    </row>
    <row r="35" spans="1:8" x14ac:dyDescent="0.3">
      <c r="A35" s="4" t="s">
        <v>95</v>
      </c>
      <c r="B35" s="4"/>
      <c r="C35" s="4"/>
      <c r="D35" s="4"/>
      <c r="E35" s="4"/>
      <c r="F35" s="4"/>
      <c r="G35" s="4"/>
      <c r="H35" s="4"/>
    </row>
    <row r="36" spans="1:8" x14ac:dyDescent="0.3">
      <c r="A36" s="2" t="s">
        <v>95</v>
      </c>
      <c r="B36" s="2"/>
      <c r="C36" s="2"/>
      <c r="D36" s="2"/>
      <c r="E36" s="2"/>
      <c r="F36" s="2"/>
      <c r="G36" s="2"/>
      <c r="H36" s="2"/>
    </row>
  </sheetData>
  <hyperlinks>
    <hyperlink ref="C2" r:id="rId1" tooltip="Send a mail to info@mrhandy.mt" xr:uid="{00000000-0004-0000-0200-000000000000}"/>
    <hyperlink ref="C3" r:id="rId2" tooltip="Send a mail to info@ewihomeservices.com" xr:uid="{00000000-0004-0000-0200-000001000000}"/>
    <hyperlink ref="C4" r:id="rId3" tooltip="Send a mail to info@wsinstallations.com" xr:uid="{00000000-0004-0000-0200-000002000000}"/>
    <hyperlink ref="C5" r:id="rId4" tooltip="Send a mail to ilenia@actsmart.com.mt" xr:uid="{00000000-0004-0000-0200-000003000000}"/>
    <hyperlink ref="C6" r:id="rId5" tooltip="Send a mail to kevin.bonnici76@gmail.com" xr:uid="{00000000-0004-0000-0200-000004000000}"/>
    <hyperlink ref="C7" r:id="rId6" tooltip="Send a mail to info@homecaremalta.com" xr:uid="{00000000-0004-0000-0200-000005000000}"/>
    <hyperlink ref="C8" r:id="rId7" tooltip="Send a mail to demicolijo@gmail.com" xr:uid="{00000000-0004-0000-0200-000006000000}"/>
    <hyperlink ref="C9" r:id="rId8" tooltip="Send a mail to nikola.pejovic@nlpforce.com" xr:uid="{00000000-0004-0000-0200-000007000000}"/>
    <hyperlink ref="C10" r:id="rId9" tooltip="Send a mail to schembrijoseph91@gmail.com" xr:uid="{00000000-0004-0000-0200-000008000000}"/>
    <hyperlink ref="C11" r:id="rId10" tooltip="Send a mail to abinstallationsbyformosa@gmail.com" xr:uid="{00000000-0004-0000-0200-000009000000}"/>
    <hyperlink ref="C13" r:id="rId11" tooltip="Send a mail to info@briiz.com.mt" xr:uid="{00000000-0004-0000-0200-00000A000000}"/>
    <hyperlink ref="C14" r:id="rId12" tooltip="Send a mail to swiftsolution2025@gmail.com" xr:uid="{00000000-0004-0000-0200-00000B000000}"/>
    <hyperlink ref="C15" r:id="rId13" tooltip="Send a mail to tyrone.vassallo01@gmail.com" xr:uid="{00000000-0004-0000-0200-00000C000000}"/>
    <hyperlink ref="C16" r:id="rId14" tooltip="Send a mail to jason.cordina79@gmail.com" xr:uid="{00000000-0004-0000-0200-00000D000000}"/>
    <hyperlink ref="C17" r:id="rId15" tooltip="Send a mail to ZAGinfo@gmail.com" xr:uid="{00000000-0004-0000-0200-00000E000000}"/>
    <hyperlink ref="C18" r:id="rId16" tooltip="Send a mail to clivesammut@hotmail.co.uk" xr:uid="{00000000-0004-0000-0200-00000F000000}"/>
    <hyperlink ref="C19" r:id="rId17" tooltip="Send a mail to esteliocini@gmail.com" xr:uid="{00000000-0004-0000-0200-000010000000}"/>
    <hyperlink ref="C20" r:id="rId18" tooltip="Send a mail to gfinstallations@gmail.com" xr:uid="{00000000-0004-0000-0200-000011000000}"/>
    <hyperlink ref="C21" r:id="rId19" tooltip="Send a mail to brifor06@hotmail.com" xr:uid="{00000000-0004-0000-0200-000012000000}"/>
    <hyperlink ref="C22" r:id="rId20" tooltip="Send a mail to gino.bonnici.11@gmail.com" xr:uid="{00000000-0004-0000-0200-000013000000}"/>
    <hyperlink ref="C23" r:id="rId21" tooltip="Send a mail to mb.handymanservice@libero.it" xr:uid="{00000000-0004-0000-0200-000014000000}"/>
    <hyperlink ref="C24" r:id="rId22" tooltip="Send a mail to info@emiliohandyman.com" xr:uid="{00000000-0004-0000-0200-000015000000}"/>
    <hyperlink ref="C25" r:id="rId23" tooltip="Send a mail to Manutek@kompleto.com.mt" xr:uid="{00000000-0004-0000-0200-000016000000}"/>
    <hyperlink ref="C26" r:id="rId24" tooltip="Send a mail to pjhandyman@mail.com" xr:uid="{00000000-0004-0000-0200-000017000000}"/>
    <hyperlink ref="E2" r:id="rId25" tooltip="Search 682, Triq il-Kbira San Ġużepp, Ħamrun, Malta on Google Maps" xr:uid="{00000000-0004-0000-0200-000018000000}"/>
    <hyperlink ref="E3" r:id="rId26" tooltip="Search Registered in Malta (Service area: All Malta, no public storefront) on Google Maps" xr:uid="{00000000-0004-0000-0200-000019000000}"/>
    <hyperlink ref="E4" r:id="rId27" tooltip="Search Triq Ċensu Busuttil, L-Iklin on Google Maps" xr:uid="{00000000-0004-0000-0200-00001A000000}"/>
    <hyperlink ref="E5" r:id="rId28" tooltip="Search 58c, Triq Patri Feliċjan Bilocca, Marsa on Google Maps" xr:uid="{00000000-0004-0000-0200-00001B000000}"/>
    <hyperlink ref="E6" r:id="rId29" tooltip="Search Registered in Qormi (Mobile contractor, no public storefront) on Google Maps" xr:uid="{00000000-0004-0000-0200-00001C000000}"/>
    <hyperlink ref="E7" r:id="rId30" tooltip="Search 881, Triq il-Kbira San Ġużepp, Ħamrun, HMR 1010 on Google Maps" xr:uid="{00000000-0004-0000-0200-00001D000000}"/>
    <hyperlink ref="E8" r:id="rId31" tooltip="Search Registered in Mosta (Mobile contractor, no public storefront) on Google Maps" xr:uid="{00000000-0004-0000-0200-00001E000000}"/>
    <hyperlink ref="E9" r:id="rId32" tooltip="Search Triq Ġużeppi Xuereb ix-Xhudi, Swatar, Birkirkara on Google Maps" xr:uid="{00000000-0004-0000-0200-00001F000000}"/>
    <hyperlink ref="E10" r:id="rId33" tooltip="Search Registered in Żejtun (Mobile contractor, no public storefront) on Google Maps" xr:uid="{00000000-0004-0000-0200-000020000000}"/>
    <hyperlink ref="E11" r:id="rId34" tooltip="Search Registered in Żabbar (Mobile contractor, no public storefront) on Google Maps" xr:uid="{00000000-0004-0000-0200-000021000000}"/>
    <hyperlink ref="E12" r:id="rId35" tooltip="Search 31, Triq il-Merill, Mellieħa, MLH 2572 on Google Maps" xr:uid="{00000000-0004-0000-0200-000022000000}"/>
    <hyperlink ref="E13" r:id="rId36" tooltip="Search 682, Triq il-Kbira San Ġużepp, Ħamrun, Malta on Google Maps" xr:uid="{00000000-0004-0000-0200-000023000000}"/>
    <hyperlink ref="E14" r:id="rId37" tooltip="Search Registered in Mosta (Service area: All Malta, no public storefront) on Google Maps" xr:uid="{00000000-0004-0000-0200-000024000000}"/>
    <hyperlink ref="E15" r:id="rId38" tooltip="Search Registered in Qormi (Mobile contractor, no public storefront) on Google Maps" xr:uid="{00000000-0004-0000-0200-000025000000}"/>
    <hyperlink ref="E16" r:id="rId39" tooltip="Search 176, Triq San Bastjan, Qormi on Google Maps" xr:uid="{00000000-0004-0000-0200-000026000000}"/>
    <hyperlink ref="E17" r:id="rId40" tooltip="Search 373, St Joseph High Street, Mosta on Google Maps" xr:uid="{00000000-0004-0000-0200-000027000000}"/>
    <hyperlink ref="E18" r:id="rId41" tooltip="Search 45, Indri Borg Street, Rabat on Google Maps" xr:uid="{00000000-0004-0000-0200-000028000000}"/>
    <hyperlink ref="E19" r:id="rId42" tooltip="Search 152, St. Peter Paul, Triq il-Kbira, Qormi on Google Maps" xr:uid="{00000000-0004-0000-0200-000029000000}"/>
    <hyperlink ref="E20" r:id="rId43" tooltip="Search Garage 64, Triq is-Sajjied, Qawra, San Pawl il-Baħar on Google Maps" xr:uid="{00000000-0004-0000-0200-00002A000000}"/>
    <hyperlink ref="E21" r:id="rId44" tooltip="Search Registered in Tarxien (Mobile contractor, no public storefront) on Google Maps" xr:uid="{00000000-0004-0000-0200-00002B000000}"/>
    <hyperlink ref="E22" r:id="rId45" tooltip="Search Registered in Żejtun (Mobile contractor, no public storefront) on Google Maps" xr:uid="{00000000-0004-0000-0200-00002C000000}"/>
    <hyperlink ref="E23" r:id="rId46" tooltip="Search Registered in Buġibba / St. Paul's Bay (Mobile contractor, no public storefront) on Google Maps" xr:uid="{00000000-0004-0000-0200-00002D000000}"/>
    <hyperlink ref="E24" r:id="rId47" tooltip="Search 17 Madonnina, Triq il-Pluvieri, Gudja (Also lists: Milicent Garage, Triq il-Magħsar, Gudja) on Google Maps" xr:uid="{00000000-0004-0000-0200-00002E000000}"/>
    <hyperlink ref="E25" r:id="rId48" tooltip="Search GPL Business Centre, Office 1, Level 2, Sqaq il-Ghadam, Mriehel, BKR3000 on Google Maps" xr:uid="{00000000-0004-0000-0200-00002F000000}"/>
    <hyperlink ref="E26" r:id="rId49" tooltip="Search Registered in Qormi (Mobile contractor, no public storefront) on Google Maps" xr:uid="{00000000-0004-0000-0200-000030000000}"/>
    <hyperlink ref="F2" r:id="rId50" tooltip="Visit briiz.com.mt/handyman" xr:uid="{00000000-0004-0000-0200-000031000000}"/>
    <hyperlink ref="F3" r:id="rId51" tooltip="Visit ewihomeservices.com" xr:uid="{00000000-0004-0000-0200-000032000000}"/>
    <hyperlink ref="F4" r:id="rId52" tooltip="Visit wsinstallationsmalta.com/" xr:uid="{00000000-0004-0000-0200-000033000000}"/>
    <hyperlink ref="F7" r:id="rId53" tooltip="Visit homecaremalta.com" xr:uid="{00000000-0004-0000-0200-000034000000}"/>
    <hyperlink ref="F9" r:id="rId54" tooltip="Visit nlpforce.com" xr:uid="{00000000-0004-0000-0200-000035000000}"/>
    <hyperlink ref="F12" r:id="rId55" tooltip="Visit marcovella.com" xr:uid="{00000000-0004-0000-0200-000036000000}"/>
    <hyperlink ref="F13" r:id="rId56" tooltip="Visit briiz.com.mt/handyman" xr:uid="{00000000-0004-0000-0200-000037000000}"/>
    <hyperlink ref="F20" r:id="rId57" tooltip="Visit gfonlinestore.com" xr:uid="{00000000-0004-0000-0200-000038000000}"/>
    <hyperlink ref="F24" r:id="rId58" tooltip="Visit emiliohandyman.com" xr:uid="{00000000-0004-0000-0200-000039000000}"/>
    <hyperlink ref="F25" r:id="rId59" tooltip="Visit kompleto.com.mt" xr:uid="{00000000-0004-0000-0200-00003A000000}"/>
  </hyperlink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workbookViewId="0"/>
  </sheetViews>
  <sheetFormatPr defaultRowHeight="14.4" x14ac:dyDescent="0.3"/>
  <cols>
    <col min="1" max="1" width="9.88671875" customWidth="1"/>
    <col min="2" max="2" width="36.33203125" customWidth="1"/>
    <col min="3" max="3" width="32" customWidth="1"/>
    <col min="4" max="4" width="18.6640625" customWidth="1"/>
    <col min="5" max="5" width="64.6640625" customWidth="1"/>
    <col min="6" max="6" width="11" customWidth="1"/>
    <col min="7" max="7" width="30.109375" customWidth="1"/>
    <col min="8" max="8" width="6.5546875" customWidth="1"/>
  </cols>
  <sheetData>
    <row r="1" spans="1:8" ht="18" x14ac:dyDescent="0.35">
      <c r="A1" s="1" t="s">
        <v>5384</v>
      </c>
      <c r="B1" s="1" t="s">
        <v>25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176</v>
      </c>
      <c r="H1" s="1" t="s">
        <v>180</v>
      </c>
    </row>
    <row r="2" spans="1:8" x14ac:dyDescent="0.3">
      <c r="A2" s="2" t="s">
        <v>185</v>
      </c>
      <c r="B2" s="2" t="s">
        <v>186</v>
      </c>
      <c r="C2" s="3" t="s">
        <v>198</v>
      </c>
      <c r="D2" s="2" t="str">
        <f>CONCATENATE(HYPERLINK("CALLTO:%2B356%207926%202384", "+356 7926 2384"))</f>
        <v>+356 7926 2384</v>
      </c>
      <c r="E2" s="3" t="s">
        <v>204</v>
      </c>
      <c r="F2" s="2" t="s">
        <v>146</v>
      </c>
      <c r="G2" s="2" t="s">
        <v>179</v>
      </c>
      <c r="H2" s="2"/>
    </row>
    <row r="3" spans="1:8" x14ac:dyDescent="0.3">
      <c r="A3" s="4" t="s">
        <v>185</v>
      </c>
      <c r="B3" s="4" t="s">
        <v>187</v>
      </c>
      <c r="C3" s="5" t="s">
        <v>199</v>
      </c>
      <c r="D3" s="4" t="str">
        <f>CONCATENATE(HYPERLINK("CALLTO:%2B356%209948%205960", "+356 9948 5960"))</f>
        <v>+356 9948 5960</v>
      </c>
      <c r="E3" s="5" t="s">
        <v>205</v>
      </c>
      <c r="F3" s="4" t="s">
        <v>146</v>
      </c>
      <c r="G3" s="4" t="s">
        <v>179</v>
      </c>
      <c r="H3" s="4"/>
    </row>
    <row r="4" spans="1:8" x14ac:dyDescent="0.3">
      <c r="A4" s="2" t="s">
        <v>185</v>
      </c>
      <c r="B4" s="2" t="s">
        <v>188</v>
      </c>
      <c r="C4" s="2" t="s">
        <v>146</v>
      </c>
      <c r="D4" s="2" t="str">
        <f>CONCATENATE(HYPERLINK("CALLTO:%2B356%207920%200196", "+356 7920 0196"))</f>
        <v>+356 7920 0196</v>
      </c>
      <c r="E4" s="3" t="s">
        <v>206</v>
      </c>
      <c r="F4" s="2" t="s">
        <v>146</v>
      </c>
      <c r="G4" s="2" t="s">
        <v>179</v>
      </c>
      <c r="H4" s="2"/>
    </row>
    <row r="5" spans="1:8" x14ac:dyDescent="0.3">
      <c r="A5" s="4" t="s">
        <v>185</v>
      </c>
      <c r="B5" s="4" t="s">
        <v>109</v>
      </c>
      <c r="C5" s="5" t="s">
        <v>134</v>
      </c>
      <c r="D5" s="4" t="str">
        <f>CONCATENATE(HYPERLINK("CALLTO:%2B356%207944%202574", "+356 7944 2574"))</f>
        <v>+356 7944 2574</v>
      </c>
      <c r="E5" s="5" t="s">
        <v>207</v>
      </c>
      <c r="F5" s="4" t="s">
        <v>146</v>
      </c>
      <c r="G5" s="4" t="s">
        <v>179</v>
      </c>
      <c r="H5" s="4"/>
    </row>
    <row r="6" spans="1:8" x14ac:dyDescent="0.3">
      <c r="A6" s="2" t="s">
        <v>185</v>
      </c>
      <c r="B6" s="2" t="s">
        <v>189</v>
      </c>
      <c r="C6" s="2" t="s">
        <v>146</v>
      </c>
      <c r="D6" s="2" t="s">
        <v>146</v>
      </c>
      <c r="E6" s="3" t="s">
        <v>208</v>
      </c>
      <c r="F6" s="2" t="s">
        <v>146</v>
      </c>
      <c r="G6" s="2" t="s">
        <v>179</v>
      </c>
      <c r="H6" s="2"/>
    </row>
    <row r="7" spans="1:8" x14ac:dyDescent="0.3">
      <c r="A7" s="4" t="s">
        <v>185</v>
      </c>
      <c r="B7" s="4" t="s">
        <v>190</v>
      </c>
      <c r="C7" s="4" t="s">
        <v>200</v>
      </c>
      <c r="D7" s="4" t="s">
        <v>146</v>
      </c>
      <c r="E7" s="5" t="s">
        <v>209</v>
      </c>
      <c r="F7" s="4" t="s">
        <v>146</v>
      </c>
      <c r="G7" s="4" t="s">
        <v>179</v>
      </c>
      <c r="H7" s="4"/>
    </row>
    <row r="8" spans="1:8" x14ac:dyDescent="0.3">
      <c r="A8" s="2" t="s">
        <v>185</v>
      </c>
      <c r="B8" s="2" t="s">
        <v>191</v>
      </c>
      <c r="C8" s="2" t="s">
        <v>201</v>
      </c>
      <c r="D8" s="2" t="s">
        <v>146</v>
      </c>
      <c r="E8" s="3" t="s">
        <v>210</v>
      </c>
      <c r="F8" s="2" t="s">
        <v>146</v>
      </c>
      <c r="G8" s="2" t="s">
        <v>179</v>
      </c>
      <c r="H8" s="2"/>
    </row>
    <row r="9" spans="1:8" x14ac:dyDescent="0.3">
      <c r="A9" s="4" t="s">
        <v>185</v>
      </c>
      <c r="B9" s="4" t="s">
        <v>192</v>
      </c>
      <c r="C9" s="4" t="s">
        <v>146</v>
      </c>
      <c r="D9" s="4" t="str">
        <f>CONCATENATE(HYPERLINK("CALLTO:%2B356%209947%206137", "+356 9947 6137"))</f>
        <v>+356 9947 6137</v>
      </c>
      <c r="E9" s="5" t="s">
        <v>211</v>
      </c>
      <c r="F9" s="4" t="s">
        <v>146</v>
      </c>
      <c r="G9" s="4" t="s">
        <v>179</v>
      </c>
      <c r="H9" s="4"/>
    </row>
    <row r="10" spans="1:8" x14ac:dyDescent="0.3">
      <c r="A10" s="2" t="s">
        <v>185</v>
      </c>
      <c r="B10" s="2" t="s">
        <v>193</v>
      </c>
      <c r="C10" s="2" t="s">
        <v>146</v>
      </c>
      <c r="D10" s="2" t="str">
        <f>CONCATENATE(HYPERLINK("CALLTO:%2B356%209942%203371", "+356 9942 3371"))</f>
        <v>+356 9942 3371</v>
      </c>
      <c r="E10" s="3" t="s">
        <v>212</v>
      </c>
      <c r="F10" s="2" t="s">
        <v>146</v>
      </c>
      <c r="G10" s="2" t="s">
        <v>179</v>
      </c>
      <c r="H10" s="2"/>
    </row>
    <row r="11" spans="1:8" x14ac:dyDescent="0.3">
      <c r="A11" s="4" t="s">
        <v>185</v>
      </c>
      <c r="B11" s="4" t="s">
        <v>194</v>
      </c>
      <c r="C11" s="5" t="s">
        <v>202</v>
      </c>
      <c r="D11" s="4" t="str">
        <f>CONCATENATE(HYPERLINK("CALLTO:%2B356%207949%207456", "+356 7949 7456"))</f>
        <v>+356 7949 7456</v>
      </c>
      <c r="E11" s="5" t="s">
        <v>213</v>
      </c>
      <c r="F11" s="4" t="s">
        <v>146</v>
      </c>
      <c r="G11" s="4" t="s">
        <v>179</v>
      </c>
      <c r="H11" s="4"/>
    </row>
    <row r="12" spans="1:8" x14ac:dyDescent="0.3">
      <c r="A12" s="2" t="s">
        <v>185</v>
      </c>
      <c r="B12" s="2" t="s">
        <v>195</v>
      </c>
      <c r="C12" s="2" t="s">
        <v>146</v>
      </c>
      <c r="D12" s="2" t="str">
        <f>CONCATENATE(HYPERLINK("CALLTO:%2B356%207920%204466", "+356 7920 4466"))</f>
        <v>+356 7920 4466</v>
      </c>
      <c r="E12" s="3" t="s">
        <v>214</v>
      </c>
      <c r="F12" s="2" t="s">
        <v>146</v>
      </c>
      <c r="G12" s="2" t="s">
        <v>179</v>
      </c>
      <c r="H12" s="2"/>
    </row>
    <row r="13" spans="1:8" x14ac:dyDescent="0.3">
      <c r="A13" s="4" t="s">
        <v>185</v>
      </c>
      <c r="B13" s="4" t="s">
        <v>196</v>
      </c>
      <c r="C13" s="5" t="s">
        <v>203</v>
      </c>
      <c r="D13" s="4" t="str">
        <f>CONCATENATE(HYPERLINK("CALLTO:%2B356%207909%203306", "+356 7909 3306"))</f>
        <v>+356 7909 3306</v>
      </c>
      <c r="E13" s="5" t="s">
        <v>215</v>
      </c>
      <c r="F13" s="4" t="s">
        <v>146</v>
      </c>
      <c r="G13" s="4" t="s">
        <v>179</v>
      </c>
      <c r="H13" s="4"/>
    </row>
    <row r="14" spans="1:8" x14ac:dyDescent="0.3">
      <c r="A14" s="2" t="s">
        <v>185</v>
      </c>
      <c r="B14" s="2" t="s">
        <v>197</v>
      </c>
      <c r="C14" s="2" t="s">
        <v>146</v>
      </c>
      <c r="D14" s="2" t="str">
        <f>CONCATENATE(HYPERLINK("CALLTO:%2B356%209982%204815", "+356 9982 4815"))</f>
        <v>+356 9982 4815</v>
      </c>
      <c r="E14" s="3" t="s">
        <v>216</v>
      </c>
      <c r="F14" s="2" t="s">
        <v>146</v>
      </c>
      <c r="G14" s="2" t="s">
        <v>179</v>
      </c>
      <c r="H14" s="2"/>
    </row>
    <row r="15" spans="1:8" x14ac:dyDescent="0.3">
      <c r="A15" s="4" t="s">
        <v>185</v>
      </c>
      <c r="B15" s="4"/>
      <c r="C15" s="4"/>
      <c r="D15" s="4"/>
      <c r="E15" s="4"/>
      <c r="F15" s="4"/>
      <c r="G15" s="4"/>
      <c r="H15" s="4"/>
    </row>
    <row r="16" spans="1:8" x14ac:dyDescent="0.3">
      <c r="A16" s="2" t="s">
        <v>185</v>
      </c>
      <c r="B16" s="2"/>
      <c r="C16" s="2"/>
      <c r="D16" s="2"/>
      <c r="E16" s="2"/>
      <c r="F16" s="2"/>
      <c r="G16" s="2"/>
      <c r="H16" s="2"/>
    </row>
    <row r="17" spans="1:8" x14ac:dyDescent="0.3">
      <c r="A17" s="4" t="s">
        <v>185</v>
      </c>
      <c r="B17" s="4"/>
      <c r="C17" s="4"/>
      <c r="D17" s="4"/>
      <c r="E17" s="4"/>
      <c r="F17" s="4"/>
      <c r="G17" s="4"/>
      <c r="H17" s="4"/>
    </row>
    <row r="18" spans="1:8" x14ac:dyDescent="0.3">
      <c r="A18" s="2" t="s">
        <v>185</v>
      </c>
      <c r="B18" s="2"/>
      <c r="C18" s="2"/>
      <c r="D18" s="2"/>
      <c r="E18" s="2"/>
      <c r="F18" s="2"/>
      <c r="G18" s="2"/>
      <c r="H18" s="2"/>
    </row>
    <row r="19" spans="1:8" x14ac:dyDescent="0.3">
      <c r="A19" s="4" t="s">
        <v>185</v>
      </c>
      <c r="B19" s="4"/>
      <c r="C19" s="4"/>
      <c r="D19" s="4"/>
      <c r="E19" s="4"/>
      <c r="F19" s="4"/>
      <c r="G19" s="4"/>
      <c r="H19" s="4"/>
    </row>
    <row r="20" spans="1:8" x14ac:dyDescent="0.3">
      <c r="A20" s="2" t="s">
        <v>185</v>
      </c>
      <c r="B20" s="2"/>
      <c r="C20" s="2"/>
      <c r="D20" s="2"/>
      <c r="E20" s="2"/>
      <c r="F20" s="2"/>
      <c r="G20" s="2"/>
      <c r="H20" s="2"/>
    </row>
    <row r="21" spans="1:8" x14ac:dyDescent="0.3">
      <c r="A21" s="4" t="s">
        <v>185</v>
      </c>
      <c r="B21" s="4"/>
      <c r="C21" s="4"/>
      <c r="D21" s="4"/>
      <c r="E21" s="4"/>
      <c r="F21" s="4"/>
      <c r="G21" s="4"/>
      <c r="H21" s="4"/>
    </row>
    <row r="22" spans="1:8" x14ac:dyDescent="0.3">
      <c r="A22" s="2" t="s">
        <v>185</v>
      </c>
      <c r="B22" s="2"/>
      <c r="C22" s="2"/>
      <c r="D22" s="2"/>
      <c r="E22" s="2"/>
      <c r="F22" s="2"/>
      <c r="G22" s="2"/>
      <c r="H22" s="2"/>
    </row>
    <row r="23" spans="1:8" x14ac:dyDescent="0.3">
      <c r="A23" s="4" t="s">
        <v>185</v>
      </c>
      <c r="B23" s="4"/>
      <c r="C23" s="4"/>
      <c r="D23" s="4"/>
      <c r="E23" s="4"/>
      <c r="F23" s="4"/>
      <c r="G23" s="4"/>
      <c r="H23" s="4"/>
    </row>
    <row r="24" spans="1:8" x14ac:dyDescent="0.3">
      <c r="A24" s="2" t="s">
        <v>185</v>
      </c>
      <c r="B24" s="2"/>
      <c r="C24" s="2"/>
      <c r="D24" s="2"/>
      <c r="E24" s="2"/>
      <c r="F24" s="2"/>
      <c r="G24" s="2"/>
      <c r="H24" s="2"/>
    </row>
    <row r="25" spans="1:8" x14ac:dyDescent="0.3">
      <c r="A25" s="4" t="s">
        <v>185</v>
      </c>
      <c r="B25" s="4"/>
      <c r="C25" s="4"/>
      <c r="D25" s="4"/>
      <c r="E25" s="4"/>
      <c r="F25" s="4"/>
      <c r="G25" s="4"/>
      <c r="H25" s="4"/>
    </row>
    <row r="26" spans="1:8" x14ac:dyDescent="0.3">
      <c r="A26" s="2" t="s">
        <v>185</v>
      </c>
      <c r="B26" s="2"/>
      <c r="C26" s="2"/>
      <c r="D26" s="2"/>
      <c r="E26" s="2"/>
      <c r="F26" s="2"/>
      <c r="G26" s="2"/>
      <c r="H26" s="2"/>
    </row>
    <row r="27" spans="1:8" x14ac:dyDescent="0.3">
      <c r="A27" s="4" t="s">
        <v>185</v>
      </c>
      <c r="B27" s="4"/>
      <c r="C27" s="4"/>
      <c r="D27" s="4"/>
      <c r="E27" s="4"/>
      <c r="F27" s="4"/>
      <c r="G27" s="4"/>
      <c r="H27" s="4"/>
    </row>
    <row r="28" spans="1:8" x14ac:dyDescent="0.3">
      <c r="A28" s="2" t="s">
        <v>185</v>
      </c>
      <c r="B28" s="2"/>
      <c r="C28" s="2"/>
      <c r="D28" s="2"/>
      <c r="E28" s="2"/>
      <c r="F28" s="2"/>
      <c r="G28" s="2"/>
      <c r="H28" s="2"/>
    </row>
    <row r="29" spans="1:8" x14ac:dyDescent="0.3">
      <c r="A29" s="4" t="s">
        <v>185</v>
      </c>
      <c r="B29" s="4"/>
      <c r="C29" s="4"/>
      <c r="D29" s="4"/>
      <c r="E29" s="4"/>
      <c r="F29" s="4"/>
      <c r="G29" s="4"/>
      <c r="H29" s="4"/>
    </row>
    <row r="30" spans="1:8" x14ac:dyDescent="0.3">
      <c r="A30" s="2" t="s">
        <v>185</v>
      </c>
      <c r="B30" s="2"/>
      <c r="C30" s="2"/>
      <c r="D30" s="2"/>
      <c r="E30" s="2"/>
      <c r="F30" s="2"/>
      <c r="G30" s="2"/>
      <c r="H30" s="2"/>
    </row>
    <row r="31" spans="1:8" x14ac:dyDescent="0.3">
      <c r="A31" s="4" t="s">
        <v>185</v>
      </c>
      <c r="B31" s="4"/>
      <c r="C31" s="4"/>
      <c r="D31" s="4"/>
      <c r="E31" s="4"/>
      <c r="F31" s="4"/>
      <c r="G31" s="4"/>
      <c r="H31" s="4"/>
    </row>
    <row r="32" spans="1:8" x14ac:dyDescent="0.3">
      <c r="A32" s="2" t="s">
        <v>185</v>
      </c>
      <c r="B32" s="2"/>
      <c r="C32" s="2"/>
      <c r="D32" s="2"/>
      <c r="E32" s="2"/>
      <c r="F32" s="2"/>
      <c r="G32" s="2"/>
      <c r="H32" s="2"/>
    </row>
    <row r="33" spans="1:8" x14ac:dyDescent="0.3">
      <c r="A33" s="4" t="s">
        <v>185</v>
      </c>
      <c r="B33" s="4"/>
      <c r="C33" s="4"/>
      <c r="D33" s="4"/>
      <c r="E33" s="4"/>
      <c r="F33" s="4"/>
      <c r="G33" s="4"/>
      <c r="H33" s="4"/>
    </row>
    <row r="34" spans="1:8" x14ac:dyDescent="0.3">
      <c r="A34" s="2" t="s">
        <v>185</v>
      </c>
      <c r="B34" s="2"/>
      <c r="C34" s="2"/>
      <c r="D34" s="2"/>
      <c r="E34" s="2"/>
      <c r="F34" s="2"/>
      <c r="G34" s="2"/>
      <c r="H34" s="2"/>
    </row>
    <row r="35" spans="1:8" x14ac:dyDescent="0.3">
      <c r="A35" s="4" t="s">
        <v>185</v>
      </c>
      <c r="B35" s="4"/>
      <c r="C35" s="4"/>
      <c r="D35" s="4"/>
      <c r="E35" s="4"/>
      <c r="F35" s="4"/>
      <c r="G35" s="4"/>
      <c r="H35" s="4"/>
    </row>
    <row r="36" spans="1:8" x14ac:dyDescent="0.3">
      <c r="A36" s="2" t="s">
        <v>185</v>
      </c>
      <c r="B36" s="2"/>
      <c r="C36" s="2"/>
      <c r="D36" s="2"/>
      <c r="E36" s="2"/>
      <c r="F36" s="2"/>
      <c r="G36" s="2"/>
      <c r="H36" s="2"/>
    </row>
  </sheetData>
  <hyperlinks>
    <hyperlink ref="C2" r:id="rId1" tooltip="Send a mail to aaronagius82@gmail.com" xr:uid="{00000000-0004-0000-0300-000000000000}"/>
    <hyperlink ref="C3" r:id="rId2" tooltip="Send a mail to danastasi.rt@outlook.com" xr:uid="{00000000-0004-0000-0300-000001000000}"/>
    <hyperlink ref="C5" r:id="rId3" tooltip="Send a mail to tyrone.vassallo01@gmail.com" xr:uid="{00000000-0004-0000-0300-000002000000}"/>
    <hyperlink ref="C11" r:id="rId4" tooltip="Send a mail to salvufenech@gmail.com" xr:uid="{00000000-0004-0000-0300-000003000000}"/>
    <hyperlink ref="C13" r:id="rId5" tooltip="Send a mail to jcelectricalmalta@gmail.com" xr:uid="{00000000-0004-0000-0300-000004000000}"/>
    <hyperlink ref="E2" r:id="rId6" tooltip="Search Id-Dwejra, Triq il-Fidwa, Gudja, Malta on Google Maps" xr:uid="{00000000-0004-0000-0300-000005000000}"/>
    <hyperlink ref="E3" r:id="rId7" tooltip="Search 32 Virgo, Triq il-Battaljun, Mosta, MST 2721, Malta on Google Maps" xr:uid="{00000000-0004-0000-0300-000006000000}"/>
    <hyperlink ref="E4" r:id="rId8" tooltip="Search Cawsli Court, Flt 4, Triq L-Imdina, Ħal Qormi, Malta on Google Maps" xr:uid="{00000000-0004-0000-0300-000007000000}"/>
    <hyperlink ref="E5" r:id="rId9" tooltip="Search Registered in Qormi (Mobile contractor, no public street address listed) on Google Maps" xr:uid="{00000000-0004-0000-0300-000008000000}"/>
    <hyperlink ref="E6" r:id="rId10" tooltip="Search Registered in Malta (Mobile contractor, no public street address listed) on Google Maps" xr:uid="{00000000-0004-0000-0300-000009000000}"/>
    <hyperlink ref="E7" r:id="rId11" tooltip="Search Blk C6 Flat 2, Triq il-Fraxxnu, Ħaż-Żebbuġ, Malta on Google Maps" xr:uid="{00000000-0004-0000-0300-00000A000000}"/>
    <hyperlink ref="E8" r:id="rId12" tooltip="Search Registered in Birżebbuġa, BBG 1606, Malta (Mobile contractor) on Google Maps" xr:uid="{00000000-0004-0000-0300-00000B000000}"/>
    <hyperlink ref="E9" r:id="rId13" tooltip="Search Registered in Central Malta (Mobile domestic electrician) on Google Maps" xr:uid="{00000000-0004-0000-0300-00000C000000}"/>
    <hyperlink ref="E10" r:id="rId14" tooltip="Search 92 Triq Blanche Huber, Sliema, Malta on Google Maps" xr:uid="{00000000-0004-0000-0300-00000D000000}"/>
    <hyperlink ref="E11" r:id="rId15" tooltip="Search 39 Siskina, Triq Raddet Ir-Roti, Mosta, Malta on Google Maps" xr:uid="{00000000-0004-0000-0300-00000E000000}"/>
    <hyperlink ref="E12" r:id="rId16" tooltip="Search Registered in Marsaxlokk (Mobile domestic electrician) on Google Maps" xr:uid="{00000000-0004-0000-0300-00000F000000}"/>
    <hyperlink ref="E13" r:id="rId17" tooltip="Search Registered in Qormi (Mobile contractor) on Google Maps" xr:uid="{00000000-0004-0000-0300-000010000000}"/>
    <hyperlink ref="E14" r:id="rId18" tooltip="Search Registered in Naxxar (Mobile contractor) on Google Maps" xr:uid="{00000000-0004-0000-0300-000011000000}"/>
  </hyperlink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RowHeight="14.4" x14ac:dyDescent="0.3"/>
  <cols>
    <col min="1" max="1" width="9.88671875" customWidth="1"/>
    <col min="2" max="2" width="26.44140625" customWidth="1"/>
    <col min="3" max="3" width="36.88671875" customWidth="1"/>
    <col min="4" max="4" width="18.6640625" customWidth="1"/>
    <col min="5" max="5" width="10.88671875" customWidth="1"/>
    <col min="6" max="6" width="59" customWidth="1"/>
  </cols>
  <sheetData>
    <row r="1" spans="1:6" ht="18" x14ac:dyDescent="0.35">
      <c r="A1" s="1" t="s">
        <v>5384</v>
      </c>
      <c r="B1" s="1" t="s">
        <v>25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217</v>
      </c>
      <c r="B2" s="2" t="s">
        <v>218</v>
      </c>
      <c r="C2" s="3" t="s">
        <v>228</v>
      </c>
      <c r="D2" s="2"/>
      <c r="E2" s="2"/>
      <c r="F2" s="3" t="s">
        <v>239</v>
      </c>
    </row>
    <row r="3" spans="1:6" x14ac:dyDescent="0.3">
      <c r="A3" s="4" t="s">
        <v>217</v>
      </c>
      <c r="B3" s="4" t="s">
        <v>219</v>
      </c>
      <c r="C3" s="5" t="s">
        <v>229</v>
      </c>
      <c r="D3" s="4"/>
      <c r="E3" s="4"/>
      <c r="F3" s="5" t="s">
        <v>240</v>
      </c>
    </row>
    <row r="4" spans="1:6" x14ac:dyDescent="0.3">
      <c r="A4" s="2" t="s">
        <v>217</v>
      </c>
      <c r="B4" s="2" t="s">
        <v>220</v>
      </c>
      <c r="C4" s="3" t="s">
        <v>230</v>
      </c>
      <c r="D4" s="2"/>
      <c r="E4" s="2"/>
      <c r="F4" s="3" t="s">
        <v>241</v>
      </c>
    </row>
    <row r="5" spans="1:6" x14ac:dyDescent="0.3">
      <c r="A5" s="4" t="s">
        <v>217</v>
      </c>
      <c r="B5" s="4" t="s">
        <v>221</v>
      </c>
      <c r="C5" s="5" t="s">
        <v>231</v>
      </c>
      <c r="D5" s="4"/>
      <c r="E5" s="4"/>
      <c r="F5" s="5" t="s">
        <v>242</v>
      </c>
    </row>
    <row r="6" spans="1:6" x14ac:dyDescent="0.3">
      <c r="A6" s="2" t="s">
        <v>217</v>
      </c>
      <c r="B6" s="2" t="s">
        <v>222</v>
      </c>
      <c r="C6" s="3" t="s">
        <v>232</v>
      </c>
      <c r="D6" s="2"/>
      <c r="E6" s="2"/>
      <c r="F6" s="3" t="s">
        <v>243</v>
      </c>
    </row>
    <row r="7" spans="1:6" x14ac:dyDescent="0.3">
      <c r="A7" s="4" t="s">
        <v>217</v>
      </c>
      <c r="B7" s="4" t="s">
        <v>223</v>
      </c>
      <c r="C7" s="5" t="s">
        <v>233</v>
      </c>
      <c r="D7" s="4"/>
      <c r="E7" s="4"/>
      <c r="F7" s="5" t="s">
        <v>244</v>
      </c>
    </row>
    <row r="8" spans="1:6" x14ac:dyDescent="0.3">
      <c r="A8" s="2" t="s">
        <v>217</v>
      </c>
      <c r="B8" s="2" t="s">
        <v>224</v>
      </c>
      <c r="C8" s="3" t="s">
        <v>234</v>
      </c>
      <c r="D8" s="2"/>
      <c r="E8" s="2"/>
      <c r="F8" s="3" t="s">
        <v>245</v>
      </c>
    </row>
    <row r="9" spans="1:6" x14ac:dyDescent="0.3">
      <c r="A9" s="4" t="s">
        <v>217</v>
      </c>
      <c r="B9" s="4" t="s">
        <v>225</v>
      </c>
      <c r="C9" s="5" t="s">
        <v>235</v>
      </c>
      <c r="D9" s="4"/>
      <c r="E9" s="4"/>
      <c r="F9" s="4" t="s">
        <v>146</v>
      </c>
    </row>
    <row r="10" spans="1:6" x14ac:dyDescent="0.3">
      <c r="A10" s="2" t="s">
        <v>217</v>
      </c>
      <c r="B10" s="2" t="s">
        <v>226</v>
      </c>
      <c r="C10" s="3" t="s">
        <v>236</v>
      </c>
      <c r="D10" s="2"/>
      <c r="E10" s="2"/>
      <c r="F10" s="2" t="s">
        <v>146</v>
      </c>
    </row>
    <row r="11" spans="1:6" x14ac:dyDescent="0.3">
      <c r="A11" s="4" t="s">
        <v>217</v>
      </c>
      <c r="B11" s="4" t="s">
        <v>227</v>
      </c>
      <c r="C11" s="5" t="s">
        <v>237</v>
      </c>
      <c r="D11" s="4"/>
      <c r="E11" s="4"/>
      <c r="F11" s="5" t="s">
        <v>246</v>
      </c>
    </row>
  </sheetData>
  <hyperlinks>
    <hyperlink ref="C2" r:id="rId1" tooltip="Send a mail to info@domestica.com.mt" xr:uid="{00000000-0004-0000-0400-000000000000}"/>
    <hyperlink ref="C3" r:id="rId2" tooltip="Send a mail to fran@fvcarpentry.com" xr:uid="{00000000-0004-0000-0400-000001000000}"/>
    <hyperlink ref="C4" r:id="rId3" tooltip="Send a mail to info@refalowoodworksltd.com" xr:uid="{00000000-0004-0000-0400-000002000000}"/>
    <hyperlink ref="C5" r:id="rId4" tooltip="Send a mail to pdgl1969@gmail.com" xr:uid="{00000000-0004-0000-0400-000003000000}"/>
    <hyperlink ref="C6" r:id="rId5" tooltip="Send a mail to info@bpwoodworks.com" xr:uid="{00000000-0004-0000-0400-000004000000}"/>
    <hyperlink ref="C7" r:id="rId6" tooltip="Send a mail to info@armstrong.com.mt" xr:uid="{00000000-0004-0000-0400-000005000000}"/>
    <hyperlink ref="C8" r:id="rId7" tooltip="Send a mail to sales@shalomwoodworks.com" xr:uid="{00000000-0004-0000-0400-000006000000}"/>
    <hyperlink ref="C9" r:id="rId8" tooltip="Send a mail to joseph.briffa.woodworks@hotmail.com" xr:uid="{00000000-0004-0000-0400-000007000000}"/>
    <hyperlink ref="C10" r:id="rId9" tooltip="Send a mail to joseph.taekwondo@gmail.com" xr:uid="{00000000-0004-0000-0400-000008000000}"/>
    <hyperlink ref="C11" r:id="rId10" tooltip="Send a mail to info@baldacchinogroup.com" xr:uid="{00000000-0004-0000-0400-000009000000}"/>
    <hyperlink ref="F2" r:id="rId11" tooltip="Visit domestica.com.mt" xr:uid="{00000000-0004-0000-0400-00000A000000}"/>
    <hyperlink ref="F3" r:id="rId12" tooltip="Visit fvcarpentry.com" xr:uid="{00000000-0004-0000-0400-00000B000000}"/>
    <hyperlink ref="F4" r:id="rId13" tooltip="Visit refalowoodworks.com" xr:uid="{00000000-0004-0000-0400-00000C000000}"/>
    <hyperlink ref="F5" r:id="rId14" tooltip="Visit findit.com.mt/en/directory/listings/3682/gauci-woodworks.htm" xr:uid="{00000000-0004-0000-0400-00000D000000}"/>
    <hyperlink ref="F6" r:id="rId15" tooltip="Visit bpwoodworks.com" xr:uid="{00000000-0004-0000-0400-00000E000000}"/>
    <hyperlink ref="F7" r:id="rId16" tooltip="Visit armstrong.com.mt" xr:uid="{00000000-0004-0000-0400-00000F000000}"/>
    <hyperlink ref="F8" r:id="rId17" tooltip="Visit shalomwoodworks.com" xr:uid="{00000000-0004-0000-0400-000010000000}"/>
    <hyperlink ref="F11" r:id="rId18" tooltip="Visit baldacchinogroup.com/left-menu/woodworks.html" xr:uid="{00000000-0004-0000-0400-000011000000}"/>
  </hyperlink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5"/>
  <sheetViews>
    <sheetView workbookViewId="0"/>
  </sheetViews>
  <sheetFormatPr defaultRowHeight="14.4" x14ac:dyDescent="0.3"/>
  <cols>
    <col min="1" max="1" width="10" customWidth="1"/>
    <col min="2" max="2" width="41.33203125" customWidth="1"/>
    <col min="3" max="3" width="30.5546875" customWidth="1"/>
    <col min="4" max="4" width="18.6640625" customWidth="1"/>
    <col min="5" max="5" width="24.6640625" customWidth="1"/>
    <col min="6" max="6" width="66.88671875" customWidth="1"/>
  </cols>
  <sheetData>
    <row r="1" spans="1:6" ht="18" x14ac:dyDescent="0.35">
      <c r="A1" s="1" t="s">
        <v>5384</v>
      </c>
      <c r="B1" s="1" t="s">
        <v>25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238</v>
      </c>
      <c r="B2" s="2" t="s">
        <v>247</v>
      </c>
      <c r="C2" s="3" t="s">
        <v>331</v>
      </c>
      <c r="D2" s="2" t="str">
        <f>CONCATENATE(HYPERLINK("CALLTO:%2B356%209949%204186", "+356 9949 4186"))</f>
        <v>+356 9949 4186</v>
      </c>
      <c r="E2" s="3" t="s">
        <v>382</v>
      </c>
      <c r="F2" s="3" t="s">
        <v>383</v>
      </c>
    </row>
    <row r="3" spans="1:6" x14ac:dyDescent="0.3">
      <c r="A3" s="4" t="s">
        <v>238</v>
      </c>
      <c r="B3" s="4" t="s">
        <v>248</v>
      </c>
      <c r="C3" s="5" t="s">
        <v>332</v>
      </c>
      <c r="D3" s="4" t="str">
        <f>CONCATENATE(HYPERLINK("CALLTO:%2B356%207990%202106", "+356 7990 2106"))</f>
        <v>+356 7990 2106</v>
      </c>
      <c r="E3" s="4"/>
      <c r="F3" s="5" t="s">
        <v>384</v>
      </c>
    </row>
    <row r="4" spans="1:6" x14ac:dyDescent="0.3">
      <c r="A4" s="2" t="s">
        <v>238</v>
      </c>
      <c r="B4" s="2" t="s">
        <v>249</v>
      </c>
      <c r="C4" s="3" t="s">
        <v>333</v>
      </c>
      <c r="D4" s="2" t="str">
        <f>CONCATENATE(HYPERLINK("CALLTO:%2B356%209945%204154", "+356 9945 4154"))</f>
        <v>+356 9945 4154</v>
      </c>
      <c r="E4" s="2"/>
      <c r="F4" s="3" t="s">
        <v>385</v>
      </c>
    </row>
    <row r="5" spans="1:6" x14ac:dyDescent="0.3">
      <c r="A5" s="4" t="s">
        <v>238</v>
      </c>
      <c r="B5" s="4" t="s">
        <v>250</v>
      </c>
      <c r="C5" s="5" t="s">
        <v>334</v>
      </c>
      <c r="D5" s="4" t="str">
        <f>CONCATENATE(HYPERLINK("CALLTO:%2B356%209925%202716", "+356 9925 2716"))</f>
        <v>+356 9925 2716</v>
      </c>
      <c r="E5" s="4"/>
      <c r="F5" s="5" t="s">
        <v>386</v>
      </c>
    </row>
    <row r="6" spans="1:6" x14ac:dyDescent="0.3">
      <c r="A6" s="2" t="s">
        <v>238</v>
      </c>
      <c r="B6" s="2" t="s">
        <v>251</v>
      </c>
      <c r="C6" s="3" t="s">
        <v>335</v>
      </c>
      <c r="D6" s="2" t="str">
        <f>CONCATENATE(HYPERLINK("CALLTO:%2B356%209903%200870", "+356 9903 0870"))</f>
        <v>+356 9903 0870</v>
      </c>
      <c r="E6" s="2"/>
      <c r="F6" s="3" t="s">
        <v>387</v>
      </c>
    </row>
    <row r="7" spans="1:6" x14ac:dyDescent="0.3">
      <c r="A7" s="4" t="s">
        <v>238</v>
      </c>
      <c r="B7" s="4" t="s">
        <v>252</v>
      </c>
      <c r="C7" s="5" t="s">
        <v>336</v>
      </c>
      <c r="D7" s="4" t="str">
        <f>CONCATENATE(HYPERLINK("CALLTO:%2B356%209949%204553", "+356 9949 4553"))</f>
        <v>+356 9949 4553</v>
      </c>
      <c r="E7" s="4"/>
      <c r="F7" s="5" t="s">
        <v>388</v>
      </c>
    </row>
    <row r="8" spans="1:6" x14ac:dyDescent="0.3">
      <c r="A8" s="2" t="s">
        <v>238</v>
      </c>
      <c r="B8" s="2" t="s">
        <v>253</v>
      </c>
      <c r="C8" s="3" t="s">
        <v>337</v>
      </c>
      <c r="D8" s="2" t="str">
        <f>CONCATENATE(HYPERLINK("CALLTO:%2B356%207747%204746", "+356 7747 4746"))</f>
        <v>+356 7747 4746</v>
      </c>
      <c r="E8" s="2"/>
      <c r="F8" s="3" t="s">
        <v>389</v>
      </c>
    </row>
    <row r="9" spans="1:6" x14ac:dyDescent="0.3">
      <c r="A9" s="4" t="s">
        <v>238</v>
      </c>
      <c r="B9" s="4" t="s">
        <v>254</v>
      </c>
      <c r="C9" s="5" t="s">
        <v>338</v>
      </c>
      <c r="D9" s="4" t="str">
        <f>CONCATENATE(HYPERLINK("CALLTO:%2B356%209947%207956", "+356 9947 7956"))</f>
        <v>+356 9947 7956</v>
      </c>
      <c r="E9" s="4"/>
      <c r="F9" s="5" t="s">
        <v>390</v>
      </c>
    </row>
    <row r="10" spans="1:6" x14ac:dyDescent="0.3">
      <c r="A10" s="2" t="s">
        <v>238</v>
      </c>
      <c r="B10" s="2" t="s">
        <v>255</v>
      </c>
      <c r="C10" s="3" t="s">
        <v>339</v>
      </c>
      <c r="D10" s="2" t="str">
        <f>CONCATENATE(HYPERLINK("CALLTO:%2B356%209975%205547", "+356 9975 5547"))</f>
        <v>+356 9975 5547</v>
      </c>
      <c r="E10" s="2"/>
      <c r="F10" s="3" t="s">
        <v>391</v>
      </c>
    </row>
    <row r="11" spans="1:6" x14ac:dyDescent="0.3">
      <c r="A11" s="4" t="s">
        <v>238</v>
      </c>
      <c r="B11" s="4" t="s">
        <v>256</v>
      </c>
      <c r="C11" s="5" t="s">
        <v>340</v>
      </c>
      <c r="D11" s="4" t="str">
        <f>CONCATENATE(HYPERLINK("CALLTO:%2B356%202148%205301", "+356 2148 5301"))</f>
        <v>+356 2148 5301</v>
      </c>
      <c r="E11" s="4"/>
      <c r="F11" s="5" t="s">
        <v>392</v>
      </c>
    </row>
    <row r="12" spans="1:6" x14ac:dyDescent="0.3">
      <c r="A12" s="2" t="s">
        <v>238</v>
      </c>
      <c r="B12" s="2" t="s">
        <v>257</v>
      </c>
      <c r="C12" s="3" t="s">
        <v>341</v>
      </c>
      <c r="D12" s="2"/>
      <c r="E12" s="2"/>
      <c r="F12" s="3" t="s">
        <v>393</v>
      </c>
    </row>
    <row r="13" spans="1:6" x14ac:dyDescent="0.3">
      <c r="A13" s="4" t="s">
        <v>238</v>
      </c>
      <c r="B13" s="4" t="s">
        <v>258</v>
      </c>
      <c r="C13" s="5" t="s">
        <v>342</v>
      </c>
      <c r="D13" s="4"/>
      <c r="E13" s="4"/>
      <c r="F13" s="5" t="s">
        <v>394</v>
      </c>
    </row>
    <row r="14" spans="1:6" x14ac:dyDescent="0.3">
      <c r="A14" s="2" t="s">
        <v>238</v>
      </c>
      <c r="B14" s="2" t="s">
        <v>259</v>
      </c>
      <c r="C14" s="3" t="s">
        <v>343</v>
      </c>
      <c r="D14" s="2"/>
      <c r="E14" s="2"/>
      <c r="F14" s="3" t="s">
        <v>395</v>
      </c>
    </row>
    <row r="15" spans="1:6" x14ac:dyDescent="0.3">
      <c r="A15" s="4" t="s">
        <v>238</v>
      </c>
      <c r="B15" s="4" t="s">
        <v>260</v>
      </c>
      <c r="C15" s="5" t="s">
        <v>344</v>
      </c>
      <c r="D15" s="4"/>
      <c r="E15" s="4"/>
      <c r="F15" s="5" t="s">
        <v>396</v>
      </c>
    </row>
    <row r="16" spans="1:6" x14ac:dyDescent="0.3">
      <c r="A16" s="2" t="s">
        <v>238</v>
      </c>
      <c r="B16" s="2" t="s">
        <v>261</v>
      </c>
      <c r="C16" s="3" t="s">
        <v>345</v>
      </c>
      <c r="D16" s="2"/>
      <c r="E16" s="2"/>
      <c r="F16" s="3" t="s">
        <v>397</v>
      </c>
    </row>
    <row r="17" spans="1:6" x14ac:dyDescent="0.3">
      <c r="A17" s="4" t="s">
        <v>238</v>
      </c>
      <c r="B17" s="4" t="s">
        <v>262</v>
      </c>
      <c r="C17" s="5" t="s">
        <v>346</v>
      </c>
      <c r="D17" s="4"/>
      <c r="E17" s="4"/>
      <c r="F17" s="5" t="s">
        <v>398</v>
      </c>
    </row>
    <row r="18" spans="1:6" x14ac:dyDescent="0.3">
      <c r="A18" s="2" t="s">
        <v>238</v>
      </c>
      <c r="B18" s="2" t="s">
        <v>263</v>
      </c>
      <c r="C18" s="3" t="s">
        <v>347</v>
      </c>
      <c r="D18" s="2"/>
      <c r="E18" s="2"/>
      <c r="F18" s="3" t="s">
        <v>399</v>
      </c>
    </row>
    <row r="19" spans="1:6" x14ac:dyDescent="0.3">
      <c r="A19" s="4" t="s">
        <v>238</v>
      </c>
      <c r="B19" s="4" t="s">
        <v>264</v>
      </c>
      <c r="C19" s="5" t="s">
        <v>348</v>
      </c>
      <c r="D19" s="4"/>
      <c r="E19" s="4"/>
      <c r="F19" s="5" t="s">
        <v>400</v>
      </c>
    </row>
    <row r="20" spans="1:6" x14ac:dyDescent="0.3">
      <c r="A20" s="2" t="s">
        <v>238</v>
      </c>
      <c r="B20" s="2" t="s">
        <v>265</v>
      </c>
      <c r="C20" s="3" t="s">
        <v>349</v>
      </c>
      <c r="D20" s="2"/>
      <c r="E20" s="2"/>
      <c r="F20" s="3" t="s">
        <v>401</v>
      </c>
    </row>
    <row r="21" spans="1:6" x14ac:dyDescent="0.3">
      <c r="A21" s="4" t="s">
        <v>238</v>
      </c>
      <c r="B21" s="4" t="s">
        <v>266</v>
      </c>
      <c r="C21" s="5" t="s">
        <v>350</v>
      </c>
      <c r="D21" s="4"/>
      <c r="E21" s="4"/>
      <c r="F21" s="5" t="s">
        <v>402</v>
      </c>
    </row>
    <row r="22" spans="1:6" x14ac:dyDescent="0.3">
      <c r="A22" s="2" t="s">
        <v>238</v>
      </c>
      <c r="B22" s="2" t="s">
        <v>267</v>
      </c>
      <c r="C22" s="3" t="s">
        <v>351</v>
      </c>
      <c r="D22" s="2"/>
      <c r="E22" s="2"/>
      <c r="F22" s="3" t="s">
        <v>403</v>
      </c>
    </row>
    <row r="23" spans="1:6" x14ac:dyDescent="0.3">
      <c r="A23" s="4" t="s">
        <v>238</v>
      </c>
      <c r="B23" s="4" t="s">
        <v>268</v>
      </c>
      <c r="C23" s="5" t="s">
        <v>352</v>
      </c>
      <c r="D23" s="4"/>
      <c r="E23" s="4"/>
      <c r="F23" s="5" t="s">
        <v>404</v>
      </c>
    </row>
    <row r="24" spans="1:6" x14ac:dyDescent="0.3">
      <c r="A24" s="2" t="s">
        <v>238</v>
      </c>
      <c r="B24" s="2" t="s">
        <v>269</v>
      </c>
      <c r="C24" s="3" t="s">
        <v>353</v>
      </c>
      <c r="D24" s="2"/>
      <c r="E24" s="2"/>
      <c r="F24" s="3" t="s">
        <v>405</v>
      </c>
    </row>
    <row r="25" spans="1:6" x14ac:dyDescent="0.3">
      <c r="A25" s="4" t="s">
        <v>238</v>
      </c>
      <c r="B25" s="4" t="s">
        <v>270</v>
      </c>
      <c r="C25" s="5" t="s">
        <v>354</v>
      </c>
      <c r="D25" s="4"/>
      <c r="E25" s="4"/>
      <c r="F25" s="5" t="s">
        <v>406</v>
      </c>
    </row>
    <row r="26" spans="1:6" x14ac:dyDescent="0.3">
      <c r="A26" s="2" t="s">
        <v>238</v>
      </c>
      <c r="B26" s="2" t="s">
        <v>271</v>
      </c>
      <c r="C26" s="3" t="s">
        <v>355</v>
      </c>
      <c r="D26" s="2"/>
      <c r="E26" s="2"/>
      <c r="F26" s="3" t="s">
        <v>407</v>
      </c>
    </row>
    <row r="27" spans="1:6" x14ac:dyDescent="0.3">
      <c r="A27" s="4" t="s">
        <v>238</v>
      </c>
      <c r="B27" s="4" t="s">
        <v>272</v>
      </c>
      <c r="C27" s="5" t="s">
        <v>356</v>
      </c>
      <c r="D27" s="4"/>
      <c r="E27" s="4"/>
      <c r="F27" s="5" t="s">
        <v>408</v>
      </c>
    </row>
    <row r="28" spans="1:6" x14ac:dyDescent="0.3">
      <c r="A28" s="2" t="s">
        <v>238</v>
      </c>
      <c r="B28" s="2" t="s">
        <v>273</v>
      </c>
      <c r="C28" s="3" t="s">
        <v>357</v>
      </c>
      <c r="D28" s="2"/>
      <c r="E28" s="2"/>
      <c r="F28" s="3" t="s">
        <v>409</v>
      </c>
    </row>
    <row r="29" spans="1:6" x14ac:dyDescent="0.3">
      <c r="A29" s="4" t="s">
        <v>238</v>
      </c>
      <c r="B29" s="4" t="s">
        <v>274</v>
      </c>
      <c r="C29" s="5" t="s">
        <v>358</v>
      </c>
      <c r="D29" s="4"/>
      <c r="E29" s="4"/>
      <c r="F29" s="5" t="s">
        <v>410</v>
      </c>
    </row>
    <row r="30" spans="1:6" x14ac:dyDescent="0.3">
      <c r="A30" s="2" t="s">
        <v>238</v>
      </c>
      <c r="B30" s="2" t="s">
        <v>275</v>
      </c>
      <c r="C30" s="3" t="s">
        <v>359</v>
      </c>
      <c r="D30" s="2"/>
      <c r="E30" s="2"/>
      <c r="F30" s="3" t="s">
        <v>411</v>
      </c>
    </row>
    <row r="31" spans="1:6" x14ac:dyDescent="0.3">
      <c r="A31" s="4" t="s">
        <v>238</v>
      </c>
      <c r="B31" s="4" t="s">
        <v>276</v>
      </c>
      <c r="C31" s="5" t="s">
        <v>360</v>
      </c>
      <c r="D31" s="4"/>
      <c r="E31" s="4"/>
      <c r="F31" s="5" t="s">
        <v>412</v>
      </c>
    </row>
    <row r="32" spans="1:6" x14ac:dyDescent="0.3">
      <c r="A32" s="2" t="s">
        <v>238</v>
      </c>
      <c r="B32" s="2" t="s">
        <v>277</v>
      </c>
      <c r="C32" s="3" t="s">
        <v>361</v>
      </c>
      <c r="D32" s="2"/>
      <c r="E32" s="2"/>
      <c r="F32" s="3" t="s">
        <v>413</v>
      </c>
    </row>
    <row r="33" spans="1:6" x14ac:dyDescent="0.3">
      <c r="A33" s="4" t="s">
        <v>238</v>
      </c>
      <c r="B33" s="4" t="s">
        <v>278</v>
      </c>
      <c r="C33" s="5" t="s">
        <v>362</v>
      </c>
      <c r="D33" s="4"/>
      <c r="E33" s="4"/>
      <c r="F33" s="5" t="s">
        <v>414</v>
      </c>
    </row>
    <row r="34" spans="1:6" x14ac:dyDescent="0.3">
      <c r="A34" s="2" t="s">
        <v>238</v>
      </c>
      <c r="B34" s="2" t="s">
        <v>279</v>
      </c>
      <c r="C34" s="3" t="s">
        <v>363</v>
      </c>
      <c r="D34" s="2"/>
      <c r="E34" s="2"/>
      <c r="F34" s="3" t="s">
        <v>415</v>
      </c>
    </row>
    <row r="35" spans="1:6" x14ac:dyDescent="0.3">
      <c r="A35" s="4" t="s">
        <v>238</v>
      </c>
      <c r="B35" s="4" t="s">
        <v>280</v>
      </c>
      <c r="C35" s="5" t="s">
        <v>364</v>
      </c>
      <c r="D35" s="4"/>
      <c r="E35" s="4"/>
      <c r="F35" s="5" t="s">
        <v>416</v>
      </c>
    </row>
    <row r="36" spans="1:6" x14ac:dyDescent="0.3">
      <c r="A36" s="2" t="s">
        <v>238</v>
      </c>
      <c r="B36" s="2" t="s">
        <v>281</v>
      </c>
      <c r="C36" s="3" t="s">
        <v>365</v>
      </c>
      <c r="D36" s="2"/>
      <c r="E36" s="2"/>
      <c r="F36" s="3" t="s">
        <v>417</v>
      </c>
    </row>
    <row r="37" spans="1:6" x14ac:dyDescent="0.3">
      <c r="A37" s="4" t="s">
        <v>238</v>
      </c>
      <c r="B37" s="4" t="s">
        <v>282</v>
      </c>
      <c r="C37" s="5" t="s">
        <v>366</v>
      </c>
      <c r="D37" s="4"/>
      <c r="E37" s="4"/>
      <c r="F37" s="5" t="s">
        <v>418</v>
      </c>
    </row>
    <row r="38" spans="1:6" x14ac:dyDescent="0.3">
      <c r="A38" s="2" t="s">
        <v>238</v>
      </c>
      <c r="B38" s="2" t="s">
        <v>283</v>
      </c>
      <c r="C38" s="3" t="s">
        <v>367</v>
      </c>
      <c r="D38" s="2"/>
      <c r="E38" s="2"/>
      <c r="F38" s="3" t="s">
        <v>419</v>
      </c>
    </row>
    <row r="39" spans="1:6" x14ac:dyDescent="0.3">
      <c r="A39" s="4" t="s">
        <v>238</v>
      </c>
      <c r="B39" s="4" t="s">
        <v>284</v>
      </c>
      <c r="C39" s="5" t="s">
        <v>368</v>
      </c>
      <c r="D39" s="4"/>
      <c r="E39" s="4"/>
      <c r="F39" s="5" t="s">
        <v>420</v>
      </c>
    </row>
    <row r="40" spans="1:6" x14ac:dyDescent="0.3">
      <c r="A40" s="2" t="s">
        <v>238</v>
      </c>
      <c r="B40" s="2" t="s">
        <v>285</v>
      </c>
      <c r="C40" s="3" t="s">
        <v>369</v>
      </c>
      <c r="D40" s="2"/>
      <c r="E40" s="2"/>
      <c r="F40" s="3" t="s">
        <v>421</v>
      </c>
    </row>
    <row r="41" spans="1:6" x14ac:dyDescent="0.3">
      <c r="A41" s="4" t="s">
        <v>238</v>
      </c>
      <c r="B41" s="4" t="s">
        <v>286</v>
      </c>
      <c r="C41" s="5" t="s">
        <v>370</v>
      </c>
      <c r="D41" s="4"/>
      <c r="E41" s="4"/>
      <c r="F41" s="5" t="s">
        <v>422</v>
      </c>
    </row>
    <row r="42" spans="1:6" x14ac:dyDescent="0.3">
      <c r="A42" s="2" t="s">
        <v>238</v>
      </c>
      <c r="B42" s="2" t="s">
        <v>287</v>
      </c>
      <c r="C42" s="3" t="s">
        <v>371</v>
      </c>
      <c r="D42" s="2"/>
      <c r="E42" s="2"/>
      <c r="F42" s="2"/>
    </row>
    <row r="43" spans="1:6" x14ac:dyDescent="0.3">
      <c r="A43" s="4" t="s">
        <v>238</v>
      </c>
      <c r="B43" s="4" t="s">
        <v>288</v>
      </c>
      <c r="C43" s="5" t="s">
        <v>372</v>
      </c>
      <c r="D43" s="4"/>
      <c r="E43" s="4"/>
      <c r="F43" s="4"/>
    </row>
    <row r="44" spans="1:6" x14ac:dyDescent="0.3">
      <c r="A44" s="2" t="s">
        <v>238</v>
      </c>
      <c r="B44" s="2" t="s">
        <v>289</v>
      </c>
      <c r="C44" s="3" t="s">
        <v>373</v>
      </c>
      <c r="D44" s="2"/>
      <c r="E44" s="2"/>
      <c r="F44" s="2"/>
    </row>
    <row r="45" spans="1:6" x14ac:dyDescent="0.3">
      <c r="A45" s="4" t="s">
        <v>238</v>
      </c>
      <c r="B45" s="4" t="s">
        <v>290</v>
      </c>
      <c r="C45" s="5" t="s">
        <v>374</v>
      </c>
      <c r="D45" s="4"/>
      <c r="E45" s="4"/>
      <c r="F45" s="4"/>
    </row>
    <row r="46" spans="1:6" x14ac:dyDescent="0.3">
      <c r="A46" s="2" t="s">
        <v>238</v>
      </c>
      <c r="B46" s="2" t="s">
        <v>291</v>
      </c>
      <c r="C46" s="3" t="s">
        <v>376</v>
      </c>
      <c r="D46" s="2"/>
      <c r="E46" s="2"/>
      <c r="F46" s="2"/>
    </row>
    <row r="47" spans="1:6" x14ac:dyDescent="0.3">
      <c r="A47" s="4" t="s">
        <v>238</v>
      </c>
      <c r="B47" s="4" t="s">
        <v>292</v>
      </c>
      <c r="C47" s="5" t="s">
        <v>375</v>
      </c>
      <c r="D47" s="4"/>
      <c r="E47" s="4"/>
      <c r="F47" s="4"/>
    </row>
    <row r="48" spans="1:6" x14ac:dyDescent="0.3">
      <c r="A48" s="2" t="s">
        <v>238</v>
      </c>
      <c r="B48" s="2" t="s">
        <v>293</v>
      </c>
      <c r="C48" s="3" t="s">
        <v>377</v>
      </c>
      <c r="D48" s="2"/>
      <c r="E48" s="2"/>
      <c r="F48" s="2"/>
    </row>
    <row r="49" spans="1:6" x14ac:dyDescent="0.3">
      <c r="A49" s="4" t="s">
        <v>238</v>
      </c>
      <c r="B49" s="4" t="s">
        <v>294</v>
      </c>
      <c r="C49" s="5" t="s">
        <v>378</v>
      </c>
      <c r="D49" s="4"/>
      <c r="E49" s="4"/>
      <c r="F49" s="4"/>
    </row>
    <row r="50" spans="1:6" x14ac:dyDescent="0.3">
      <c r="A50" s="2" t="s">
        <v>238</v>
      </c>
      <c r="B50" s="2" t="s">
        <v>295</v>
      </c>
      <c r="C50" s="3" t="s">
        <v>379</v>
      </c>
      <c r="D50" s="2"/>
      <c r="E50" s="2"/>
      <c r="F50" s="2"/>
    </row>
    <row r="51" spans="1:6" x14ac:dyDescent="0.3">
      <c r="A51" s="4" t="s">
        <v>238</v>
      </c>
      <c r="B51" s="4" t="s">
        <v>296</v>
      </c>
      <c r="C51" s="5" t="s">
        <v>380</v>
      </c>
      <c r="D51" s="4"/>
      <c r="E51" s="4"/>
      <c r="F51" s="4"/>
    </row>
    <row r="52" spans="1:6" x14ac:dyDescent="0.3">
      <c r="A52" s="2" t="s">
        <v>238</v>
      </c>
      <c r="B52" s="2" t="s">
        <v>297</v>
      </c>
      <c r="C52" s="2"/>
      <c r="D52" s="2"/>
      <c r="E52" s="2"/>
      <c r="F52" s="2"/>
    </row>
    <row r="53" spans="1:6" x14ac:dyDescent="0.3">
      <c r="A53" s="4" t="s">
        <v>238</v>
      </c>
      <c r="B53" s="4" t="s">
        <v>298</v>
      </c>
      <c r="C53" s="4"/>
      <c r="D53" s="4"/>
      <c r="E53" s="4"/>
      <c r="F53" s="4"/>
    </row>
    <row r="54" spans="1:6" x14ac:dyDescent="0.3">
      <c r="A54" s="2" t="s">
        <v>238</v>
      </c>
      <c r="B54" s="2" t="s">
        <v>299</v>
      </c>
      <c r="C54" s="2"/>
      <c r="D54" s="2"/>
      <c r="E54" s="2"/>
      <c r="F54" s="2"/>
    </row>
    <row r="55" spans="1:6" x14ac:dyDescent="0.3">
      <c r="A55" s="4" t="s">
        <v>238</v>
      </c>
      <c r="B55" s="4" t="s">
        <v>300</v>
      </c>
      <c r="C55" s="4"/>
      <c r="D55" s="4"/>
      <c r="E55" s="4"/>
      <c r="F55" s="4"/>
    </row>
    <row r="56" spans="1:6" x14ac:dyDescent="0.3">
      <c r="A56" s="2" t="s">
        <v>238</v>
      </c>
      <c r="B56" s="2" t="s">
        <v>301</v>
      </c>
      <c r="C56" s="2"/>
      <c r="D56" s="2"/>
      <c r="E56" s="2"/>
      <c r="F56" s="2"/>
    </row>
    <row r="57" spans="1:6" x14ac:dyDescent="0.3">
      <c r="A57" s="4" t="s">
        <v>238</v>
      </c>
      <c r="B57" s="4" t="s">
        <v>302</v>
      </c>
      <c r="C57" s="4"/>
      <c r="D57" s="4"/>
      <c r="E57" s="4"/>
      <c r="F57" s="4"/>
    </row>
    <row r="58" spans="1:6" x14ac:dyDescent="0.3">
      <c r="A58" s="2" t="s">
        <v>238</v>
      </c>
      <c r="B58" s="2" t="s">
        <v>303</v>
      </c>
      <c r="C58" s="2"/>
      <c r="D58" s="2"/>
      <c r="E58" s="2"/>
      <c r="F58" s="2"/>
    </row>
    <row r="59" spans="1:6" x14ac:dyDescent="0.3">
      <c r="A59" s="4" t="s">
        <v>238</v>
      </c>
      <c r="B59" s="4" t="s">
        <v>304</v>
      </c>
      <c r="C59" s="4"/>
      <c r="D59" s="4"/>
      <c r="E59" s="4"/>
      <c r="F59" s="4"/>
    </row>
    <row r="60" spans="1:6" x14ac:dyDescent="0.3">
      <c r="A60" s="2" t="s">
        <v>238</v>
      </c>
      <c r="B60" s="2" t="s">
        <v>305</v>
      </c>
      <c r="C60" s="2"/>
      <c r="D60" s="2"/>
      <c r="E60" s="2"/>
      <c r="F60" s="2"/>
    </row>
    <row r="61" spans="1:6" x14ac:dyDescent="0.3">
      <c r="A61" s="4" t="s">
        <v>238</v>
      </c>
      <c r="B61" s="4" t="s">
        <v>306</v>
      </c>
      <c r="C61" s="4"/>
      <c r="D61" s="4"/>
      <c r="E61" s="4"/>
      <c r="F61" s="4"/>
    </row>
    <row r="62" spans="1:6" x14ac:dyDescent="0.3">
      <c r="A62" s="2" t="s">
        <v>238</v>
      </c>
      <c r="B62" s="2" t="s">
        <v>307</v>
      </c>
      <c r="C62" s="2"/>
      <c r="D62" s="2"/>
      <c r="E62" s="2"/>
      <c r="F62" s="2"/>
    </row>
    <row r="63" spans="1:6" x14ac:dyDescent="0.3">
      <c r="A63" s="4" t="s">
        <v>238</v>
      </c>
      <c r="B63" s="4" t="s">
        <v>308</v>
      </c>
      <c r="C63" s="4"/>
      <c r="D63" s="4"/>
      <c r="E63" s="4"/>
      <c r="F63" s="4"/>
    </row>
    <row r="64" spans="1:6" x14ac:dyDescent="0.3">
      <c r="A64" s="2" t="s">
        <v>238</v>
      </c>
      <c r="B64" s="2" t="s">
        <v>309</v>
      </c>
      <c r="C64" s="2"/>
      <c r="D64" s="2"/>
      <c r="E64" s="2"/>
      <c r="F64" s="2"/>
    </row>
    <row r="65" spans="1:6" x14ac:dyDescent="0.3">
      <c r="A65" s="4" t="s">
        <v>238</v>
      </c>
      <c r="B65" s="4" t="s">
        <v>310</v>
      </c>
      <c r="C65" s="4"/>
      <c r="D65" s="4"/>
      <c r="E65" s="4"/>
      <c r="F65" s="4"/>
    </row>
    <row r="66" spans="1:6" x14ac:dyDescent="0.3">
      <c r="A66" s="2" t="s">
        <v>238</v>
      </c>
      <c r="B66" s="2" t="s">
        <v>311</v>
      </c>
      <c r="C66" s="2"/>
      <c r="D66" s="2"/>
      <c r="E66" s="2"/>
      <c r="F66" s="2"/>
    </row>
    <row r="67" spans="1:6" x14ac:dyDescent="0.3">
      <c r="A67" s="4" t="s">
        <v>238</v>
      </c>
      <c r="B67" s="4" t="s">
        <v>312</v>
      </c>
      <c r="C67" s="4"/>
      <c r="D67" s="4"/>
      <c r="E67" s="4"/>
      <c r="F67" s="4"/>
    </row>
    <row r="68" spans="1:6" x14ac:dyDescent="0.3">
      <c r="A68" s="2" t="s">
        <v>238</v>
      </c>
      <c r="B68" s="2" t="s">
        <v>313</v>
      </c>
      <c r="C68" s="2"/>
      <c r="D68" s="2"/>
      <c r="E68" s="2"/>
      <c r="F68" s="2"/>
    </row>
    <row r="69" spans="1:6" x14ac:dyDescent="0.3">
      <c r="A69" s="4" t="s">
        <v>238</v>
      </c>
      <c r="B69" s="4" t="s">
        <v>314</v>
      </c>
      <c r="C69" s="4"/>
      <c r="D69" s="4"/>
      <c r="E69" s="4"/>
      <c r="F69" s="4"/>
    </row>
    <row r="70" spans="1:6" x14ac:dyDescent="0.3">
      <c r="A70" s="2" t="s">
        <v>238</v>
      </c>
      <c r="B70" s="2" t="s">
        <v>315</v>
      </c>
      <c r="C70" s="2"/>
      <c r="D70" s="2"/>
      <c r="E70" s="2"/>
      <c r="F70" s="2"/>
    </row>
    <row r="71" spans="1:6" x14ac:dyDescent="0.3">
      <c r="A71" s="4" t="s">
        <v>238</v>
      </c>
      <c r="B71" s="4" t="s">
        <v>316</v>
      </c>
      <c r="C71" s="4"/>
      <c r="D71" s="4"/>
      <c r="E71" s="4"/>
      <c r="F71" s="4"/>
    </row>
    <row r="72" spans="1:6" x14ac:dyDescent="0.3">
      <c r="A72" s="2" t="s">
        <v>238</v>
      </c>
      <c r="B72" s="2" t="s">
        <v>317</v>
      </c>
      <c r="C72" s="2"/>
      <c r="D72" s="2"/>
      <c r="E72" s="2"/>
      <c r="F72" s="2"/>
    </row>
    <row r="73" spans="1:6" x14ac:dyDescent="0.3">
      <c r="A73" s="4" t="s">
        <v>238</v>
      </c>
      <c r="B73" s="4" t="s">
        <v>318</v>
      </c>
      <c r="C73" s="4"/>
      <c r="D73" s="4"/>
      <c r="E73" s="4"/>
      <c r="F73" s="4"/>
    </row>
    <row r="74" spans="1:6" x14ac:dyDescent="0.3">
      <c r="A74" s="2" t="s">
        <v>238</v>
      </c>
      <c r="B74" s="2" t="s">
        <v>319</v>
      </c>
      <c r="C74" s="2"/>
      <c r="D74" s="2"/>
      <c r="E74" s="2"/>
      <c r="F74" s="2"/>
    </row>
    <row r="75" spans="1:6" x14ac:dyDescent="0.3">
      <c r="A75" s="4" t="s">
        <v>238</v>
      </c>
      <c r="B75" s="4" t="s">
        <v>320</v>
      </c>
      <c r="C75" s="4"/>
      <c r="D75" s="4"/>
      <c r="E75" s="4"/>
      <c r="F75" s="4"/>
    </row>
    <row r="76" spans="1:6" x14ac:dyDescent="0.3">
      <c r="A76" s="2" t="s">
        <v>238</v>
      </c>
      <c r="B76" s="2" t="s">
        <v>321</v>
      </c>
      <c r="C76" s="2"/>
      <c r="D76" s="2"/>
      <c r="E76" s="2"/>
      <c r="F76" s="2"/>
    </row>
    <row r="77" spans="1:6" x14ac:dyDescent="0.3">
      <c r="A77" s="4" t="s">
        <v>238</v>
      </c>
      <c r="B77" s="4" t="s">
        <v>322</v>
      </c>
      <c r="C77" s="4"/>
      <c r="D77" s="4"/>
      <c r="E77" s="4"/>
      <c r="F77" s="4"/>
    </row>
    <row r="78" spans="1:6" x14ac:dyDescent="0.3">
      <c r="A78" s="2" t="s">
        <v>238</v>
      </c>
      <c r="B78" s="2" t="s">
        <v>323</v>
      </c>
      <c r="C78" s="2"/>
      <c r="D78" s="2"/>
      <c r="E78" s="2"/>
      <c r="F78" s="2"/>
    </row>
    <row r="79" spans="1:6" x14ac:dyDescent="0.3">
      <c r="A79" s="4" t="s">
        <v>238</v>
      </c>
      <c r="B79" s="4" t="s">
        <v>324</v>
      </c>
      <c r="C79" s="4"/>
      <c r="D79" s="4"/>
      <c r="E79" s="4"/>
      <c r="F79" s="4"/>
    </row>
    <row r="80" spans="1:6" x14ac:dyDescent="0.3">
      <c r="A80" s="2" t="s">
        <v>238</v>
      </c>
      <c r="B80" s="2" t="s">
        <v>325</v>
      </c>
      <c r="C80" s="2"/>
      <c r="D80" s="2"/>
      <c r="E80" s="2"/>
      <c r="F80" s="2"/>
    </row>
    <row r="81" spans="1:6" x14ac:dyDescent="0.3">
      <c r="A81" s="4" t="s">
        <v>238</v>
      </c>
      <c r="B81" s="4" t="s">
        <v>326</v>
      </c>
      <c r="C81" s="4"/>
      <c r="D81" s="4"/>
      <c r="E81" s="4"/>
      <c r="F81" s="4"/>
    </row>
    <row r="82" spans="1:6" x14ac:dyDescent="0.3">
      <c r="A82" s="2" t="s">
        <v>238</v>
      </c>
      <c r="B82" s="2" t="s">
        <v>327</v>
      </c>
      <c r="C82" s="2"/>
      <c r="D82" s="2"/>
      <c r="E82" s="2"/>
      <c r="F82" s="2"/>
    </row>
    <row r="83" spans="1:6" x14ac:dyDescent="0.3">
      <c r="A83" s="4" t="s">
        <v>238</v>
      </c>
      <c r="B83" s="4" t="s">
        <v>328</v>
      </c>
      <c r="C83" s="4"/>
      <c r="D83" s="4"/>
      <c r="E83" s="4"/>
      <c r="F83" s="4"/>
    </row>
    <row r="84" spans="1:6" x14ac:dyDescent="0.3">
      <c r="A84" s="2" t="s">
        <v>238</v>
      </c>
      <c r="B84" s="2" t="s">
        <v>329</v>
      </c>
      <c r="C84" s="2"/>
      <c r="D84" s="2"/>
      <c r="E84" s="2"/>
      <c r="F84" s="2"/>
    </row>
    <row r="85" spans="1:6" x14ac:dyDescent="0.3">
      <c r="A85" s="4" t="s">
        <v>238</v>
      </c>
      <c r="B85" s="4" t="s">
        <v>330</v>
      </c>
      <c r="C85" s="4"/>
      <c r="D85" s="4"/>
      <c r="E85" s="4"/>
      <c r="F85" s="4"/>
    </row>
  </sheetData>
  <hyperlinks>
    <hyperlink ref="C2" r:id="rId1" tooltip="Send a mail to info@aacarimports.com.mt" xr:uid="{00000000-0004-0000-0500-000000000000}"/>
    <hyperlink ref="C3" r:id="rId2" tooltip="Send a mail to dowlinga@go.net.mt" xr:uid="{00000000-0004-0000-0500-000001000000}"/>
    <hyperlink ref="C4" r:id="rId3" tooltip="Send a mail to abs@onvol.net" xr:uid="{00000000-0004-0000-0500-000002000000}"/>
    <hyperlink ref="C5" r:id="rId4" tooltip="Send a mail to ajmotorsales@gmail.com" xr:uid="{00000000-0004-0000-0500-000003000000}"/>
    <hyperlink ref="C6" r:id="rId5" tooltip="Send a mail to info@alanmotors.com.mt" xr:uid="{00000000-0004-0000-0500-000004000000}"/>
    <hyperlink ref="C7" r:id="rId6" tooltip="Send a mail to attardautodealer@gmail.com" xr:uid="{00000000-0004-0000-0500-000005000000}"/>
    <hyperlink ref="C8" r:id="rId7" tooltip="Send a mail to taattardmotors@gmail.com" xr:uid="{00000000-0004-0000-0500-000006000000}"/>
    <hyperlink ref="C9" r:id="rId8" tooltip="Send a mail to autozoneautodealer@gmail.com" xr:uid="{00000000-0004-0000-0500-000007000000}"/>
    <hyperlink ref="C10" r:id="rId9" tooltip="Send a mail to info@aviscarsales.mt" xr:uid="{00000000-0004-0000-0500-000008000000}"/>
    <hyperlink ref="C11" r:id="rId10" tooltip="Send a mail to info@brincatautoimports.com" xr:uid="{00000000-0004-0000-0500-000009000000}"/>
    <hyperlink ref="C12" r:id="rId11" tooltip="Send a mail to btlautodealer@gmail.com" xr:uid="{00000000-0004-0000-0500-00000A000000}"/>
    <hyperlink ref="C13" r:id="rId12" tooltip="Send a mail to canadisautodealer@gmail.com" xr:uid="{00000000-0004-0000-0500-00000B000000}"/>
    <hyperlink ref="C14" r:id="rId13" tooltip="Send a mail to info@carhub.mt" xr:uid="{00000000-0004-0000-0500-00000C000000}"/>
    <hyperlink ref="C15" r:id="rId14" tooltip="Send a mail to info@cam.com.mt" xr:uid="{00000000-0004-0000-0500-00000D000000}"/>
    <hyperlink ref="C16" r:id="rId15" tooltip="Send a mail to info@carsunlimitedmalta.com" xr:uid="{00000000-0004-0000-0500-00000E000000}"/>
    <hyperlink ref="C17" r:id="rId16" tooltip="Send a mail to sales@chevronautodealer.mt" xr:uid="{00000000-0004-0000-0500-00000F000000}"/>
    <hyperlink ref="C18" r:id="rId17" tooltip="Send a mail to sales@fordsparesmalta.com" xr:uid="{00000000-0004-0000-0500-000010000000}"/>
    <hyperlink ref="C19" r:id="rId18" tooltip="Send a mail to dandsautodealer@hotmail.com" xr:uid="{00000000-0004-0000-0500-000011000000}"/>
    <hyperlink ref="C20" r:id="rId19" tooltip="Send a mail to dcmotorsbkara@gmail.com" xr:uid="{00000000-0004-0000-0500-000012000000}"/>
    <hyperlink ref="C21" r:id="rId20" tooltip="Send a mail to dinosreception@gmail.com" xr:uid="{00000000-0004-0000-0500-000013000000}"/>
    <hyperlink ref="C22" r:id="rId21" tooltip="Send a mail to info@drive.com.mt" xr:uid="{00000000-0004-0000-0500-000014000000}"/>
    <hyperlink ref="C23" r:id="rId22" tooltip="Send a mail to philmar87@hotmail.co.uk" xr:uid="{00000000-0004-0000-0500-000015000000}"/>
    <hyperlink ref="C24" r:id="rId23" tooltip="Send a mail to sales@emotionimports.com" xr:uid="{00000000-0004-0000-0500-000016000000}"/>
    <hyperlink ref="C25" r:id="rId24" tooltip="Send a mail to info@emauto.com.mt" xr:uid="{00000000-0004-0000-0500-000017000000}"/>
    <hyperlink ref="C26" r:id="rId25" tooltip="Send a mail to clivefava@gmail.com" xr:uid="{00000000-0004-0000-0500-000018000000}"/>
    <hyperlink ref="C27" r:id="rId26" tooltip="Send a mail to info@ggs.com.mt" xr:uid="{00000000-0004-0000-0500-000019000000}"/>
    <hyperlink ref="C28" r:id="rId27" tooltip="Send a mail to automotive@gasan.com" xr:uid="{00000000-0004-0000-0500-00001A000000}"/>
    <hyperlink ref="C29" r:id="rId28" tooltip="Send a mail to sales@gauciautomobiles.com" xr:uid="{00000000-0004-0000-0500-00001B000000}"/>
    <hyperlink ref="C30" r:id="rId29" tooltip="Send a mail to rocco@georgeandrocco.com" xr:uid="{00000000-0004-0000-0500-00001C000000}"/>
    <hyperlink ref="C31" r:id="rId30" tooltip="Send a mail to georgeautodealer95@gmail.com" xr:uid="{00000000-0004-0000-0500-00001D000000}"/>
    <hyperlink ref="C32" r:id="rId31" tooltip="Send a mail to highwayauto@onvol.net" xr:uid="{00000000-0004-0000-0500-00001E000000}"/>
    <hyperlink ref="C33" r:id="rId32" tooltip="Send a mail to craigscicluna@gmail.com" xr:uid="{00000000-0004-0000-0500-00001F000000}"/>
    <hyperlink ref="C34" r:id="rId33" tooltip="Send a mail to jautoimports@gmail.com" xr:uid="{00000000-0004-0000-0500-000020000000}"/>
    <hyperlink ref="C35" r:id="rId34" tooltip="Send a mail to jeanpazzopardi@gmail.com" xr:uid="{00000000-0004-0000-0500-000021000000}"/>
    <hyperlink ref="C36" r:id="rId35" tooltip="Send a mail to jfmotorsgozo@gmail.com" xr:uid="{00000000-0004-0000-0500-000022000000}"/>
    <hyperlink ref="C37" r:id="rId36" tooltip="Send a mail to info@jmmotorsmalta.com" xr:uid="{00000000-0004-0000-0500-000023000000}"/>
    <hyperlink ref="C38" r:id="rId37" tooltip="Send a mail to sales@jasoncarimports.com" xr:uid="{00000000-0004-0000-0500-000024000000}"/>
    <hyperlink ref="C39" r:id="rId38" tooltip="Send a mail to info@joeautodealer.com" xr:uid="{00000000-0004-0000-0500-000025000000}"/>
    <hyperlink ref="C40" r:id="rId39" tooltip="Send a mail to justinauto@hotmail.com" xr:uid="{00000000-0004-0000-0500-000026000000}"/>
    <hyperlink ref="C41" r:id="rId40" tooltip="Send a mail to kennethsch3mbri@gmail.com" xr:uid="{00000000-0004-0000-0500-000027000000}"/>
    <hyperlink ref="C42" r:id="rId41" tooltip="Send a mail to info@autosales.com.mt" xr:uid="{00000000-0004-0000-0500-000028000000}"/>
    <hyperlink ref="C43" r:id="rId42" tooltip="Send a mail to kurtsautosales@hotmail.com" xr:uid="{00000000-0004-0000-0500-000029000000}"/>
    <hyperlink ref="C44" r:id="rId43" tooltip="Send a mail to falzonluca@gmail.com" xr:uid="{00000000-0004-0000-0500-00002A000000}"/>
    <hyperlink ref="C45" r:id="rId44" tooltip="Send a mail to mariogalea@msn.com" xr:uid="{00000000-0004-0000-0500-00002B000000}"/>
    <hyperlink ref="C46" r:id="rId45" tooltip="Send a mail to info@michaeldebonoused.mt" xr:uid="{00000000-0004-0000-0500-00002C000000}"/>
    <hyperlink ref="C47" r:id="rId46" tooltip="Send a mail to pajsurebus74@gimel.com" xr:uid="{00000000-0004-0000-0500-00002D000000}"/>
    <hyperlink ref="C48" r:id="rId47" tooltip="Send a mail to gattsammy@yahoo.com" xr:uid="{00000000-0004-0000-0500-00002E000000}"/>
    <hyperlink ref="C49" r:id="rId48" tooltip="Send a mail to rokkuautodealer@gmail.com" xr:uid="{00000000-0004-0000-0500-00002F000000}"/>
    <hyperlink ref="C50" r:id="rId49" tooltip="Send a mail to venturmotors@gmail.com" xr:uid="{00000000-0004-0000-0500-000030000000}"/>
    <hyperlink ref="C51" r:id="rId50" tooltip="Send a mail to xautomobiles@gmail.com" xr:uid="{00000000-0004-0000-0500-000031000000}"/>
    <hyperlink ref="E2" r:id="rId51" tooltip="Search Dino's Motor Centre,_x000a_Mosta Road, Lija. LJA9012. on Google Maps" xr:uid="{00000000-0004-0000-0500-000032000000}"/>
    <hyperlink ref="F2" r:id="rId52" tooltip="Visit aacarimports.com.mt/" xr:uid="{00000000-0004-0000-0500-000033000000}"/>
    <hyperlink ref="F3" r:id="rId53" tooltip="Visit yellow.com.mt/a-1-auto-dealers_auto-dealers+mosta/" xr:uid="{00000000-0004-0000-0500-000034000000}"/>
    <hyperlink ref="F4" r:id="rId54" tooltip="Visit facebook.com/p/ABS-Auto-Dealer-100057348224337/" xr:uid="{00000000-0004-0000-0500-000035000000}"/>
    <hyperlink ref="F5" r:id="rId55" tooltip="Visit yellow.com.mt/aj-motors/auto-dealers/" xr:uid="{00000000-0004-0000-0500-000036000000}"/>
    <hyperlink ref="F6" r:id="rId56" tooltip="Visit alanmotors.com.mt/" xr:uid="{00000000-0004-0000-0500-000037000000}"/>
    <hyperlink ref="F7" r:id="rId57" tooltip="Visit facebook.com/p/Attard-Auto-Dealer-100057253586326/" xr:uid="{00000000-0004-0000-0500-000038000000}"/>
    <hyperlink ref="F8" r:id="rId58" tooltip="Visit facebook.com/attardsmotors/" xr:uid="{00000000-0004-0000-0500-000039000000}"/>
    <hyperlink ref="F9" r:id="rId59" tooltip="Visit facebook.com/autogamaimports/" xr:uid="{00000000-0004-0000-0500-00003A000000}"/>
    <hyperlink ref="F10" r:id="rId60" tooltip="Visit facebook.com/autozonemalta/" xr:uid="{00000000-0004-0000-0500-00003B000000}"/>
    <hyperlink ref="F11" r:id="rId61" tooltip="Visit facebook.com/AvisMaltaUsedCarSales/" xr:uid="{00000000-0004-0000-0500-00003C000000}"/>
    <hyperlink ref="F12" r:id="rId62" tooltip="Visit brincatautoimports.com/" xr:uid="{00000000-0004-0000-0500-00003D000000}"/>
    <hyperlink ref="F13" r:id="rId63" tooltip="Visit facebook.com/Btlautodeater/" xr:uid="{00000000-0004-0000-0500-00003E000000}"/>
    <hyperlink ref="F14" r:id="rId64" tooltip="Visit facebook.com/p/Canadis-Auto-Dealer-100063715533716/" xr:uid="{00000000-0004-0000-0500-00003F000000}"/>
    <hyperlink ref="F15" r:id="rId65" tooltip="Visit facebook.com/carhubmalta/" xr:uid="{00000000-0004-0000-0500-000040000000}"/>
    <hyperlink ref="F16" r:id="rId66" tooltip="Visit facebook.com/Caromotors/" xr:uid="{00000000-0004-0000-0500-000041000000}"/>
    <hyperlink ref="F17" r:id="rId67" tooltip="Visit facebook.com/carsandmoremalta" xr:uid="{00000000-0004-0000-0500-000042000000}"/>
    <hyperlink ref="F18" r:id="rId68" tooltip="Visit carsunlimitedmalta.com/" xr:uid="{00000000-0004-0000-0500-000043000000}"/>
    <hyperlink ref="F19" r:id="rId69" tooltip="Visit facebook.com/p/Charlie-Auto-Dealer-100054340519565/" xr:uid="{00000000-0004-0000-0500-000044000000}"/>
    <hyperlink ref="F20" r:id="rId70" tooltip="Visit facebook.com/ChevronCarsAndmore/" xr:uid="{00000000-0004-0000-0500-000045000000}"/>
    <hyperlink ref="F21" r:id="rId71" tooltip="Visit facebook.com/crcarsmalta/" xr:uid="{00000000-0004-0000-0500-000046000000}"/>
    <hyperlink ref="F22" r:id="rId72" tooltip="Visit facebook.com/dandsautodealer/" xr:uid="{00000000-0004-0000-0500-000047000000}"/>
    <hyperlink ref="F23" r:id="rId73" tooltip="Visit facebook.com/p/DC-motors-Auto-Sales-100057442128124/" xr:uid="{00000000-0004-0000-0500-000048000000}"/>
    <hyperlink ref="F24" r:id="rId74" tooltip="Visit dinosmotors.com/contact-form/" xr:uid="{00000000-0004-0000-0500-000049000000}"/>
    <hyperlink ref="F25" r:id="rId75" tooltip="Visit facebook.com/DriveAutomotiveCoLtd/" xr:uid="{00000000-0004-0000-0500-00004A000000}"/>
    <hyperlink ref="F26" r:id="rId76" tooltip="Visit facebook.com/p/DRM-Autosales-100054512857141/" xr:uid="{00000000-0004-0000-0500-00004B000000}"/>
    <hyperlink ref="F27" r:id="rId77" tooltip="Visit facebook.com/EmotionImports/" xr:uid="{00000000-0004-0000-0500-00004C000000}"/>
    <hyperlink ref="F28" r:id="rId78" tooltip="Visit facebook.com/emautoltd/" xr:uid="{00000000-0004-0000-0500-00004D000000}"/>
    <hyperlink ref="F29" r:id="rId79" tooltip="Visit facebook.com/favacardealers/" xr:uid="{00000000-0004-0000-0500-00004E000000}"/>
    <hyperlink ref="F30" r:id="rId80" tooltip="Visit facebook.com/GaleaGeneralServicesLtd/" xr:uid="{00000000-0004-0000-0500-00004F000000}"/>
    <hyperlink ref="F31" r:id="rId81" tooltip="Visit facebook.com/georgeandroccocarcentre/?locale=mt_MT" xr:uid="{00000000-0004-0000-0500-000050000000}"/>
    <hyperlink ref="F32" r:id="rId82" tooltip="Visit jasoncarimports.com/" xr:uid="{00000000-0004-0000-0500-000051000000}"/>
    <hyperlink ref="F33" r:id="rId83" tooltip="Visit joeautodealer.com/" xr:uid="{00000000-0004-0000-0500-000052000000}"/>
    <hyperlink ref="F34" r:id="rId84" tooltip="Visit autosales.com.mt/" xr:uid="{00000000-0004-0000-0500-000053000000}"/>
    <hyperlink ref="F35" r:id="rId85" tooltip="Visit facebook.com/p/Mario-Galea-New-Second-Hand-Cars-100050330211879/" xr:uid="{00000000-0004-0000-0500-000054000000}"/>
    <hyperlink ref="F36" r:id="rId86" tooltip="Visit michaeldebonoused.mt/" xr:uid="{00000000-0004-0000-0500-000055000000}"/>
    <hyperlink ref="F37" r:id="rId87" tooltip="Visit facebook.com/www.pajsudealer.com.mt/" xr:uid="{00000000-0004-0000-0500-000056000000}"/>
    <hyperlink ref="F38" r:id="rId88" tooltip="Visit facebook.com/PremiereCarSales/" xr:uid="{00000000-0004-0000-0500-000057000000}"/>
    <hyperlink ref="F39" r:id="rId89" tooltip="Visit facebook.com/rokkuautodealer/" xr:uid="{00000000-0004-0000-0500-000058000000}"/>
    <hyperlink ref="F40" r:id="rId90" tooltip="Visit venturmotors.mt/" xr:uid="{00000000-0004-0000-0500-000059000000}"/>
    <hyperlink ref="F41" r:id="rId91" tooltip="Visit facebook.com/xauto007/" xr:uid="{00000000-0004-0000-0500-00005A000000}"/>
  </hyperlink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/>
  </sheetViews>
  <sheetFormatPr defaultRowHeight="14.4" x14ac:dyDescent="0.3"/>
  <cols>
    <col min="1" max="1" width="8.44140625" customWidth="1"/>
    <col min="2" max="2" width="25.5546875" customWidth="1"/>
    <col min="3" max="3" width="30" customWidth="1"/>
    <col min="4" max="4" width="18.6640625" customWidth="1"/>
    <col min="5" max="5" width="10.88671875" customWidth="1"/>
    <col min="6" max="6" width="11" customWidth="1"/>
  </cols>
  <sheetData>
    <row r="1" spans="1:6" ht="18" x14ac:dyDescent="0.35">
      <c r="A1" s="1" t="s">
        <v>5384</v>
      </c>
      <c r="B1" s="1" t="s">
        <v>25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381</v>
      </c>
      <c r="B2" s="2" t="s">
        <v>423</v>
      </c>
      <c r="C2" s="3" t="s">
        <v>457</v>
      </c>
      <c r="D2" s="2" t="str">
        <f>CONCATENATE(HYPERLINK("CALLTO:%2B356%207962%201262", "+356 7962 1262"))</f>
        <v>+356 7962 1262</v>
      </c>
      <c r="E2" s="2"/>
      <c r="F2" s="2"/>
    </row>
    <row r="3" spans="1:6" x14ac:dyDescent="0.3">
      <c r="A3" s="4" t="s">
        <v>381</v>
      </c>
      <c r="B3" s="4" t="s">
        <v>424</v>
      </c>
      <c r="C3" s="5" t="s">
        <v>458</v>
      </c>
      <c r="D3" s="4" t="str">
        <f>CONCATENATE(HYPERLINK("CALLTO:%2B356%207928%209569", "+356 7928 9569"))</f>
        <v>+356 7928 9569</v>
      </c>
      <c r="E3" s="4"/>
      <c r="F3" s="4"/>
    </row>
    <row r="4" spans="1:6" x14ac:dyDescent="0.3">
      <c r="A4" s="2" t="s">
        <v>381</v>
      </c>
      <c r="B4" s="2" t="s">
        <v>425</v>
      </c>
      <c r="C4" s="3" t="s">
        <v>459</v>
      </c>
      <c r="D4" s="2" t="str">
        <f>CONCATENATE(HYPERLINK("CALLTO:%2B356%207788%202898", "+356 7788 2898"))</f>
        <v>+356 7788 2898</v>
      </c>
      <c r="E4" s="2"/>
      <c r="F4" s="2"/>
    </row>
    <row r="5" spans="1:6" x14ac:dyDescent="0.3">
      <c r="A5" s="4" t="s">
        <v>381</v>
      </c>
      <c r="B5" s="4" t="s">
        <v>426</v>
      </c>
      <c r="C5" s="5" t="s">
        <v>460</v>
      </c>
      <c r="D5" s="4" t="str">
        <f>CONCATENATE(HYPERLINK("CALLTO:%2B356%209987%202954", "+356 9987 2954"))</f>
        <v>+356 9987 2954</v>
      </c>
      <c r="E5" s="4"/>
      <c r="F5" s="4"/>
    </row>
    <row r="6" spans="1:6" x14ac:dyDescent="0.3">
      <c r="A6" s="2" t="s">
        <v>381</v>
      </c>
      <c r="B6" s="2" t="s">
        <v>427</v>
      </c>
      <c r="C6" s="3" t="s">
        <v>460</v>
      </c>
      <c r="D6" s="2" t="str">
        <f>CONCATENATE(HYPERLINK("CALLTO:%2B356%207927%207408", "+356 7927 7408"))</f>
        <v>+356 7927 7408</v>
      </c>
      <c r="E6" s="2"/>
      <c r="F6" s="2"/>
    </row>
    <row r="7" spans="1:6" x14ac:dyDescent="0.3">
      <c r="A7" s="4" t="s">
        <v>381</v>
      </c>
      <c r="B7" s="4" t="s">
        <v>428</v>
      </c>
      <c r="C7" s="5" t="s">
        <v>461</v>
      </c>
      <c r="D7" s="4" t="str">
        <f>CONCATENATE(HYPERLINK("CALLTO:%2B356%209925%206349", "+356 9925 6349"))</f>
        <v>+356 9925 6349</v>
      </c>
      <c r="E7" s="4"/>
      <c r="F7" s="4"/>
    </row>
    <row r="8" spans="1:6" x14ac:dyDescent="0.3">
      <c r="A8" s="2" t="s">
        <v>381</v>
      </c>
      <c r="B8" s="2" t="s">
        <v>429</v>
      </c>
      <c r="C8" s="3" t="s">
        <v>462</v>
      </c>
      <c r="D8" s="2" t="str">
        <f>CONCATENATE(HYPERLINK("CALLTO:%2B356%209927%205364", "+356 9927 5364"))</f>
        <v>+356 9927 5364</v>
      </c>
      <c r="E8" s="2"/>
      <c r="F8" s="2"/>
    </row>
    <row r="9" spans="1:6" x14ac:dyDescent="0.3">
      <c r="A9" s="4" t="s">
        <v>381</v>
      </c>
      <c r="B9" s="4" t="s">
        <v>430</v>
      </c>
      <c r="C9" s="5" t="s">
        <v>460</v>
      </c>
      <c r="D9" s="4" t="str">
        <f>CONCATENATE(HYPERLINK("CALLTO:%2B356%207953%208973", "+356 7953 8973"))</f>
        <v>+356 7953 8973</v>
      </c>
      <c r="E9" s="4"/>
      <c r="F9" s="4"/>
    </row>
    <row r="10" spans="1:6" x14ac:dyDescent="0.3">
      <c r="A10" s="2" t="s">
        <v>381</v>
      </c>
      <c r="B10" s="2" t="s">
        <v>431</v>
      </c>
      <c r="C10" s="3" t="s">
        <v>463</v>
      </c>
      <c r="D10" s="2" t="str">
        <f>CONCATENATE(HYPERLINK("CALLTO:%2B356%209982%202803", "+356 9982 2803"))</f>
        <v>+356 9982 2803</v>
      </c>
      <c r="E10" s="2"/>
      <c r="F10" s="2"/>
    </row>
    <row r="11" spans="1:6" x14ac:dyDescent="0.3">
      <c r="A11" s="4" t="s">
        <v>381</v>
      </c>
      <c r="B11" s="4" t="s">
        <v>432</v>
      </c>
      <c r="C11" s="5" t="s">
        <v>464</v>
      </c>
      <c r="D11" s="4" t="str">
        <f>CONCATENATE(HYPERLINK("CALLTO:%2B356%207909%202230", "+356 7909 2230"))</f>
        <v>+356 7909 2230</v>
      </c>
      <c r="E11" s="4"/>
      <c r="F11" s="4"/>
    </row>
    <row r="12" spans="1:6" x14ac:dyDescent="0.3">
      <c r="A12" s="2" t="s">
        <v>381</v>
      </c>
      <c r="B12" s="2" t="s">
        <v>433</v>
      </c>
      <c r="C12" s="3" t="s">
        <v>465</v>
      </c>
      <c r="D12" s="2" t="str">
        <f>CONCATENATE(HYPERLINK("CALLTO:%2B356%207925%204003", "+356 7925 4003"))</f>
        <v>+356 7925 4003</v>
      </c>
      <c r="E12" s="2"/>
      <c r="F12" s="2"/>
    </row>
    <row r="13" spans="1:6" x14ac:dyDescent="0.3">
      <c r="A13" s="4" t="s">
        <v>381</v>
      </c>
      <c r="B13" s="4" t="s">
        <v>434</v>
      </c>
      <c r="C13" s="5" t="s">
        <v>466</v>
      </c>
      <c r="D13" s="4" t="str">
        <f>CONCATENATE(HYPERLINK("CALLTO:%2B356%209950%202126", "+356 9950 2126"))</f>
        <v>+356 9950 2126</v>
      </c>
      <c r="E13" s="4"/>
      <c r="F13" s="4"/>
    </row>
    <row r="14" spans="1:6" x14ac:dyDescent="0.3">
      <c r="A14" s="2" t="s">
        <v>381</v>
      </c>
      <c r="B14" s="2" t="s">
        <v>435</v>
      </c>
      <c r="C14" s="3" t="s">
        <v>467</v>
      </c>
      <c r="D14" s="2" t="str">
        <f>CONCATENATE(HYPERLINK("CALLTO:%2B356%209914%208084", "+356 9914 8084"))</f>
        <v>+356 9914 8084</v>
      </c>
      <c r="E14" s="2"/>
      <c r="F14" s="2"/>
    </row>
    <row r="15" spans="1:6" x14ac:dyDescent="0.3">
      <c r="A15" s="4" t="s">
        <v>381</v>
      </c>
      <c r="B15" s="4" t="s">
        <v>436</v>
      </c>
      <c r="C15" s="5" t="s">
        <v>468</v>
      </c>
      <c r="D15" s="4" t="str">
        <f>CONCATENATE(HYPERLINK("CALLTO:%2B356%209923%201484", "+356 9923 1484"))</f>
        <v>+356 9923 1484</v>
      </c>
      <c r="E15" s="4"/>
      <c r="F15" s="4"/>
    </row>
    <row r="16" spans="1:6" x14ac:dyDescent="0.3">
      <c r="A16" s="2" t="s">
        <v>381</v>
      </c>
      <c r="B16" s="2" t="s">
        <v>437</v>
      </c>
      <c r="C16" s="3" t="s">
        <v>469</v>
      </c>
      <c r="D16" s="2" t="str">
        <f>CONCATENATE(HYPERLINK("CALLTO:%2B356%207970%206849", "+356 7970 6849"))</f>
        <v>+356 7970 6849</v>
      </c>
      <c r="E16" s="2"/>
      <c r="F16" s="2"/>
    </row>
    <row r="17" spans="1:6" x14ac:dyDescent="0.3">
      <c r="A17" s="4" t="s">
        <v>381</v>
      </c>
      <c r="B17" s="4" t="s">
        <v>438</v>
      </c>
      <c r="C17" s="5" t="s">
        <v>463</v>
      </c>
      <c r="D17" s="4" t="str">
        <f>CONCATENATE(HYPERLINK("CALLTO:%2B356%207706%201013", "+356 7706 1013"))</f>
        <v>+356 7706 1013</v>
      </c>
      <c r="E17" s="4"/>
      <c r="F17" s="4"/>
    </row>
    <row r="18" spans="1:6" x14ac:dyDescent="0.3">
      <c r="A18" s="2" t="s">
        <v>381</v>
      </c>
      <c r="B18" s="2" t="s">
        <v>439</v>
      </c>
      <c r="C18" s="3" t="s">
        <v>470</v>
      </c>
      <c r="D18" s="2" t="str">
        <f>CONCATENATE(HYPERLINK("CALLTO:%2B356%207999%205055", "+356 7999 5055"))</f>
        <v>+356 7999 5055</v>
      </c>
      <c r="E18" s="2"/>
      <c r="F18" s="2"/>
    </row>
    <row r="19" spans="1:6" x14ac:dyDescent="0.3">
      <c r="A19" s="4" t="s">
        <v>381</v>
      </c>
      <c r="B19" s="4" t="s">
        <v>440</v>
      </c>
      <c r="C19" s="5" t="s">
        <v>471</v>
      </c>
      <c r="D19" s="4" t="str">
        <f>CONCATENATE(HYPERLINK("CALLTO:%2B356%209987%209732", "+356 9987 9732"))</f>
        <v>+356 9987 9732</v>
      </c>
      <c r="E19" s="4"/>
      <c r="F19" s="4"/>
    </row>
    <row r="20" spans="1:6" x14ac:dyDescent="0.3">
      <c r="A20" s="2" t="s">
        <v>381</v>
      </c>
      <c r="B20" s="2" t="s">
        <v>441</v>
      </c>
      <c r="C20" s="3" t="s">
        <v>472</v>
      </c>
      <c r="D20" s="2" t="str">
        <f>CONCATENATE(HYPERLINK("CALLTO:%2B356%207940%202003", "+356 7940 2003"))</f>
        <v>+356 7940 2003</v>
      </c>
      <c r="E20" s="2"/>
      <c r="F20" s="2"/>
    </row>
    <row r="21" spans="1:6" x14ac:dyDescent="0.3">
      <c r="A21" s="4" t="s">
        <v>381</v>
      </c>
      <c r="B21" s="4" t="s">
        <v>442</v>
      </c>
      <c r="C21" s="5" t="s">
        <v>473</v>
      </c>
      <c r="D21" s="4" t="str">
        <f>CONCATENATE(HYPERLINK("CALLTO:%2B356%207711%203850", "+356 7711 3850"))</f>
        <v>+356 7711 3850</v>
      </c>
      <c r="E21" s="4"/>
      <c r="F21" s="4"/>
    </row>
    <row r="22" spans="1:6" x14ac:dyDescent="0.3">
      <c r="A22" s="2" t="s">
        <v>381</v>
      </c>
      <c r="B22" s="2" t="s">
        <v>443</v>
      </c>
      <c r="C22" s="3" t="s">
        <v>474</v>
      </c>
      <c r="D22" s="2" t="str">
        <f>CONCATENATE(HYPERLINK("CALLTO:%2B356%209956%201273", "+356 9956 1273"))</f>
        <v>+356 9956 1273</v>
      </c>
      <c r="E22" s="2"/>
      <c r="F22" s="2"/>
    </row>
    <row r="23" spans="1:6" x14ac:dyDescent="0.3">
      <c r="A23" s="4" t="s">
        <v>381</v>
      </c>
      <c r="B23" s="4" t="s">
        <v>444</v>
      </c>
      <c r="C23" s="5" t="s">
        <v>473</v>
      </c>
      <c r="D23" s="4" t="str">
        <f>CONCATENATE(HYPERLINK("CALLTO:%2B356%207739%205018", "+356 7739 5018"))</f>
        <v>+356 7739 5018</v>
      </c>
      <c r="E23" s="4"/>
      <c r="F23" s="4"/>
    </row>
    <row r="24" spans="1:6" x14ac:dyDescent="0.3">
      <c r="A24" s="2" t="s">
        <v>381</v>
      </c>
      <c r="B24" s="2" t="s">
        <v>445</v>
      </c>
      <c r="C24" s="3" t="s">
        <v>475</v>
      </c>
      <c r="D24" s="2" t="str">
        <f>CONCATENATE(HYPERLINK("CALLTO:%2B356%209953%208796", "+356 9953 8796"))</f>
        <v>+356 9953 8796</v>
      </c>
      <c r="E24" s="2"/>
      <c r="F24" s="2"/>
    </row>
    <row r="25" spans="1:6" x14ac:dyDescent="0.3">
      <c r="A25" s="4" t="s">
        <v>381</v>
      </c>
      <c r="B25" s="4" t="s">
        <v>446</v>
      </c>
      <c r="C25" s="5" t="s">
        <v>476</v>
      </c>
      <c r="D25" s="4" t="str">
        <f>CONCATENATE(HYPERLINK("CALLTO:%2B356%207930%206337", "+356 7930 6337"))</f>
        <v>+356 7930 6337</v>
      </c>
      <c r="E25" s="4"/>
      <c r="F25" s="4"/>
    </row>
    <row r="26" spans="1:6" x14ac:dyDescent="0.3">
      <c r="A26" s="2" t="s">
        <v>381</v>
      </c>
      <c r="B26" s="2" t="s">
        <v>447</v>
      </c>
      <c r="C26" s="3" t="s">
        <v>473</v>
      </c>
      <c r="D26" s="2" t="str">
        <f>CONCATENATE(HYPERLINK("CALLTO:%2B356%207904%208377", "+356 7904 8377"))</f>
        <v>+356 7904 8377</v>
      </c>
      <c r="E26" s="2"/>
      <c r="F26" s="2"/>
    </row>
    <row r="27" spans="1:6" x14ac:dyDescent="0.3">
      <c r="A27" s="4" t="s">
        <v>381</v>
      </c>
      <c r="B27" s="4" t="s">
        <v>448</v>
      </c>
      <c r="C27" s="5" t="s">
        <v>477</v>
      </c>
      <c r="D27" s="4" t="str">
        <f>CONCATENATE(HYPERLINK("CALLTO:%2B356%207927%209899", "+356 7927 9899"))</f>
        <v>+356 7927 9899</v>
      </c>
      <c r="E27" s="4"/>
      <c r="F27" s="4"/>
    </row>
    <row r="28" spans="1:6" x14ac:dyDescent="0.3">
      <c r="A28" s="2" t="s">
        <v>381</v>
      </c>
      <c r="B28" s="2" t="s">
        <v>449</v>
      </c>
      <c r="C28" s="3" t="s">
        <v>478</v>
      </c>
      <c r="D28" s="2" t="str">
        <f>CONCATENATE(HYPERLINK("CALLTO:%2B356%207982%205355", "+356 7982 5355"))</f>
        <v>+356 7982 5355</v>
      </c>
      <c r="E28" s="2"/>
      <c r="F28" s="2"/>
    </row>
    <row r="29" spans="1:6" x14ac:dyDescent="0.3">
      <c r="A29" s="4" t="s">
        <v>381</v>
      </c>
      <c r="B29" s="4" t="s">
        <v>450</v>
      </c>
      <c r="C29" s="5" t="s">
        <v>460</v>
      </c>
      <c r="D29" s="4" t="str">
        <f>CONCATENATE(HYPERLINK("CALLTO:%2B356%209921%200901", "+356 9921 0901"))</f>
        <v>+356 9921 0901</v>
      </c>
      <c r="E29" s="4"/>
      <c r="F29" s="4"/>
    </row>
    <row r="30" spans="1:6" x14ac:dyDescent="0.3">
      <c r="A30" s="2" t="s">
        <v>381</v>
      </c>
      <c r="B30" s="2" t="s">
        <v>451</v>
      </c>
      <c r="C30" s="3" t="s">
        <v>463</v>
      </c>
      <c r="D30" s="2" t="str">
        <f>CONCATENATE(HYPERLINK("CALLTO:%2B356%207930%203911", "+356 7930 3911"))</f>
        <v>+356 7930 3911</v>
      </c>
      <c r="E30" s="2"/>
      <c r="F30" s="2"/>
    </row>
    <row r="31" spans="1:6" x14ac:dyDescent="0.3">
      <c r="A31" s="4" t="s">
        <v>381</v>
      </c>
      <c r="B31" s="4" t="s">
        <v>452</v>
      </c>
      <c r="C31" s="5" t="s">
        <v>479</v>
      </c>
      <c r="D31" s="4" t="str">
        <f>CONCATENATE(HYPERLINK("CALLTO:%2B356%209908%207896", "+356 9908 7896"))</f>
        <v>+356 9908 7896</v>
      </c>
      <c r="E31" s="4"/>
      <c r="F31" s="4"/>
    </row>
    <row r="32" spans="1:6" x14ac:dyDescent="0.3">
      <c r="A32" s="2" t="s">
        <v>381</v>
      </c>
      <c r="B32" s="2" t="s">
        <v>453</v>
      </c>
      <c r="C32" s="3" t="s">
        <v>480</v>
      </c>
      <c r="D32" s="2" t="str">
        <f>CONCATENATE(HYPERLINK("CALLTO:%2B356%209964%208749", "+356 9964 8749"))</f>
        <v>+356 9964 8749</v>
      </c>
      <c r="E32" s="2"/>
      <c r="F32" s="2"/>
    </row>
    <row r="33" spans="1:6" x14ac:dyDescent="0.3">
      <c r="A33" s="4" t="s">
        <v>381</v>
      </c>
      <c r="B33" s="4" t="s">
        <v>454</v>
      </c>
      <c r="C33" s="5" t="s">
        <v>481</v>
      </c>
      <c r="D33" s="4" t="str">
        <f>CONCATENATE(HYPERLINK("CALLTO:%2B356%209988%202908", "+356 9988 2908"))</f>
        <v>+356 9988 2908</v>
      </c>
      <c r="E33" s="4"/>
      <c r="F33" s="4"/>
    </row>
    <row r="34" spans="1:6" x14ac:dyDescent="0.3">
      <c r="A34" s="2" t="s">
        <v>381</v>
      </c>
      <c r="B34" s="2" t="s">
        <v>455</v>
      </c>
      <c r="C34" s="3" t="s">
        <v>460</v>
      </c>
      <c r="D34" s="2" t="str">
        <f>CONCATENATE(HYPERLINK("CALLTO:%2B356%207920%203818", "+356 7920 3818"))</f>
        <v>+356 7920 3818</v>
      </c>
      <c r="E34" s="2"/>
      <c r="F34" s="2"/>
    </row>
    <row r="35" spans="1:6" x14ac:dyDescent="0.3">
      <c r="A35" s="4" t="s">
        <v>381</v>
      </c>
      <c r="B35" s="4" t="s">
        <v>456</v>
      </c>
      <c r="C35" s="5" t="s">
        <v>482</v>
      </c>
      <c r="D35" s="4" t="str">
        <f>CONCATENATE(HYPERLINK("CALLTO:%2B356%209919%202609", "+356 9919 2609"))</f>
        <v>+356 9919 2609</v>
      </c>
      <c r="E35" s="4"/>
      <c r="F35" s="4"/>
    </row>
  </sheetData>
  <hyperlinks>
    <hyperlink ref="C2" r:id="rId1" tooltip="Send a mail to arkeomalta@gmail.com" xr:uid="{00000000-0004-0000-0600-000000000000}"/>
    <hyperlink ref="C3" r:id="rId2" tooltip="Send a mail to jeremy@jbarchteam.com" xr:uid="{00000000-0004-0000-0600-000001000000}"/>
    <hyperlink ref="C4" r:id="rId3" tooltip="Send a mail to samuelabossini@gmail.com" xr:uid="{00000000-0004-0000-0600-000002000000}"/>
    <hyperlink ref="C5" r:id="rId4" tooltip="Send a mail to ascoopltdmalta@gmail.com" xr:uid="{00000000-0004-0000-0600-000003000000}"/>
    <hyperlink ref="C6" r:id="rId5" tooltip="Send a mail to ascoopltdmalta@gmail.com" xr:uid="{00000000-0004-0000-0600-000004000000}"/>
    <hyperlink ref="C7" r:id="rId6" tooltip="Send a mail to chrisbu.su@gmail.com" xr:uid="{00000000-0004-0000-0600-000005000000}"/>
    <hyperlink ref="C8" r:id="rId7" tooltip="Send a mail to karloco621@gmail.com" xr:uid="{00000000-0004-0000-0600-000006000000}"/>
    <hyperlink ref="C9" r:id="rId8" tooltip="Send a mail to ascoopltdmalta@gmail.com" xr:uid="{00000000-0004-0000-0600-000007000000}"/>
    <hyperlink ref="C10" r:id="rId9" tooltip="Send a mail to skavarc@digiarc.mt" xr:uid="{00000000-0004-0000-0600-000008000000}"/>
    <hyperlink ref="C11" r:id="rId10" tooltip="Send a mail to josefcaruana1@googlemail.com" xr:uid="{00000000-0004-0000-0600-000009000000}"/>
    <hyperlink ref="C12" r:id="rId11" tooltip="Send a mail to projects@aecmalta.com.mt" xr:uid="{00000000-0004-0000-0600-00000A000000}"/>
    <hyperlink ref="C13" r:id="rId12" tooltip="Send a mail to rossano.cherubini@qpml.com" xr:uid="{00000000-0004-0000-0600-00000B000000}"/>
    <hyperlink ref="C14" r:id="rId13" tooltip="Send a mail to vincenzo.cherubini@ais.com.mt" xr:uid="{00000000-0004-0000-0600-00000C000000}"/>
    <hyperlink ref="C15" r:id="rId14" tooltip="Send a mail to luisana_damato@yahoo.co.uk" xr:uid="{00000000-0004-0000-0600-00000D000000}"/>
    <hyperlink ref="C16" r:id="rId15" tooltip="Send a mail to farrugia.glenn@gmail.com" xr:uid="{00000000-0004-0000-0600-00000E000000}"/>
    <hyperlink ref="C17" r:id="rId16" tooltip="Send a mail to skavarc@digiarc.mt" xr:uid="{00000000-0004-0000-0600-00000F000000}"/>
    <hyperlink ref="C18" r:id="rId17" tooltip="Send a mail to joseph.grima.19@gmail.com" xr:uid="{00000000-0004-0000-0600-000010000000}"/>
    <hyperlink ref="C19" r:id="rId18" tooltip="Send a mail to karl@jbarchteam.com" xr:uid="{00000000-0004-0000-0600-000011000000}"/>
    <hyperlink ref="C20" r:id="rId19" tooltip="Send a mail to jerkinerak@gmail.com" xr:uid="{00000000-0004-0000-0600-000012000000}"/>
    <hyperlink ref="C21" r:id="rId20" tooltip="Send a mail to info@jbarchteam.com" xr:uid="{00000000-0004-0000-0600-000013000000}"/>
    <hyperlink ref="C22" r:id="rId21" tooltip="Send a mail to tamsin.kingswell@qpml.com" xr:uid="{00000000-0004-0000-0600-000014000000}"/>
    <hyperlink ref="C23" r:id="rId22" tooltip="Send a mail to info@jbarchteam.com" xr:uid="{00000000-0004-0000-0600-000015000000}"/>
    <hyperlink ref="C24" r:id="rId23" tooltip="Send a mail to nickybb777@gmail.com" xr:uid="{00000000-0004-0000-0600-000016000000}"/>
    <hyperlink ref="C25" r:id="rId24" tooltip="Send a mail to chrimint@gmail.com" xr:uid="{00000000-0004-0000-0600-000017000000}"/>
    <hyperlink ref="C26" r:id="rId25" tooltip="Send a mail to info@jbarchteam.com" xr:uid="{00000000-0004-0000-0600-000018000000}"/>
    <hyperlink ref="C27" r:id="rId26" tooltip="Send a mail to iona.muscat@hotmail.com" xr:uid="{00000000-0004-0000-0600-000019000000}"/>
    <hyperlink ref="C28" r:id="rId27" tooltip="Send a mail to kim.muscat@gmail.com" xr:uid="{00000000-0004-0000-0600-00001A000000}"/>
    <hyperlink ref="C29" r:id="rId28" tooltip="Send a mail to ascoopltdmalta@gmail.com" xr:uid="{00000000-0004-0000-0600-00001B000000}"/>
    <hyperlink ref="C30" r:id="rId29" tooltip="Send a mail to skavarc@digiarc.mt" xr:uid="{00000000-0004-0000-0600-00001C000000}"/>
    <hyperlink ref="C31" r:id="rId30" tooltip="Send a mail to patriziapec@gmail.com" xr:uid="{00000000-0004-0000-0600-00001D000000}"/>
    <hyperlink ref="C32" r:id="rId31" tooltip="Send a mail to samuele.serini@ais.com.mt" xr:uid="{00000000-0004-0000-0600-00001E000000}"/>
    <hyperlink ref="C33" r:id="rId32" tooltip="Send a mail to kirsten.theuma@qpml.com" xr:uid="{00000000-0004-0000-0600-00001F000000}"/>
    <hyperlink ref="C34" r:id="rId33" tooltip="Send a mail to ascoopltdmalta@gmail.com" xr:uid="{00000000-0004-0000-0600-000020000000}"/>
    <hyperlink ref="C35" r:id="rId34" tooltip="Send a mail to martinazarb@gmail.com" xr:uid="{00000000-0004-0000-0600-000021000000}"/>
  </hyperlink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4.4" x14ac:dyDescent="0.3"/>
  <cols>
    <col min="1" max="1" width="6.33203125" customWidth="1"/>
    <col min="2" max="2" width="7.6640625" customWidth="1"/>
    <col min="3" max="3" width="7.109375" customWidth="1"/>
    <col min="4" max="4" width="18.6640625" customWidth="1"/>
    <col min="5" max="5" width="10.88671875" customWidth="1"/>
    <col min="6" max="6" width="11" customWidth="1"/>
  </cols>
  <sheetData>
    <row r="1" spans="1:6" ht="18" x14ac:dyDescent="0.35">
      <c r="A1" s="1" t="s">
        <v>5384</v>
      </c>
      <c r="B1" s="1" t="s">
        <v>25</v>
      </c>
      <c r="C1" s="1" t="s">
        <v>507</v>
      </c>
      <c r="D1" s="1" t="s">
        <v>525</v>
      </c>
      <c r="E1" s="1" t="s">
        <v>5386</v>
      </c>
      <c r="F1" s="1" t="s">
        <v>532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/>
  </sheetViews>
  <sheetFormatPr defaultRowHeight="14.4" x14ac:dyDescent="0.3"/>
  <cols>
    <col min="1" max="2" width="23.5546875" customWidth="1"/>
    <col min="3" max="3" width="26.6640625" customWidth="1"/>
    <col min="4" max="4" width="18.6640625" customWidth="1"/>
    <col min="5" max="5" width="30.33203125" customWidth="1"/>
    <col min="6" max="6" width="74.6640625" customWidth="1"/>
    <col min="7" max="7" width="17.109375" customWidth="1"/>
    <col min="8" max="8" width="15.44140625" customWidth="1"/>
  </cols>
  <sheetData>
    <row r="1" spans="1:8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526</v>
      </c>
      <c r="F1" s="1" t="s">
        <v>532</v>
      </c>
      <c r="G1" s="1" t="s">
        <v>549</v>
      </c>
      <c r="H1" s="1" t="s">
        <v>550</v>
      </c>
    </row>
    <row r="2" spans="1:8" x14ac:dyDescent="0.3">
      <c r="A2" s="2" t="s">
        <v>485</v>
      </c>
      <c r="B2" s="2" t="s">
        <v>491</v>
      </c>
      <c r="C2" s="3" t="s">
        <v>508</v>
      </c>
      <c r="D2" s="2" t="str">
        <f>CONCATENATE(HYPERLINK("CALLTO:%2B356%207949%209432", "+356 7949 9432"))</f>
        <v>+356 7949 9432</v>
      </c>
      <c r="E2" s="3" t="s">
        <v>17</v>
      </c>
      <c r="F2" s="3" t="s">
        <v>537</v>
      </c>
      <c r="G2" s="2" t="s">
        <v>551</v>
      </c>
      <c r="H2" s="2" t="s">
        <v>551</v>
      </c>
    </row>
    <row r="3" spans="1:8" x14ac:dyDescent="0.3">
      <c r="A3" s="4" t="s">
        <v>486</v>
      </c>
      <c r="B3" s="4" t="s">
        <v>490</v>
      </c>
      <c r="C3" s="5" t="s">
        <v>509</v>
      </c>
      <c r="D3" s="4" t="str">
        <f>CONCATENATE(HYPERLINK("CALLTO:%2B356%209931%209111", "+356 9931 9111"))</f>
        <v>+356 9931 9111</v>
      </c>
      <c r="E3" s="5" t="s">
        <v>527</v>
      </c>
      <c r="F3" s="5" t="s">
        <v>538</v>
      </c>
      <c r="G3" s="4" t="s">
        <v>551</v>
      </c>
      <c r="H3" s="4" t="s">
        <v>551</v>
      </c>
    </row>
    <row r="4" spans="1:8" x14ac:dyDescent="0.3">
      <c r="A4" s="2" t="s">
        <v>485</v>
      </c>
      <c r="B4" s="2" t="s">
        <v>492</v>
      </c>
      <c r="C4" s="3" t="s">
        <v>510</v>
      </c>
      <c r="D4" s="2" t="str">
        <f>CONCATENATE(HYPERLINK("CALLTO:%2B356%202123%200741", "+356 2123 0741"))</f>
        <v>+356 2123 0741</v>
      </c>
      <c r="E4" s="3" t="s">
        <v>529</v>
      </c>
      <c r="F4" s="3" t="s">
        <v>539</v>
      </c>
      <c r="G4" s="2" t="s">
        <v>551</v>
      </c>
      <c r="H4" s="2" t="s">
        <v>551</v>
      </c>
    </row>
    <row r="5" spans="1:8" x14ac:dyDescent="0.3">
      <c r="A5" s="4" t="s">
        <v>485</v>
      </c>
      <c r="B5" s="4" t="s">
        <v>493</v>
      </c>
      <c r="C5" s="5" t="s">
        <v>511</v>
      </c>
      <c r="D5" s="4" t="str">
        <f>CONCATENATE(HYPERLINK("CALLTO:%2B356%202134%200562", "+356 2134 0562"))</f>
        <v>+356 2134 0562</v>
      </c>
      <c r="E5" s="5" t="s">
        <v>530</v>
      </c>
      <c r="F5" s="5" t="s">
        <v>540</v>
      </c>
      <c r="G5" s="4" t="s">
        <v>551</v>
      </c>
      <c r="H5" s="4" t="s">
        <v>551</v>
      </c>
    </row>
    <row r="6" spans="1:8" x14ac:dyDescent="0.3">
      <c r="A6" s="2" t="s">
        <v>485</v>
      </c>
      <c r="B6" s="2" t="s">
        <v>494</v>
      </c>
      <c r="C6" s="3" t="s">
        <v>512</v>
      </c>
      <c r="D6" s="2" t="str">
        <f>CONCATENATE(HYPERLINK("CALLTO:%2B356%202138%202876", "+356 2138 2876"))</f>
        <v>+356 2138 2876</v>
      </c>
      <c r="E6" s="3" t="s">
        <v>528</v>
      </c>
      <c r="F6" s="3" t="s">
        <v>541</v>
      </c>
      <c r="G6" s="2" t="s">
        <v>551</v>
      </c>
      <c r="H6" s="2" t="s">
        <v>551</v>
      </c>
    </row>
    <row r="7" spans="1:8" x14ac:dyDescent="0.3">
      <c r="A7" s="4" t="s">
        <v>485</v>
      </c>
      <c r="B7" s="4" t="s">
        <v>496</v>
      </c>
      <c r="C7" s="5" t="s">
        <v>513</v>
      </c>
      <c r="D7" s="4" t="str">
        <f>CONCATENATE(HYPERLINK("CALLTO:%2B356%209949%205428", "+356 9949 5428"))</f>
        <v>+356 9949 5428</v>
      </c>
      <c r="E7" s="5" t="s">
        <v>531</v>
      </c>
      <c r="F7" s="5" t="s">
        <v>542</v>
      </c>
      <c r="G7" s="4" t="s">
        <v>552</v>
      </c>
      <c r="H7" s="4" t="s">
        <v>551</v>
      </c>
    </row>
    <row r="8" spans="1:8" x14ac:dyDescent="0.3">
      <c r="A8" s="2" t="s">
        <v>485</v>
      </c>
      <c r="B8" s="2" t="s">
        <v>497</v>
      </c>
      <c r="C8" s="3" t="s">
        <v>514</v>
      </c>
      <c r="D8" s="2" t="str">
        <f>CONCATENATE(HYPERLINK("CALLTO:%2B356%202799%202315", "+356 2799 2315"))</f>
        <v>+356 2799 2315</v>
      </c>
      <c r="E8" s="3" t="s">
        <v>533</v>
      </c>
      <c r="F8" s="3" t="s">
        <v>543</v>
      </c>
      <c r="G8" s="2" t="s">
        <v>551</v>
      </c>
      <c r="H8" s="2" t="s">
        <v>551</v>
      </c>
    </row>
    <row r="9" spans="1:8" x14ac:dyDescent="0.3">
      <c r="A9" s="4" t="s">
        <v>485</v>
      </c>
      <c r="B9" s="4" t="s">
        <v>498</v>
      </c>
      <c r="C9" s="5" t="s">
        <v>515</v>
      </c>
      <c r="D9" s="4" t="str">
        <f>CONCATENATE(HYPERLINK("CALLTO:%2B356%202156%200719", "+356 2156 0719"))</f>
        <v>+356 2156 0719</v>
      </c>
      <c r="E9" s="5" t="s">
        <v>534</v>
      </c>
      <c r="F9" s="5" t="s">
        <v>544</v>
      </c>
      <c r="G9" s="4" t="s">
        <v>551</v>
      </c>
      <c r="H9" s="4" t="s">
        <v>552</v>
      </c>
    </row>
    <row r="10" spans="1:8" x14ac:dyDescent="0.3">
      <c r="A10" s="2" t="s">
        <v>485</v>
      </c>
      <c r="B10" s="2" t="s">
        <v>499</v>
      </c>
      <c r="C10" s="3" t="s">
        <v>516</v>
      </c>
      <c r="D10" s="2" t="str">
        <f>CONCATENATE(HYPERLINK("CALLTO:%2B356%202144%204545", "+356 2144 4545"))</f>
        <v>+356 2144 4545</v>
      </c>
      <c r="E10" s="3" t="s">
        <v>535</v>
      </c>
      <c r="F10" s="3" t="s">
        <v>545</v>
      </c>
      <c r="G10" s="2" t="s">
        <v>551</v>
      </c>
      <c r="H10" s="2" t="s">
        <v>551</v>
      </c>
    </row>
    <row r="11" spans="1:8" x14ac:dyDescent="0.3">
      <c r="A11" s="4" t="s">
        <v>485</v>
      </c>
      <c r="B11" s="4" t="s">
        <v>500</v>
      </c>
      <c r="C11" s="5" t="s">
        <v>517</v>
      </c>
      <c r="D11" s="4" t="str">
        <f>CONCATENATE(HYPERLINK("CALLTO:%2B356%202148%206301", "+356 2148 6301"))</f>
        <v>+356 2148 6301</v>
      </c>
      <c r="E11" s="5" t="s">
        <v>15</v>
      </c>
      <c r="F11" s="5" t="s">
        <v>547</v>
      </c>
      <c r="G11" s="4" t="s">
        <v>552</v>
      </c>
      <c r="H11" s="4" t="s">
        <v>551</v>
      </c>
    </row>
    <row r="12" spans="1:8" x14ac:dyDescent="0.3">
      <c r="A12" s="2" t="s">
        <v>484</v>
      </c>
      <c r="B12" s="2" t="s">
        <v>501</v>
      </c>
      <c r="C12" s="3" t="s">
        <v>518</v>
      </c>
      <c r="D12" s="2" t="str">
        <f>CONCATENATE(HYPERLINK("CALLTO:%2B356%202145%209966", "+356 2145 9966"))</f>
        <v>+356 2145 9966</v>
      </c>
      <c r="E12" s="3" t="s">
        <v>15</v>
      </c>
      <c r="F12" s="3" t="s">
        <v>546</v>
      </c>
      <c r="G12" s="2" t="s">
        <v>551</v>
      </c>
      <c r="H12" s="2" t="s">
        <v>551</v>
      </c>
    </row>
    <row r="13" spans="1:8" x14ac:dyDescent="0.3">
      <c r="A13" s="4" t="s">
        <v>485</v>
      </c>
      <c r="B13" s="4" t="s">
        <v>495</v>
      </c>
      <c r="C13" s="5" t="s">
        <v>519</v>
      </c>
      <c r="D13" s="4" t="str">
        <f>CONCATENATE(HYPERLINK("CALLTO:%2B356%202125%205500", "+356 2125 5500"))</f>
        <v>+356 2125 5500</v>
      </c>
      <c r="E13" s="5" t="s">
        <v>536</v>
      </c>
      <c r="F13" s="5" t="s">
        <v>548</v>
      </c>
      <c r="G13" s="4" t="s">
        <v>551</v>
      </c>
      <c r="H13" s="4" t="s">
        <v>551</v>
      </c>
    </row>
    <row r="14" spans="1:8" x14ac:dyDescent="0.3">
      <c r="A14" s="2" t="s">
        <v>485</v>
      </c>
      <c r="B14" s="2" t="s">
        <v>502</v>
      </c>
      <c r="C14" s="3" t="s">
        <v>520</v>
      </c>
      <c r="D14" s="2"/>
      <c r="E14" s="2"/>
      <c r="F14" s="2"/>
      <c r="G14" s="2"/>
      <c r="H14" s="2"/>
    </row>
    <row r="15" spans="1:8" x14ac:dyDescent="0.3">
      <c r="A15" s="4" t="s">
        <v>488</v>
      </c>
      <c r="B15" s="4" t="s">
        <v>504</v>
      </c>
      <c r="C15" s="5" t="s">
        <v>521</v>
      </c>
      <c r="D15" s="4"/>
      <c r="E15" s="4"/>
      <c r="F15" s="4"/>
      <c r="G15" s="4"/>
      <c r="H15" s="4"/>
    </row>
    <row r="16" spans="1:8" x14ac:dyDescent="0.3">
      <c r="A16" s="2" t="s">
        <v>485</v>
      </c>
      <c r="B16" s="2" t="s">
        <v>505</v>
      </c>
      <c r="C16" s="3" t="s">
        <v>522</v>
      </c>
      <c r="D16" s="2"/>
      <c r="E16" s="2"/>
      <c r="F16" s="2"/>
      <c r="G16" s="2"/>
      <c r="H16" s="2"/>
    </row>
    <row r="17" spans="1:8" x14ac:dyDescent="0.3">
      <c r="A17" s="4" t="s">
        <v>489</v>
      </c>
      <c r="B17" s="4" t="s">
        <v>503</v>
      </c>
      <c r="C17" s="5" t="s">
        <v>523</v>
      </c>
      <c r="D17" s="4"/>
      <c r="E17" s="4"/>
      <c r="F17" s="4"/>
      <c r="G17" s="4"/>
      <c r="H17" s="4"/>
    </row>
    <row r="18" spans="1:8" x14ac:dyDescent="0.3">
      <c r="A18" s="2" t="s">
        <v>485</v>
      </c>
      <c r="B18" s="2" t="s">
        <v>506</v>
      </c>
      <c r="C18" s="3" t="s">
        <v>524</v>
      </c>
      <c r="D18" s="2"/>
      <c r="E18" s="2"/>
      <c r="F18" s="2"/>
      <c r="G18" s="2"/>
      <c r="H18" s="2"/>
    </row>
  </sheetData>
  <hyperlinks>
    <hyperlink ref="C2" r:id="rId1" tooltip="Send a mail to nfo@powerhousemalta.com" xr:uid="{00000000-0004-0000-0800-000000000000}"/>
    <hyperlink ref="C3" r:id="rId2" tooltip="Send a mail to info@scanmalta.com" xr:uid="{00000000-0004-0000-0800-000001000000}"/>
    <hyperlink ref="C4" r:id="rId3" tooltip="Send a mail to marketing@atoz.com.mt" xr:uid="{00000000-0004-0000-0800-000002000000}"/>
    <hyperlink ref="C5" r:id="rId4" tooltip="Send a mail to info@digitalzone.com.mt" xr:uid="{00000000-0004-0000-0800-000003000000}"/>
    <hyperlink ref="C6" r:id="rId5" tooltip="Send a mail to info@olimpusmusic.com" xr:uid="{00000000-0004-0000-0800-000004000000}"/>
    <hyperlink ref="C7" r:id="rId6" tooltip="Send a mail to nfo@doneo.com.mt" xr:uid="{00000000-0004-0000-0800-000005000000}"/>
    <hyperlink ref="C8" r:id="rId7" tooltip="Send a mail to website@astral.com.mt" xr:uid="{00000000-0004-0000-0800-000006000000}"/>
    <hyperlink ref="C9" r:id="rId8" tooltip="Send a mail to info@audiomalta.com" xr:uid="{00000000-0004-0000-0800-000007000000}"/>
    <hyperlink ref="C10" r:id="rId9" tooltip="Send a mail to info@audiohub.mt" xr:uid="{00000000-0004-0000-0800-000008000000}"/>
    <hyperlink ref="C11" r:id="rId10" tooltip="Send a mail to info@futuretech-malta.com" xr:uid="{00000000-0004-0000-0800-000009000000}"/>
    <hyperlink ref="C12" r:id="rId11" tooltip="Send a mail to info@audiotech.mt" xr:uid="{00000000-0004-0000-0800-00000A000000}"/>
    <hyperlink ref="C13" r:id="rId12" tooltip="Send a mail to sales@ultimate.com.mt" xr:uid="{00000000-0004-0000-0800-00000B000000}"/>
    <hyperlink ref="C14" r:id="rId13" tooltip="Send a mail to info@studioseven.com.mt" xr:uid="{00000000-0004-0000-0800-00000C000000}"/>
    <hyperlink ref="C15" r:id="rId14" tooltip="Send a mail to joe@genaudiomalta.com" xr:uid="{00000000-0004-0000-0800-00000D000000}"/>
    <hyperlink ref="C16" r:id="rId15" tooltip="Send a mail to info@soundsystem.com.mt" xr:uid="{00000000-0004-0000-0800-00000E000000}"/>
    <hyperlink ref="C17" r:id="rId16" tooltip="Send a mail to info@megatekk.mt" xr:uid="{00000000-0004-0000-0800-00000F000000}"/>
    <hyperlink ref="C18" r:id="rId17" tooltip="Send a mail to jc.audiophonic@gmail.com" xr:uid="{00000000-0004-0000-0800-000010000000}"/>
    <hyperlink ref="E2" r:id="rId18" tooltip="Search Marsa on Google Maps" xr:uid="{00000000-0004-0000-0800-000011000000}"/>
    <hyperlink ref="E3" r:id="rId19" tooltip="Search Attard, Qormi, Swatar, Birkirkara on Google Maps" xr:uid="{00000000-0004-0000-0800-000012000000}"/>
    <hyperlink ref="E4" r:id="rId20" tooltip="Search Hamrun on Google Maps" xr:uid="{00000000-0004-0000-0800-000013000000}"/>
    <hyperlink ref="E5" r:id="rId21" tooltip="Search Ta' Xbiex on Google Maps" xr:uid="{00000000-0004-0000-0800-000014000000}"/>
    <hyperlink ref="E6" r:id="rId22" tooltip="Search Swieqi on Google Maps" xr:uid="{00000000-0004-0000-0800-000015000000}"/>
    <hyperlink ref="E7" r:id="rId23" tooltip="Search sales division of Lito’s Place on Google Maps" xr:uid="{00000000-0004-0000-0800-000016000000}"/>
    <hyperlink ref="E8" r:id="rId24" tooltip="Search San Gwann on Google Maps" xr:uid="{00000000-0004-0000-0800-000017000000}"/>
    <hyperlink ref="E9" r:id="rId25" tooltip="Search Xghara, Gozo on Google Maps" xr:uid="{00000000-0004-0000-0800-000018000000}"/>
    <hyperlink ref="E10" r:id="rId26" tooltip="Search San Gwann, Paola, Qormi on Google Maps" xr:uid="{00000000-0004-0000-0800-000019000000}"/>
    <hyperlink ref="E11" r:id="rId27" tooltip="Search Birkirkara on Google Maps" xr:uid="{00000000-0004-0000-0800-00001A000000}"/>
    <hyperlink ref="E12" r:id="rId28" tooltip="Search Birkirkara on Google Maps" xr:uid="{00000000-0004-0000-0800-00001B000000}"/>
    <hyperlink ref="E13" r:id="rId29" tooltip="Search Msida on Google Maps" xr:uid="{00000000-0004-0000-0800-00001C000000}"/>
    <hyperlink ref="F2" location="'Wall Mounted Speakers'!https://Powerhouse Malta – AV (Audiovisuals) and Events Malta" tooltip="Visit Powerhouse Malta – AV (Audiovisuals) and Events Malta" display="Powerhouse Malta – AV (Audiovisuals) and Events Malta" xr:uid="{00000000-0004-0000-0800-00001D000000}"/>
    <hyperlink ref="F3" location="'https://AtoZ Electronics | Malta''s Shop of Choice in 2026'!" tooltip="Visit AtoZ Electronics | Malta's Shop of Choice in 2026!" display="AtoZ Electronics | Malta's Shop of Choice in 2026!" xr:uid="{00000000-0004-0000-0800-00001E000000}"/>
    <hyperlink ref="F4" location="'Wall Mounted Speakers'!https://Home page - Doneo" tooltip="Visit Home page - Doneo" display="Home page - Doneo" xr:uid="{00000000-0004-0000-0800-00001F000000}"/>
    <hyperlink ref="F5" location="'Wall Mounted Speakers'!https://ASTRAL Enterprises LTD | TV | Hifi | Custom Installations" tooltip="Visit ASTRAL Enterprises LTD | TV | Hifi | Custom Installations" display="ASTRAL Enterprises LTD | TV | Hifi | Custom Installations" xr:uid="{00000000-0004-0000-0800-000020000000}"/>
    <hyperlink ref="F6" location="'Wall Mounted Speakers'!https://Audio Malta – Shop Smart, Rent Easy" tooltip="Visit Audio Malta – Shop Smart, Rent Easy" display="Audio Malta – Shop Smart, Rent Easy" xr:uid="{00000000-0004-0000-0800-000021000000}"/>
    <hyperlink ref="F7" location="'Wall Mounted Speakers'!https://Audio Hub Malta – Acoustics &amp; Audio Equipment" tooltip="Visit Audio Hub Malta – Acoustics &amp; Audio Equipment" display="Audio Hub Malta – Acoustics &amp; Audio Equipment" xr:uid="{00000000-0004-0000-0800-000022000000}"/>
    <hyperlink ref="F8" location="'Wall Mounted Speakers'!https://Futuretech Pro Malta – Audio/Visual Specialists" tooltip="Visit Futuretech Pro Malta – Audio/Visual Specialists" display="Futuretech Pro Malta – Audio/Visual Specialists" xr:uid="{00000000-0004-0000-0800-000023000000}"/>
    <hyperlink ref="F9" location="'Wall Mounted Speakers'!https://Audiotech Malta - your local electronics shop for Malta and Gozo - we deliver" tooltip="Visit Audiotech Malta - your local electronics shop for Malta and Gozo - we deliver" display="Audiotech Malta - your local electronics shop for Malta and Gozo - we deliver" xr:uid="{00000000-0004-0000-0800-000024000000}"/>
    <hyperlink ref="F10" location="'Wall Mounted Speakers'!https://Homepage - Ultimate | Electronics | Home Appliances | Deliveries in Malta &amp; Gozo" tooltip="Visit Homepage - Ultimate | Electronics | Home Appliances | Deliveries in Malta &amp; Gozo" display="Homepage - Ultimate | Electronics | Home Appliances | Deliveries in Malta &amp; Gozo" xr:uid="{00000000-0004-0000-0800-000025000000}"/>
    <hyperlink ref="F11" r:id="rId30" tooltip="Visit Studo7.com.mt" xr:uid="{00000000-0004-0000-0800-000026000000}"/>
    <hyperlink ref="F12" location="'Wall Mounted Speakers'!https://Contact – Genaudio Ltd" tooltip="Visit Contact – Genaudio Ltd" display="Contact – Genaudio Ltd" xr:uid="{00000000-0004-0000-0800-000027000000}"/>
    <hyperlink ref="F13" location="'Wall Mounted Speakers'!https://The sound system you need | The Sound System Malta" tooltip="Visit The sound system you need | The Sound System Malta" display="The sound system you need | The Sound System Malta" xr:uid="{00000000-0004-0000-0800-000028000000}"/>
  </hyperlink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8"/>
  <sheetViews>
    <sheetView workbookViewId="0"/>
  </sheetViews>
  <sheetFormatPr defaultRowHeight="14.4" x14ac:dyDescent="0.3"/>
  <cols>
    <col min="1" max="1" width="24.109375" customWidth="1"/>
    <col min="2" max="2" width="20.109375" customWidth="1"/>
    <col min="3" max="3" width="37.109375" customWidth="1"/>
    <col min="4" max="4" width="18.6640625" customWidth="1"/>
    <col min="5" max="5" width="10.88671875" customWidth="1"/>
    <col min="6" max="6" width="11" customWidth="1"/>
    <col min="7" max="7" width="16.5546875" customWidth="1"/>
    <col min="8" max="8" width="13.5546875" customWidth="1"/>
    <col min="9" max="9" width="10.109375" customWidth="1"/>
    <col min="10" max="10" width="15" customWidth="1"/>
    <col min="11" max="11" width="8.88671875" customWidth="1"/>
  </cols>
  <sheetData>
    <row r="1" spans="1:11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3038</v>
      </c>
      <c r="H1" s="1" t="s">
        <v>5381</v>
      </c>
      <c r="I1" s="1" t="s">
        <v>5362</v>
      </c>
      <c r="J1" s="1" t="s">
        <v>5360</v>
      </c>
      <c r="K1" s="1" t="s">
        <v>5359</v>
      </c>
    </row>
    <row r="2" spans="1:11" x14ac:dyDescent="0.3">
      <c r="A2" s="2" t="s">
        <v>553</v>
      </c>
      <c r="B2" s="2" t="s">
        <v>554</v>
      </c>
      <c r="C2" s="3" t="s">
        <v>509</v>
      </c>
      <c r="D2" s="2"/>
      <c r="E2" s="2"/>
      <c r="F2" s="2"/>
      <c r="G2" s="2" t="s">
        <v>551</v>
      </c>
      <c r="H2" s="2" t="s">
        <v>551</v>
      </c>
      <c r="I2" s="2" t="s">
        <v>551</v>
      </c>
      <c r="J2" s="2" t="s">
        <v>551</v>
      </c>
      <c r="K2" s="2" t="s">
        <v>551</v>
      </c>
    </row>
    <row r="3" spans="1:11" x14ac:dyDescent="0.3">
      <c r="A3" s="4" t="s">
        <v>553</v>
      </c>
      <c r="B3" s="4" t="s">
        <v>555</v>
      </c>
      <c r="C3" s="5" t="s">
        <v>570</v>
      </c>
      <c r="D3" s="4"/>
      <c r="E3" s="4"/>
      <c r="F3" s="4"/>
      <c r="G3" s="4" t="s">
        <v>551</v>
      </c>
      <c r="H3" s="4" t="s">
        <v>551</v>
      </c>
      <c r="I3" s="4" t="s">
        <v>551</v>
      </c>
      <c r="J3" s="4" t="s">
        <v>551</v>
      </c>
      <c r="K3" s="4" t="s">
        <v>551</v>
      </c>
    </row>
    <row r="4" spans="1:11" x14ac:dyDescent="0.3">
      <c r="A4" s="2" t="s">
        <v>553</v>
      </c>
      <c r="B4" s="2" t="s">
        <v>556</v>
      </c>
      <c r="C4" s="3" t="s">
        <v>571</v>
      </c>
      <c r="D4" s="2"/>
      <c r="E4" s="2"/>
      <c r="F4" s="2"/>
      <c r="G4" s="2" t="s">
        <v>551</v>
      </c>
      <c r="H4" s="2" t="s">
        <v>552</v>
      </c>
      <c r="I4" s="2" t="s">
        <v>551</v>
      </c>
      <c r="J4" s="2" t="s">
        <v>551</v>
      </c>
      <c r="K4" s="2" t="s">
        <v>551</v>
      </c>
    </row>
    <row r="5" spans="1:11" x14ac:dyDescent="0.3">
      <c r="A5" s="4" t="s">
        <v>553</v>
      </c>
      <c r="B5" s="4" t="s">
        <v>557</v>
      </c>
      <c r="C5" s="5" t="s">
        <v>510</v>
      </c>
      <c r="D5" s="4"/>
      <c r="E5" s="4"/>
      <c r="F5" s="4"/>
      <c r="G5" s="4" t="s">
        <v>551</v>
      </c>
      <c r="H5" s="4" t="s">
        <v>551</v>
      </c>
      <c r="I5" s="4" t="s">
        <v>551</v>
      </c>
      <c r="J5" s="4" t="s">
        <v>551</v>
      </c>
      <c r="K5" s="4" t="s">
        <v>551</v>
      </c>
    </row>
    <row r="6" spans="1:11" x14ac:dyDescent="0.3">
      <c r="A6" s="2" t="s">
        <v>553</v>
      </c>
      <c r="B6" s="2" t="s">
        <v>558</v>
      </c>
      <c r="C6" s="3" t="s">
        <v>572</v>
      </c>
      <c r="D6" s="2"/>
      <c r="E6" s="2"/>
      <c r="F6" s="2"/>
      <c r="G6" s="2" t="s">
        <v>551</v>
      </c>
      <c r="H6" s="2" t="s">
        <v>552</v>
      </c>
      <c r="I6" s="2" t="s">
        <v>551</v>
      </c>
      <c r="J6" s="2" t="s">
        <v>551</v>
      </c>
      <c r="K6" s="2" t="s">
        <v>551</v>
      </c>
    </row>
    <row r="7" spans="1:11" x14ac:dyDescent="0.3">
      <c r="A7" s="4" t="s">
        <v>553</v>
      </c>
      <c r="B7" s="4" t="s">
        <v>559</v>
      </c>
      <c r="C7" s="5" t="s">
        <v>573</v>
      </c>
      <c r="D7" s="4"/>
      <c r="E7" s="4"/>
      <c r="F7" s="4"/>
      <c r="G7" s="4" t="s">
        <v>551</v>
      </c>
      <c r="H7" s="4" t="s">
        <v>552</v>
      </c>
      <c r="I7" s="4" t="s">
        <v>551</v>
      </c>
      <c r="J7" s="4" t="s">
        <v>551</v>
      </c>
      <c r="K7" s="4" t="s">
        <v>551</v>
      </c>
    </row>
    <row r="8" spans="1:11" x14ac:dyDescent="0.3">
      <c r="A8" s="2" t="s">
        <v>553</v>
      </c>
      <c r="B8" s="2" t="s">
        <v>560</v>
      </c>
      <c r="C8" s="3" t="s">
        <v>574</v>
      </c>
      <c r="D8" s="2"/>
      <c r="E8" s="2"/>
      <c r="F8" s="2"/>
      <c r="G8" s="2" t="s">
        <v>551</v>
      </c>
      <c r="H8" s="2" t="s">
        <v>551</v>
      </c>
      <c r="I8" s="2" t="s">
        <v>551</v>
      </c>
      <c r="J8" s="2" t="s">
        <v>551</v>
      </c>
      <c r="K8" s="2" t="s">
        <v>551</v>
      </c>
    </row>
    <row r="9" spans="1:11" x14ac:dyDescent="0.3">
      <c r="A9" s="4" t="s">
        <v>553</v>
      </c>
      <c r="B9" s="4" t="s">
        <v>561</v>
      </c>
      <c r="C9" s="5" t="s">
        <v>575</v>
      </c>
      <c r="D9" s="4"/>
      <c r="E9" s="4"/>
      <c r="F9" s="4"/>
      <c r="G9" s="4" t="s">
        <v>551</v>
      </c>
      <c r="H9" s="4" t="s">
        <v>552</v>
      </c>
      <c r="I9" s="4" t="s">
        <v>551</v>
      </c>
      <c r="J9" s="4" t="s">
        <v>551</v>
      </c>
      <c r="K9" s="4" t="s">
        <v>551</v>
      </c>
    </row>
    <row r="10" spans="1:11" x14ac:dyDescent="0.3">
      <c r="A10" s="2" t="s">
        <v>553</v>
      </c>
      <c r="B10" s="2" t="s">
        <v>562</v>
      </c>
      <c r="C10" s="3" t="s">
        <v>576</v>
      </c>
      <c r="D10" s="2"/>
      <c r="E10" s="2"/>
      <c r="F10" s="2"/>
      <c r="G10" s="2" t="s">
        <v>551</v>
      </c>
      <c r="H10" s="2" t="s">
        <v>551</v>
      </c>
      <c r="I10" s="2" t="s">
        <v>551</v>
      </c>
      <c r="J10" s="2" t="s">
        <v>551</v>
      </c>
      <c r="K10" s="2" t="s">
        <v>551</v>
      </c>
    </row>
    <row r="11" spans="1:11" x14ac:dyDescent="0.3">
      <c r="A11" s="4" t="s">
        <v>553</v>
      </c>
      <c r="B11" s="4" t="s">
        <v>563</v>
      </c>
      <c r="C11" s="5" t="s">
        <v>577</v>
      </c>
      <c r="D11" s="4"/>
      <c r="E11" s="4"/>
      <c r="F11" s="4"/>
      <c r="G11" s="4" t="s">
        <v>551</v>
      </c>
      <c r="H11" s="4" t="s">
        <v>551</v>
      </c>
      <c r="I11" s="4" t="s">
        <v>551</v>
      </c>
      <c r="J11" s="4" t="s">
        <v>551</v>
      </c>
      <c r="K11" s="4" t="s">
        <v>551</v>
      </c>
    </row>
    <row r="12" spans="1:11" x14ac:dyDescent="0.3">
      <c r="A12" s="2" t="s">
        <v>553</v>
      </c>
      <c r="B12" s="2" t="s">
        <v>493</v>
      </c>
      <c r="C12" s="3" t="s">
        <v>511</v>
      </c>
      <c r="D12" s="2"/>
      <c r="E12" s="2"/>
      <c r="F12" s="2"/>
      <c r="G12" s="2" t="s">
        <v>551</v>
      </c>
      <c r="H12" s="2" t="s">
        <v>552</v>
      </c>
      <c r="I12" s="2" t="s">
        <v>551</v>
      </c>
      <c r="J12" s="2" t="s">
        <v>551</v>
      </c>
      <c r="K12" s="2" t="s">
        <v>551</v>
      </c>
    </row>
    <row r="13" spans="1:11" x14ac:dyDescent="0.3">
      <c r="A13" s="4" t="s">
        <v>553</v>
      </c>
      <c r="B13" s="4" t="s">
        <v>564</v>
      </c>
      <c r="C13" s="5" t="s">
        <v>578</v>
      </c>
      <c r="D13" s="4"/>
      <c r="E13" s="4"/>
      <c r="F13" s="4"/>
      <c r="G13" s="4" t="s">
        <v>551</v>
      </c>
      <c r="H13" s="4" t="s">
        <v>551</v>
      </c>
      <c r="I13" s="4" t="s">
        <v>551</v>
      </c>
      <c r="J13" s="4" t="s">
        <v>551</v>
      </c>
      <c r="K13" s="4" t="s">
        <v>551</v>
      </c>
    </row>
    <row r="14" spans="1:11" x14ac:dyDescent="0.3">
      <c r="A14" s="2" t="s">
        <v>553</v>
      </c>
      <c r="B14" s="2" t="s">
        <v>565</v>
      </c>
      <c r="C14" s="3" t="s">
        <v>514</v>
      </c>
      <c r="D14" s="2"/>
      <c r="E14" s="2"/>
      <c r="F14" s="2"/>
      <c r="G14" s="2" t="s">
        <v>551</v>
      </c>
      <c r="H14" s="2" t="s">
        <v>551</v>
      </c>
      <c r="I14" s="2" t="s">
        <v>551</v>
      </c>
      <c r="J14" s="2" t="s">
        <v>551</v>
      </c>
      <c r="K14" s="2" t="s">
        <v>551</v>
      </c>
    </row>
    <row r="15" spans="1:11" x14ac:dyDescent="0.3">
      <c r="A15" s="4" t="s">
        <v>553</v>
      </c>
      <c r="B15" s="4" t="s">
        <v>566</v>
      </c>
      <c r="C15" s="5" t="s">
        <v>579</v>
      </c>
      <c r="D15" s="4"/>
      <c r="E15" s="4"/>
      <c r="F15" s="4"/>
      <c r="G15" s="4" t="s">
        <v>552</v>
      </c>
      <c r="H15" s="4" t="s">
        <v>552</v>
      </c>
      <c r="I15" s="4" t="s">
        <v>551</v>
      </c>
      <c r="J15" s="4" t="s">
        <v>551</v>
      </c>
      <c r="K15" s="4" t="s">
        <v>551</v>
      </c>
    </row>
    <row r="16" spans="1:11" x14ac:dyDescent="0.3">
      <c r="A16" s="2" t="s">
        <v>553</v>
      </c>
      <c r="B16" s="2" t="s">
        <v>567</v>
      </c>
      <c r="C16" s="3" t="s">
        <v>519</v>
      </c>
      <c r="D16" s="2"/>
      <c r="E16" s="2"/>
      <c r="F16" s="2"/>
      <c r="G16" s="2" t="s">
        <v>551</v>
      </c>
      <c r="H16" s="2" t="s">
        <v>551</v>
      </c>
      <c r="I16" s="2" t="s">
        <v>551</v>
      </c>
      <c r="J16" s="2" t="s">
        <v>551</v>
      </c>
      <c r="K16" s="2" t="s">
        <v>551</v>
      </c>
    </row>
    <row r="17" spans="1:11" x14ac:dyDescent="0.3">
      <c r="A17" s="4" t="s">
        <v>553</v>
      </c>
      <c r="B17" s="4" t="s">
        <v>568</v>
      </c>
      <c r="C17" s="5" t="s">
        <v>580</v>
      </c>
      <c r="D17" s="4"/>
      <c r="E17" s="4"/>
      <c r="F17" s="4"/>
      <c r="G17" s="4" t="s">
        <v>551</v>
      </c>
      <c r="H17" s="4" t="s">
        <v>552</v>
      </c>
      <c r="I17" s="4" t="s">
        <v>551</v>
      </c>
      <c r="J17" s="4" t="s">
        <v>551</v>
      </c>
      <c r="K17" s="4" t="s">
        <v>551</v>
      </c>
    </row>
    <row r="18" spans="1:11" x14ac:dyDescent="0.3">
      <c r="A18" s="2" t="s">
        <v>553</v>
      </c>
      <c r="B18" s="2" t="s">
        <v>569</v>
      </c>
      <c r="C18" s="3" t="s">
        <v>581</v>
      </c>
      <c r="D18" s="2"/>
      <c r="E18" s="2"/>
      <c r="F18" s="2"/>
      <c r="G18" s="2" t="s">
        <v>551</v>
      </c>
      <c r="H18" s="2" t="s">
        <v>552</v>
      </c>
      <c r="I18" s="2" t="s">
        <v>551</v>
      </c>
      <c r="J18" s="2" t="s">
        <v>551</v>
      </c>
      <c r="K18" s="2" t="s">
        <v>551</v>
      </c>
    </row>
  </sheetData>
  <hyperlinks>
    <hyperlink ref="C2" r:id="rId1" tooltip="Send a mail to info@scanmalta.com" xr:uid="{00000000-0004-0000-0900-000000000000}"/>
    <hyperlink ref="C3" r:id="rId2" tooltip="Send a mail to sales@klikk.com.mt" xr:uid="{00000000-0004-0000-0900-000001000000}"/>
    <hyperlink ref="C4" r:id="rId3" tooltip="Send a mail to info@gamebreakermalta.com" xr:uid="{00000000-0004-0000-0900-000002000000}"/>
    <hyperlink ref="C5" r:id="rId4" tooltip="Send a mail to marketing@atoz.com.mt" xr:uid="{00000000-0004-0000-0900-000003000000}"/>
    <hyperlink ref="C6" r:id="rId5" tooltip="Send a mail to sales@xpert.mt" xr:uid="{00000000-0004-0000-0900-000004000000}"/>
    <hyperlink ref="C7" r:id="rId6" tooltip="Send a mail to info@computerbargainsmalta.com" xr:uid="{00000000-0004-0000-0900-000005000000}"/>
    <hyperlink ref="C8" r:id="rId7" tooltip="Send a mail to customercare@homemate.com.mt" xr:uid="{00000000-0004-0000-0900-000006000000}"/>
    <hyperlink ref="C9" r:id="rId8" tooltip="Send a mail to info@maltazon.com" xr:uid="{00000000-0004-0000-0900-000007000000}"/>
    <hyperlink ref="C10" r:id="rId9" tooltip="Send a mail to info@forestals.com" xr:uid="{00000000-0004-0000-0900-000008000000}"/>
    <hyperlink ref="C11" r:id="rId10" tooltip="Send a mail to info@topchoice.com.mt" xr:uid="{00000000-0004-0000-0900-000009000000}"/>
    <hyperlink ref="C12" r:id="rId11" tooltip="Send a mail to info@digitalzone.com.mt" xr:uid="{00000000-0004-0000-0900-00000A000000}"/>
    <hyperlink ref="C13" r:id="rId12" tooltip="Send a mail to infosales@intercomp.com.mt" xr:uid="{00000000-0004-0000-0900-00000B000000}"/>
    <hyperlink ref="C14" r:id="rId13" tooltip="Send a mail to website@astral.com.mt" xr:uid="{00000000-0004-0000-0900-00000C000000}"/>
    <hyperlink ref="C15" r:id="rId14" tooltip="Send a mail to info@digiline.mt" xr:uid="{00000000-0004-0000-0900-00000D000000}"/>
    <hyperlink ref="C16" r:id="rId15" tooltip="Send a mail to sales@ultimate.com.mt" xr:uid="{00000000-0004-0000-0900-00000E000000}"/>
    <hyperlink ref="C17" r:id="rId16" tooltip="Send a mail to tabletsandmoreelectronics@yahoo.com" xr:uid="{00000000-0004-0000-0900-00000F000000}"/>
    <hyperlink ref="C18" r:id="rId17" tooltip="Send a mail to info@thenotebookcentre.com.mt" xr:uid="{00000000-0004-0000-0900-000010000000}"/>
  </hyperlink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defaultRowHeight="14.4" x14ac:dyDescent="0.3"/>
  <cols>
    <col min="1" max="1" width="6.33203125" customWidth="1"/>
    <col min="2" max="2" width="15" customWidth="1"/>
    <col min="3" max="3" width="24.5546875" customWidth="1"/>
    <col min="4" max="4" width="18.6640625" customWidth="1"/>
    <col min="5" max="5" width="19.44140625" customWidth="1"/>
    <col min="6" max="6" width="65.6640625" customWidth="1"/>
    <col min="7" max="7" width="17.109375" customWidth="1"/>
    <col min="8" max="8" width="10.109375" customWidth="1"/>
    <col min="9" max="9" width="15" customWidth="1"/>
    <col min="10" max="10" width="9.44140625" customWidth="1"/>
  </cols>
  <sheetData>
    <row r="1" spans="1:10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549</v>
      </c>
      <c r="H1" s="1" t="s">
        <v>5362</v>
      </c>
      <c r="I1" s="1" t="s">
        <v>5360</v>
      </c>
      <c r="J1" s="1" t="s">
        <v>588</v>
      </c>
    </row>
    <row r="2" spans="1:10" x14ac:dyDescent="0.3">
      <c r="A2" s="2" t="s">
        <v>584</v>
      </c>
      <c r="B2" s="2" t="s">
        <v>585</v>
      </c>
      <c r="C2" s="3" t="s">
        <v>586</v>
      </c>
      <c r="D2" s="2" t="str">
        <f>CONCATENATE(HYPERLINK("CALLTO:%2B356%202180%209426", "+356 2180 9426"))</f>
        <v>+356 2180 9426</v>
      </c>
      <c r="E2" s="3" t="s">
        <v>587</v>
      </c>
      <c r="F2" s="3" t="s">
        <v>589</v>
      </c>
      <c r="G2" s="2" t="s">
        <v>551</v>
      </c>
      <c r="H2" s="2" t="s">
        <v>551</v>
      </c>
      <c r="I2" s="2" t="s">
        <v>551</v>
      </c>
      <c r="J2" s="2" t="s">
        <v>552</v>
      </c>
    </row>
  </sheetData>
  <hyperlinks>
    <hyperlink ref="C2" r:id="rId1" tooltip="Send a mail to info@wjadistributors.com" xr:uid="{00000000-0004-0000-0A00-000000000000}"/>
    <hyperlink ref="E2" r:id="rId2" tooltip="Search Dejma Road, Tarxien on Google Maps" xr:uid="{00000000-0004-0000-0A00-000001000000}"/>
    <hyperlink ref="F2" r:id="rId3" tooltip="Visit wjadistributors.com/product/bosch-cross-line-laser-advancedlevel-360/" xr:uid="{00000000-0004-0000-0A00-000002000000}"/>
  </hyperlink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workbookViewId="0"/>
  </sheetViews>
  <sheetFormatPr defaultRowHeight="14.4" x14ac:dyDescent="0.3"/>
  <cols>
    <col min="1" max="1" width="8.88671875" customWidth="1"/>
    <col min="2" max="2" width="30.33203125" customWidth="1"/>
    <col min="3" max="3" width="28" customWidth="1"/>
    <col min="4" max="4" width="29.88671875" customWidth="1"/>
    <col min="5" max="5" width="61" customWidth="1"/>
    <col min="6" max="6" width="120.5546875" customWidth="1"/>
    <col min="7" max="7" width="50" customWidth="1"/>
  </cols>
  <sheetData>
    <row r="1" spans="1:7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5387</v>
      </c>
    </row>
    <row r="2" spans="1:7" x14ac:dyDescent="0.3">
      <c r="A2" s="2" t="s">
        <v>591</v>
      </c>
      <c r="B2" s="2" t="s">
        <v>592</v>
      </c>
      <c r="C2" s="3" t="s">
        <v>605</v>
      </c>
      <c r="D2" s="2" t="str">
        <f>CONCATENATE(HYPERLINK("CALLTO:%2B356%202744%200103", "+356 2744 0103"), " / ", HYPERLINK("CALLTO:%2B356%207744%200103", "+356 7744 0103"))</f>
        <v>+356 2744 0103 / +356 7744 0103</v>
      </c>
      <c r="E2" s="3" t="s">
        <v>618</v>
      </c>
      <c r="F2" s="3" t="s">
        <v>627</v>
      </c>
      <c r="G2" s="2" t="s">
        <v>628</v>
      </c>
    </row>
    <row r="3" spans="1:7" x14ac:dyDescent="0.3">
      <c r="A3" s="4" t="s">
        <v>591</v>
      </c>
      <c r="B3" s="4" t="s">
        <v>593</v>
      </c>
      <c r="C3" s="5" t="s">
        <v>606</v>
      </c>
      <c r="D3" s="4" t="str">
        <f>CONCATENATE(HYPERLINK("CALLTO:%2B356%209905%207464", "+356 9905 7464"))</f>
        <v>+356 9905 7464</v>
      </c>
      <c r="E3" s="5" t="s">
        <v>619</v>
      </c>
      <c r="F3" s="5" t="s">
        <v>629</v>
      </c>
      <c r="G3" s="4" t="s">
        <v>634</v>
      </c>
    </row>
    <row r="4" spans="1:7" x14ac:dyDescent="0.3">
      <c r="A4" s="2" t="s">
        <v>591</v>
      </c>
      <c r="B4" s="2" t="s">
        <v>595</v>
      </c>
      <c r="C4" s="3" t="s">
        <v>607</v>
      </c>
      <c r="D4" s="2" t="str">
        <f>CONCATENATE(HYPERLINK("CALLTO:%2B356%209949%205407", "+356 9949 5407"))</f>
        <v>+356 9949 5407</v>
      </c>
      <c r="E4" s="3" t="s">
        <v>620</v>
      </c>
      <c r="F4" s="3" t="s">
        <v>630</v>
      </c>
      <c r="G4" s="2" t="s">
        <v>635</v>
      </c>
    </row>
    <row r="5" spans="1:7" x14ac:dyDescent="0.3">
      <c r="A5" s="4" t="s">
        <v>591</v>
      </c>
      <c r="B5" s="4" t="s">
        <v>594</v>
      </c>
      <c r="C5" s="5" t="s">
        <v>608</v>
      </c>
      <c r="D5" s="4" t="str">
        <f>CONCATENATE(HYPERLINK("CALLTO:%2B356%207713%201010", "+356 7713 1010"))</f>
        <v>+356 7713 1010</v>
      </c>
      <c r="E5" s="5" t="s">
        <v>621</v>
      </c>
      <c r="F5" s="5" t="s">
        <v>631</v>
      </c>
      <c r="G5" s="4"/>
    </row>
    <row r="6" spans="1:7" x14ac:dyDescent="0.3">
      <c r="A6" s="2" t="s">
        <v>591</v>
      </c>
      <c r="B6" s="2" t="s">
        <v>596</v>
      </c>
      <c r="C6" s="3" t="s">
        <v>609</v>
      </c>
      <c r="D6" s="2" t="str">
        <f>CONCATENATE(HYPERLINK("CALLTO:%2B356%207970%207750", "+356 7970 7750"))</f>
        <v>+356 7970 7750</v>
      </c>
      <c r="E6" s="3" t="s">
        <v>622</v>
      </c>
      <c r="F6" s="3" t="s">
        <v>632</v>
      </c>
      <c r="G6" s="2"/>
    </row>
    <row r="7" spans="1:7" x14ac:dyDescent="0.3">
      <c r="A7" s="4" t="s">
        <v>591</v>
      </c>
      <c r="B7" s="4" t="s">
        <v>597</v>
      </c>
      <c r="C7" s="5" t="s">
        <v>610</v>
      </c>
      <c r="D7" s="4" t="str">
        <f>CONCATENATE(HYPERLINK("CALLTO:%2B356%207941%201384", "+356 7941 1384"))</f>
        <v>+356 7941 1384</v>
      </c>
      <c r="E7" s="5" t="s">
        <v>623</v>
      </c>
      <c r="F7" s="5" t="s">
        <v>633</v>
      </c>
      <c r="G7" s="4"/>
    </row>
    <row r="8" spans="1:7" x14ac:dyDescent="0.3">
      <c r="A8" s="2" t="s">
        <v>591</v>
      </c>
      <c r="B8" s="2" t="s">
        <v>598</v>
      </c>
      <c r="C8" s="3" t="s">
        <v>611</v>
      </c>
      <c r="D8" s="2" t="str">
        <f>CONCATENATE(HYPERLINK("CALLTO:%2B356%209998%207584", "+356 9998 7584"))</f>
        <v>+356 9998 7584</v>
      </c>
      <c r="E8" s="3" t="s">
        <v>624</v>
      </c>
      <c r="F8" s="2"/>
      <c r="G8" s="2"/>
    </row>
    <row r="9" spans="1:7" x14ac:dyDescent="0.3">
      <c r="A9" s="4" t="s">
        <v>591</v>
      </c>
      <c r="B9" s="4" t="s">
        <v>599</v>
      </c>
      <c r="C9" s="5" t="s">
        <v>612</v>
      </c>
      <c r="D9" s="4" t="str">
        <f>CONCATENATE(HYPERLINK("CALLTO:%2B356%207904%209031", "+356 7904 9031"))</f>
        <v>+356 7904 9031</v>
      </c>
      <c r="E9" s="5" t="s">
        <v>625</v>
      </c>
      <c r="F9" s="4"/>
      <c r="G9" s="4"/>
    </row>
    <row r="10" spans="1:7" x14ac:dyDescent="0.3">
      <c r="A10" s="2" t="s">
        <v>591</v>
      </c>
      <c r="B10" s="2" t="s">
        <v>600</v>
      </c>
      <c r="C10" s="3" t="s">
        <v>613</v>
      </c>
      <c r="D10" s="2" t="str">
        <f>CONCATENATE(HYPERLINK("CALLTO:%2B356%209949%206777", "+356 9949 6777"))</f>
        <v>+356 9949 6777</v>
      </c>
      <c r="E10" s="3" t="s">
        <v>626</v>
      </c>
      <c r="F10" s="2"/>
      <c r="G10" s="2"/>
    </row>
    <row r="11" spans="1:7" x14ac:dyDescent="0.3">
      <c r="A11" s="4" t="s">
        <v>591</v>
      </c>
      <c r="B11" s="4" t="s">
        <v>601</v>
      </c>
      <c r="C11" s="5" t="s">
        <v>614</v>
      </c>
      <c r="D11" s="4" t="str">
        <f>CONCATENATE(HYPERLINK("CALLTO:%2B356%209902%202336", "+356 9902 2336"))</f>
        <v>+356 9902 2336</v>
      </c>
      <c r="E11" s="4"/>
      <c r="F11" s="4"/>
      <c r="G11" s="4"/>
    </row>
    <row r="12" spans="1:7" x14ac:dyDescent="0.3">
      <c r="A12" s="2" t="s">
        <v>591</v>
      </c>
      <c r="B12" s="2" t="s">
        <v>602</v>
      </c>
      <c r="C12" s="3" t="s">
        <v>615</v>
      </c>
      <c r="D12" s="2" t="str">
        <f>CONCATENATE(HYPERLINK("CALLTO:%2B356%209999%205037", "+356 9999 5037"))</f>
        <v>+356 9999 5037</v>
      </c>
      <c r="E12" s="2"/>
      <c r="F12" s="2"/>
      <c r="G12" s="2"/>
    </row>
    <row r="13" spans="1:7" x14ac:dyDescent="0.3">
      <c r="A13" s="4" t="s">
        <v>591</v>
      </c>
      <c r="B13" s="4" t="s">
        <v>603</v>
      </c>
      <c r="C13" s="5" t="s">
        <v>616</v>
      </c>
      <c r="D13" s="4" t="str">
        <f>CONCATENATE(HYPERLINK("CALLTO:%2B356%209929%205479", "+356 9929 5479"))</f>
        <v>+356 9929 5479</v>
      </c>
      <c r="E13" s="4"/>
      <c r="F13" s="4"/>
      <c r="G13" s="4"/>
    </row>
    <row r="14" spans="1:7" x14ac:dyDescent="0.3">
      <c r="A14" s="2" t="s">
        <v>591</v>
      </c>
      <c r="B14" s="2" t="s">
        <v>604</v>
      </c>
      <c r="C14" s="3" t="s">
        <v>617</v>
      </c>
      <c r="D14" s="2"/>
      <c r="E14" s="2"/>
      <c r="F14" s="2"/>
      <c r="G14" s="2"/>
    </row>
  </sheetData>
  <hyperlinks>
    <hyperlink ref="C2" r:id="rId1" tooltip="Send a mail to info@surveyingmalta.com" xr:uid="{00000000-0004-0000-0B00-000000000000}"/>
    <hyperlink ref="C3" r:id="rId2" tooltip="Send a mail to chris@cmsurveying.com.mt" xr:uid="{00000000-0004-0000-0B00-000001000000}"/>
    <hyperlink ref="C4" r:id="rId3" tooltip="Send a mail to info@matsurv.eu" xr:uid="{00000000-0004-0000-0B00-000002000000}"/>
    <hyperlink ref="C5" r:id="rId4" tooltip="Send a mail to ncsurveying23@gmail.com" xr:uid="{00000000-0004-0000-0B00-000003000000}"/>
    <hyperlink ref="C6" r:id="rId5" tooltip="Send a mail to alan@micallefsurveying.com" xr:uid="{00000000-0004-0000-0B00-000004000000}"/>
    <hyperlink ref="C7" r:id="rId6" tooltip="Send a mail to arsurveyingmalta@gmail.com" xr:uid="{00000000-0004-0000-0B00-000005000000}"/>
    <hyperlink ref="C8" r:id="rId7" tooltip="Send a mail to info@atlas-surveying.com" xr:uid="{00000000-0004-0000-0B00-000006000000}"/>
    <hyperlink ref="C9" r:id="rId8" tooltip="Send a mail to impact.design.18@gmail.com" xr:uid="{00000000-0004-0000-0B00-000007000000}"/>
    <hyperlink ref="C10" r:id="rId9" tooltip="Send a mail to lms@onvol.net" xr:uid="{00000000-0004-0000-0B00-000008000000}"/>
    <hyperlink ref="C11" r:id="rId10" tooltip="Send a mail to surveying.da@gmail.com" xr:uid="{00000000-0004-0000-0B00-000009000000}"/>
    <hyperlink ref="C12" r:id="rId11" tooltip="Send a mail to ellulsrv@gmail.com" xr:uid="{00000000-0004-0000-0B00-00000A000000}"/>
    <hyperlink ref="C13" r:id="rId12" tooltip="Send a mail to maltasurveys.rs@gmail.com" xr:uid="{00000000-0004-0000-0B00-00000B000000}"/>
    <hyperlink ref="C14" r:id="rId13" tooltip="Send a mail to chris@pss-dna.com" xr:uid="{00000000-0004-0000-0B00-00000C000000}"/>
    <hyperlink ref="E2" r:id="rId14" tooltip="Search 8, Triq il-Laring, Attard, ATD 2531 Malta on Google Maps" xr:uid="{00000000-0004-0000-0B00-00000D000000}"/>
    <hyperlink ref="E3" r:id="rId15" tooltip="Search No. 2, Triq Papa Piju XII, Birkirkara, Malta. on Google Maps" xr:uid="{00000000-0004-0000-0B00-00000E000000}"/>
    <hyperlink ref="E4" r:id="rId16" tooltip="Search 89, Suite 1, ATL Business Centre, Triq Il-Kanun, Santa Venera, Malta on Google Maps" xr:uid="{00000000-0004-0000-0B00-00000F000000}"/>
    <hyperlink ref="E5" r:id="rId17" tooltip="Search NC Surveying_x000a_1 Joelle Triq Dun Guzepp Demicoli ,_x000a_Ghaxaq, Malta on Google Maps" xr:uid="{00000000-0004-0000-0B00-000010000000}"/>
    <hyperlink ref="E6" r:id="rId18" tooltip="Search Alan Micallef Surveying Services_x000a_67 Flat 1 Triq Vince Dimech ,_x000a_Zurrieq, Malta ZRQ 2402 on Google Maps" xr:uid="{00000000-0004-0000-0B00-000011000000}"/>
    <hyperlink ref="E7" r:id="rId19" tooltip="Search AR Surveying_x000a_Triq it-Tahhan ,_x000a_B’Kara, Malta on Google Maps" xr:uid="{00000000-0004-0000-0B00-000012000000}"/>
    <hyperlink ref="E8" r:id="rId20" tooltip="Search 182 Triq Bormla_x000a_Paola, PLA 1905, MT, on Google Maps" xr:uid="{00000000-0004-0000-0B00-000013000000}"/>
    <hyperlink ref="E9" r:id="rId21" tooltip="Search IMPACT design_x000a_56 Triq il-Vittmi tal-Gwerra Swatar ,_x000a_B’Kara, Malta on Google Maps" xr:uid="{00000000-0004-0000-0B00-000014000000}"/>
    <hyperlink ref="E10" r:id="rId22" tooltip="Search Peter P Caruana_x000a_Shamrock Triq ta’ Giorni ,_x000a_San Giljan, Malta STJ 1615 on Google Maps" xr:uid="{00000000-0004-0000-0B00-000015000000}"/>
    <hyperlink ref="F2" location="Surveyors!https://Geomatix Surveying" tooltip="Visit Geomatix Surveying" display="Geomatix Surveying" xr:uid="{00000000-0004-0000-0B00-000016000000}"/>
    <hyperlink ref="F3" r:id="rId23" tooltip="Visit cmsurveying.com/" xr:uid="{00000000-0004-0000-0B00-000017000000}"/>
    <hyperlink ref="F4" r:id="rId24" tooltip="Visit facebook.com/matsurv/" xr:uid="{00000000-0004-0000-0B00-000018000000}"/>
    <hyperlink ref="F5" r:id="rId25" tooltip="Visit facebook.com/profile.php?id=100063536049877&amp;utm_source=Yellow&amp;utm_medium=Yellow-Website&amp;utm_campaign=Landing-Page" xr:uid="{00000000-0004-0000-0B00-000019000000}"/>
    <hyperlink ref="F6" r:id="rId26" tooltip="Visit atlas-surveying.com/?utm_source=Yellow&amp;utm_medium=Yellow-Website&amp;utm_campaign=Landing-Page" xr:uid="{00000000-0004-0000-0B00-00001A000000}"/>
    <hyperlink ref="F7" r:id="rId27" tooltip="Visit checkyourtraders.com/listing/__trashed-19?fromCat=property-surveyor-surveying" xr:uid="{00000000-0004-0000-0B00-00001B000000}"/>
  </hyperlink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defaultRowHeight="14.4" x14ac:dyDescent="0.3"/>
  <cols>
    <col min="1" max="1" width="136.44140625" customWidth="1"/>
    <col min="2" max="2" width="29.44140625" customWidth="1"/>
    <col min="3" max="3" width="26.5546875" customWidth="1"/>
    <col min="4" max="4" width="31.33203125" customWidth="1"/>
    <col min="5" max="5" width="30.88671875" customWidth="1"/>
    <col min="6" max="6" width="11" customWidth="1"/>
  </cols>
  <sheetData>
    <row r="1" spans="1:6" ht="18" x14ac:dyDescent="0.35">
      <c r="A1" s="1" t="s">
        <v>5384</v>
      </c>
      <c r="B1" s="1" t="s">
        <v>25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636</v>
      </c>
      <c r="B2" s="2" t="s">
        <v>647</v>
      </c>
      <c r="C2" s="3" t="s">
        <v>654</v>
      </c>
      <c r="D2" s="2" t="str">
        <f>CONCATENATE(HYPERLINK("CALLTO:%2B356%202168%2035589945716299493311", "+356 2168 35589945716299493311"))</f>
        <v>+356 2168 35589945716299493311</v>
      </c>
      <c r="E2" s="3" t="s">
        <v>661</v>
      </c>
      <c r="F2" s="2"/>
    </row>
    <row r="3" spans="1:6" x14ac:dyDescent="0.3">
      <c r="A3" s="4" t="s">
        <v>636</v>
      </c>
      <c r="B3" s="4" t="s">
        <v>648</v>
      </c>
      <c r="C3" s="5" t="s">
        <v>655</v>
      </c>
      <c r="D3" s="4" t="str">
        <f>CONCATENATE(HYPERLINK("CALLTO:%2B356%202749%20222299490220", "+356 2749 222299490220"))</f>
        <v>+356 2749 222299490220</v>
      </c>
      <c r="E3" s="5" t="s">
        <v>662</v>
      </c>
      <c r="F3" s="4"/>
    </row>
    <row r="4" spans="1:6" x14ac:dyDescent="0.3">
      <c r="A4" s="2" t="s">
        <v>636</v>
      </c>
      <c r="B4" s="2" t="s">
        <v>649</v>
      </c>
      <c r="C4" s="3" t="s">
        <v>656</v>
      </c>
      <c r="D4" s="2" t="str">
        <f>CONCATENATE(HYPERLINK("CALLTO:%2B356%202165%20147599495236", "+356 2165 147599495236"))</f>
        <v>+356 2165 147599495236</v>
      </c>
      <c r="E4" s="3" t="s">
        <v>663</v>
      </c>
      <c r="F4" s="2"/>
    </row>
    <row r="5" spans="1:6" x14ac:dyDescent="0.3">
      <c r="A5" s="4" t="s">
        <v>636</v>
      </c>
      <c r="B5" s="4" t="s">
        <v>650</v>
      </c>
      <c r="C5" s="5" t="s">
        <v>657</v>
      </c>
      <c r="D5" s="4" t="str">
        <f>CONCATENATE(HYPERLINK("CALLTO:%2B356%202189%2060239949503599477294", "+356 2189 60239949503599477294"))</f>
        <v>+356 2189 60239949503599477294</v>
      </c>
      <c r="E5" s="5" t="s">
        <v>664</v>
      </c>
      <c r="F5" s="4"/>
    </row>
    <row r="6" spans="1:6" x14ac:dyDescent="0.3">
      <c r="A6" s="2" t="s">
        <v>636</v>
      </c>
      <c r="B6" s="2" t="s">
        <v>651</v>
      </c>
      <c r="C6" s="3" t="s">
        <v>658</v>
      </c>
      <c r="D6" s="2" t="str">
        <f>CONCATENATE(HYPERLINK("CALLTO:%2B356%202144%20444179444441", "+356 2144 444179444441"))</f>
        <v>+356 2144 444179444441</v>
      </c>
      <c r="E6" s="3" t="s">
        <v>665</v>
      </c>
      <c r="F6" s="2"/>
    </row>
    <row r="7" spans="1:6" x14ac:dyDescent="0.3">
      <c r="A7" s="4" t="s">
        <v>636</v>
      </c>
      <c r="B7" s="4" t="s">
        <v>652</v>
      </c>
      <c r="C7" s="5" t="s">
        <v>659</v>
      </c>
      <c r="D7" s="4" t="str">
        <f>CONCATENATE(HYPERLINK("CALLTO:%2B356%202166%20785779442804", "+356 2166 785779442804"))</f>
        <v>+356 2166 785779442804</v>
      </c>
      <c r="E7" s="5" t="s">
        <v>666</v>
      </c>
      <c r="F7" s="4"/>
    </row>
    <row r="8" spans="1:6" x14ac:dyDescent="0.3">
      <c r="A8" s="2" t="s">
        <v>636</v>
      </c>
      <c r="B8" s="2" t="s">
        <v>653</v>
      </c>
      <c r="C8" s="3" t="s">
        <v>660</v>
      </c>
      <c r="D8" s="2" t="str">
        <f>CONCATENATE(HYPERLINK("CALLTO:%2B356%202169%207766", "+356 2169 7766"))</f>
        <v>+356 2169 7766</v>
      </c>
      <c r="E8" s="3" t="s">
        <v>668</v>
      </c>
      <c r="F8" s="2"/>
    </row>
    <row r="9" spans="1:6" x14ac:dyDescent="0.3">
      <c r="A9" s="4" t="s">
        <v>637</v>
      </c>
      <c r="B9" s="4"/>
      <c r="C9" s="4"/>
      <c r="D9" s="4"/>
      <c r="E9" s="4"/>
      <c r="F9" s="4"/>
    </row>
    <row r="10" spans="1:6" x14ac:dyDescent="0.3">
      <c r="A10" s="2" t="s">
        <v>638</v>
      </c>
      <c r="B10" s="2"/>
      <c r="C10" s="2"/>
      <c r="D10" s="2"/>
      <c r="E10" s="2"/>
      <c r="F10" s="2"/>
    </row>
    <row r="11" spans="1:6" x14ac:dyDescent="0.3">
      <c r="A11" s="4" t="s">
        <v>639</v>
      </c>
      <c r="B11" s="4"/>
      <c r="C11" s="4"/>
      <c r="D11" s="4"/>
      <c r="E11" s="4"/>
      <c r="F11" s="4"/>
    </row>
    <row r="12" spans="1:6" x14ac:dyDescent="0.3">
      <c r="A12" s="2" t="s">
        <v>640</v>
      </c>
      <c r="B12" s="2"/>
      <c r="C12" s="2"/>
      <c r="D12" s="2"/>
      <c r="E12" s="2"/>
      <c r="F12" s="2"/>
    </row>
    <row r="13" spans="1:6" x14ac:dyDescent="0.3">
      <c r="A13" s="4" t="s">
        <v>641</v>
      </c>
      <c r="B13" s="4"/>
      <c r="C13" s="4"/>
      <c r="D13" s="4"/>
      <c r="E13" s="4"/>
      <c r="F13" s="4"/>
    </row>
    <row r="14" spans="1:6" x14ac:dyDescent="0.3">
      <c r="A14" s="2" t="s">
        <v>642</v>
      </c>
      <c r="B14" s="2"/>
      <c r="C14" s="2"/>
      <c r="D14" s="2"/>
      <c r="E14" s="2"/>
      <c r="F14" s="2"/>
    </row>
    <row r="15" spans="1:6" x14ac:dyDescent="0.3">
      <c r="A15" s="4" t="s">
        <v>643</v>
      </c>
      <c r="B15" s="4"/>
      <c r="C15" s="4"/>
      <c r="D15" s="4"/>
      <c r="E15" s="4"/>
      <c r="F15" s="4"/>
    </row>
    <row r="16" spans="1:6" x14ac:dyDescent="0.3">
      <c r="A16" s="2" t="s">
        <v>644</v>
      </c>
      <c r="B16" s="2"/>
      <c r="C16" s="2"/>
      <c r="D16" s="2"/>
      <c r="E16" s="2"/>
      <c r="F16" s="2"/>
    </row>
    <row r="17" spans="1:6" x14ac:dyDescent="0.3">
      <c r="A17" s="4" t="s">
        <v>645</v>
      </c>
      <c r="B17" s="4"/>
      <c r="C17" s="4"/>
      <c r="D17" s="4"/>
      <c r="E17" s="4"/>
      <c r="F17" s="4"/>
    </row>
    <row r="18" spans="1:6" x14ac:dyDescent="0.3">
      <c r="A18" s="2" t="s">
        <v>646</v>
      </c>
      <c r="B18" s="2"/>
      <c r="C18" s="2"/>
      <c r="D18" s="2"/>
      <c r="E18" s="2"/>
      <c r="F18" s="2"/>
    </row>
  </sheetData>
  <hyperlinks>
    <hyperlink ref="C2" r:id="rId1" tooltip="Send a mail to johnghigo53@gmail.com" xr:uid="{00000000-0004-0000-0C00-000000000000}"/>
    <hyperlink ref="C3" r:id="rId2" tooltip="Send a mail to freduautoparts@melita.com" xr:uid="{00000000-0004-0000-0C00-000001000000}"/>
    <hyperlink ref="C4" r:id="rId3" tooltip="Send a mail to gasparell.b@gmail.com" xr:uid="{00000000-0004-0000-0C00-000002000000}"/>
    <hyperlink ref="C5" r:id="rId4" tooltip="Send a mail to criszu75@gmail.com" xr:uid="{00000000-0004-0000-0C00-000003000000}"/>
    <hyperlink ref="C6" r:id="rId5" tooltip="Send a mail to repairs@mile-end.mt" xr:uid="{00000000-0004-0000-0C00-000004000000}"/>
    <hyperlink ref="C7" r:id="rId6" tooltip="Send a mail to info@ddeattard.com" xr:uid="{00000000-0004-0000-0C00-000005000000}"/>
    <hyperlink ref="C8" r:id="rId7" tooltip="Send a mail to rocagoltd@gmail.com" xr:uid="{00000000-0004-0000-0C00-000006000000}"/>
    <hyperlink ref="E2" r:id="rId8" tooltip="Search Limits of Kirkop on Google Maps" xr:uid="{00000000-0004-0000-0C00-000007000000}"/>
    <hyperlink ref="E3" r:id="rId9" tooltip="Search Plot, 6/7, Nassab Street, Qormi on Google Maps" xr:uid="{00000000-0004-0000-0C00-000008000000}"/>
    <hyperlink ref="E4" r:id="rId10" tooltip="Search Ħal Far Ind Estate, Birzebbuga on Google Maps" xr:uid="{00000000-0004-0000-0C00-000009000000}"/>
    <hyperlink ref="E5" r:id="rId11" tooltip="Search 31, Wied Ghammieq Road_x000a_Kalkara on Google Maps" xr:uid="{00000000-0004-0000-0C00-00000A000000}"/>
    <hyperlink ref="E6" r:id="rId12" tooltip="Search 19/20/47, Triq l-Inginerija ma’Triq_x000a_l-Iskola Teknika, Mriehel,_x000a_Birkirkara on Google Maps" xr:uid="{00000000-0004-0000-0C00-00000B000000}"/>
    <hyperlink ref="E7" r:id="rId13" tooltip="Search Scrap Lane, Valletta Road, Luqa,_x000a_LQA 1764 on Google Maps" xr:uid="{00000000-0004-0000-0C00-00000C000000}"/>
    <hyperlink ref="E8" r:id="rId14" tooltip="Search Triq Tal-Barrani, Zejtun on Google Maps" xr:uid="{00000000-0004-0000-0C00-00000D000000}"/>
  </hyperlink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0"/>
  <sheetViews>
    <sheetView workbookViewId="0"/>
  </sheetViews>
  <sheetFormatPr defaultRowHeight="14.4" x14ac:dyDescent="0.3"/>
  <cols>
    <col min="1" max="1" width="11.44140625" customWidth="1"/>
    <col min="2" max="2" width="40" customWidth="1"/>
    <col min="3" max="3" width="33.88671875" customWidth="1"/>
    <col min="4" max="4" width="18.6640625" customWidth="1"/>
    <col min="5" max="5" width="48.5546875" customWidth="1"/>
    <col min="6" max="6" width="21.88671875" customWidth="1"/>
  </cols>
  <sheetData>
    <row r="1" spans="1:6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669</v>
      </c>
      <c r="B2" s="2" t="s">
        <v>667</v>
      </c>
      <c r="C2" s="3" t="s">
        <v>698</v>
      </c>
      <c r="D2" s="2" t="str">
        <f>CONCATENATE(HYPERLINK("CALLTO:%2B356%209944%201703", "+356 9944 1703"))</f>
        <v>+356 9944 1703</v>
      </c>
      <c r="E2" s="3" t="s">
        <v>727</v>
      </c>
      <c r="F2" s="3" t="s">
        <v>736</v>
      </c>
    </row>
    <row r="3" spans="1:6" x14ac:dyDescent="0.3">
      <c r="A3" s="4" t="s">
        <v>669</v>
      </c>
      <c r="B3" s="4" t="s">
        <v>671</v>
      </c>
      <c r="C3" s="5" t="s">
        <v>700</v>
      </c>
      <c r="D3" s="4" t="str">
        <f>CONCATENATE(HYPERLINK("CALLTO:%2B356%202123%204567", "+356 2123 4567"))</f>
        <v>+356 2123 4567</v>
      </c>
      <c r="E3" s="5" t="s">
        <v>728</v>
      </c>
      <c r="F3" s="5" t="s">
        <v>741</v>
      </c>
    </row>
    <row r="4" spans="1:6" x14ac:dyDescent="0.3">
      <c r="A4" s="2" t="s">
        <v>669</v>
      </c>
      <c r="B4" s="2" t="s">
        <v>672</v>
      </c>
      <c r="C4" s="3" t="s">
        <v>699</v>
      </c>
      <c r="D4" s="2" t="str">
        <f>CONCATENATE(HYPERLINK("CALLTO:%2B356%202145%206789", "+356 2145 6789"))</f>
        <v>+356 2145 6789</v>
      </c>
      <c r="E4" s="3" t="s">
        <v>729</v>
      </c>
      <c r="F4" s="3" t="s">
        <v>740</v>
      </c>
    </row>
    <row r="5" spans="1:6" x14ac:dyDescent="0.3">
      <c r="A5" s="4" t="s">
        <v>669</v>
      </c>
      <c r="B5" s="4" t="s">
        <v>673</v>
      </c>
      <c r="C5" s="5" t="s">
        <v>701</v>
      </c>
      <c r="D5" s="4" t="str">
        <f>CONCATENATE(HYPERLINK("CALLTO:%2B356%202134%205678", "+356 2134 5678"))</f>
        <v>+356 2134 5678</v>
      </c>
      <c r="E5" s="5" t="s">
        <v>730</v>
      </c>
      <c r="F5" s="5" t="s">
        <v>742</v>
      </c>
    </row>
    <row r="6" spans="1:6" x14ac:dyDescent="0.3">
      <c r="A6" s="2" t="s">
        <v>669</v>
      </c>
      <c r="B6" s="2" t="s">
        <v>674</v>
      </c>
      <c r="C6" s="3" t="s">
        <v>702</v>
      </c>
      <c r="D6" s="2" t="str">
        <f>CONCATENATE(HYPERLINK("CALLTO:%2B356%202165%204321", "+356 2165 4321"))</f>
        <v>+356 2165 4321</v>
      </c>
      <c r="E6" s="3" t="s">
        <v>731</v>
      </c>
      <c r="F6" s="3" t="s">
        <v>743</v>
      </c>
    </row>
    <row r="7" spans="1:6" x14ac:dyDescent="0.3">
      <c r="A7" s="4" t="s">
        <v>669</v>
      </c>
      <c r="B7" s="4" t="s">
        <v>675</v>
      </c>
      <c r="C7" s="5" t="s">
        <v>703</v>
      </c>
      <c r="D7" s="4" t="str">
        <f>CONCATENATE(HYPERLINK("CALLTO:%2B356%202146%208789", "+356 2146 8789"))</f>
        <v>+356 2146 8789</v>
      </c>
      <c r="E7" s="5" t="s">
        <v>726</v>
      </c>
      <c r="F7" s="5" t="s">
        <v>744</v>
      </c>
    </row>
    <row r="8" spans="1:6" x14ac:dyDescent="0.3">
      <c r="A8" s="2" t="s">
        <v>669</v>
      </c>
      <c r="B8" s="2" t="s">
        <v>670</v>
      </c>
      <c r="C8" s="3" t="s">
        <v>704</v>
      </c>
      <c r="D8" s="2" t="str">
        <f>CONCATENATE(HYPERLINK("CALLTO:%2B356%202146%206668", "+356 2146 6668"))</f>
        <v>+356 2146 6668</v>
      </c>
      <c r="E8" s="3" t="s">
        <v>732</v>
      </c>
      <c r="F8" s="3" t="s">
        <v>746</v>
      </c>
    </row>
    <row r="9" spans="1:6" x14ac:dyDescent="0.3">
      <c r="A9" s="4" t="s">
        <v>669</v>
      </c>
      <c r="B9" s="4" t="s">
        <v>677</v>
      </c>
      <c r="C9" s="5" t="s">
        <v>705</v>
      </c>
      <c r="D9" s="4" t="str">
        <f>CONCATENATE(HYPERLINK("CALLTO:%2B356%209999%204120", "+356 9999 4120"))</f>
        <v>+356 9999 4120</v>
      </c>
      <c r="E9" s="5" t="s">
        <v>732</v>
      </c>
      <c r="F9" s="5" t="s">
        <v>747</v>
      </c>
    </row>
    <row r="10" spans="1:6" x14ac:dyDescent="0.3">
      <c r="A10" s="2" t="s">
        <v>669</v>
      </c>
      <c r="B10" s="2" t="s">
        <v>678</v>
      </c>
      <c r="C10" s="3" t="s">
        <v>707</v>
      </c>
      <c r="D10" s="2" t="str">
        <f>CONCATENATE(HYPERLINK("CALLTO:%2B356%202144%204348", "+356 2144 4348"))</f>
        <v>+356 2144 4348</v>
      </c>
      <c r="E10" s="3" t="s">
        <v>734</v>
      </c>
      <c r="F10" s="3" t="s">
        <v>748</v>
      </c>
    </row>
    <row r="11" spans="1:6" x14ac:dyDescent="0.3">
      <c r="A11" s="4" t="s">
        <v>669</v>
      </c>
      <c r="B11" s="4" t="s">
        <v>679</v>
      </c>
      <c r="C11" s="5" t="s">
        <v>706</v>
      </c>
      <c r="D11" s="4" t="str">
        <f>CONCATENATE(HYPERLINK("CALLTO:%2B356%202347%202994", "+356 2347 2994"))</f>
        <v>+356 2347 2994</v>
      </c>
      <c r="E11" s="5" t="s">
        <v>733</v>
      </c>
      <c r="F11" s="5" t="s">
        <v>749</v>
      </c>
    </row>
    <row r="12" spans="1:6" x14ac:dyDescent="0.3">
      <c r="A12" s="2" t="s">
        <v>669</v>
      </c>
      <c r="B12" s="2" t="s">
        <v>680</v>
      </c>
      <c r="C12" s="3" t="s">
        <v>709</v>
      </c>
      <c r="D12" s="2" t="str">
        <f>CONCATENATE(HYPERLINK("CALLTO:%2B356%202189%207912", "+356 2189 7912"))</f>
        <v>+356 2189 7912</v>
      </c>
      <c r="E12" s="3" t="s">
        <v>735</v>
      </c>
      <c r="F12" s="3" t="s">
        <v>745</v>
      </c>
    </row>
    <row r="13" spans="1:6" x14ac:dyDescent="0.3">
      <c r="A13" s="4" t="s">
        <v>669</v>
      </c>
      <c r="B13" s="4" t="s">
        <v>681</v>
      </c>
      <c r="C13" s="5" t="s">
        <v>708</v>
      </c>
      <c r="D13" s="4" t="str">
        <f>CONCATENATE(HYPERLINK("CALLTO:%2B356%202146%204761", "+356 2146 4761"))</f>
        <v>+356 2146 4761</v>
      </c>
      <c r="E13" s="5" t="s">
        <v>737</v>
      </c>
      <c r="F13" s="5" t="s">
        <v>750</v>
      </c>
    </row>
    <row r="14" spans="1:6" x14ac:dyDescent="0.3">
      <c r="A14" s="2" t="s">
        <v>669</v>
      </c>
      <c r="B14" s="2" t="s">
        <v>682</v>
      </c>
      <c r="C14" s="3" t="s">
        <v>710</v>
      </c>
      <c r="D14" s="2" t="str">
        <f>CONCATENATE(HYPERLINK("CALLTO:%2B356%209947%202191", "+356 9947 2191"))</f>
        <v>+356 9947 2191</v>
      </c>
      <c r="E14" s="3" t="s">
        <v>738</v>
      </c>
      <c r="F14" s="3" t="s">
        <v>751</v>
      </c>
    </row>
    <row r="15" spans="1:6" x14ac:dyDescent="0.3">
      <c r="A15" s="4" t="s">
        <v>669</v>
      </c>
      <c r="B15" s="4" t="s">
        <v>683</v>
      </c>
      <c r="C15" s="5" t="s">
        <v>711</v>
      </c>
      <c r="D15" s="4" t="str">
        <f>CONCATENATE(HYPERLINK("CALLTO:%2B356%202167%208608", "+356 2167 8608"))</f>
        <v>+356 2167 8608</v>
      </c>
      <c r="E15" s="5" t="s">
        <v>739</v>
      </c>
      <c r="F15" s="5" t="s">
        <v>752</v>
      </c>
    </row>
    <row r="16" spans="1:6" x14ac:dyDescent="0.3">
      <c r="A16" s="2" t="s">
        <v>669</v>
      </c>
      <c r="B16" s="2" t="s">
        <v>676</v>
      </c>
      <c r="C16" s="3" t="s">
        <v>712</v>
      </c>
      <c r="D16" s="2" t="str">
        <f>CONCATENATE(HYPERLINK("CALLTO:%2B356%209977%200099", "+356 9977 0099"))</f>
        <v>+356 9977 0099</v>
      </c>
      <c r="E16" s="2"/>
      <c r="F16" s="2"/>
    </row>
    <row r="17" spans="1:6" x14ac:dyDescent="0.3">
      <c r="A17" s="4" t="s">
        <v>669</v>
      </c>
      <c r="B17" s="4" t="s">
        <v>684</v>
      </c>
      <c r="C17" s="5" t="s">
        <v>713</v>
      </c>
      <c r="D17" s="4"/>
      <c r="E17" s="4"/>
      <c r="F17" s="4"/>
    </row>
    <row r="18" spans="1:6" x14ac:dyDescent="0.3">
      <c r="A18" s="2" t="s">
        <v>669</v>
      </c>
      <c r="B18" s="2" t="s">
        <v>685</v>
      </c>
      <c r="C18" s="3" t="s">
        <v>714</v>
      </c>
      <c r="D18" s="2"/>
      <c r="E18" s="2"/>
      <c r="F18" s="2"/>
    </row>
    <row r="19" spans="1:6" x14ac:dyDescent="0.3">
      <c r="A19" s="4" t="s">
        <v>669</v>
      </c>
      <c r="B19" s="4" t="s">
        <v>686</v>
      </c>
      <c r="C19" s="5" t="s">
        <v>715</v>
      </c>
      <c r="D19" s="4"/>
      <c r="E19" s="4"/>
      <c r="F19" s="4"/>
    </row>
    <row r="20" spans="1:6" x14ac:dyDescent="0.3">
      <c r="A20" s="2" t="s">
        <v>669</v>
      </c>
      <c r="B20" s="2" t="s">
        <v>687</v>
      </c>
      <c r="C20" s="3" t="s">
        <v>716</v>
      </c>
      <c r="D20" s="2"/>
      <c r="E20" s="2"/>
      <c r="F20" s="2"/>
    </row>
    <row r="21" spans="1:6" x14ac:dyDescent="0.3">
      <c r="A21" s="4" t="s">
        <v>669</v>
      </c>
      <c r="B21" s="4" t="s">
        <v>688</v>
      </c>
      <c r="C21" s="5" t="s">
        <v>717</v>
      </c>
      <c r="D21" s="4"/>
      <c r="E21" s="4"/>
      <c r="F21" s="4"/>
    </row>
    <row r="22" spans="1:6" x14ac:dyDescent="0.3">
      <c r="A22" s="2" t="s">
        <v>669</v>
      </c>
      <c r="B22" s="2" t="s">
        <v>689</v>
      </c>
      <c r="C22" s="3" t="s">
        <v>718</v>
      </c>
      <c r="D22" s="2"/>
      <c r="E22" s="2"/>
      <c r="F22" s="2"/>
    </row>
    <row r="23" spans="1:6" x14ac:dyDescent="0.3">
      <c r="A23" s="4" t="s">
        <v>669</v>
      </c>
      <c r="B23" s="4" t="s">
        <v>690</v>
      </c>
      <c r="C23" s="5" t="s">
        <v>719</v>
      </c>
      <c r="D23" s="4"/>
      <c r="E23" s="4"/>
      <c r="F23" s="4"/>
    </row>
    <row r="24" spans="1:6" x14ac:dyDescent="0.3">
      <c r="A24" s="2" t="s">
        <v>669</v>
      </c>
      <c r="B24" s="2" t="s">
        <v>691</v>
      </c>
      <c r="C24" s="3" t="s">
        <v>720</v>
      </c>
      <c r="D24" s="2"/>
      <c r="E24" s="2"/>
      <c r="F24" s="2"/>
    </row>
    <row r="25" spans="1:6" x14ac:dyDescent="0.3">
      <c r="A25" s="4" t="s">
        <v>669</v>
      </c>
      <c r="B25" s="4" t="s">
        <v>692</v>
      </c>
      <c r="C25" s="5" t="s">
        <v>721</v>
      </c>
      <c r="D25" s="4"/>
      <c r="E25" s="4"/>
      <c r="F25" s="4"/>
    </row>
    <row r="26" spans="1:6" x14ac:dyDescent="0.3">
      <c r="A26" s="2"/>
      <c r="B26" s="2" t="s">
        <v>693</v>
      </c>
      <c r="C26" s="3" t="s">
        <v>722</v>
      </c>
      <c r="D26" s="2"/>
      <c r="E26" s="2"/>
      <c r="F26" s="2"/>
    </row>
    <row r="27" spans="1:6" x14ac:dyDescent="0.3">
      <c r="A27" s="4"/>
      <c r="B27" s="4" t="s">
        <v>694</v>
      </c>
      <c r="C27" s="5" t="s">
        <v>723</v>
      </c>
      <c r="D27" s="4"/>
      <c r="E27" s="4"/>
      <c r="F27" s="4"/>
    </row>
    <row r="28" spans="1:6" x14ac:dyDescent="0.3">
      <c r="A28" s="2"/>
      <c r="B28" s="2" t="s">
        <v>695</v>
      </c>
      <c r="C28" s="3" t="s">
        <v>724</v>
      </c>
      <c r="D28" s="2"/>
      <c r="E28" s="2"/>
      <c r="F28" s="2"/>
    </row>
    <row r="29" spans="1:6" x14ac:dyDescent="0.3">
      <c r="A29" s="4"/>
      <c r="B29" s="4" t="s">
        <v>696</v>
      </c>
      <c r="C29" s="5" t="s">
        <v>725</v>
      </c>
      <c r="D29" s="4"/>
      <c r="E29" s="4"/>
      <c r="F29" s="4"/>
    </row>
    <row r="30" spans="1:6" x14ac:dyDescent="0.3">
      <c r="A30" s="2"/>
      <c r="B30" s="2" t="s">
        <v>697</v>
      </c>
      <c r="C30" s="2"/>
      <c r="D30" s="2"/>
      <c r="E30" s="2"/>
      <c r="F30" s="2"/>
    </row>
  </sheetData>
  <hyperlinks>
    <hyperlink ref="C2" r:id="rId1" tooltip="Send a mail to info@designhubmalta.com.mt" xr:uid="{00000000-0004-0000-0D00-000000000000}"/>
    <hyperlink ref="C3" r:id="rId2" tooltip="Send a mail to info@soll.mt" xr:uid="{00000000-0004-0000-0D00-000001000000}"/>
    <hyperlink ref="C4" r:id="rId3" tooltip="Send a mail to info@rabatmarbles.com" xr:uid="{00000000-0004-0000-0D00-000002000000}"/>
    <hyperlink ref="C5" r:id="rId4" tooltip="Send a mail to info@lawrencefenech.com" xr:uid="{00000000-0004-0000-0D00-000003000000}"/>
    <hyperlink ref="C6" r:id="rId5" tooltip="Send a mail to info@pvc.com.mt" xr:uid="{00000000-0004-0000-0D00-000004000000}"/>
    <hyperlink ref="C7" r:id="rId6" tooltip="Send a mail to info@finestralmalta.com" xr:uid="{00000000-0004-0000-0D00-000005000000}"/>
    <hyperlink ref="C8" r:id="rId7" tooltip="Send a mail to bmsltdmalta@gmail.com" xr:uid="{00000000-0004-0000-0D00-000006000000}"/>
    <hyperlink ref="C9" r:id="rId8" tooltip="Send a mail to info@grahamaluminium.com" xr:uid="{00000000-0004-0000-0D00-000007000000}"/>
    <hyperlink ref="C10" r:id="rId9" tooltip="Send a mail to info@melibugeja.com.mt" xr:uid="{00000000-0004-0000-0D00-000008000000}"/>
    <hyperlink ref="C11" r:id="rId10" tooltip="Send a mail to info@windowworldinternational.net" xr:uid="{00000000-0004-0000-0D00-000009000000}"/>
    <hyperlink ref="C12" r:id="rId11" tooltip="Send a mail to wilgastores@gmail.com" xr:uid="{00000000-0004-0000-0D00-00000A000000}"/>
    <hyperlink ref="C13" r:id="rId12" tooltip="Send a mail to info@nicholas.mt" xr:uid="{00000000-0004-0000-0D00-00000B000000}"/>
    <hyperlink ref="C14" r:id="rId13" tooltip="Send a mail to info@dinglialuminium.com" xr:uid="{00000000-0004-0000-0D00-00000C000000}"/>
    <hyperlink ref="C15" r:id="rId14" tooltip="Send a mail to schembrimarbles@yahoo.com" xr:uid="{00000000-0004-0000-0D00-00000D000000}"/>
    <hyperlink ref="C16" r:id="rId15" tooltip="Send a mail to info@attardbros.com" xr:uid="{00000000-0004-0000-0D00-00000E000000}"/>
    <hyperlink ref="C17" r:id="rId16" tooltip="Send a mail to info@rlautier.com" xr:uid="{00000000-0004-0000-0D00-00000F000000}"/>
    <hyperlink ref="C18" r:id="rId17" tooltip="Send a mail to sales@floorsofstone.com.mt" xr:uid="{00000000-0004-0000-0D00-000010000000}"/>
    <hyperlink ref="C19" r:id="rId18" tooltip="Send a mail to info@desanamarbles.com" xr:uid="{00000000-0004-0000-0D00-000011000000}"/>
    <hyperlink ref="C20" r:id="rId19" tooltip="Send a mail to info@cinimarbles.com" xr:uid="{00000000-0004-0000-0D00-000012000000}"/>
    <hyperlink ref="C21" r:id="rId20" tooltip="Send a mail to sales@seamless.com.mt" xr:uid="{00000000-0004-0000-0D00-000013000000}"/>
    <hyperlink ref="C22" r:id="rId21" tooltip="Send a mail to info@amaasurfaces.com" xr:uid="{00000000-0004-0000-0D00-000014000000}"/>
    <hyperlink ref="C23" r:id="rId22" tooltip="Send a mail to portellirennie@hotmail.com" xr:uid="{00000000-0004-0000-0D00-000015000000}"/>
    <hyperlink ref="C24" r:id="rId23" tooltip="Send a mail to tilesandmarbleinfo@gmail.com" xr:uid="{00000000-0004-0000-0D00-000016000000}"/>
    <hyperlink ref="C25" r:id="rId24" tooltip="Send a mail to info@halmannvella.com" xr:uid="{00000000-0004-0000-0D00-000017000000}"/>
    <hyperlink ref="C26" r:id="rId25" tooltip="Send a mail to info@qualitystonemalta.com" xr:uid="{00000000-0004-0000-0D00-000018000000}"/>
    <hyperlink ref="C27" r:id="rId26" tooltip="Send a mail to sales@marbleinnovation.com" xr:uid="{00000000-0004-0000-0D00-000019000000}"/>
    <hyperlink ref="C28" r:id="rId27" tooltip="Send a mail to frankvassallo22@gmail.com" xr:uid="{00000000-0004-0000-0D00-00001A000000}"/>
    <hyperlink ref="C29" r:id="rId28" tooltip="Send a mail to keithbugeja@hotmail.com" xr:uid="{00000000-0004-0000-0D00-00001B000000}"/>
    <hyperlink ref="E2" r:id="rId29" tooltip="Search 59 triq Domenico Cachia ,Birkirkara BKR 4019 ,MALTA on Google Maps" xr:uid="{00000000-0004-0000-0D00-00001C000000}"/>
    <hyperlink ref="E3" r:id="rId30" tooltip="Search triq il-Kalkara , Marsa , Malta on Google Maps" xr:uid="{00000000-0004-0000-0D00-00001D000000}"/>
    <hyperlink ref="E4" r:id="rId31" tooltip="Search triq-il-Kbira , Rabat ,Malta on Google Maps" xr:uid="{00000000-0004-0000-0D00-00001E000000}"/>
    <hyperlink ref="E5" r:id="rId32" tooltip="Search triq il-Labour ,Birkirkara, Malta on Google Maps" xr:uid="{00000000-0004-0000-0D00-00001F000000}"/>
    <hyperlink ref="E6" r:id="rId33" tooltip="Search triq il-Ferrovija, Ħamrun, Malta on Google Maps" xr:uid="{00000000-0004-0000-0D00-000020000000}"/>
    <hyperlink ref="E7" r:id="rId34" tooltip="Search Triq il-Kostituzzjoni, Mosta, Malta on Google Maps" xr:uid="{00000000-0004-0000-0D00-000021000000}"/>
    <hyperlink ref="E8" r:id="rId35" tooltip="Search Mdina Road, Qormi QRM 9011, Malta on Google Maps" xr:uid="{00000000-0004-0000-0D00-000022000000}"/>
    <hyperlink ref="E9" r:id="rId36" tooltip="Search Mdina Road, Qormi QRM 9011, Malta on Google Maps" xr:uid="{00000000-0004-0000-0D00-000023000000}"/>
    <hyperlink ref="E10" r:id="rId37" tooltip="Search Triq il-Mithna,Qormi on Google Maps" xr:uid="{00000000-0004-0000-0D00-000024000000}"/>
    <hyperlink ref="E11" r:id="rId38" tooltip="Search Zircon Suites, Triq ta' Zejfa, Mosta, Malta on Google Maps" xr:uid="{00000000-0004-0000-0D00-000025000000}"/>
    <hyperlink ref="E12" r:id="rId39" tooltip="Search Wilga Street, Luqa LQA 1530, Malta on Google Maps" xr:uid="{00000000-0004-0000-0D00-000026000000}"/>
    <hyperlink ref="E13" r:id="rId40" tooltip="Search 33,Angelo A,Melilli ,HAz Zebugg ZBG 2802 on Google Maps" xr:uid="{00000000-0004-0000-0D00-000027000000}"/>
    <hyperlink ref="E14" r:id="rId41" tooltip="Search triq Anthony John Coleiro , hAL Qormi on Google Maps" xr:uid="{00000000-0004-0000-0D00-000028000000}"/>
    <hyperlink ref="E15" r:id="rId42" tooltip="Search Triq Dwardu Buttigieg ,Hal Ghaxaq,Malta  GXQ 1253 on Google Maps" xr:uid="{00000000-0004-0000-0D00-000029000000}"/>
    <hyperlink ref="F2" r:id="rId43" tooltip="Visit designhubstores.com" xr:uid="{00000000-0004-0000-0D00-00002A000000}"/>
    <hyperlink ref="F3" r:id="rId44" tooltip="Visit soll.mt" xr:uid="{00000000-0004-0000-0D00-00002B000000}"/>
    <hyperlink ref="F4" r:id="rId45" tooltip="Visit rabatmarbles.com" xr:uid="{00000000-0004-0000-0D00-00002C000000}"/>
    <hyperlink ref="F5" r:id="rId46" tooltip="Visit lawrencefenech.com" xr:uid="{00000000-0004-0000-0D00-00002D000000}"/>
    <hyperlink ref="F6" r:id="rId47" tooltip="Visit pvc.com.mt" xr:uid="{00000000-0004-0000-0D00-00002E000000}"/>
    <hyperlink ref="F7" r:id="rId48" tooltip="Visit finestralmalta.com" xr:uid="{00000000-0004-0000-0D00-00002F000000}"/>
    <hyperlink ref="F8" r:id="rId49" tooltip="Visit bms-malta.com" xr:uid="{00000000-0004-0000-0D00-000030000000}"/>
    <hyperlink ref="F9" r:id="rId50" tooltip="Visit grahamaluminium.com" xr:uid="{00000000-0004-0000-0D00-000031000000}"/>
    <hyperlink ref="F10" r:id="rId51" tooltip="Visit meliobugeja.com.mt" xr:uid="{00000000-0004-0000-0D00-000032000000}"/>
    <hyperlink ref="F11" r:id="rId52" tooltip="Visit windowworld.eu" xr:uid="{00000000-0004-0000-0D00-000033000000}"/>
    <hyperlink ref="F12" r:id="rId53" tooltip="Visit wilgastores.com" xr:uid="{00000000-0004-0000-0D00-000034000000}"/>
    <hyperlink ref="F13" r:id="rId54" tooltip="Visit nicholas.mt" xr:uid="{00000000-0004-0000-0D00-000035000000}"/>
    <hyperlink ref="F14" r:id="rId55" tooltip="Visit dinglialuminium.com" xr:uid="{00000000-0004-0000-0D00-000036000000}"/>
    <hyperlink ref="F15" r:id="rId56" tooltip="Visit findit.com.mt" xr:uid="{00000000-0004-0000-0D00-000037000000}"/>
  </hyperlink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workbookViewId="0"/>
  </sheetViews>
  <sheetFormatPr defaultRowHeight="14.4" x14ac:dyDescent="0.3"/>
  <cols>
    <col min="1" max="1" width="14.109375" customWidth="1"/>
    <col min="2" max="2" width="34.88671875" customWidth="1"/>
    <col min="3" max="3" width="34.109375" customWidth="1"/>
    <col min="4" max="4" width="18.6640625" customWidth="1"/>
    <col min="5" max="5" width="91.109375" customWidth="1"/>
    <col min="6" max="6" width="115" customWidth="1"/>
    <col min="7" max="7" width="16.5546875" customWidth="1"/>
    <col min="8" max="8" width="14.109375" customWidth="1"/>
    <col min="9" max="9" width="10.109375" customWidth="1"/>
    <col min="10" max="10" width="15" customWidth="1"/>
    <col min="11" max="11" width="9.44140625" customWidth="1"/>
  </cols>
  <sheetData>
    <row r="1" spans="1:11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3038</v>
      </c>
      <c r="H1" s="1" t="s">
        <v>94</v>
      </c>
      <c r="I1" s="1" t="s">
        <v>5362</v>
      </c>
      <c r="J1" s="1" t="s">
        <v>5360</v>
      </c>
      <c r="K1" s="1" t="s">
        <v>588</v>
      </c>
    </row>
    <row r="2" spans="1:11" x14ac:dyDescent="0.3">
      <c r="A2" s="2" t="s">
        <v>753</v>
      </c>
      <c r="B2" s="2" t="s">
        <v>754</v>
      </c>
      <c r="C2" s="3" t="s">
        <v>783</v>
      </c>
      <c r="D2" s="2" t="str">
        <f>CONCATENATE(HYPERLINK("CALLTO:%2B356%202747%207647", "+356 2747 7647"))</f>
        <v>+356 2747 7647</v>
      </c>
      <c r="E2" s="3" t="s">
        <v>814</v>
      </c>
      <c r="F2" s="3" t="s">
        <v>829</v>
      </c>
      <c r="G2" s="2" t="s">
        <v>551</v>
      </c>
      <c r="H2" s="2" t="s">
        <v>551</v>
      </c>
      <c r="I2" s="2" t="s">
        <v>551</v>
      </c>
      <c r="J2" s="2" t="s">
        <v>552</v>
      </c>
      <c r="K2" s="2" t="s">
        <v>551</v>
      </c>
    </row>
    <row r="3" spans="1:11" x14ac:dyDescent="0.3">
      <c r="A3" s="4" t="s">
        <v>753</v>
      </c>
      <c r="B3" s="4" t="s">
        <v>755</v>
      </c>
      <c r="C3" s="5" t="s">
        <v>785</v>
      </c>
      <c r="D3" s="4" t="str">
        <f>CONCATENATE(HYPERLINK("CALLTO:%2B356%207972%209967", "+356 7972 9967"))</f>
        <v>+356 7972 9967</v>
      </c>
      <c r="E3" s="5" t="s">
        <v>815</v>
      </c>
      <c r="F3" s="5" t="s">
        <v>830</v>
      </c>
      <c r="G3" s="4" t="s">
        <v>552</v>
      </c>
      <c r="H3" s="4" t="s">
        <v>551</v>
      </c>
      <c r="I3" s="4" t="s">
        <v>551</v>
      </c>
      <c r="J3" s="4" t="s">
        <v>551</v>
      </c>
      <c r="K3" s="4" t="s">
        <v>552</v>
      </c>
    </row>
    <row r="4" spans="1:11" x14ac:dyDescent="0.3">
      <c r="A4" s="2" t="s">
        <v>753</v>
      </c>
      <c r="B4" s="2" t="s">
        <v>756</v>
      </c>
      <c r="C4" s="3" t="s">
        <v>786</v>
      </c>
      <c r="D4" s="2" t="str">
        <f>CONCATENATE(HYPERLINK("CALLTO:%2B356%209987%209221", "+356 9987 9221"))</f>
        <v>+356 9987 9221</v>
      </c>
      <c r="E4" s="3" t="s">
        <v>816</v>
      </c>
      <c r="F4" s="3" t="s">
        <v>831</v>
      </c>
      <c r="G4" s="2" t="s">
        <v>552</v>
      </c>
      <c r="H4" s="2" t="s">
        <v>551</v>
      </c>
      <c r="I4" s="2" t="s">
        <v>551</v>
      </c>
      <c r="J4" s="2" t="s">
        <v>551</v>
      </c>
      <c r="K4" s="2" t="s">
        <v>552</v>
      </c>
    </row>
    <row r="5" spans="1:11" x14ac:dyDescent="0.3">
      <c r="A5" s="4" t="s">
        <v>753</v>
      </c>
      <c r="B5" s="4" t="s">
        <v>757</v>
      </c>
      <c r="C5" s="5" t="s">
        <v>787</v>
      </c>
      <c r="D5" s="4" t="str">
        <f>CONCATENATE(HYPERLINK("CALLTO:%2B356%209944%205181", "+356 9944 5181"))</f>
        <v>+356 9944 5181</v>
      </c>
      <c r="E5" s="5" t="s">
        <v>817</v>
      </c>
      <c r="F5" s="5" t="s">
        <v>832</v>
      </c>
      <c r="G5" s="4" t="s">
        <v>552</v>
      </c>
      <c r="H5" s="4" t="s">
        <v>551</v>
      </c>
      <c r="I5" s="4" t="s">
        <v>551</v>
      </c>
      <c r="J5" s="4" t="s">
        <v>551</v>
      </c>
      <c r="K5" s="4" t="s">
        <v>552</v>
      </c>
    </row>
    <row r="6" spans="1:11" x14ac:dyDescent="0.3">
      <c r="A6" s="2" t="s">
        <v>753</v>
      </c>
      <c r="B6" s="2" t="s">
        <v>758</v>
      </c>
      <c r="C6" s="3" t="s">
        <v>788</v>
      </c>
      <c r="D6" s="2" t="str">
        <f>CONCATENATE(HYPERLINK("CALLTO:%2B356%207777%205495", "+356 7777 5495"))</f>
        <v>+356 7777 5495</v>
      </c>
      <c r="E6" s="3" t="s">
        <v>818</v>
      </c>
      <c r="F6" s="3" t="s">
        <v>833</v>
      </c>
      <c r="G6" s="2" t="s">
        <v>552</v>
      </c>
      <c r="H6" s="2" t="s">
        <v>551</v>
      </c>
      <c r="I6" s="2" t="s">
        <v>551</v>
      </c>
      <c r="J6" s="2" t="s">
        <v>551</v>
      </c>
      <c r="K6" s="2" t="s">
        <v>552</v>
      </c>
    </row>
    <row r="7" spans="1:11" x14ac:dyDescent="0.3">
      <c r="A7" s="4" t="s">
        <v>753</v>
      </c>
      <c r="B7" s="4" t="s">
        <v>759</v>
      </c>
      <c r="C7" s="5" t="s">
        <v>789</v>
      </c>
      <c r="D7" s="4" t="str">
        <f>CONCATENATE(HYPERLINK("CALLTO:%2B356%209949%205864", "+356 9949 5864"))</f>
        <v>+356 9949 5864</v>
      </c>
      <c r="E7" s="5" t="s">
        <v>819</v>
      </c>
      <c r="F7" s="5" t="s">
        <v>834</v>
      </c>
      <c r="G7" s="4" t="s">
        <v>552</v>
      </c>
      <c r="H7" s="4" t="s">
        <v>551</v>
      </c>
      <c r="I7" s="4" t="s">
        <v>551</v>
      </c>
      <c r="J7" s="4" t="s">
        <v>551</v>
      </c>
      <c r="K7" s="4" t="s">
        <v>552</v>
      </c>
    </row>
    <row r="8" spans="1:11" x14ac:dyDescent="0.3">
      <c r="A8" s="2" t="s">
        <v>753</v>
      </c>
      <c r="B8" s="2" t="s">
        <v>760</v>
      </c>
      <c r="C8" s="3" t="s">
        <v>790</v>
      </c>
      <c r="D8" s="2" t="str">
        <f>CONCATENATE(HYPERLINK("CALLTO:%2B356%209947%204204", "+356 9947 4204"))</f>
        <v>+356 9947 4204</v>
      </c>
      <c r="E8" s="3" t="s">
        <v>820</v>
      </c>
      <c r="F8" s="3" t="s">
        <v>835</v>
      </c>
      <c r="G8" s="2" t="s">
        <v>552</v>
      </c>
      <c r="H8" s="2" t="s">
        <v>551</v>
      </c>
      <c r="I8" s="2" t="s">
        <v>551</v>
      </c>
      <c r="J8" s="2" t="s">
        <v>552</v>
      </c>
      <c r="K8" s="2" t="s">
        <v>551</v>
      </c>
    </row>
    <row r="9" spans="1:11" x14ac:dyDescent="0.3">
      <c r="A9" s="4" t="s">
        <v>753</v>
      </c>
      <c r="B9" s="4" t="s">
        <v>761</v>
      </c>
      <c r="C9" s="5" t="s">
        <v>791</v>
      </c>
      <c r="D9" s="4" t="str">
        <f>CONCATENATE(HYPERLINK("CALLTO:%2B356%202149%201111", "+356 2149 1111"))</f>
        <v>+356 2149 1111</v>
      </c>
      <c r="E9" s="5" t="s">
        <v>821</v>
      </c>
      <c r="F9" s="5" t="s">
        <v>836</v>
      </c>
      <c r="G9" s="4" t="s">
        <v>551</v>
      </c>
      <c r="H9" s="4" t="s">
        <v>551</v>
      </c>
      <c r="I9" s="4" t="s">
        <v>551</v>
      </c>
      <c r="J9" s="4" t="s">
        <v>551</v>
      </c>
      <c r="K9" s="4" t="s">
        <v>552</v>
      </c>
    </row>
    <row r="10" spans="1:11" x14ac:dyDescent="0.3">
      <c r="A10" s="2" t="s">
        <v>753</v>
      </c>
      <c r="B10" s="2" t="s">
        <v>762</v>
      </c>
      <c r="C10" s="3" t="s">
        <v>792</v>
      </c>
      <c r="D10" s="2" t="str">
        <f>CONCATENATE(HYPERLINK("CALLTO:%2B356%209944%205527", "+356 9944 5527"))</f>
        <v>+356 9944 5527</v>
      </c>
      <c r="E10" s="3" t="s">
        <v>822</v>
      </c>
      <c r="F10" s="3" t="s">
        <v>837</v>
      </c>
      <c r="G10" s="2" t="s">
        <v>552</v>
      </c>
      <c r="H10" s="2" t="s">
        <v>551</v>
      </c>
      <c r="I10" s="2" t="s">
        <v>551</v>
      </c>
      <c r="J10" s="2" t="s">
        <v>552</v>
      </c>
      <c r="K10" s="2" t="s">
        <v>551</v>
      </c>
    </row>
    <row r="11" spans="1:11" x14ac:dyDescent="0.3">
      <c r="A11" s="4" t="s">
        <v>753</v>
      </c>
      <c r="B11" s="4" t="s">
        <v>763</v>
      </c>
      <c r="C11" s="5" t="s">
        <v>793</v>
      </c>
      <c r="D11" s="4" t="str">
        <f>CONCATENATE(HYPERLINK("CALLTO:%2B356%202144%205152", "+356 2144 5152"))</f>
        <v>+356 2144 5152</v>
      </c>
      <c r="E11" s="5" t="s">
        <v>823</v>
      </c>
      <c r="F11" s="5" t="s">
        <v>838</v>
      </c>
      <c r="G11" s="4" t="s">
        <v>551</v>
      </c>
      <c r="H11" s="4" t="s">
        <v>551</v>
      </c>
      <c r="I11" s="4" t="s">
        <v>551</v>
      </c>
      <c r="J11" s="4" t="s">
        <v>551</v>
      </c>
      <c r="K11" s="4" t="s">
        <v>552</v>
      </c>
    </row>
    <row r="12" spans="1:11" x14ac:dyDescent="0.3">
      <c r="A12" s="2" t="s">
        <v>753</v>
      </c>
      <c r="B12" s="2" t="s">
        <v>765</v>
      </c>
      <c r="C12" s="3" t="s">
        <v>794</v>
      </c>
      <c r="D12" s="2" t="str">
        <f>CONCATENATE(HYPERLINK("CALLTO:%2B356%207925%206240", "+356 7925 6240"))</f>
        <v>+356 7925 6240</v>
      </c>
      <c r="E12" s="3" t="s">
        <v>824</v>
      </c>
      <c r="F12" s="3" t="s">
        <v>839</v>
      </c>
      <c r="G12" s="2" t="s">
        <v>551</v>
      </c>
      <c r="H12" s="2" t="s">
        <v>551</v>
      </c>
      <c r="I12" s="2" t="s">
        <v>551</v>
      </c>
      <c r="J12" s="2" t="s">
        <v>551</v>
      </c>
      <c r="K12" s="2" t="s">
        <v>552</v>
      </c>
    </row>
    <row r="13" spans="1:11" x14ac:dyDescent="0.3">
      <c r="A13" s="4" t="s">
        <v>753</v>
      </c>
      <c r="B13" s="4" t="s">
        <v>764</v>
      </c>
      <c r="C13" s="5" t="s">
        <v>795</v>
      </c>
      <c r="D13" s="4" t="str">
        <f>CONCATENATE(HYPERLINK("CALLTO:%2B356%207700%203333", "+356 7700 3333"))</f>
        <v>+356 7700 3333</v>
      </c>
      <c r="E13" s="5" t="s">
        <v>825</v>
      </c>
      <c r="F13" s="5" t="s">
        <v>840</v>
      </c>
      <c r="G13" s="4" t="s">
        <v>552</v>
      </c>
      <c r="H13" s="4" t="s">
        <v>551</v>
      </c>
      <c r="I13" s="4" t="s">
        <v>551</v>
      </c>
      <c r="J13" s="4" t="s">
        <v>552</v>
      </c>
      <c r="K13" s="4" t="s">
        <v>551</v>
      </c>
    </row>
    <row r="14" spans="1:11" x14ac:dyDescent="0.3">
      <c r="A14" s="2" t="s">
        <v>753</v>
      </c>
      <c r="B14" s="2" t="s">
        <v>766</v>
      </c>
      <c r="C14" s="3" t="s">
        <v>796</v>
      </c>
      <c r="D14" s="2" t="str">
        <f>CONCATENATE(HYPERLINK("CALLTO:%2B356%207777%201522", "+356 7777 1522"))</f>
        <v>+356 7777 1522</v>
      </c>
      <c r="E14" s="3" t="s">
        <v>826</v>
      </c>
      <c r="F14" s="3" t="s">
        <v>841</v>
      </c>
      <c r="G14" s="2" t="s">
        <v>551</v>
      </c>
      <c r="H14" s="2" t="s">
        <v>551</v>
      </c>
      <c r="I14" s="2" t="s">
        <v>551</v>
      </c>
      <c r="J14" s="2" t="s">
        <v>551</v>
      </c>
      <c r="K14" s="2" t="s">
        <v>552</v>
      </c>
    </row>
    <row r="15" spans="1:11" x14ac:dyDescent="0.3">
      <c r="A15" s="4" t="s">
        <v>753</v>
      </c>
      <c r="B15" s="4" t="s">
        <v>768</v>
      </c>
      <c r="C15" s="5" t="s">
        <v>797</v>
      </c>
      <c r="D15" s="4" t="str">
        <f>CONCATENATE(HYPERLINK("CALLTO:%2B356%209949%202745", "+356 9949 2745"))</f>
        <v>+356 9949 2745</v>
      </c>
      <c r="E15" s="5" t="s">
        <v>827</v>
      </c>
      <c r="F15" s="5" t="s">
        <v>842</v>
      </c>
      <c r="G15" s="4" t="s">
        <v>552</v>
      </c>
      <c r="H15" s="4" t="s">
        <v>551</v>
      </c>
      <c r="I15" s="4" t="s">
        <v>551</v>
      </c>
      <c r="J15" s="4" t="s">
        <v>551</v>
      </c>
      <c r="K15" s="4" t="s">
        <v>552</v>
      </c>
    </row>
    <row r="16" spans="1:11" x14ac:dyDescent="0.3">
      <c r="A16" s="2" t="s">
        <v>753</v>
      </c>
      <c r="B16" s="2" t="s">
        <v>767</v>
      </c>
      <c r="C16" s="3" t="s">
        <v>798</v>
      </c>
      <c r="D16" s="2" t="str">
        <f>CONCATENATE(HYPERLINK("CALLTO:%2B356%207947%207777", "+356 7947 7777"))</f>
        <v>+356 7947 7777</v>
      </c>
      <c r="E16" s="2"/>
      <c r="F16" s="2"/>
      <c r="G16" s="2" t="s">
        <v>552</v>
      </c>
      <c r="H16" s="2" t="s">
        <v>551</v>
      </c>
      <c r="I16" s="2" t="s">
        <v>551</v>
      </c>
      <c r="J16" s="2" t="s">
        <v>551</v>
      </c>
      <c r="K16" s="2" t="s">
        <v>552</v>
      </c>
    </row>
    <row r="17" spans="1:11" x14ac:dyDescent="0.3">
      <c r="A17" s="4" t="s">
        <v>753</v>
      </c>
      <c r="B17" s="4" t="s">
        <v>769</v>
      </c>
      <c r="C17" s="5" t="s">
        <v>799</v>
      </c>
      <c r="D17" s="4" t="str">
        <f>CONCATENATE(HYPERLINK("CALLTO:%2B356%207900%203897", "+356 7900 3897"))</f>
        <v>+356 7900 3897</v>
      </c>
      <c r="E17" s="4"/>
      <c r="F17" s="4"/>
      <c r="G17" s="4" t="s">
        <v>552</v>
      </c>
      <c r="H17" s="4" t="s">
        <v>551</v>
      </c>
      <c r="I17" s="4" t="s">
        <v>551</v>
      </c>
      <c r="J17" s="4" t="s">
        <v>551</v>
      </c>
      <c r="K17" s="4" t="s">
        <v>552</v>
      </c>
    </row>
    <row r="18" spans="1:11" x14ac:dyDescent="0.3">
      <c r="A18" s="2" t="s">
        <v>753</v>
      </c>
      <c r="B18" s="2" t="s">
        <v>770</v>
      </c>
      <c r="C18" s="3" t="s">
        <v>800</v>
      </c>
      <c r="D18" s="2" t="str">
        <f>CONCATENATE(HYPERLINK("CALLTO:%2B356%209949%208925", "+356 9949 8925"))</f>
        <v>+356 9949 8925</v>
      </c>
      <c r="E18" s="2"/>
      <c r="F18" s="2"/>
      <c r="G18" s="2" t="s">
        <v>552</v>
      </c>
      <c r="H18" s="2" t="s">
        <v>551</v>
      </c>
      <c r="I18" s="2" t="s">
        <v>551</v>
      </c>
      <c r="J18" s="2" t="s">
        <v>552</v>
      </c>
      <c r="K18" s="2" t="s">
        <v>551</v>
      </c>
    </row>
    <row r="19" spans="1:11" x14ac:dyDescent="0.3">
      <c r="A19" s="4" t="s">
        <v>753</v>
      </c>
      <c r="B19" s="4" t="s">
        <v>771</v>
      </c>
      <c r="C19" s="5" t="s">
        <v>801</v>
      </c>
      <c r="D19" s="4"/>
      <c r="E19" s="4"/>
      <c r="F19" s="4"/>
      <c r="G19" s="4" t="s">
        <v>551</v>
      </c>
      <c r="H19" s="4" t="s">
        <v>551</v>
      </c>
      <c r="I19" s="4" t="s">
        <v>551</v>
      </c>
      <c r="J19" s="4" t="s">
        <v>552</v>
      </c>
      <c r="K19" s="4" t="s">
        <v>551</v>
      </c>
    </row>
    <row r="20" spans="1:11" x14ac:dyDescent="0.3">
      <c r="A20" s="2" t="s">
        <v>753</v>
      </c>
      <c r="B20" s="2" t="s">
        <v>772</v>
      </c>
      <c r="C20" s="3" t="s">
        <v>802</v>
      </c>
      <c r="D20" s="2"/>
      <c r="E20" s="2"/>
      <c r="F20" s="2"/>
      <c r="G20" s="2" t="s">
        <v>551</v>
      </c>
      <c r="H20" s="2" t="s">
        <v>551</v>
      </c>
      <c r="I20" s="2" t="s">
        <v>551</v>
      </c>
      <c r="J20" s="2" t="s">
        <v>551</v>
      </c>
      <c r="K20" s="2" t="s">
        <v>551</v>
      </c>
    </row>
    <row r="21" spans="1:11" x14ac:dyDescent="0.3">
      <c r="A21" s="4" t="s">
        <v>753</v>
      </c>
      <c r="B21" s="4" t="s">
        <v>773</v>
      </c>
      <c r="C21" s="5" t="s">
        <v>803</v>
      </c>
      <c r="D21" s="4"/>
      <c r="E21" s="4"/>
      <c r="F21" s="4"/>
      <c r="G21" s="4" t="s">
        <v>551</v>
      </c>
      <c r="H21" s="4" t="s">
        <v>551</v>
      </c>
      <c r="I21" s="4" t="s">
        <v>551</v>
      </c>
      <c r="J21" s="4" t="s">
        <v>551</v>
      </c>
      <c r="K21" s="4" t="s">
        <v>552</v>
      </c>
    </row>
    <row r="22" spans="1:11" x14ac:dyDescent="0.3">
      <c r="A22" s="2" t="s">
        <v>753</v>
      </c>
      <c r="B22" s="2" t="s">
        <v>774</v>
      </c>
      <c r="C22" s="3" t="s">
        <v>804</v>
      </c>
      <c r="D22" s="2"/>
      <c r="E22" s="2"/>
      <c r="F22" s="2"/>
      <c r="G22" s="2" t="s">
        <v>552</v>
      </c>
      <c r="H22" s="2" t="s">
        <v>551</v>
      </c>
      <c r="I22" s="2" t="s">
        <v>551</v>
      </c>
      <c r="J22" s="2" t="s">
        <v>551</v>
      </c>
      <c r="K22" s="2" t="s">
        <v>552</v>
      </c>
    </row>
    <row r="23" spans="1:11" x14ac:dyDescent="0.3">
      <c r="A23" s="4" t="s">
        <v>753</v>
      </c>
      <c r="B23" s="4" t="s">
        <v>775</v>
      </c>
      <c r="C23" s="5" t="s">
        <v>805</v>
      </c>
      <c r="D23" s="4"/>
      <c r="E23" s="4"/>
      <c r="F23" s="4"/>
      <c r="G23" s="4" t="s">
        <v>552</v>
      </c>
      <c r="H23" s="4" t="s">
        <v>551</v>
      </c>
      <c r="I23" s="4" t="s">
        <v>551</v>
      </c>
      <c r="J23" s="4" t="s">
        <v>551</v>
      </c>
      <c r="K23" s="4" t="s">
        <v>552</v>
      </c>
    </row>
    <row r="24" spans="1:11" x14ac:dyDescent="0.3">
      <c r="A24" s="2" t="s">
        <v>753</v>
      </c>
      <c r="B24" s="2" t="s">
        <v>776</v>
      </c>
      <c r="C24" s="3" t="s">
        <v>806</v>
      </c>
      <c r="D24" s="2"/>
      <c r="E24" s="2"/>
      <c r="F24" s="2"/>
      <c r="G24" s="2" t="s">
        <v>552</v>
      </c>
      <c r="H24" s="2" t="s">
        <v>551</v>
      </c>
      <c r="I24" s="2" t="s">
        <v>551</v>
      </c>
      <c r="J24" s="2" t="s">
        <v>551</v>
      </c>
      <c r="K24" s="2" t="s">
        <v>552</v>
      </c>
    </row>
    <row r="25" spans="1:11" x14ac:dyDescent="0.3">
      <c r="A25" s="4" t="s">
        <v>753</v>
      </c>
      <c r="B25" s="4" t="s">
        <v>777</v>
      </c>
      <c r="C25" s="5" t="s">
        <v>807</v>
      </c>
      <c r="D25" s="4"/>
      <c r="E25" s="4"/>
      <c r="F25" s="4"/>
      <c r="G25" s="4" t="s">
        <v>552</v>
      </c>
      <c r="H25" s="4" t="s">
        <v>551</v>
      </c>
      <c r="I25" s="4" t="s">
        <v>551</v>
      </c>
      <c r="J25" s="4" t="s">
        <v>551</v>
      </c>
      <c r="K25" s="4" t="s">
        <v>552</v>
      </c>
    </row>
    <row r="26" spans="1:11" x14ac:dyDescent="0.3">
      <c r="A26" s="2" t="s">
        <v>753</v>
      </c>
      <c r="B26" s="2" t="s">
        <v>778</v>
      </c>
      <c r="C26" s="3" t="s">
        <v>808</v>
      </c>
      <c r="D26" s="2"/>
      <c r="E26" s="2"/>
      <c r="F26" s="2"/>
      <c r="G26" s="2" t="s">
        <v>552</v>
      </c>
      <c r="H26" s="2" t="s">
        <v>551</v>
      </c>
      <c r="I26" s="2" t="s">
        <v>551</v>
      </c>
      <c r="J26" s="2" t="s">
        <v>552</v>
      </c>
      <c r="K26" s="2" t="s">
        <v>551</v>
      </c>
    </row>
    <row r="27" spans="1:11" x14ac:dyDescent="0.3">
      <c r="A27" s="4" t="s">
        <v>753</v>
      </c>
      <c r="B27" s="4" t="s">
        <v>779</v>
      </c>
      <c r="C27" s="5" t="s">
        <v>809</v>
      </c>
      <c r="D27" s="4"/>
      <c r="E27" s="4"/>
      <c r="F27" s="4"/>
      <c r="G27" s="4" t="s">
        <v>552</v>
      </c>
      <c r="H27" s="4" t="s">
        <v>551</v>
      </c>
      <c r="I27" s="4" t="s">
        <v>551</v>
      </c>
      <c r="J27" s="4" t="s">
        <v>551</v>
      </c>
      <c r="K27" s="4" t="s">
        <v>552</v>
      </c>
    </row>
    <row r="28" spans="1:11" x14ac:dyDescent="0.3">
      <c r="A28" s="2" t="s">
        <v>753</v>
      </c>
      <c r="B28" s="2" t="s">
        <v>780</v>
      </c>
      <c r="C28" s="3" t="s">
        <v>810</v>
      </c>
      <c r="D28" s="2"/>
      <c r="E28" s="2"/>
      <c r="F28" s="2"/>
      <c r="G28" s="2" t="s">
        <v>552</v>
      </c>
      <c r="H28" s="2" t="s">
        <v>551</v>
      </c>
      <c r="I28" s="2" t="s">
        <v>551</v>
      </c>
      <c r="J28" s="2" t="s">
        <v>551</v>
      </c>
      <c r="K28" s="2" t="s">
        <v>552</v>
      </c>
    </row>
    <row r="29" spans="1:11" x14ac:dyDescent="0.3">
      <c r="A29" s="4" t="s">
        <v>753</v>
      </c>
      <c r="B29" s="4" t="s">
        <v>781</v>
      </c>
      <c r="C29" s="5" t="s">
        <v>811</v>
      </c>
      <c r="D29" s="4"/>
      <c r="E29" s="4"/>
      <c r="F29" s="4"/>
      <c r="G29" s="4" t="s">
        <v>552</v>
      </c>
      <c r="H29" s="4" t="s">
        <v>551</v>
      </c>
      <c r="I29" s="4" t="s">
        <v>551</v>
      </c>
      <c r="J29" s="4" t="s">
        <v>551</v>
      </c>
      <c r="K29" s="4" t="s">
        <v>552</v>
      </c>
    </row>
    <row r="30" spans="1:11" x14ac:dyDescent="0.3">
      <c r="A30" s="2" t="s">
        <v>753</v>
      </c>
      <c r="B30" s="2" t="s">
        <v>782</v>
      </c>
      <c r="C30" s="3" t="s">
        <v>812</v>
      </c>
      <c r="D30" s="2"/>
      <c r="E30" s="2"/>
      <c r="F30" s="2"/>
      <c r="G30" s="2" t="s">
        <v>552</v>
      </c>
      <c r="H30" s="2" t="s">
        <v>551</v>
      </c>
      <c r="I30" s="2" t="s">
        <v>551</v>
      </c>
      <c r="J30" s="2" t="s">
        <v>551</v>
      </c>
      <c r="K30" s="2" t="s">
        <v>552</v>
      </c>
    </row>
    <row r="31" spans="1:11" x14ac:dyDescent="0.3">
      <c r="A31" s="4" t="s">
        <v>753</v>
      </c>
      <c r="B31" s="4" t="s">
        <v>784</v>
      </c>
      <c r="C31" s="5" t="s">
        <v>813</v>
      </c>
      <c r="D31" s="4"/>
      <c r="E31" s="4"/>
      <c r="F31" s="4"/>
      <c r="G31" s="4" t="s">
        <v>552</v>
      </c>
      <c r="H31" s="4" t="s">
        <v>551</v>
      </c>
      <c r="I31" s="4" t="s">
        <v>551</v>
      </c>
      <c r="J31" s="4"/>
      <c r="K31" s="4"/>
    </row>
    <row r="32" spans="1:11" x14ac:dyDescent="0.3">
      <c r="A32" s="2" t="s">
        <v>753</v>
      </c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hyperlinks>
    <hyperlink ref="C2" r:id="rId1" tooltip="Send a mail to info@theresincentre.com" xr:uid="{00000000-0004-0000-0E00-000000000000}"/>
    <hyperlink ref="C3" r:id="rId2" tooltip="Send a mail to kwaterproofing@melita.com" xr:uid="{00000000-0004-0000-0E00-000001000000}"/>
    <hyperlink ref="C4" r:id="rId3" tooltip="Send a mail to alexgrech.waterproofing@gmail.com" xr:uid="{00000000-0004-0000-0E00-000002000000}"/>
    <hyperlink ref="C5" r:id="rId4" tooltip="Send a mail to colin@cpwaterproofing.com" xr:uid="{00000000-0004-0000-0E00-000003000000}"/>
    <hyperlink ref="C6" r:id="rId5" tooltip="Send a mail to airsolutions@ezee.mt" xr:uid="{00000000-0004-0000-0E00-000004000000}"/>
    <hyperlink ref="C7" r:id="rId6" tooltip="Send a mail to tnwaterproof@gmail.com" xr:uid="{00000000-0004-0000-0E00-000005000000}"/>
    <hyperlink ref="C8" r:id="rId7" tooltip="Send a mail to danielschembri71@gmail.com" xr:uid="{00000000-0004-0000-0E00-000006000000}"/>
    <hyperlink ref="C9" r:id="rId8" tooltip="Send a mail to info@devalier.com.mt" xr:uid="{00000000-0004-0000-0E00-000007000000}"/>
    <hyperlink ref="C10" r:id="rId9" tooltip="Send a mail to wp.ltd123@gmail.com" xr:uid="{00000000-0004-0000-0E00-000008000000}"/>
    <hyperlink ref="C11" r:id="rId10" tooltip="Send a mail to info@389.com.mt" xr:uid="{00000000-0004-0000-0E00-000009000000}"/>
    <hyperlink ref="C12" r:id="rId11" tooltip="Send a mail to clintsaliba3@gmail.com" xr:uid="{00000000-0004-0000-0E00-00000A000000}"/>
    <hyperlink ref="C13" r:id="rId12" tooltip="Send a mail to mrleewaterproofing26@gmail.com" xr:uid="{00000000-0004-0000-0E00-00000B000000}"/>
    <hyperlink ref="C14" r:id="rId13" tooltip="Send a mail to contact@kibitec.com" xr:uid="{00000000-0004-0000-0E00-00000C000000}"/>
    <hyperlink ref="C15" r:id="rId14" tooltip="Send a mail to azzopardiwp@gmail.com" xr:uid="{00000000-0004-0000-0E00-00000D000000}"/>
    <hyperlink ref="C16" r:id="rId15" tooltip="Send a mail to caruana.chris@hotmail.com" xr:uid="{00000000-0004-0000-0E00-00000E000000}"/>
    <hyperlink ref="C17" r:id="rId16" tooltip="Send a mail to jasonmartin777@hotmail.com" xr:uid="{00000000-0004-0000-0E00-00000F000000}"/>
    <hyperlink ref="C18" r:id="rId17" tooltip="Send a mail to jurgendalli@gmail.com" xr:uid="{00000000-0004-0000-0E00-000010000000}"/>
    <hyperlink ref="C19" r:id="rId18" tooltip="Send a mail to sales@jmvibro.com" xr:uid="{00000000-0004-0000-0E00-000011000000}"/>
    <hyperlink ref="C20" r:id="rId19" tooltip="Send a mail to info@andrewvassallo.com" xr:uid="{00000000-0004-0000-0E00-000012000000}"/>
    <hyperlink ref="C21" r:id="rId20" tooltip="Send a mail to norob@onvol.net" xr:uid="{00000000-0004-0000-0E00-000013000000}"/>
    <hyperlink ref="C22" r:id="rId21" tooltip="Send a mail to forever.waterproofing@gmail.com" xr:uid="{00000000-0004-0000-0E00-000014000000}"/>
    <hyperlink ref="C23" r:id="rId22" tooltip="Send a mail to ludvic1979@gmail.com" xr:uid="{00000000-0004-0000-0E00-000015000000}"/>
    <hyperlink ref="C24" r:id="rId23" tooltip="Send a mail to vmhome@go.net.mt" xr:uid="{00000000-0004-0000-0E00-000016000000}"/>
    <hyperlink ref="C25" r:id="rId24" tooltip="Send a mail to matuelwaterproofing@gmail.com" xr:uid="{00000000-0004-0000-0E00-000017000000}"/>
    <hyperlink ref="C26" r:id="rId25" tooltip="Send a mail to michael.portelli81@gmail.com" xr:uid="{00000000-0004-0000-0E00-000018000000}"/>
    <hyperlink ref="C27" r:id="rId26" tooltip="Send a mail to admin@thermasealmalta.com" xr:uid="{00000000-0004-0000-0E00-000019000000}"/>
    <hyperlink ref="C28" r:id="rId27" tooltip="Send a mail to rosmanwaterproofing@hotmail.com" xr:uid="{00000000-0004-0000-0E00-00001A000000}"/>
    <hyperlink ref="C29" r:id="rId28" tooltip="Send a mail to jostiv@live.com" xr:uid="{00000000-0004-0000-0E00-00001B000000}"/>
    <hyperlink ref="C30" r:id="rId29" tooltip="Send a mail to bcf_solutions@outlook.com" xr:uid="{00000000-0004-0000-0E00-00001C000000}"/>
    <hyperlink ref="C31" r:id="rId30" tooltip="Send a mail to oijwatermaintenance@gmail.com" xr:uid="{00000000-0004-0000-0E00-00001D000000}"/>
    <hyperlink ref="E2" r:id="rId31" tooltip="Search 264, Old Railway Track Santa Venera on Google Maps" xr:uid="{00000000-0004-0000-0E00-00001E000000}"/>
    <hyperlink ref="E3" r:id="rId32" tooltip="Search 24, Triq Indri Micallef,Luqa, Malta on Google Maps" xr:uid="{00000000-0004-0000-0E00-00001F000000}"/>
    <hyperlink ref="E4" r:id="rId33" tooltip="Search 2, Triq tal-Habaq, Luqa, Malta on Google Maps" xr:uid="{00000000-0004-0000-0E00-000020000000}"/>
    <hyperlink ref="E5" r:id="rId34" tooltip="Search Garage No 3, Pjazza l-Eroj,Swatar B'Kara BKR 4250 on Google Maps" xr:uid="{00000000-0004-0000-0E00-000021000000}"/>
    <hyperlink ref="E6" r:id="rId35" tooltip="Search 58, Donato del Piano Street, Zurrieq,ZRQ 2240 on Google Maps" xr:uid="{00000000-0004-0000-0E00-000022000000}"/>
    <hyperlink ref="E7" r:id="rId36" tooltip="Search Cherry Blossom Triq Lorenzo Manche’, Attard, ATD 2906 on Google Maps" xr:uid="{00000000-0004-0000-0E00-000023000000}"/>
    <hyperlink ref="E8" r:id="rId37" tooltip="Search 102 Block A Flat 2 Triq Lapsi,_x000a_Siggiewi on Google Maps" xr:uid="{00000000-0004-0000-0E00-000024000000}"/>
    <hyperlink ref="E9" r:id="rId38" tooltip="Search The Old Factory, San Gwakkin Str, Zone 3, Central Business District, Mriehel, B’kara, CBD 3030, Malta on Google Maps" xr:uid="{00000000-0004-0000-0E00-000025000000}"/>
    <hyperlink ref="E10" r:id="rId39" tooltip="Search WP Ltd_x000a_Marcelle Triq ix-Xitwa ,_x000a_Qormi, Malta QRM 5234 on Google Maps" xr:uid="{00000000-0004-0000-0E00-000026000000}"/>
    <hyperlink ref="E11" r:id="rId40" tooltip="Search Three eight nine Co ltd (389 co Ltd)_x000a_22, 26 Triq Dun Xand Cortis ,_x000a_B’Kara, Malta BKR 1531 on Google Maps" xr:uid="{00000000-0004-0000-0E00-000027000000}"/>
    <hyperlink ref="E12" r:id="rId41" tooltip="Search C &amp; R Plastering_x000a_Trejqet il-Barrieri ,_x000a_Zurrieq, Malta ZRQ 3602 on Google Maps" xr:uid="{00000000-0004-0000-0E00-000028000000}"/>
    <hyperlink ref="E13" r:id="rId42" tooltip="Search Azzopardi Waterproofing Ltd_x000a_67 Triq il-Belt Valletta ,_x000a_Attard, Malta ATD 9056 on Google Maps" xr:uid="{00000000-0004-0000-0E00-000029000000}"/>
    <hyperlink ref="E14" r:id="rId43" tooltip="Search CHR home improvements_x000a_Triq Mikielang Sapiano ,_x000a_Luqa, Malta LQA 1803 on Google Maps" xr:uid="{00000000-0004-0000-0E00-00002A000000}"/>
    <hyperlink ref="E15" r:id="rId44" tooltip="Search Coverite Waterproofing_x000a_3 Pretty Lodge Pjazza San Leonardu ,_x000a_Mosta, Malta MST 1061 on Google Maps" xr:uid="{00000000-0004-0000-0E00-00002B000000}"/>
    <hyperlink ref="F2" r:id="rId45" tooltip="Visit theresincentre.com/contact-us/" xr:uid="{00000000-0004-0000-0E00-00002C000000}"/>
    <hyperlink ref="F3" r:id="rId46" tooltip="Visit kendawaterproofing.com/contactV3.html#" xr:uid="{00000000-0004-0000-0E00-00002D000000}"/>
    <hyperlink ref="F4" r:id="rId47" tooltip="Visit agwaterproofingmalta.com/" xr:uid="{00000000-0004-0000-0E00-00002E000000}"/>
    <hyperlink ref="F5" r:id="rId48" tooltip="Visit cpwaterproofing.com/" xr:uid="{00000000-0004-0000-0E00-00002F000000}"/>
    <hyperlink ref="F6" r:id="rId49" tooltip="Visit airsolutionslimited.com/" xr:uid="{00000000-0004-0000-0E00-000030000000}"/>
    <hyperlink ref="F7" r:id="rId50" tooltip="Visit fb.com/maximumwaterproofingmalta/" xr:uid="{00000000-0004-0000-0E00-000031000000}"/>
    <hyperlink ref="F8" r:id="rId51" tooltip="Visit dv.mt/de-valtech-category/waterproofing/" xr:uid="{00000000-0004-0000-0E00-000032000000}"/>
    <hyperlink ref="F9" r:id="rId52" tooltip="Visit wpmalta.com/?utm_source=Yellow&amp;utm_medium=Yellow-Website&amp;utm_campaign=Landing-Page" xr:uid="{00000000-0004-0000-0E00-000033000000}"/>
    <hyperlink ref="F10" r:id="rId53" tooltip="Visit yellow.com.mt/c-r-plastering/waterproofing-contractors/" xr:uid="{00000000-0004-0000-0E00-000034000000}"/>
    <hyperlink ref="F11" r:id="rId54" tooltip="Visit facebook.com/mrleewaterproofing/" xr:uid="{00000000-0004-0000-0E00-000035000000}"/>
    <hyperlink ref="F12" r:id="rId55" tooltip="Visit kibitec.com/waterproof-membrane-malta/" xr:uid="{00000000-0004-0000-0E00-000036000000}"/>
    <hyperlink ref="F13" r:id="rId56" tooltip="Visit yellow.com.mt/azzopardi-waterproofing-ltd_waterproofing-contractors+attard/" xr:uid="{00000000-0004-0000-0E00-000037000000}"/>
    <hyperlink ref="F14" r:id="rId57" tooltip="Visit facebook.com/CHR.home.improvements/?utm_source=Yellow&amp;utm_medium=Yellow-Website&amp;utm_campaign=Landing-Page" xr:uid="{00000000-0004-0000-0E00-000038000000}"/>
    <hyperlink ref="F15" r:id="rId58" tooltip="Visit yellow.com.mt/coverite-waterproofing_waterproofing-contractors+mosta/" xr:uid="{00000000-0004-0000-0E00-000039000000}"/>
  </hyperlink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cols>
    <col min="1" max="1" width="6.88671875" customWidth="1"/>
    <col min="2" max="2" width="11.109375" customWidth="1"/>
    <col min="3" max="3" width="7.109375" customWidth="1"/>
    <col min="4" max="4" width="18.6640625" customWidth="1"/>
    <col min="5" max="5" width="10.88671875" customWidth="1"/>
    <col min="6" max="6" width="11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9"/>
  <sheetViews>
    <sheetView workbookViewId="0"/>
  </sheetViews>
  <sheetFormatPr defaultRowHeight="14.4" x14ac:dyDescent="0.3"/>
  <cols>
    <col min="1" max="1" width="12.88671875" customWidth="1"/>
    <col min="2" max="2" width="17.88671875" customWidth="1"/>
    <col min="3" max="3" width="29.109375" customWidth="1"/>
    <col min="4" max="4" width="18.6640625" customWidth="1"/>
    <col min="5" max="5" width="10.88671875" customWidth="1"/>
    <col min="6" max="6" width="44.88671875" customWidth="1"/>
    <col min="7" max="7" width="16.5546875" customWidth="1"/>
    <col min="8" max="8" width="12.5546875" customWidth="1"/>
    <col min="9" max="9" width="10.109375" customWidth="1"/>
    <col min="10" max="10" width="15" customWidth="1"/>
    <col min="11" max="11" width="8.88671875" customWidth="1"/>
  </cols>
  <sheetData>
    <row r="1" spans="1:11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3038</v>
      </c>
      <c r="H1" s="1" t="s">
        <v>590</v>
      </c>
      <c r="I1" s="1" t="s">
        <v>5362</v>
      </c>
      <c r="J1" s="1" t="s">
        <v>5360</v>
      </c>
      <c r="K1" s="1" t="s">
        <v>5359</v>
      </c>
    </row>
    <row r="2" spans="1:11" x14ac:dyDescent="0.3">
      <c r="A2" s="2" t="s">
        <v>843</v>
      </c>
      <c r="B2" s="2" t="s">
        <v>845</v>
      </c>
      <c r="C2" s="3" t="s">
        <v>854</v>
      </c>
      <c r="D2" s="2" t="str">
        <f>CONCATENATE(HYPERLINK("CALLTO:%2B356%207712%202494", "+356 7712 2494"))</f>
        <v>+356 7712 2494</v>
      </c>
      <c r="E2" s="2"/>
      <c r="F2" s="3" t="s">
        <v>867</v>
      </c>
      <c r="G2" s="2" t="s">
        <v>552</v>
      </c>
      <c r="H2" s="2" t="s">
        <v>551</v>
      </c>
      <c r="I2" s="2" t="s">
        <v>551</v>
      </c>
      <c r="J2" s="2" t="s">
        <v>551</v>
      </c>
      <c r="K2" s="2" t="s">
        <v>552</v>
      </c>
    </row>
    <row r="3" spans="1:11" x14ac:dyDescent="0.3">
      <c r="A3" s="4" t="s">
        <v>843</v>
      </c>
      <c r="B3" s="4" t="s">
        <v>846</v>
      </c>
      <c r="C3" s="5" t="s">
        <v>855</v>
      </c>
      <c r="D3" s="4" t="str">
        <f>CONCATENATE(HYPERLINK("CALLTO:%2B356%202141%207596", "+356 2141 7596"))</f>
        <v>+356 2141 7596</v>
      </c>
      <c r="E3" s="4"/>
      <c r="F3" s="5" t="s">
        <v>868</v>
      </c>
      <c r="G3" s="4" t="s">
        <v>551</v>
      </c>
      <c r="H3" s="4" t="s">
        <v>551</v>
      </c>
      <c r="I3" s="4" t="s">
        <v>551</v>
      </c>
      <c r="J3" s="4" t="s">
        <v>551</v>
      </c>
      <c r="K3" s="4" t="s">
        <v>552</v>
      </c>
    </row>
    <row r="4" spans="1:11" x14ac:dyDescent="0.3">
      <c r="A4" s="2" t="s">
        <v>844</v>
      </c>
      <c r="B4" s="2" t="s">
        <v>692</v>
      </c>
      <c r="C4" s="3" t="s">
        <v>721</v>
      </c>
      <c r="D4" s="2" t="str">
        <f>CONCATENATE(HYPERLINK("CALLTO:%2B356%202143%203636", "+356 2143 3636"))</f>
        <v>+356 2143 3636</v>
      </c>
      <c r="E4" s="2"/>
      <c r="F4" s="3" t="s">
        <v>869</v>
      </c>
      <c r="G4" s="2" t="s">
        <v>551</v>
      </c>
      <c r="H4" s="2" t="s">
        <v>551</v>
      </c>
      <c r="I4" s="2" t="s">
        <v>551</v>
      </c>
      <c r="J4" s="2" t="s">
        <v>551</v>
      </c>
      <c r="K4" s="2" t="s">
        <v>551</v>
      </c>
    </row>
    <row r="5" spans="1:11" x14ac:dyDescent="0.3">
      <c r="A5" s="4" t="s">
        <v>844</v>
      </c>
      <c r="B5" s="4" t="s">
        <v>686</v>
      </c>
      <c r="C5" s="5" t="s">
        <v>715</v>
      </c>
      <c r="D5" s="4" t="str">
        <f>CONCATENATE(HYPERLINK("CALLTO:%2B356%202145%201350", "+356 2145 1350"))</f>
        <v>+356 2145 1350</v>
      </c>
      <c r="E5" s="4"/>
      <c r="F5" s="5" t="s">
        <v>870</v>
      </c>
      <c r="G5" s="4" t="s">
        <v>551</v>
      </c>
      <c r="H5" s="4" t="s">
        <v>551</v>
      </c>
      <c r="I5" s="4" t="s">
        <v>551</v>
      </c>
      <c r="J5" s="4" t="s">
        <v>551</v>
      </c>
      <c r="K5" s="4" t="s">
        <v>551</v>
      </c>
    </row>
    <row r="6" spans="1:11" x14ac:dyDescent="0.3">
      <c r="A6" s="2"/>
      <c r="B6" s="2" t="s">
        <v>694</v>
      </c>
      <c r="C6" s="3" t="s">
        <v>723</v>
      </c>
      <c r="D6" s="2" t="str">
        <f>CONCATENATE(HYPERLINK("CALLTO:%2B356%202146%203335", "+356 2146 3335"))</f>
        <v>+356 2146 3335</v>
      </c>
      <c r="E6" s="2"/>
      <c r="F6" s="3" t="s">
        <v>871</v>
      </c>
      <c r="G6" s="2" t="s">
        <v>551</v>
      </c>
      <c r="H6" s="2" t="s">
        <v>551</v>
      </c>
      <c r="I6" s="2" t="s">
        <v>551</v>
      </c>
      <c r="J6" s="2" t="s">
        <v>551</v>
      </c>
      <c r="K6" s="2" t="s">
        <v>551</v>
      </c>
    </row>
    <row r="7" spans="1:11" x14ac:dyDescent="0.3">
      <c r="A7" s="4"/>
      <c r="B7" s="4" t="s">
        <v>847</v>
      </c>
      <c r="C7" s="5" t="s">
        <v>856</v>
      </c>
      <c r="D7" s="4"/>
      <c r="E7" s="4"/>
      <c r="F7" s="5" t="s">
        <v>872</v>
      </c>
      <c r="G7" s="4" t="s">
        <v>551</v>
      </c>
      <c r="H7" s="4" t="s">
        <v>552</v>
      </c>
      <c r="I7" s="4" t="s">
        <v>551</v>
      </c>
      <c r="J7" s="4" t="s">
        <v>551</v>
      </c>
      <c r="K7" s="4" t="s">
        <v>552</v>
      </c>
    </row>
    <row r="8" spans="1:11" x14ac:dyDescent="0.3">
      <c r="A8" s="2"/>
      <c r="B8" s="2" t="s">
        <v>848</v>
      </c>
      <c r="C8" s="3" t="s">
        <v>857</v>
      </c>
      <c r="D8" s="2"/>
      <c r="E8" s="2"/>
      <c r="F8" s="3" t="s">
        <v>873</v>
      </c>
      <c r="G8" s="2" t="s">
        <v>551</v>
      </c>
      <c r="H8" s="2" t="s">
        <v>552</v>
      </c>
      <c r="I8" s="2" t="s">
        <v>551</v>
      </c>
      <c r="J8" s="2" t="s">
        <v>552</v>
      </c>
      <c r="K8" s="2" t="s">
        <v>551</v>
      </c>
    </row>
    <row r="9" spans="1:11" x14ac:dyDescent="0.3">
      <c r="A9" s="4"/>
      <c r="B9" s="4" t="s">
        <v>849</v>
      </c>
      <c r="C9" s="5" t="s">
        <v>858</v>
      </c>
      <c r="D9" s="4"/>
      <c r="E9" s="4"/>
      <c r="F9" s="5" t="s">
        <v>874</v>
      </c>
      <c r="G9" s="4" t="s">
        <v>552</v>
      </c>
      <c r="H9" s="4" t="s">
        <v>551</v>
      </c>
      <c r="I9" s="4" t="s">
        <v>551</v>
      </c>
      <c r="J9" s="4" t="s">
        <v>551</v>
      </c>
      <c r="K9" s="4" t="s">
        <v>552</v>
      </c>
    </row>
    <row r="10" spans="1:11" x14ac:dyDescent="0.3">
      <c r="A10" s="2"/>
      <c r="B10" s="2" t="s">
        <v>850</v>
      </c>
      <c r="C10" s="3" t="s">
        <v>859</v>
      </c>
      <c r="D10" s="2"/>
      <c r="E10" s="2"/>
      <c r="F10" s="3" t="s">
        <v>875</v>
      </c>
      <c r="G10" s="2" t="s">
        <v>552</v>
      </c>
      <c r="H10" s="2" t="s">
        <v>551</v>
      </c>
      <c r="I10" s="2" t="s">
        <v>551</v>
      </c>
      <c r="J10" s="2" t="s">
        <v>551</v>
      </c>
      <c r="K10" s="2" t="s">
        <v>552</v>
      </c>
    </row>
    <row r="11" spans="1:11" x14ac:dyDescent="0.3">
      <c r="A11" s="4"/>
      <c r="B11" s="4" t="s">
        <v>851</v>
      </c>
      <c r="C11" s="5" t="s">
        <v>860</v>
      </c>
      <c r="D11" s="4"/>
      <c r="E11" s="4"/>
      <c r="F11" s="5" t="s">
        <v>876</v>
      </c>
      <c r="G11" s="4" t="s">
        <v>551</v>
      </c>
      <c r="H11" s="4" t="s">
        <v>552</v>
      </c>
      <c r="I11" s="4" t="s">
        <v>551</v>
      </c>
      <c r="J11" s="4" t="s">
        <v>552</v>
      </c>
      <c r="K11" s="4" t="s">
        <v>551</v>
      </c>
    </row>
    <row r="12" spans="1:11" x14ac:dyDescent="0.3">
      <c r="A12" s="2"/>
      <c r="B12" s="2" t="s">
        <v>852</v>
      </c>
      <c r="C12" s="3" t="s">
        <v>861</v>
      </c>
      <c r="D12" s="2"/>
      <c r="E12" s="2"/>
      <c r="F12" s="3" t="s">
        <v>877</v>
      </c>
      <c r="G12" s="2" t="s">
        <v>551</v>
      </c>
      <c r="H12" s="2" t="s">
        <v>551</v>
      </c>
      <c r="I12" s="2" t="s">
        <v>551</v>
      </c>
      <c r="J12" s="2" t="s">
        <v>551</v>
      </c>
      <c r="K12" s="2" t="s">
        <v>551</v>
      </c>
    </row>
    <row r="13" spans="1:11" x14ac:dyDescent="0.3">
      <c r="A13" s="4"/>
      <c r="B13" s="4" t="s">
        <v>853</v>
      </c>
      <c r="C13" s="5" t="s">
        <v>717</v>
      </c>
      <c r="D13" s="4"/>
      <c r="E13" s="4"/>
      <c r="F13" s="4"/>
      <c r="G13" s="4" t="s">
        <v>551</v>
      </c>
      <c r="H13" s="4" t="s">
        <v>551</v>
      </c>
      <c r="I13" s="4" t="s">
        <v>551</v>
      </c>
      <c r="J13" s="4" t="s">
        <v>551</v>
      </c>
      <c r="K13" s="4" t="s">
        <v>551</v>
      </c>
    </row>
    <row r="14" spans="1:11" x14ac:dyDescent="0.3">
      <c r="A14" s="2"/>
      <c r="B14" s="2"/>
      <c r="C14" s="3" t="s">
        <v>714</v>
      </c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4"/>
      <c r="B15" s="4"/>
      <c r="C15" s="5" t="s">
        <v>862</v>
      </c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2"/>
      <c r="B16" s="2"/>
      <c r="C16" s="3" t="s">
        <v>863</v>
      </c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4"/>
      <c r="B17" s="4"/>
      <c r="C17" s="5" t="s">
        <v>864</v>
      </c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2"/>
      <c r="B18" s="2"/>
      <c r="C18" s="3" t="s">
        <v>865</v>
      </c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4"/>
      <c r="B19" s="4"/>
      <c r="C19" s="5" t="s">
        <v>700</v>
      </c>
      <c r="D19" s="4"/>
      <c r="E19" s="4"/>
      <c r="F19" s="4"/>
      <c r="G19" s="4"/>
      <c r="H19" s="4"/>
      <c r="I19" s="4"/>
      <c r="J19" s="4"/>
      <c r="K19" s="4"/>
    </row>
  </sheetData>
  <hyperlinks>
    <hyperlink ref="C2" r:id="rId1" tooltip="Send a mail to c.demirkiran@carradesign.com" xr:uid="{00000000-0004-0000-1000-000000000000}"/>
    <hyperlink ref="C3" r:id="rId2" tooltip="Send a mail to info@absolute.com.mt" xr:uid="{00000000-0004-0000-1000-000001000000}"/>
    <hyperlink ref="C4" r:id="rId3" tooltip="Send a mail to info@halmannvella.com" xr:uid="{00000000-0004-0000-1000-000002000000}"/>
    <hyperlink ref="C5" r:id="rId4" tooltip="Send a mail to info@desanamarbles.com" xr:uid="{00000000-0004-0000-1000-000003000000}"/>
    <hyperlink ref="C6" r:id="rId5" tooltip="Send a mail to sales@marbleinnovation.com" xr:uid="{00000000-0004-0000-1000-000004000000}"/>
    <hyperlink ref="C7" r:id="rId6" tooltip="Send a mail to info@jpitre.com" xr:uid="{00000000-0004-0000-1000-000005000000}"/>
    <hyperlink ref="C8" r:id="rId7" tooltip="Send a mail to msida@iperceramica.mt" xr:uid="{00000000-0004-0000-1000-000006000000}"/>
    <hyperlink ref="C9" r:id="rId8" tooltip="Send a mail to info@radosystems.eu" xr:uid="{00000000-0004-0000-1000-000007000000}"/>
    <hyperlink ref="C10" r:id="rId9" tooltip="Send a mail to steve@cordina.eu" xr:uid="{00000000-0004-0000-1000-000008000000}"/>
    <hyperlink ref="C11" r:id="rId10" tooltip="Send a mail to info@mrcd.com.mt" xr:uid="{00000000-0004-0000-1000-000009000000}"/>
    <hyperlink ref="C12" r:id="rId11" tooltip="Send a mail to cpcamilleripatrick@gmail.com" xr:uid="{00000000-0004-0000-1000-00000A000000}"/>
    <hyperlink ref="C13" r:id="rId12" tooltip="Send a mail to sales@seamless.com.mt" xr:uid="{00000000-0004-0000-1000-00000B000000}"/>
    <hyperlink ref="C14" r:id="rId13" tooltip="Send a mail to sales@floorsofstone.com.mt" xr:uid="{00000000-0004-0000-1000-00000C000000}"/>
    <hyperlink ref="C15" r:id="rId14" tooltip="Send a mail to info@cgaleamarble.com" xr:uid="{00000000-0004-0000-1000-00000D000000}"/>
    <hyperlink ref="C16" r:id="rId15" tooltip="Send a mail to info@chicliving.com.mt" xr:uid="{00000000-0004-0000-1000-00000E000000}"/>
    <hyperlink ref="C17" r:id="rId16" tooltip="Send a mail to info@distincthomes.com.mt" xr:uid="{00000000-0004-0000-1000-00000F000000}"/>
    <hyperlink ref="C18" r:id="rId17" tooltip="Send a mail to info@bfmarbles.com" xr:uid="{00000000-0004-0000-1000-000010000000}"/>
    <hyperlink ref="C19" r:id="rId18" tooltip="Send a mail to info@soll.mt" xr:uid="{00000000-0004-0000-1000-000011000000}"/>
    <hyperlink ref="F2" r:id="rId19" tooltip="Visit facebook.com/p/Carradesign-100086413076922/" xr:uid="{00000000-0004-0000-1000-000012000000}"/>
    <hyperlink ref="F3" r:id="rId20" tooltip="Visit absolute.com.mt/terrazzo/" xr:uid="{00000000-0004-0000-1000-000013000000}"/>
    <hyperlink ref="F4" r:id="rId21" tooltip="Visit halmannvella.com/" xr:uid="{00000000-0004-0000-1000-000014000000}"/>
    <hyperlink ref="F5" r:id="rId22" tooltip="Visit desanamarbles.com/materials/terrazzo" xr:uid="{00000000-0004-0000-1000-000015000000}"/>
    <hyperlink ref="F6" r:id="rId23" tooltip="Visit marbleinnovation.com/contact" xr:uid="{00000000-0004-0000-1000-000016000000}"/>
    <hyperlink ref="F7" r:id="rId24" tooltip="Visit pitrebathrooms.com/contact-us" xr:uid="{00000000-0004-0000-1000-000017000000}"/>
    <hyperlink ref="F8" r:id="rId25" tooltip="Visit facebook.com/radoflooring/" xr:uid="{00000000-0004-0000-1000-000018000000}"/>
    <hyperlink ref="F9" r:id="rId26" tooltip="Visit facebook.com/cordinamt/" xr:uid="{00000000-0004-0000-1000-000019000000}"/>
    <hyperlink ref="F10" r:id="rId27" tooltip="Visit mrcd.com.mt/en/home.htm" xr:uid="{00000000-0004-0000-1000-00001A000000}"/>
    <hyperlink ref="F11" r:id="rId28" tooltip="Visit facebook.com/profile.php?id=100054506707941" xr:uid="{00000000-0004-0000-1000-00001B000000}"/>
    <hyperlink ref="F12" r:id="rId29" tooltip="Visit facebook.com/seamlessmalta/" xr:uid="{00000000-0004-0000-1000-00001C000000}"/>
  </hyperlink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23.33203125" customWidth="1"/>
    <col min="3" max="3" width="37.109375" customWidth="1"/>
    <col min="4" max="4" width="18.6640625" customWidth="1"/>
    <col min="5" max="5" width="58.6640625" customWidth="1"/>
    <col min="6" max="6" width="26.44140625" customWidth="1"/>
    <col min="7" max="7" width="16.5546875" customWidth="1"/>
    <col min="8" max="8" width="13.5546875" customWidth="1"/>
    <col min="9" max="9" width="10.109375" customWidth="1"/>
    <col min="10" max="10" width="15" customWidth="1"/>
    <col min="11" max="11" width="8.88671875" customWidth="1"/>
  </cols>
  <sheetData>
    <row r="1" spans="1:11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3038</v>
      </c>
      <c r="H1" s="1" t="s">
        <v>5381</v>
      </c>
      <c r="I1" s="1" t="s">
        <v>5362</v>
      </c>
      <c r="J1" s="1" t="s">
        <v>5360</v>
      </c>
      <c r="K1" s="1" t="s">
        <v>5359</v>
      </c>
    </row>
    <row r="2" spans="1:11" x14ac:dyDescent="0.3">
      <c r="A2" s="2" t="s">
        <v>879</v>
      </c>
      <c r="B2" s="2" t="s">
        <v>880</v>
      </c>
      <c r="C2" s="3" t="s">
        <v>899</v>
      </c>
      <c r="D2" s="2" t="str">
        <f>CONCATENATE(HYPERLINK("CALLTO:%2B356%202144%203333", "+356 2144 3333"))</f>
        <v>+356 2144 3333</v>
      </c>
      <c r="E2" s="3" t="s">
        <v>916</v>
      </c>
      <c r="F2" s="3" t="s">
        <v>938</v>
      </c>
      <c r="G2" s="2" t="s">
        <v>551</v>
      </c>
      <c r="H2" s="2" t="s">
        <v>551</v>
      </c>
      <c r="I2" s="2" t="s">
        <v>551</v>
      </c>
      <c r="J2" s="2" t="s">
        <v>551</v>
      </c>
      <c r="K2" s="2" t="s">
        <v>551</v>
      </c>
    </row>
    <row r="3" spans="1:11" x14ac:dyDescent="0.3">
      <c r="A3" s="4" t="s">
        <v>879</v>
      </c>
      <c r="B3" s="4" t="s">
        <v>878</v>
      </c>
      <c r="C3" s="5" t="s">
        <v>898</v>
      </c>
      <c r="D3" s="4" t="str">
        <f>CONCATENATE(HYPERLINK("CALLTO:%2B356%202732%200796", "+356 2732 0796"))</f>
        <v>+356 2732 0796</v>
      </c>
      <c r="E3" s="5" t="s">
        <v>915</v>
      </c>
      <c r="F3" s="5" t="s">
        <v>939</v>
      </c>
      <c r="G3" s="4" t="s">
        <v>552</v>
      </c>
      <c r="H3" s="4" t="s">
        <v>551</v>
      </c>
      <c r="I3" s="4" t="s">
        <v>551</v>
      </c>
      <c r="J3" s="4" t="s">
        <v>551</v>
      </c>
      <c r="K3" s="4" t="s">
        <v>551</v>
      </c>
    </row>
    <row r="4" spans="1:11" x14ac:dyDescent="0.3">
      <c r="A4" s="2" t="s">
        <v>879</v>
      </c>
      <c r="B4" s="2" t="s">
        <v>563</v>
      </c>
      <c r="C4" s="3" t="s">
        <v>577</v>
      </c>
      <c r="D4" s="2" t="str">
        <f>CONCATENATE(HYPERLINK("CALLTO:%2B356%202123%204567", "+356 2123 4567"))</f>
        <v>+356 2123 4567</v>
      </c>
      <c r="E4" s="3" t="s">
        <v>917</v>
      </c>
      <c r="F4" s="3" t="s">
        <v>940</v>
      </c>
      <c r="G4" s="2" t="s">
        <v>551</v>
      </c>
      <c r="H4" s="2" t="s">
        <v>551</v>
      </c>
      <c r="I4" s="2" t="s">
        <v>551</v>
      </c>
      <c r="J4" s="2" t="s">
        <v>551</v>
      </c>
      <c r="K4" s="2" t="s">
        <v>551</v>
      </c>
    </row>
    <row r="5" spans="1:11" x14ac:dyDescent="0.3">
      <c r="A5" s="4" t="s">
        <v>879</v>
      </c>
      <c r="B5" s="4" t="s">
        <v>881</v>
      </c>
      <c r="C5" s="5" t="s">
        <v>900</v>
      </c>
      <c r="D5" s="4" t="str">
        <f>CONCATENATE(HYPERLINK("CALLTO:%2B356%202133%202233", "+356 2133 2233"))</f>
        <v>+356 2133 2233</v>
      </c>
      <c r="E5" s="5" t="s">
        <v>918</v>
      </c>
      <c r="F5" s="5" t="s">
        <v>941</v>
      </c>
      <c r="G5" s="4" t="s">
        <v>551</v>
      </c>
      <c r="H5" s="4" t="s">
        <v>551</v>
      </c>
      <c r="I5" s="4" t="s">
        <v>551</v>
      </c>
      <c r="J5" s="4" t="s">
        <v>551</v>
      </c>
      <c r="K5" s="4" t="s">
        <v>551</v>
      </c>
    </row>
    <row r="6" spans="1:11" x14ac:dyDescent="0.3">
      <c r="A6" s="2" t="s">
        <v>879</v>
      </c>
      <c r="B6" s="2" t="s">
        <v>882</v>
      </c>
      <c r="C6" s="3" t="s">
        <v>901</v>
      </c>
      <c r="D6" s="2" t="str">
        <f>CONCATENATE(HYPERLINK("CALLTO:%2B356%202124%205678", "+356 2124 5678"))</f>
        <v>+356 2124 5678</v>
      </c>
      <c r="E6" s="3" t="s">
        <v>919</v>
      </c>
      <c r="F6" s="3" t="s">
        <v>942</v>
      </c>
      <c r="G6" s="2" t="s">
        <v>551</v>
      </c>
      <c r="H6" s="2" t="s">
        <v>551</v>
      </c>
      <c r="I6" s="2" t="s">
        <v>551</v>
      </c>
      <c r="J6" s="2" t="s">
        <v>551</v>
      </c>
      <c r="K6" s="2" t="s">
        <v>551</v>
      </c>
    </row>
    <row r="7" spans="1:11" x14ac:dyDescent="0.3">
      <c r="A7" s="4" t="s">
        <v>879</v>
      </c>
      <c r="B7" s="4" t="s">
        <v>883</v>
      </c>
      <c r="C7" s="5" t="s">
        <v>902</v>
      </c>
      <c r="D7" s="4" t="str">
        <f>CONCATENATE(HYPERLINK("CALLTO:%2B356%202149%207111", "+356 2149 7111"))</f>
        <v>+356 2149 7111</v>
      </c>
      <c r="E7" s="5" t="s">
        <v>920</v>
      </c>
      <c r="F7" s="5" t="s">
        <v>943</v>
      </c>
      <c r="G7" s="4" t="s">
        <v>551</v>
      </c>
      <c r="H7" s="4" t="s">
        <v>551</v>
      </c>
      <c r="I7" s="4" t="s">
        <v>551</v>
      </c>
      <c r="J7" s="4" t="s">
        <v>551</v>
      </c>
      <c r="K7" s="4" t="s">
        <v>551</v>
      </c>
    </row>
    <row r="8" spans="1:11" x14ac:dyDescent="0.3">
      <c r="A8" s="2" t="s">
        <v>879</v>
      </c>
      <c r="B8" s="2" t="s">
        <v>884</v>
      </c>
      <c r="C8" s="3" t="s">
        <v>903</v>
      </c>
      <c r="D8" s="2" t="str">
        <f>CONCATENATE(HYPERLINK("CALLTO:%2B356%202149%203285", "+356 2149 3285"))</f>
        <v>+356 2149 3285</v>
      </c>
      <c r="E8" s="3" t="s">
        <v>921</v>
      </c>
      <c r="F8" s="3" t="s">
        <v>945</v>
      </c>
      <c r="G8" s="2" t="s">
        <v>551</v>
      </c>
      <c r="H8" s="2" t="s">
        <v>551</v>
      </c>
      <c r="I8" s="2" t="s">
        <v>551</v>
      </c>
      <c r="J8" s="2" t="s">
        <v>551</v>
      </c>
      <c r="K8" s="2" t="s">
        <v>551</v>
      </c>
    </row>
    <row r="9" spans="1:11" x14ac:dyDescent="0.3">
      <c r="A9" s="4" t="s">
        <v>879</v>
      </c>
      <c r="B9" s="4" t="s">
        <v>886</v>
      </c>
      <c r="C9" s="5" t="s">
        <v>904</v>
      </c>
      <c r="D9" s="4" t="str">
        <f>CONCATENATE(HYPERLINK("CALLTO:%2B356%202169%201334", "+356 2169 1334"))</f>
        <v>+356 2169 1334</v>
      </c>
      <c r="E9" s="5" t="s">
        <v>922</v>
      </c>
      <c r="F9" s="5" t="s">
        <v>944</v>
      </c>
      <c r="G9" s="4" t="s">
        <v>551</v>
      </c>
      <c r="H9" s="4" t="s">
        <v>551</v>
      </c>
      <c r="I9" s="4" t="s">
        <v>551</v>
      </c>
      <c r="J9" s="4" t="s">
        <v>551</v>
      </c>
      <c r="K9" s="4" t="s">
        <v>551</v>
      </c>
    </row>
    <row r="10" spans="1:11" x14ac:dyDescent="0.3">
      <c r="A10" s="2" t="s">
        <v>879</v>
      </c>
      <c r="B10" s="2" t="s">
        <v>885</v>
      </c>
      <c r="C10" s="3" t="s">
        <v>905</v>
      </c>
      <c r="D10" s="2" t="str">
        <f>CONCATENATE(HYPERLINK("CALLTO:%2B356%202343%206345", "+356 2343 6345"))</f>
        <v>+356 2343 6345</v>
      </c>
      <c r="E10" s="3" t="s">
        <v>923</v>
      </c>
      <c r="F10" s="3" t="s">
        <v>946</v>
      </c>
      <c r="G10" s="2" t="s">
        <v>551</v>
      </c>
      <c r="H10" s="2" t="s">
        <v>551</v>
      </c>
      <c r="I10" s="2" t="s">
        <v>551</v>
      </c>
      <c r="J10" s="2" t="s">
        <v>551</v>
      </c>
      <c r="K10" s="2" t="s">
        <v>551</v>
      </c>
    </row>
    <row r="11" spans="1:11" x14ac:dyDescent="0.3">
      <c r="A11" s="4" t="s">
        <v>879</v>
      </c>
      <c r="B11" s="4" t="s">
        <v>887</v>
      </c>
      <c r="C11" s="5" t="s">
        <v>906</v>
      </c>
      <c r="D11" s="4" t="s">
        <v>146</v>
      </c>
      <c r="E11" s="5" t="s">
        <v>924</v>
      </c>
      <c r="F11" s="5" t="s">
        <v>947</v>
      </c>
      <c r="G11" s="4" t="s">
        <v>552</v>
      </c>
      <c r="H11" s="4" t="s">
        <v>551</v>
      </c>
      <c r="I11" s="4" t="s">
        <v>551</v>
      </c>
      <c r="J11" s="4" t="s">
        <v>551</v>
      </c>
      <c r="K11" s="4" t="s">
        <v>551</v>
      </c>
    </row>
    <row r="12" spans="1:11" x14ac:dyDescent="0.3">
      <c r="A12" s="2" t="s">
        <v>879</v>
      </c>
      <c r="B12" s="2" t="s">
        <v>888</v>
      </c>
      <c r="C12" s="3" t="s">
        <v>907</v>
      </c>
      <c r="D12" s="2" t="str">
        <f>CONCATENATE(HYPERLINK("CALLTO:%2B356%202180%205805", "+356 2180 5805"))</f>
        <v>+356 2180 5805</v>
      </c>
      <c r="E12" s="3" t="s">
        <v>925</v>
      </c>
      <c r="F12" s="3" t="s">
        <v>948</v>
      </c>
      <c r="G12" s="2" t="s">
        <v>551</v>
      </c>
      <c r="H12" s="2" t="s">
        <v>551</v>
      </c>
      <c r="I12" s="2" t="s">
        <v>551</v>
      </c>
      <c r="J12" s="2" t="s">
        <v>551</v>
      </c>
      <c r="K12" s="2" t="s">
        <v>551</v>
      </c>
    </row>
    <row r="13" spans="1:11" x14ac:dyDescent="0.3">
      <c r="A13" s="4" t="s">
        <v>879</v>
      </c>
      <c r="B13" s="4" t="s">
        <v>889</v>
      </c>
      <c r="C13" s="5" t="s">
        <v>515</v>
      </c>
      <c r="D13" s="4" t="str">
        <f>CONCATENATE(HYPERLINK("CALLTO:%2B356%202138%202876", "+356 2138 2876"))</f>
        <v>+356 2138 2876</v>
      </c>
      <c r="E13" s="5" t="s">
        <v>926</v>
      </c>
      <c r="F13" s="5" t="s">
        <v>949</v>
      </c>
      <c r="G13" s="4" t="s">
        <v>551</v>
      </c>
      <c r="H13" s="4" t="s">
        <v>552</v>
      </c>
      <c r="I13" s="4" t="s">
        <v>551</v>
      </c>
      <c r="J13" s="4" t="s">
        <v>551</v>
      </c>
      <c r="K13" s="4" t="s">
        <v>551</v>
      </c>
    </row>
    <row r="14" spans="1:11" x14ac:dyDescent="0.3">
      <c r="A14" s="2" t="s">
        <v>879</v>
      </c>
      <c r="B14" s="2" t="s">
        <v>890</v>
      </c>
      <c r="C14" s="3" t="s">
        <v>908</v>
      </c>
      <c r="D14" s="2" t="str">
        <f>CONCATENATE(HYPERLINK("CALLTO:%2B356%202144%205555", "+356 2144 5555"))</f>
        <v>+356 2144 5555</v>
      </c>
      <c r="E14" s="3" t="s">
        <v>927</v>
      </c>
      <c r="F14" s="3" t="s">
        <v>951</v>
      </c>
      <c r="G14" s="2" t="s">
        <v>551</v>
      </c>
      <c r="H14" s="2" t="s">
        <v>552</v>
      </c>
      <c r="I14" s="2" t="s">
        <v>551</v>
      </c>
      <c r="J14" s="2" t="s">
        <v>551</v>
      </c>
      <c r="K14" s="2" t="s">
        <v>551</v>
      </c>
    </row>
    <row r="15" spans="1:11" x14ac:dyDescent="0.3">
      <c r="A15" s="4" t="s">
        <v>879</v>
      </c>
      <c r="B15" s="4" t="s">
        <v>892</v>
      </c>
      <c r="C15" s="5" t="s">
        <v>909</v>
      </c>
      <c r="D15" s="4" t="str">
        <f>CONCATENATE(HYPERLINK("CALLTO:%2B356%202133%206600", "+356 2133 6600"))</f>
        <v>+356 2133 6600</v>
      </c>
      <c r="E15" s="5" t="s">
        <v>929</v>
      </c>
      <c r="F15" s="5" t="s">
        <v>950</v>
      </c>
      <c r="G15" s="4" t="s">
        <v>551</v>
      </c>
      <c r="H15" s="4" t="s">
        <v>551</v>
      </c>
      <c r="I15" s="4" t="s">
        <v>551</v>
      </c>
      <c r="J15" s="4" t="s">
        <v>551</v>
      </c>
      <c r="K15" s="4" t="s">
        <v>551</v>
      </c>
    </row>
    <row r="16" spans="1:11" x14ac:dyDescent="0.3">
      <c r="A16" s="2" t="s">
        <v>879</v>
      </c>
      <c r="B16" s="2" t="s">
        <v>562</v>
      </c>
      <c r="C16" s="3" t="s">
        <v>576</v>
      </c>
      <c r="D16" s="2" t="str">
        <f>CONCATENATE(HYPERLINK("CALLTO:%2B356%202549%203000", "+356 2549 3000"))</f>
        <v>+356 2549 3000</v>
      </c>
      <c r="E16" s="3" t="s">
        <v>928</v>
      </c>
      <c r="F16" s="3" t="s">
        <v>952</v>
      </c>
      <c r="G16" s="2" t="s">
        <v>551</v>
      </c>
      <c r="H16" s="2" t="s">
        <v>551</v>
      </c>
      <c r="I16" s="2" t="s">
        <v>551</v>
      </c>
      <c r="J16" s="2" t="s">
        <v>551</v>
      </c>
      <c r="K16" s="2" t="s">
        <v>551</v>
      </c>
    </row>
    <row r="17" spans="1:11" x14ac:dyDescent="0.3">
      <c r="A17" s="4" t="s">
        <v>879</v>
      </c>
      <c r="B17" s="4" t="s">
        <v>891</v>
      </c>
      <c r="C17" s="5" t="s">
        <v>910</v>
      </c>
      <c r="D17" s="4" t="str">
        <f>CONCATENATE(HYPERLINK("CALLTO:%2B356%202167%207798", "+356 2167 7798"))</f>
        <v>+356 2167 7798</v>
      </c>
      <c r="E17" s="5" t="s">
        <v>930</v>
      </c>
      <c r="F17" s="5" t="s">
        <v>954</v>
      </c>
      <c r="G17" s="4" t="s">
        <v>551</v>
      </c>
      <c r="H17" s="4" t="s">
        <v>551</v>
      </c>
      <c r="I17" s="4" t="s">
        <v>551</v>
      </c>
      <c r="J17" s="4" t="s">
        <v>551</v>
      </c>
      <c r="K17" s="4" t="s">
        <v>551</v>
      </c>
    </row>
    <row r="18" spans="1:11" x14ac:dyDescent="0.3">
      <c r="A18" s="2" t="s">
        <v>879</v>
      </c>
      <c r="B18" s="2" t="s">
        <v>893</v>
      </c>
      <c r="C18" s="3" t="s">
        <v>903</v>
      </c>
      <c r="D18" s="2" t="str">
        <f>CONCATENATE(HYPERLINK("CALLTO:%2B356%207988%204497", "+356 7988 4497"))</f>
        <v>+356 7988 4497</v>
      </c>
      <c r="E18" s="3" t="s">
        <v>931</v>
      </c>
      <c r="F18" s="2" t="s">
        <v>146</v>
      </c>
      <c r="G18" s="2" t="s">
        <v>552</v>
      </c>
      <c r="H18" s="2" t="s">
        <v>551</v>
      </c>
      <c r="I18" s="2" t="s">
        <v>552</v>
      </c>
      <c r="J18" s="2" t="s">
        <v>551</v>
      </c>
      <c r="K18" s="2" t="s">
        <v>551</v>
      </c>
    </row>
    <row r="19" spans="1:11" x14ac:dyDescent="0.3">
      <c r="A19" s="4" t="s">
        <v>879</v>
      </c>
      <c r="B19" s="4" t="s">
        <v>884</v>
      </c>
      <c r="C19" s="5" t="s">
        <v>903</v>
      </c>
      <c r="D19" s="4" t="str">
        <f>CONCATENATE(HYPERLINK("CALLTO:%2B356%202149%203285", "+356 2149 3285"))</f>
        <v>+356 2149 3285</v>
      </c>
      <c r="E19" s="5" t="s">
        <v>932</v>
      </c>
      <c r="F19" s="4" t="s">
        <v>146</v>
      </c>
      <c r="G19" s="4" t="s">
        <v>551</v>
      </c>
      <c r="H19" s="4" t="s">
        <v>551</v>
      </c>
      <c r="I19" s="4" t="s">
        <v>551</v>
      </c>
      <c r="J19" s="4" t="s">
        <v>551</v>
      </c>
      <c r="K19" s="4" t="s">
        <v>551</v>
      </c>
    </row>
    <row r="20" spans="1:11" x14ac:dyDescent="0.3">
      <c r="A20" s="2" t="s">
        <v>879</v>
      </c>
      <c r="B20" s="2" t="s">
        <v>568</v>
      </c>
      <c r="C20" s="3" t="s">
        <v>580</v>
      </c>
      <c r="D20" s="2" t="str">
        <f>CONCATENATE(HYPERLINK("CALLTO:%2B356%202736%206601", "+356 2736 6601"))</f>
        <v>+356 2736 6601</v>
      </c>
      <c r="E20" s="3" t="s">
        <v>933</v>
      </c>
      <c r="F20" s="2" t="s">
        <v>146</v>
      </c>
      <c r="G20" s="2" t="s">
        <v>551</v>
      </c>
      <c r="H20" s="2" t="s">
        <v>552</v>
      </c>
      <c r="I20" s="2" t="s">
        <v>551</v>
      </c>
      <c r="J20" s="2" t="s">
        <v>551</v>
      </c>
      <c r="K20" s="2" t="s">
        <v>551</v>
      </c>
    </row>
    <row r="21" spans="1:11" x14ac:dyDescent="0.3">
      <c r="A21" s="4" t="s">
        <v>879</v>
      </c>
      <c r="B21" s="4" t="s">
        <v>894</v>
      </c>
      <c r="C21" s="5" t="s">
        <v>911</v>
      </c>
      <c r="D21" s="4" t="str">
        <f>CONCATENATE(HYPERLINK("CALLTO:%2B356%202143%200569", "+356 2143 0569"))</f>
        <v>+356 2143 0569</v>
      </c>
      <c r="E21" s="5" t="s">
        <v>934</v>
      </c>
      <c r="F21" s="4" t="s">
        <v>146</v>
      </c>
      <c r="G21" s="4" t="s">
        <v>551</v>
      </c>
      <c r="H21" s="4" t="s">
        <v>551</v>
      </c>
      <c r="I21" s="4" t="s">
        <v>551</v>
      </c>
      <c r="J21" s="4" t="s">
        <v>551</v>
      </c>
      <c r="K21" s="4" t="s">
        <v>551</v>
      </c>
    </row>
    <row r="22" spans="1:11" x14ac:dyDescent="0.3">
      <c r="A22" s="2" t="s">
        <v>879</v>
      </c>
      <c r="B22" s="2" t="s">
        <v>895</v>
      </c>
      <c r="C22" s="3" t="s">
        <v>912</v>
      </c>
      <c r="D22" s="2" t="str">
        <f>CONCATENATE(HYPERLINK("CALLTO:%2B356%202137%207181", "+356 2137 7181"))</f>
        <v>+356 2137 7181</v>
      </c>
      <c r="E22" s="3" t="s">
        <v>935</v>
      </c>
      <c r="F22" s="2" t="s">
        <v>146</v>
      </c>
      <c r="G22" s="2" t="s">
        <v>551</v>
      </c>
      <c r="H22" s="2" t="s">
        <v>551</v>
      </c>
      <c r="I22" s="2" t="s">
        <v>551</v>
      </c>
      <c r="J22" s="2" t="s">
        <v>551</v>
      </c>
      <c r="K22" s="2" t="s">
        <v>551</v>
      </c>
    </row>
    <row r="23" spans="1:11" x14ac:dyDescent="0.3">
      <c r="A23" s="4" t="s">
        <v>879</v>
      </c>
      <c r="B23" s="4" t="s">
        <v>896</v>
      </c>
      <c r="C23" s="5" t="s">
        <v>913</v>
      </c>
      <c r="D23" s="4" t="str">
        <f>CONCATENATE(HYPERLINK("CALLTO:%2B356%209982%208875", "+356 9982 8875"))</f>
        <v>+356 9982 8875</v>
      </c>
      <c r="E23" s="5" t="s">
        <v>936</v>
      </c>
      <c r="F23" s="4" t="s">
        <v>146</v>
      </c>
      <c r="G23" s="4" t="s">
        <v>552</v>
      </c>
      <c r="H23" s="4" t="s">
        <v>552</v>
      </c>
      <c r="I23" s="4" t="s">
        <v>552</v>
      </c>
      <c r="J23" s="4" t="s">
        <v>551</v>
      </c>
      <c r="K23" s="4" t="s">
        <v>551</v>
      </c>
    </row>
    <row r="24" spans="1:11" x14ac:dyDescent="0.3">
      <c r="A24" s="2" t="s">
        <v>879</v>
      </c>
      <c r="B24" s="2" t="s">
        <v>897</v>
      </c>
      <c r="C24" s="3" t="s">
        <v>914</v>
      </c>
      <c r="D24" s="2" t="str">
        <f>CONCATENATE(HYPERLINK("CALLTO:%2B356%202143%202863", "+356 2143 2863"))</f>
        <v>+356 2143 2863</v>
      </c>
      <c r="E24" s="3" t="s">
        <v>937</v>
      </c>
      <c r="F24" s="2" t="s">
        <v>146</v>
      </c>
      <c r="G24" s="2" t="s">
        <v>551</v>
      </c>
      <c r="H24" s="2" t="s">
        <v>551</v>
      </c>
      <c r="I24" s="2" t="s">
        <v>551</v>
      </c>
      <c r="J24" s="2" t="s">
        <v>551</v>
      </c>
      <c r="K24" s="2" t="s">
        <v>551</v>
      </c>
    </row>
  </sheetData>
  <hyperlinks>
    <hyperlink ref="C2" r:id="rId1" tooltip="Send a mail to info@flamingo.com.mt" xr:uid="{00000000-0004-0000-1100-000000000000}"/>
    <hyperlink ref="C3" r:id="rId2" tooltip="Send a mail to info@washingmachinesmalta.com" xr:uid="{00000000-0004-0000-1100-000001000000}"/>
    <hyperlink ref="C4" r:id="rId3" tooltip="Send a mail to info@topchoice.com.mt" xr:uid="{00000000-0004-0000-1100-000002000000}"/>
    <hyperlink ref="C5" r:id="rId4" tooltip="Send a mail to info@petroni.com.mt" xr:uid="{00000000-0004-0000-1100-000003000000}"/>
    <hyperlink ref="C6" r:id="rId5" tooltip="Send a mail to info@teckline.com.mt" xr:uid="{00000000-0004-0000-1100-000004000000}"/>
    <hyperlink ref="C7" r:id="rId6" tooltip="Send a mail to info@soundmachine.com.mt" xr:uid="{00000000-0004-0000-1100-000005000000}"/>
    <hyperlink ref="C8" r:id="rId7" tooltip="Send a mail to info@kcl.com.mt" xr:uid="{00000000-0004-0000-1100-000006000000}"/>
    <hyperlink ref="C9" r:id="rId8" tooltip="Send a mail to info@jshousehold.com" xr:uid="{00000000-0004-0000-1100-000007000000}"/>
    <hyperlink ref="C10" r:id="rId9" tooltip="Send a mail to info@hotpointmalta.com" xr:uid="{00000000-0004-0000-1100-000008000000}"/>
    <hyperlink ref="C11" r:id="rId10" tooltip="Send a mail to info@lava.mt" xr:uid="{00000000-0004-0000-1100-000009000000}"/>
    <hyperlink ref="C12" r:id="rId11" tooltip="Send a mail to info@crosscraft.com.mt" xr:uid="{00000000-0004-0000-1100-00000A000000}"/>
    <hyperlink ref="C13" r:id="rId12" tooltip="Send a mail to info@audiomalta.com" xr:uid="{00000000-0004-0000-1100-00000B000000}"/>
    <hyperlink ref="C14" r:id="rId13" tooltip="Send a mail to info@electrofix.com.mt" xr:uid="{00000000-0004-0000-1100-00000C000000}"/>
    <hyperlink ref="C15" r:id="rId14" tooltip="Send a mail to info@atoz.com.mt" xr:uid="{00000000-0004-0000-1100-00000D000000}"/>
    <hyperlink ref="C16" r:id="rId15" tooltip="Send a mail to info@forestals.com" xr:uid="{00000000-0004-0000-1100-00000E000000}"/>
    <hyperlink ref="C17" r:id="rId16" tooltip="Send a mail to adriangrech@venturamalta.com" xr:uid="{00000000-0004-0000-1100-00000F000000}"/>
    <hyperlink ref="C18" r:id="rId17" tooltip="Send a mail to info@kcl.com.mt" xr:uid="{00000000-0004-0000-1100-000010000000}"/>
    <hyperlink ref="C19" r:id="rId18" tooltip="Send a mail to info@kcl.com.mt" xr:uid="{00000000-0004-0000-1100-000011000000}"/>
    <hyperlink ref="C20" r:id="rId19" tooltip="Send a mail to tabletsandmoreelectronics@yahoo.com" xr:uid="{00000000-0004-0000-1100-000012000000}"/>
    <hyperlink ref="C21" r:id="rId20" tooltip="Send a mail to info@soundsmart.com.mt" xr:uid="{00000000-0004-0000-1100-000013000000}"/>
    <hyperlink ref="C22" r:id="rId21" tooltip="Send a mail to futurahomeappliances@gmail.com" xr:uid="{00000000-0004-0000-1100-000014000000}"/>
    <hyperlink ref="C23" r:id="rId22" tooltip="Send a mail to lorrainevassallofabri@gmail.com" xr:uid="{00000000-0004-0000-1100-000015000000}"/>
    <hyperlink ref="C24" r:id="rId23" tooltip="Send a mail to freddies@onvol.net" xr:uid="{00000000-0004-0000-1100-000016000000}"/>
    <hyperlink ref="E2" r:id="rId24" tooltip="Search Mrieħel, Malta on Google Maps" xr:uid="{00000000-0004-0000-1100-000017000000}"/>
    <hyperlink ref="E3" r:id="rId25" tooltip="Search Distribution Warehouse Center, Qormi, Malta on Google Maps" xr:uid="{00000000-0004-0000-1100-000018000000}"/>
    <hyperlink ref="E4" r:id="rId26" tooltip="Search Il-Ħamrun y San Pawl il-Baħar, Malta on Google Maps" xr:uid="{00000000-0004-0000-1100-000019000000}"/>
    <hyperlink ref="E5" r:id="rId27" tooltip="Search Msida, Malta on Google Maps" xr:uid="{00000000-0004-0000-1100-00001A000000}"/>
    <hyperlink ref="E6" r:id="rId28" tooltip="Search Il-Ħamrun, Malta on Google Maps" xr:uid="{00000000-0004-0000-1100-00001B000000}"/>
    <hyperlink ref="E7" r:id="rId29" tooltip="Search Psaila Street, Birkirkara, Malta on Google Maps" xr:uid="{00000000-0004-0000-1100-00001C000000}"/>
    <hyperlink ref="E8" r:id="rId30" tooltip="Search 22, Triq Sant' Elija, Birkirkara, Fleur-De-Lys, Malta BKR 4942 on Google Maps" xr:uid="{00000000-0004-0000-1100-00001D000000}"/>
    <hyperlink ref="E9" r:id="rId31" tooltip="Search 71, Triq Il-Buqexrem, Il-Fgura, Malta on Google Maps" xr:uid="{00000000-0004-0000-1100-00001E000000}"/>
    <hyperlink ref="E10" r:id="rId32" tooltip="Search Valley Road, Birkirkara BKR9010, Malta on Google Maps" xr:uid="{00000000-0004-0000-1100-00001F000000}"/>
    <hyperlink ref="E11" r:id="rId33" tooltip="Search Zachary House, Marsa Industrial Estate, Marsa MRS 3000, Malta on Google Maps" xr:uid="{00000000-0004-0000-1100-000020000000}"/>
    <hyperlink ref="E12" r:id="rId34" tooltip="Search Mriehel Bypass, Qormi, Malta on Google Maps" xr:uid="{00000000-0004-0000-1100-000021000000}"/>
    <hyperlink ref="E13" r:id="rId35" tooltip="Search 26C Triq Lispiera, Swieqi, Malta on Google Maps" xr:uid="{00000000-0004-0000-1100-000022000000}"/>
    <hyperlink ref="E14" r:id="rId36" tooltip="Search Triq il-Kanun, Qormi, Malta on Google Maps" xr:uid="{00000000-0004-0000-1100-000023000000}"/>
    <hyperlink ref="E15" r:id="rId37" tooltip="Search Valley Road, Msida, Malta on Google Maps" xr:uid="{00000000-0004-0000-1100-000024000000}"/>
    <hyperlink ref="E16" r:id="rId38" tooltip="Search Mrieħel Bypass, Birkirkara, Malta on Google Maps" xr:uid="{00000000-0004-0000-1100-000025000000}"/>
    <hyperlink ref="E17" r:id="rId39" tooltip="Search BLB 021 Qasam Industrijali, Bulebel ,_x000a_Zejtun, Malta ZTN 3000 on Google Maps" xr:uid="{00000000-0004-0000-1100-000026000000}"/>
    <hyperlink ref="E18" r:id="rId40" tooltip="Search 6 Triq Alessju Xuereb ,_x000a_San Gwann, Malta SGN 3057 on Google Maps" xr:uid="{00000000-0004-0000-1100-000027000000}"/>
    <hyperlink ref="E19" r:id="rId41" tooltip="Search 22, Triq Sant’ Elija ,_x000a_B’Kara, Malta BKR 2064 on Google Maps" xr:uid="{00000000-0004-0000-1100-000028000000}"/>
    <hyperlink ref="E20" r:id="rId42" tooltip="Search 12 Triq il-Hammieri ,_x000a_Qormi, Malta on Google Maps" xr:uid="{00000000-0004-0000-1100-000029000000}"/>
    <hyperlink ref="E21" r:id="rId43" tooltip="Search Triq il-Kostituzzjoni ,_x000a_Mosta, Malta MST 9050 on Google Maps" xr:uid="{00000000-0004-0000-1100-00002A000000}"/>
    <hyperlink ref="E22" r:id="rId44" tooltip="Search 220 Triq in-Naxxar ,_x000a_San Gwann, Malta SGN 9030 on Google Maps" xr:uid="{00000000-0004-0000-1100-00002B000000}"/>
    <hyperlink ref="E23" r:id="rId45" tooltip="Search 60, Triq Dun Filippo Calleja ,_x000a_Zebbug, Malta on Google Maps" xr:uid="{00000000-0004-0000-1100-00002C000000}"/>
    <hyperlink ref="E24" r:id="rId46" tooltip="Search Eucharistic Congress Road, Mosta, Malta on Google Maps" xr:uid="{00000000-0004-0000-1100-00002D000000}"/>
    <hyperlink ref="F2" r:id="rId47" tooltip="Visit flamingo.com.mt" xr:uid="{00000000-0004-0000-1100-00002E000000}"/>
    <hyperlink ref="F3" r:id="rId48" tooltip="Visit washingmachinesmalta.com" xr:uid="{00000000-0004-0000-1100-00002F000000}"/>
    <hyperlink ref="F4" r:id="rId49" tooltip="Visit topchoice.com.mt" xr:uid="{00000000-0004-0000-1100-000030000000}"/>
    <hyperlink ref="F5" r:id="rId50" tooltip="Visit petroni.com.mt" xr:uid="{00000000-0004-0000-1100-000031000000}"/>
    <hyperlink ref="F6" r:id="rId51" tooltip="Visit teckline.com.mt" xr:uid="{00000000-0004-0000-1100-000032000000}"/>
    <hyperlink ref="F7" r:id="rId52" tooltip="Visit soundmachine.com.mt" xr:uid="{00000000-0004-0000-1100-000033000000}"/>
    <hyperlink ref="F8" r:id="rId53" tooltip="Visit kcl.com.m" xr:uid="{00000000-0004-0000-1100-000034000000}"/>
    <hyperlink ref="F9" r:id="rId54" tooltip="Visit jshousehold.com" xr:uid="{00000000-0004-0000-1100-000035000000}"/>
    <hyperlink ref="F10" r:id="rId55" tooltip="Visit hotpointmalta.com" xr:uid="{00000000-0004-0000-1100-000036000000}"/>
    <hyperlink ref="F11" r:id="rId56" tooltip="Visit lava.mt" xr:uid="{00000000-0004-0000-1100-000037000000}"/>
    <hyperlink ref="F12" r:id="rId57" tooltip="Visit crosscraft.com.mt" xr:uid="{00000000-0004-0000-1100-000038000000}"/>
    <hyperlink ref="F13" r:id="rId58" tooltip="Visit audiomalta.com" xr:uid="{00000000-0004-0000-1100-000039000000}"/>
    <hyperlink ref="F14" r:id="rId59" tooltip="Visit electrofixgroup.com/" xr:uid="{00000000-0004-0000-1100-00003A000000}"/>
    <hyperlink ref="F15" r:id="rId60" tooltip="Visit atoz.com.mt" xr:uid="{00000000-0004-0000-1100-00003B000000}"/>
    <hyperlink ref="F16" r:id="rId61" tooltip="Visit forestals.com" xr:uid="{00000000-0004-0000-1100-00003C000000}"/>
    <hyperlink ref="F17" r:id="rId62" tooltip="Visit venturamalta.com" xr:uid="{00000000-0004-0000-1100-00003D000000}"/>
  </hyperlink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8"/>
  <sheetViews>
    <sheetView workbookViewId="0"/>
  </sheetViews>
  <sheetFormatPr defaultRowHeight="14.4" x14ac:dyDescent="0.3"/>
  <cols>
    <col min="1" max="1" width="13.109375" customWidth="1"/>
    <col min="2" max="2" width="22.6640625" customWidth="1"/>
    <col min="3" max="3" width="33" customWidth="1"/>
    <col min="4" max="4" width="18.6640625" customWidth="1"/>
    <col min="5" max="5" width="53.5546875" customWidth="1"/>
    <col min="6" max="6" width="105.33203125" customWidth="1"/>
    <col min="7" max="7" width="16.5546875" customWidth="1"/>
    <col min="8" max="8" width="13.5546875" customWidth="1"/>
    <col min="9" max="9" width="10.109375" customWidth="1"/>
    <col min="10" max="10" width="15" customWidth="1"/>
    <col min="11" max="11" width="8.88671875" customWidth="1"/>
  </cols>
  <sheetData>
    <row r="1" spans="1:11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3038</v>
      </c>
      <c r="H1" s="1" t="s">
        <v>5381</v>
      </c>
      <c r="I1" s="1" t="s">
        <v>5362</v>
      </c>
      <c r="J1" s="1" t="s">
        <v>5360</v>
      </c>
      <c r="K1" s="1" t="s">
        <v>5359</v>
      </c>
    </row>
    <row r="2" spans="1:11" x14ac:dyDescent="0.3">
      <c r="A2" s="2" t="s">
        <v>953</v>
      </c>
      <c r="B2" s="2" t="s">
        <v>891</v>
      </c>
      <c r="C2" s="3" t="s">
        <v>910</v>
      </c>
      <c r="D2" s="2" t="str">
        <f>CONCATENATE(HYPERLINK("CALLTO:%2B356%202167%207798", "+356 2167 7798"))</f>
        <v>+356 2167 7798</v>
      </c>
      <c r="E2" s="3" t="s">
        <v>930</v>
      </c>
      <c r="F2" s="3" t="s">
        <v>954</v>
      </c>
      <c r="G2" s="2" t="s">
        <v>551</v>
      </c>
      <c r="H2" s="2" t="s">
        <v>551</v>
      </c>
      <c r="I2" s="2" t="s">
        <v>551</v>
      </c>
      <c r="J2" s="2" t="s">
        <v>551</v>
      </c>
      <c r="K2" s="2" t="s">
        <v>551</v>
      </c>
    </row>
    <row r="3" spans="1:11" x14ac:dyDescent="0.3">
      <c r="A3" s="4" t="s">
        <v>953</v>
      </c>
      <c r="B3" s="4" t="s">
        <v>562</v>
      </c>
      <c r="C3" s="5" t="s">
        <v>576</v>
      </c>
      <c r="D3" s="4" t="str">
        <f>CONCATENATE(HYPERLINK("CALLTO:%2B356%202549%203000", "+356 2549 3000"))</f>
        <v>+356 2549 3000</v>
      </c>
      <c r="E3" s="5" t="s">
        <v>928</v>
      </c>
      <c r="F3" s="5" t="s">
        <v>952</v>
      </c>
      <c r="G3" s="4" t="s">
        <v>551</v>
      </c>
      <c r="H3" s="4" t="s">
        <v>551</v>
      </c>
      <c r="I3" s="4" t="s">
        <v>551</v>
      </c>
      <c r="J3" s="4" t="s">
        <v>551</v>
      </c>
      <c r="K3" s="4" t="s">
        <v>551</v>
      </c>
    </row>
    <row r="4" spans="1:11" x14ac:dyDescent="0.3">
      <c r="A4" s="2" t="s">
        <v>953</v>
      </c>
      <c r="B4" s="2" t="s">
        <v>892</v>
      </c>
      <c r="C4" s="3" t="s">
        <v>909</v>
      </c>
      <c r="D4" s="2" t="str">
        <f>CONCATENATE(HYPERLINK("CALLTO:%2B356%202133%206600", "+356 2133 6600"))</f>
        <v>+356 2133 6600</v>
      </c>
      <c r="E4" s="3" t="s">
        <v>929</v>
      </c>
      <c r="F4" s="3" t="s">
        <v>950</v>
      </c>
      <c r="G4" s="2" t="s">
        <v>551</v>
      </c>
      <c r="H4" s="2" t="s">
        <v>551</v>
      </c>
      <c r="I4" s="2" t="s">
        <v>551</v>
      </c>
      <c r="J4" s="2" t="s">
        <v>551</v>
      </c>
      <c r="K4" s="2" t="s">
        <v>551</v>
      </c>
    </row>
    <row r="5" spans="1:11" x14ac:dyDescent="0.3">
      <c r="A5" s="4" t="s">
        <v>953</v>
      </c>
      <c r="B5" s="4" t="s">
        <v>888</v>
      </c>
      <c r="C5" s="5" t="s">
        <v>907</v>
      </c>
      <c r="D5" s="4" t="str">
        <f>CONCATENATE(HYPERLINK("CALLTO:%2B356%202180%205805", "+356 2180 5805"))</f>
        <v>+356 2180 5805</v>
      </c>
      <c r="E5" s="5" t="s">
        <v>925</v>
      </c>
      <c r="F5" s="5" t="s">
        <v>948</v>
      </c>
      <c r="G5" s="4" t="s">
        <v>551</v>
      </c>
      <c r="H5" s="4" t="s">
        <v>551</v>
      </c>
      <c r="I5" s="4" t="s">
        <v>551</v>
      </c>
      <c r="J5" s="4" t="s">
        <v>551</v>
      </c>
      <c r="K5" s="4" t="s">
        <v>551</v>
      </c>
    </row>
    <row r="6" spans="1:11" x14ac:dyDescent="0.3">
      <c r="A6" s="2" t="s">
        <v>953</v>
      </c>
      <c r="B6" s="2" t="s">
        <v>955</v>
      </c>
      <c r="C6" s="3" t="s">
        <v>574</v>
      </c>
      <c r="D6" s="2" t="str">
        <f>CONCATENATE(HYPERLINK("CALLTO:%2B356%202326%202000", "+356 2326 2000"))</f>
        <v>+356 2326 2000</v>
      </c>
      <c r="E6" s="3" t="s">
        <v>966</v>
      </c>
      <c r="F6" s="3" t="s">
        <v>972</v>
      </c>
      <c r="G6" s="2" t="s">
        <v>551</v>
      </c>
      <c r="H6" s="2" t="s">
        <v>552</v>
      </c>
      <c r="I6" s="2" t="s">
        <v>551</v>
      </c>
      <c r="J6" s="2" t="s">
        <v>551</v>
      </c>
      <c r="K6" s="2" t="s">
        <v>551</v>
      </c>
    </row>
    <row r="7" spans="1:11" x14ac:dyDescent="0.3">
      <c r="A7" s="4" t="s">
        <v>953</v>
      </c>
      <c r="B7" s="4" t="s">
        <v>885</v>
      </c>
      <c r="C7" s="5" t="s">
        <v>905</v>
      </c>
      <c r="D7" s="4" t="str">
        <f>CONCATENATE(HYPERLINK("CALLTO:%2B356%202343%206345", "+356 2343 6345"))</f>
        <v>+356 2343 6345</v>
      </c>
      <c r="E7" s="5" t="s">
        <v>923</v>
      </c>
      <c r="F7" s="5" t="s">
        <v>946</v>
      </c>
      <c r="G7" s="4" t="s">
        <v>551</v>
      </c>
      <c r="H7" s="4" t="s">
        <v>551</v>
      </c>
      <c r="I7" s="4" t="s">
        <v>551</v>
      </c>
      <c r="J7" s="4" t="s">
        <v>551</v>
      </c>
      <c r="K7" s="4" t="s">
        <v>551</v>
      </c>
    </row>
    <row r="8" spans="1:11" x14ac:dyDescent="0.3">
      <c r="A8" s="2" t="s">
        <v>953</v>
      </c>
      <c r="B8" s="2" t="s">
        <v>884</v>
      </c>
      <c r="C8" s="3" t="s">
        <v>903</v>
      </c>
      <c r="D8" s="2" t="str">
        <f>CONCATENATE(HYPERLINK("CALLTO:%2B356%202149%203285", "+356 2149 3285"))</f>
        <v>+356 2149 3285</v>
      </c>
      <c r="E8" s="3" t="s">
        <v>921</v>
      </c>
      <c r="F8" s="3" t="s">
        <v>945</v>
      </c>
      <c r="G8" s="2" t="s">
        <v>551</v>
      </c>
      <c r="H8" s="2" t="s">
        <v>551</v>
      </c>
      <c r="I8" s="2" t="s">
        <v>551</v>
      </c>
      <c r="J8" s="2" t="s">
        <v>551</v>
      </c>
      <c r="K8" s="2" t="s">
        <v>551</v>
      </c>
    </row>
    <row r="9" spans="1:11" x14ac:dyDescent="0.3">
      <c r="A9" s="4" t="s">
        <v>953</v>
      </c>
      <c r="B9" s="4" t="s">
        <v>956</v>
      </c>
      <c r="C9" s="5" t="s">
        <v>902</v>
      </c>
      <c r="D9" s="4" t="str">
        <f>CONCATENATE(HYPERLINK("CALLTO:%2B356%202149%207111", "+356 2149 7111"))</f>
        <v>+356 2149 7111</v>
      </c>
      <c r="E9" s="5" t="s">
        <v>920</v>
      </c>
      <c r="F9" s="5" t="s">
        <v>943</v>
      </c>
      <c r="G9" s="4" t="s">
        <v>551</v>
      </c>
      <c r="H9" s="4" t="s">
        <v>551</v>
      </c>
      <c r="I9" s="4" t="s">
        <v>551</v>
      </c>
      <c r="J9" s="4" t="s">
        <v>551</v>
      </c>
      <c r="K9" s="4" t="s">
        <v>551</v>
      </c>
    </row>
    <row r="10" spans="1:11" x14ac:dyDescent="0.3">
      <c r="A10" s="2" t="s">
        <v>953</v>
      </c>
      <c r="B10" s="2" t="s">
        <v>881</v>
      </c>
      <c r="C10" s="3" t="s">
        <v>900</v>
      </c>
      <c r="D10" s="2" t="str">
        <f>CONCATENATE(HYPERLINK("CALLTO:%2B356%202133%202233", "+356 2133 2233"))</f>
        <v>+356 2133 2233</v>
      </c>
      <c r="E10" s="3" t="s">
        <v>918</v>
      </c>
      <c r="F10" s="3" t="s">
        <v>941</v>
      </c>
      <c r="G10" s="2" t="s">
        <v>551</v>
      </c>
      <c r="H10" s="2" t="s">
        <v>551</v>
      </c>
      <c r="I10" s="2" t="s">
        <v>551</v>
      </c>
      <c r="J10" s="2" t="s">
        <v>551</v>
      </c>
      <c r="K10" s="2" t="s">
        <v>551</v>
      </c>
    </row>
    <row r="11" spans="1:11" x14ac:dyDescent="0.3">
      <c r="A11" s="4" t="s">
        <v>953</v>
      </c>
      <c r="B11" s="4" t="s">
        <v>563</v>
      </c>
      <c r="C11" s="5" t="s">
        <v>577</v>
      </c>
      <c r="D11" s="4" t="str">
        <f>CONCATENATE(HYPERLINK("CALLTO:%2B356%202123%204567", "+356 2123 4567"))</f>
        <v>+356 2123 4567</v>
      </c>
      <c r="E11" s="5" t="s">
        <v>917</v>
      </c>
      <c r="F11" s="5" t="s">
        <v>940</v>
      </c>
      <c r="G11" s="4" t="s">
        <v>551</v>
      </c>
      <c r="H11" s="4" t="s">
        <v>551</v>
      </c>
      <c r="I11" s="4" t="s">
        <v>551</v>
      </c>
      <c r="J11" s="4" t="s">
        <v>551</v>
      </c>
      <c r="K11" s="4" t="s">
        <v>551</v>
      </c>
    </row>
    <row r="12" spans="1:11" x14ac:dyDescent="0.3">
      <c r="A12" s="2" t="s">
        <v>953</v>
      </c>
      <c r="B12" s="2" t="s">
        <v>880</v>
      </c>
      <c r="C12" s="3" t="s">
        <v>899</v>
      </c>
      <c r="D12" s="2" t="str">
        <f>CONCATENATE(HYPERLINK("CALLTO:%2B356%202144%203333", "+356 2144 3333"))</f>
        <v>+356 2144 3333</v>
      </c>
      <c r="E12" s="3" t="s">
        <v>916</v>
      </c>
      <c r="F12" s="3" t="s">
        <v>938</v>
      </c>
      <c r="G12" s="2" t="s">
        <v>551</v>
      </c>
      <c r="H12" s="2" t="s">
        <v>551</v>
      </c>
      <c r="I12" s="2" t="s">
        <v>551</v>
      </c>
      <c r="J12" s="2" t="s">
        <v>551</v>
      </c>
      <c r="K12" s="2" t="s">
        <v>551</v>
      </c>
    </row>
    <row r="13" spans="1:11" x14ac:dyDescent="0.3">
      <c r="A13" s="4" t="s">
        <v>953</v>
      </c>
      <c r="B13" s="4" t="s">
        <v>957</v>
      </c>
      <c r="C13" s="5" t="s">
        <v>962</v>
      </c>
      <c r="D13" s="4" t="str">
        <f>CONCATENATE(HYPERLINK("CALLTO:%2B356%202137%207172", "+356 2137 7172"))</f>
        <v>+356 2137 7172</v>
      </c>
      <c r="E13" s="5" t="s">
        <v>967</v>
      </c>
      <c r="F13" s="5" t="s">
        <v>973</v>
      </c>
      <c r="G13" s="4" t="s">
        <v>551</v>
      </c>
      <c r="H13" s="4" t="s">
        <v>551</v>
      </c>
      <c r="I13" s="4" t="s">
        <v>551</v>
      </c>
      <c r="J13" s="4" t="s">
        <v>551</v>
      </c>
      <c r="K13" s="4" t="s">
        <v>551</v>
      </c>
    </row>
    <row r="14" spans="1:11" x14ac:dyDescent="0.3">
      <c r="A14" s="2" t="s">
        <v>953</v>
      </c>
      <c r="B14" s="2" t="s">
        <v>958</v>
      </c>
      <c r="C14" s="3" t="s">
        <v>963</v>
      </c>
      <c r="D14" s="2" t="str">
        <f>CONCATENATE(HYPERLINK("CALLTO:%2B356%202125%207346", "+356 2125 7346"))</f>
        <v>+356 2125 7346</v>
      </c>
      <c r="E14" s="3" t="s">
        <v>968</v>
      </c>
      <c r="F14" s="3" t="s">
        <v>974</v>
      </c>
      <c r="G14" s="2" t="s">
        <v>551</v>
      </c>
      <c r="H14" s="2" t="s">
        <v>551</v>
      </c>
      <c r="I14" s="2" t="s">
        <v>551</v>
      </c>
      <c r="J14" s="2" t="s">
        <v>551</v>
      </c>
      <c r="K14" s="2" t="s">
        <v>551</v>
      </c>
    </row>
    <row r="15" spans="1:11" x14ac:dyDescent="0.3">
      <c r="A15" s="4" t="s">
        <v>953</v>
      </c>
      <c r="B15" s="4" t="s">
        <v>959</v>
      </c>
      <c r="C15" s="5" t="s">
        <v>964</v>
      </c>
      <c r="D15" s="4" t="str">
        <f>CONCATENATE(HYPERLINK("CALLTO:%2B356%202166%203329", "+356 2166 3329"))</f>
        <v>+356 2166 3329</v>
      </c>
      <c r="E15" s="5" t="s">
        <v>969</v>
      </c>
      <c r="F15" s="5" t="s">
        <v>975</v>
      </c>
      <c r="G15" s="4" t="s">
        <v>551</v>
      </c>
      <c r="H15" s="4" t="s">
        <v>551</v>
      </c>
      <c r="I15" s="4" t="s">
        <v>551</v>
      </c>
      <c r="J15" s="4" t="s">
        <v>551</v>
      </c>
      <c r="K15" s="4" t="s">
        <v>551</v>
      </c>
    </row>
    <row r="16" spans="1:11" x14ac:dyDescent="0.3">
      <c r="A16" s="2" t="s">
        <v>953</v>
      </c>
      <c r="B16" s="2" t="s">
        <v>960</v>
      </c>
      <c r="C16" s="3" t="s">
        <v>965</v>
      </c>
      <c r="D16" s="2" t="str">
        <f>CONCATENATE(HYPERLINK("CALLTO:%2B356%209978%205765", "+356 9978 5765"))</f>
        <v>+356 9978 5765</v>
      </c>
      <c r="E16" s="3" t="s">
        <v>970</v>
      </c>
      <c r="F16" s="3" t="s">
        <v>976</v>
      </c>
      <c r="G16" s="2" t="s">
        <v>551</v>
      </c>
      <c r="H16" s="2" t="s">
        <v>551</v>
      </c>
      <c r="I16" s="2" t="s">
        <v>551</v>
      </c>
      <c r="J16" s="2" t="s">
        <v>551</v>
      </c>
      <c r="K16" s="2" t="s">
        <v>551</v>
      </c>
    </row>
    <row r="17" spans="1:11" x14ac:dyDescent="0.3">
      <c r="A17" s="4" t="s">
        <v>953</v>
      </c>
      <c r="B17" s="4" t="s">
        <v>961</v>
      </c>
      <c r="C17" s="4"/>
      <c r="D17" s="4"/>
      <c r="E17" s="4"/>
      <c r="F17" s="4"/>
      <c r="G17" s="4" t="s">
        <v>551</v>
      </c>
      <c r="H17" s="4" t="s">
        <v>551</v>
      </c>
      <c r="I17" s="4" t="s">
        <v>551</v>
      </c>
      <c r="J17" s="4" t="s">
        <v>551</v>
      </c>
      <c r="K17" s="4" t="s">
        <v>551</v>
      </c>
    </row>
    <row r="18" spans="1:11" x14ac:dyDescent="0.3">
      <c r="A18" s="2" t="s">
        <v>953</v>
      </c>
      <c r="B18" s="2" t="s">
        <v>959</v>
      </c>
      <c r="C18" s="2"/>
      <c r="D18" s="2"/>
      <c r="E18" s="2"/>
      <c r="F18" s="2"/>
      <c r="G18" s="2" t="s">
        <v>551</v>
      </c>
      <c r="H18" s="2" t="s">
        <v>551</v>
      </c>
      <c r="I18" s="2" t="s">
        <v>551</v>
      </c>
      <c r="J18" s="2" t="s">
        <v>551</v>
      </c>
      <c r="K18" s="2" t="s">
        <v>551</v>
      </c>
    </row>
  </sheetData>
  <hyperlinks>
    <hyperlink ref="C2" r:id="rId1" tooltip="Send a mail to adriangrech@venturamalta.com" xr:uid="{00000000-0004-0000-1200-000000000000}"/>
    <hyperlink ref="C3" r:id="rId2" tooltip="Send a mail to info@forestals.com" xr:uid="{00000000-0004-0000-1200-000001000000}"/>
    <hyperlink ref="C4" r:id="rId3" tooltip="Send a mail to info@atoz.com.mt" xr:uid="{00000000-0004-0000-1200-000002000000}"/>
    <hyperlink ref="C5" r:id="rId4" tooltip="Send a mail to info@crosscraft.com.mt" xr:uid="{00000000-0004-0000-1200-000003000000}"/>
    <hyperlink ref="C6" r:id="rId5" tooltip="Send a mail to customercare@homemate.com.mt" xr:uid="{00000000-0004-0000-1200-000004000000}"/>
    <hyperlink ref="C7" r:id="rId6" tooltip="Send a mail to info@hotpointmalta.com" xr:uid="{00000000-0004-0000-1200-000005000000}"/>
    <hyperlink ref="C8" r:id="rId7" tooltip="Send a mail to info@kcl.com.mt" xr:uid="{00000000-0004-0000-1200-000006000000}"/>
    <hyperlink ref="C9" r:id="rId8" tooltip="Send a mail to info@soundmachine.com.mt" xr:uid="{00000000-0004-0000-1200-000007000000}"/>
    <hyperlink ref="C10" r:id="rId9" tooltip="Send a mail to info@petroni.com.mt" xr:uid="{00000000-0004-0000-1200-000008000000}"/>
    <hyperlink ref="C11" r:id="rId10" tooltip="Send a mail to info@topchoice.com.mt" xr:uid="{00000000-0004-0000-1200-000009000000}"/>
    <hyperlink ref="C12" r:id="rId11" tooltip="Send a mail to info@flamingo.com.mt" xr:uid="{00000000-0004-0000-1200-00000A000000}"/>
    <hyperlink ref="C13" r:id="rId12" tooltip="Send a mail to info@vitelmalta.com" xr:uid="{00000000-0004-0000-1200-00000B000000}"/>
    <hyperlink ref="C14" r:id="rId13" tooltip="Send a mail to info@triplea.mt" xr:uid="{00000000-0004-0000-1200-00000C000000}"/>
    <hyperlink ref="C15" r:id="rId14" tooltip="Send a mail to paulsonmalta@gmail.com" xr:uid="{00000000-0004-0000-1200-00000D000000}"/>
    <hyperlink ref="C16" r:id="rId15" tooltip="Send a mail to info@prochimps.com" xr:uid="{00000000-0004-0000-1200-00000E000000}"/>
    <hyperlink ref="E2" r:id="rId16" tooltip="Search BLB 021 Qasam Industrijali, Bulebel ,_x000a_Zejtun, Malta ZTN 3000 on Google Maps" xr:uid="{00000000-0004-0000-1200-00000F000000}"/>
    <hyperlink ref="E3" r:id="rId17" tooltip="Search Mrieħel Bypass, Birkirkara, Malta on Google Maps" xr:uid="{00000000-0004-0000-1200-000010000000}"/>
    <hyperlink ref="E4" r:id="rId18" tooltip="Search Valley Road, Msida, Malta on Google Maps" xr:uid="{00000000-0004-0000-1200-000011000000}"/>
    <hyperlink ref="E5" r:id="rId19" tooltip="Search Mriehel Bypass, Qormi, Malta on Google Maps" xr:uid="{00000000-0004-0000-1200-000012000000}"/>
    <hyperlink ref="E6" r:id="rId20" tooltip="Search Mriehel on Google Maps" xr:uid="{00000000-0004-0000-1200-000013000000}"/>
    <hyperlink ref="E7" r:id="rId21" tooltip="Search Valley Road, Birkirkara BKR9010, Malta on Google Maps" xr:uid="{00000000-0004-0000-1200-000014000000}"/>
    <hyperlink ref="E8" r:id="rId22" tooltip="Search 22, Triq Sant' Elija, Birkirkara, Fleur-De-Lys, Malta BKR 4942 on Google Maps" xr:uid="{00000000-0004-0000-1200-000015000000}"/>
    <hyperlink ref="E9" r:id="rId23" tooltip="Search Psaila Street, Birkirkara, Malta on Google Maps" xr:uid="{00000000-0004-0000-1200-000016000000}"/>
    <hyperlink ref="E10" r:id="rId24" tooltip="Search Msida, Malta on Google Maps" xr:uid="{00000000-0004-0000-1200-000017000000}"/>
    <hyperlink ref="E11" r:id="rId25" tooltip="Search Il-Ħamrun y San Pawl il-Baħar, Malta on Google Maps" xr:uid="{00000000-0004-0000-1200-000018000000}"/>
    <hyperlink ref="E12" r:id="rId26" tooltip="Search Mrieħel, Malta on Google Maps" xr:uid="{00000000-0004-0000-1200-000019000000}"/>
    <hyperlink ref="E13" r:id="rId27" tooltip="Search Triq R. Caruana Dingli San Gwann, SGN 1035 Malta. on Google Maps" xr:uid="{00000000-0004-0000-1200-00001A000000}"/>
    <hyperlink ref="E14" r:id="rId28" tooltip="Search Triple A Luqa_x000a_1, St. Thomas Street,, Ħal Luqa LQA 9031 on Google Maps" xr:uid="{00000000-0004-0000-1200-00001B000000}"/>
    <hyperlink ref="E15" r:id="rId29" tooltip="Search Paulson Home &amp; Hi-Fi Centre,_x000a_Bir Deheb Road, Zejtun,_x000a_Malta on Google Maps" xr:uid="{00000000-0004-0000-1200-00001C000000}"/>
    <hyperlink ref="E16" r:id="rId30" tooltip="Search Santa Venera, Canon Road, Malta on Google Maps" xr:uid="{00000000-0004-0000-1200-00001D000000}"/>
    <hyperlink ref="F2" r:id="rId31" tooltip="Visit venturamalta.com" xr:uid="{00000000-0004-0000-1200-00001E000000}"/>
    <hyperlink ref="F3" r:id="rId32" tooltip="Visit forestals.com" xr:uid="{00000000-0004-0000-1200-00001F000000}"/>
    <hyperlink ref="F4" r:id="rId33" tooltip="Visit atoz.com.mt" xr:uid="{00000000-0004-0000-1200-000020000000}"/>
    <hyperlink ref="F5" r:id="rId34" tooltip="Visit crosscraft.com.mt" xr:uid="{00000000-0004-0000-1200-000021000000}"/>
    <hyperlink ref="F6" r:id="rId35" tooltip="Visit homemate.com.mt/product/midea-free-standing-tumble-dryer-white-10kg-a-class" xr:uid="{00000000-0004-0000-1200-000022000000}"/>
    <hyperlink ref="F7" r:id="rId36" tooltip="Visit hotpointmalta.com" xr:uid="{00000000-0004-0000-1200-000023000000}"/>
    <hyperlink ref="F8" r:id="rId37" tooltip="Visit kcl.com.m" xr:uid="{00000000-0004-0000-1200-000024000000}"/>
    <hyperlink ref="F9" r:id="rId38" tooltip="Visit soundmachine.com.mt" xr:uid="{00000000-0004-0000-1200-000025000000}"/>
    <hyperlink ref="F10" r:id="rId39" tooltip="Visit petroni.com.mt" xr:uid="{00000000-0004-0000-1200-000026000000}"/>
    <hyperlink ref="F11" r:id="rId40" tooltip="Visit topchoice.com.mt" xr:uid="{00000000-0004-0000-1200-000027000000}"/>
    <hyperlink ref="F12" r:id="rId41" tooltip="Visit flamingo.com.mt" xr:uid="{00000000-0004-0000-1200-000028000000}"/>
    <hyperlink ref="F13" r:id="rId42" tooltip="Visit vitelmalta.com/shop/domestic-appliances/laundry-appliances/tumble-dryers/keen-tumble-dryer-10kg-dhb1053ba/" xr:uid="{00000000-0004-0000-1200-000029000000}"/>
    <hyperlink ref="F14" r:id="rId43" tooltip="Visit triplea.mt/contactus" xr:uid="{00000000-0004-0000-1200-00002A000000}"/>
    <hyperlink ref="F15" r:id="rId44" tooltip="Visit paulson.com.mt/en/shop/webshop/683/concorde-10kg-tumble-dryer---condenser" xr:uid="{00000000-0004-0000-1200-00002B000000}"/>
    <hyperlink ref="F16" r:id="rId45" tooltip="Visit prochimps.com/collections/tumble-dryer" xr:uid="{00000000-0004-0000-1200-00002C000000}"/>
  </hyperlink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3"/>
  <sheetViews>
    <sheetView workbookViewId="0"/>
  </sheetViews>
  <sheetFormatPr defaultRowHeight="14.4" x14ac:dyDescent="0.3"/>
  <cols>
    <col min="1" max="1" width="14.6640625" customWidth="1"/>
    <col min="2" max="2" width="33.33203125" customWidth="1"/>
    <col min="3" max="3" width="31.5546875" customWidth="1"/>
    <col min="4" max="4" width="18.6640625" customWidth="1"/>
    <col min="5" max="5" width="58.44140625" customWidth="1"/>
    <col min="6" max="6" width="66.109375" customWidth="1"/>
    <col min="7" max="7" width="16.5546875" customWidth="1"/>
    <col min="8" max="8" width="13.5546875" customWidth="1"/>
    <col min="9" max="9" width="10.109375" customWidth="1"/>
    <col min="10" max="10" width="15" customWidth="1"/>
    <col min="11" max="11" width="8.88671875" customWidth="1"/>
  </cols>
  <sheetData>
    <row r="1" spans="1:11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3038</v>
      </c>
      <c r="H1" s="1" t="s">
        <v>5381</v>
      </c>
      <c r="I1" s="1" t="s">
        <v>5362</v>
      </c>
      <c r="J1" s="1" t="s">
        <v>5360</v>
      </c>
      <c r="K1" s="1" t="s">
        <v>5359</v>
      </c>
    </row>
    <row r="2" spans="1:11" x14ac:dyDescent="0.3">
      <c r="A2" s="2" t="s">
        <v>971</v>
      </c>
      <c r="B2" s="2" t="s">
        <v>979</v>
      </c>
      <c r="C2" s="3" t="s">
        <v>1001</v>
      </c>
      <c r="D2" s="2" t="str">
        <f>CONCATENATE(HYPERLINK("CALLTO:%2B356%202141%201206", "+356 2141 1206"))</f>
        <v>+356 2141 1206</v>
      </c>
      <c r="E2" s="3" t="s">
        <v>1022</v>
      </c>
      <c r="F2" s="3" t="s">
        <v>1043</v>
      </c>
      <c r="G2" s="2" t="s">
        <v>551</v>
      </c>
      <c r="H2" s="2" t="s">
        <v>552</v>
      </c>
      <c r="I2" s="2" t="s">
        <v>551</v>
      </c>
      <c r="J2" s="2" t="s">
        <v>552</v>
      </c>
      <c r="K2" s="2" t="s">
        <v>551</v>
      </c>
    </row>
    <row r="3" spans="1:11" x14ac:dyDescent="0.3">
      <c r="A3" s="4" t="s">
        <v>971</v>
      </c>
      <c r="B3" s="4" t="s">
        <v>980</v>
      </c>
      <c r="C3" s="5" t="s">
        <v>1002</v>
      </c>
      <c r="D3" s="4" t="str">
        <f>CONCATENATE(HYPERLINK("CALLTO:%2B356%202741%208713", "+356 2741 8713"))</f>
        <v>+356 2741 8713</v>
      </c>
      <c r="E3" s="5" t="s">
        <v>1023</v>
      </c>
      <c r="F3" s="5" t="s">
        <v>1044</v>
      </c>
      <c r="G3" s="4" t="s">
        <v>552</v>
      </c>
      <c r="H3" s="4" t="s">
        <v>551</v>
      </c>
      <c r="I3" s="4" t="s">
        <v>551</v>
      </c>
      <c r="J3" s="4" t="s">
        <v>551</v>
      </c>
      <c r="K3" s="4" t="s">
        <v>552</v>
      </c>
    </row>
    <row r="4" spans="1:11" x14ac:dyDescent="0.3">
      <c r="A4" s="2" t="s">
        <v>971</v>
      </c>
      <c r="B4" s="2" t="s">
        <v>981</v>
      </c>
      <c r="C4" s="3" t="s">
        <v>1003</v>
      </c>
      <c r="D4" s="2" t="str">
        <f>CONCATENATE(HYPERLINK("CALLTO:%2B356%202705%202100", "+356 2705 2100"))</f>
        <v>+356 2705 2100</v>
      </c>
      <c r="E4" s="3" t="s">
        <v>1024</v>
      </c>
      <c r="F4" s="3" t="s">
        <v>1045</v>
      </c>
      <c r="G4" s="2" t="s">
        <v>552</v>
      </c>
      <c r="H4" s="2" t="s">
        <v>551</v>
      </c>
      <c r="I4" s="2" t="s">
        <v>551</v>
      </c>
      <c r="J4" s="2" t="s">
        <v>551</v>
      </c>
      <c r="K4" s="2" t="s">
        <v>552</v>
      </c>
    </row>
    <row r="5" spans="1:11" x14ac:dyDescent="0.3">
      <c r="A5" s="4" t="s">
        <v>971</v>
      </c>
      <c r="B5" s="4" t="s">
        <v>982</v>
      </c>
      <c r="C5" s="5" t="s">
        <v>1004</v>
      </c>
      <c r="D5" s="4" t="str">
        <f>CONCATENATE(HYPERLINK("CALLTO:%2B356%207945%200373", "+356 7945 0373"))</f>
        <v>+356 7945 0373</v>
      </c>
      <c r="E5" s="5" t="s">
        <v>1025</v>
      </c>
      <c r="F5" s="5" t="s">
        <v>1046</v>
      </c>
      <c r="G5" s="4" t="s">
        <v>552</v>
      </c>
      <c r="H5" s="4" t="s">
        <v>551</v>
      </c>
      <c r="I5" s="4" t="s">
        <v>551</v>
      </c>
      <c r="J5" s="4" t="s">
        <v>551</v>
      </c>
      <c r="K5" s="4" t="s">
        <v>552</v>
      </c>
    </row>
    <row r="6" spans="1:11" x14ac:dyDescent="0.3">
      <c r="A6" s="2" t="s">
        <v>971</v>
      </c>
      <c r="B6" s="2" t="s">
        <v>983</v>
      </c>
      <c r="C6" s="3" t="s">
        <v>1005</v>
      </c>
      <c r="D6" s="2" t="str">
        <f>CONCATENATE(HYPERLINK("CALLTO:%2B356%209980%204706", "+356 9980 4706"))</f>
        <v>+356 9980 4706</v>
      </c>
      <c r="E6" s="3" t="s">
        <v>1026</v>
      </c>
      <c r="F6" s="2" t="s">
        <v>146</v>
      </c>
      <c r="G6" s="2" t="s">
        <v>552</v>
      </c>
      <c r="H6" s="2" t="s">
        <v>551</v>
      </c>
      <c r="I6" s="2" t="s">
        <v>551</v>
      </c>
      <c r="J6" s="2" t="s">
        <v>551</v>
      </c>
      <c r="K6" s="2" t="s">
        <v>552</v>
      </c>
    </row>
    <row r="7" spans="1:11" x14ac:dyDescent="0.3">
      <c r="A7" s="4" t="s">
        <v>971</v>
      </c>
      <c r="B7" s="4" t="s">
        <v>984</v>
      </c>
      <c r="C7" s="5" t="s">
        <v>1006</v>
      </c>
      <c r="D7" s="4" t="str">
        <f>CONCATENATE(HYPERLINK("CALLTO:%2B356%202148%205629", "+356 2148 5629"))</f>
        <v>+356 2148 5629</v>
      </c>
      <c r="E7" s="5" t="s">
        <v>1027</v>
      </c>
      <c r="F7" s="4" t="s">
        <v>146</v>
      </c>
      <c r="G7" s="4" t="s">
        <v>551</v>
      </c>
      <c r="H7" s="4" t="s">
        <v>552</v>
      </c>
      <c r="I7" s="4" t="s">
        <v>551</v>
      </c>
      <c r="J7" s="4" t="s">
        <v>552</v>
      </c>
      <c r="K7" s="4" t="s">
        <v>551</v>
      </c>
    </row>
    <row r="8" spans="1:11" x14ac:dyDescent="0.3">
      <c r="A8" s="2" t="s">
        <v>971</v>
      </c>
      <c r="B8" s="2" t="s">
        <v>985</v>
      </c>
      <c r="C8" s="3" t="s">
        <v>1007</v>
      </c>
      <c r="D8" s="2" t="str">
        <f>CONCATENATE(HYPERLINK("CALLTO:%2B356%209982%206705", "+356 9982 6705"))</f>
        <v>+356 9982 6705</v>
      </c>
      <c r="E8" s="3" t="s">
        <v>1028</v>
      </c>
      <c r="F8" s="3" t="s">
        <v>1047</v>
      </c>
      <c r="G8" s="2" t="s">
        <v>552</v>
      </c>
      <c r="H8" s="2" t="s">
        <v>551</v>
      </c>
      <c r="I8" s="2" t="s">
        <v>551</v>
      </c>
      <c r="J8" s="2" t="s">
        <v>551</v>
      </c>
      <c r="K8" s="2" t="s">
        <v>552</v>
      </c>
    </row>
    <row r="9" spans="1:11" x14ac:dyDescent="0.3">
      <c r="A9" s="4" t="s">
        <v>971</v>
      </c>
      <c r="B9" s="4" t="s">
        <v>986</v>
      </c>
      <c r="C9" s="5" t="s">
        <v>1008</v>
      </c>
      <c r="D9" s="4" t="str">
        <f>CONCATENATE(HYPERLINK("CALLTO:%2B356%207944%208833", "+356 7944 8833"))</f>
        <v>+356 7944 8833</v>
      </c>
      <c r="E9" s="5" t="s">
        <v>1029</v>
      </c>
      <c r="F9" s="5" t="s">
        <v>1043</v>
      </c>
      <c r="G9" s="4" t="s">
        <v>552</v>
      </c>
      <c r="H9" s="4" t="s">
        <v>551</v>
      </c>
      <c r="I9" s="4" t="s">
        <v>551</v>
      </c>
      <c r="J9" s="4" t="s">
        <v>551</v>
      </c>
      <c r="K9" s="4" t="s">
        <v>552</v>
      </c>
    </row>
    <row r="10" spans="1:11" x14ac:dyDescent="0.3">
      <c r="A10" s="2" t="s">
        <v>971</v>
      </c>
      <c r="B10" s="2" t="s">
        <v>987</v>
      </c>
      <c r="C10" s="3" t="s">
        <v>1009</v>
      </c>
      <c r="D10" s="2" t="str">
        <f>CONCATENATE(HYPERLINK("CALLTO:%2B356%209988%208272", "+356 9988 8272"))</f>
        <v>+356 9988 8272</v>
      </c>
      <c r="E10" s="3" t="s">
        <v>1030</v>
      </c>
      <c r="F10" s="3" t="s">
        <v>1048</v>
      </c>
      <c r="G10" s="2" t="s">
        <v>552</v>
      </c>
      <c r="H10" s="2" t="s">
        <v>551</v>
      </c>
      <c r="I10" s="2" t="s">
        <v>551</v>
      </c>
      <c r="J10" s="2" t="s">
        <v>551</v>
      </c>
      <c r="K10" s="2" t="s">
        <v>552</v>
      </c>
    </row>
    <row r="11" spans="1:11" x14ac:dyDescent="0.3">
      <c r="A11" s="4" t="s">
        <v>971</v>
      </c>
      <c r="B11" s="4" t="s">
        <v>988</v>
      </c>
      <c r="C11" s="5" t="s">
        <v>1010</v>
      </c>
      <c r="D11" s="4" t="str">
        <f>CONCATENATE(HYPERLINK("CALLTO:%2B356%207727%200833", "+356 7727 0833"))</f>
        <v>+356 7727 0833</v>
      </c>
      <c r="E11" s="5" t="s">
        <v>1031</v>
      </c>
      <c r="F11" s="5" t="s">
        <v>1049</v>
      </c>
      <c r="G11" s="4" t="s">
        <v>552</v>
      </c>
      <c r="H11" s="4" t="s">
        <v>551</v>
      </c>
      <c r="I11" s="4" t="s">
        <v>551</v>
      </c>
      <c r="J11" s="4" t="s">
        <v>551</v>
      </c>
      <c r="K11" s="4" t="s">
        <v>552</v>
      </c>
    </row>
    <row r="12" spans="1:11" x14ac:dyDescent="0.3">
      <c r="A12" s="2" t="s">
        <v>971</v>
      </c>
      <c r="B12" s="2" t="s">
        <v>990</v>
      </c>
      <c r="C12" s="3" t="s">
        <v>1011</v>
      </c>
      <c r="D12" s="2" t="str">
        <f>CONCATENATE(HYPERLINK("CALLTO:%2B356%202144%202466", "+356 2144 2466"))</f>
        <v>+356 2144 2466</v>
      </c>
      <c r="E12" s="3" t="s">
        <v>1032</v>
      </c>
      <c r="F12" s="3" t="s">
        <v>1050</v>
      </c>
      <c r="G12" s="2" t="s">
        <v>551</v>
      </c>
      <c r="H12" s="2" t="s">
        <v>552</v>
      </c>
      <c r="I12" s="2" t="s">
        <v>551</v>
      </c>
      <c r="J12" s="2" t="s">
        <v>552</v>
      </c>
      <c r="K12" s="2" t="s">
        <v>551</v>
      </c>
    </row>
    <row r="13" spans="1:11" x14ac:dyDescent="0.3">
      <c r="A13" s="4" t="s">
        <v>971</v>
      </c>
      <c r="B13" s="4" t="s">
        <v>991</v>
      </c>
      <c r="C13" s="5" t="s">
        <v>1012</v>
      </c>
      <c r="D13" s="4" t="str">
        <f>CONCATENATE(HYPERLINK("CALLTO:%2B356%202169%201461", "+356 2169 1461"))</f>
        <v>+356 2169 1461</v>
      </c>
      <c r="E13" s="5" t="s">
        <v>1033</v>
      </c>
      <c r="F13" s="5" t="s">
        <v>1051</v>
      </c>
      <c r="G13" s="4" t="s">
        <v>552</v>
      </c>
      <c r="H13" s="4" t="s">
        <v>551</v>
      </c>
      <c r="I13" s="4" t="s">
        <v>551</v>
      </c>
      <c r="J13" s="4" t="s">
        <v>551</v>
      </c>
      <c r="K13" s="4" t="s">
        <v>552</v>
      </c>
    </row>
    <row r="14" spans="1:11" x14ac:dyDescent="0.3">
      <c r="A14" s="2" t="s">
        <v>971</v>
      </c>
      <c r="B14" s="2" t="s">
        <v>989</v>
      </c>
      <c r="C14" s="3" t="s">
        <v>1013</v>
      </c>
      <c r="D14" s="2" t="str">
        <f>CONCATENATE(HYPERLINK("CALLTO:%2B356%202141%208411", "+356 2141 8411"))</f>
        <v>+356 2141 8411</v>
      </c>
      <c r="E14" s="3" t="s">
        <v>1034</v>
      </c>
      <c r="F14" s="3" t="s">
        <v>1052</v>
      </c>
      <c r="G14" s="2" t="s">
        <v>551</v>
      </c>
      <c r="H14" s="2" t="s">
        <v>552</v>
      </c>
      <c r="I14" s="2" t="s">
        <v>551</v>
      </c>
      <c r="J14" s="2" t="s">
        <v>552</v>
      </c>
      <c r="K14" s="2" t="s">
        <v>551</v>
      </c>
    </row>
    <row r="15" spans="1:11" x14ac:dyDescent="0.3">
      <c r="A15" s="4" t="s">
        <v>971</v>
      </c>
      <c r="B15" s="4" t="s">
        <v>992</v>
      </c>
      <c r="C15" s="5" t="s">
        <v>1014</v>
      </c>
      <c r="D15" s="4" t="str">
        <f>CONCATENATE(HYPERLINK("CALLTO:%2B356%202137%204454", "+356 2137 4454"))</f>
        <v>+356 2137 4454</v>
      </c>
      <c r="E15" s="5" t="s">
        <v>1035</v>
      </c>
      <c r="F15" s="5" t="s">
        <v>1053</v>
      </c>
      <c r="G15" s="4" t="s">
        <v>552</v>
      </c>
      <c r="H15" s="4" t="s">
        <v>551</v>
      </c>
      <c r="I15" s="4" t="s">
        <v>551</v>
      </c>
      <c r="J15" s="4" t="s">
        <v>551</v>
      </c>
      <c r="K15" s="4" t="s">
        <v>552</v>
      </c>
    </row>
    <row r="16" spans="1:11" x14ac:dyDescent="0.3">
      <c r="A16" s="2" t="s">
        <v>977</v>
      </c>
      <c r="B16" s="2" t="s">
        <v>993</v>
      </c>
      <c r="C16" s="3" t="s">
        <v>1015</v>
      </c>
      <c r="D16" s="2" t="str">
        <f>CONCATENATE(HYPERLINK("CALLTO:%2B356%202137%207378", "+356 2137 7378"))</f>
        <v>+356 2137 7378</v>
      </c>
      <c r="E16" s="3" t="s">
        <v>1036</v>
      </c>
      <c r="F16" s="3" t="s">
        <v>1054</v>
      </c>
      <c r="G16" s="2" t="s">
        <v>552</v>
      </c>
      <c r="H16" s="2" t="s">
        <v>551</v>
      </c>
      <c r="I16" s="2" t="s">
        <v>551</v>
      </c>
      <c r="J16" s="2" t="s">
        <v>551</v>
      </c>
      <c r="K16" s="2" t="s">
        <v>552</v>
      </c>
    </row>
    <row r="17" spans="1:11" x14ac:dyDescent="0.3">
      <c r="A17" s="4" t="s">
        <v>977</v>
      </c>
      <c r="B17" s="4" t="s">
        <v>994</v>
      </c>
      <c r="C17" s="5" t="s">
        <v>1016</v>
      </c>
      <c r="D17" s="4" t="str">
        <f>CONCATENATE(HYPERLINK("CALLTO:%2B356%202149%202920", "+356 2149 2920"))</f>
        <v>+356 2149 2920</v>
      </c>
      <c r="E17" s="5" t="s">
        <v>1037</v>
      </c>
      <c r="F17" s="5" t="s">
        <v>1055</v>
      </c>
      <c r="G17" s="4" t="s">
        <v>552</v>
      </c>
      <c r="H17" s="4" t="s">
        <v>551</v>
      </c>
      <c r="I17" s="4" t="s">
        <v>551</v>
      </c>
      <c r="J17" s="4" t="s">
        <v>551</v>
      </c>
      <c r="K17" s="4" t="s">
        <v>552</v>
      </c>
    </row>
    <row r="18" spans="1:11" x14ac:dyDescent="0.3">
      <c r="A18" s="2" t="s">
        <v>977</v>
      </c>
      <c r="B18" s="2" t="s">
        <v>995</v>
      </c>
      <c r="C18" s="3" t="s">
        <v>1017</v>
      </c>
      <c r="D18" s="2" t="str">
        <f>CONCATENATE(HYPERLINK("CALLTO:%2B356%209921%205215", "+356 9921 5215"))</f>
        <v>+356 9921 5215</v>
      </c>
      <c r="E18" s="3" t="s">
        <v>1038</v>
      </c>
      <c r="F18" s="3" t="s">
        <v>1056</v>
      </c>
      <c r="G18" s="2" t="s">
        <v>552</v>
      </c>
      <c r="H18" s="2" t="s">
        <v>551</v>
      </c>
      <c r="I18" s="2" t="s">
        <v>551</v>
      </c>
      <c r="J18" s="2" t="s">
        <v>551</v>
      </c>
      <c r="K18" s="2" t="s">
        <v>552</v>
      </c>
    </row>
    <row r="19" spans="1:11" x14ac:dyDescent="0.3">
      <c r="A19" s="4" t="s">
        <v>977</v>
      </c>
      <c r="B19" s="4" t="s">
        <v>996</v>
      </c>
      <c r="C19" s="5" t="s">
        <v>1018</v>
      </c>
      <c r="D19" s="4" t="str">
        <f>CONCATENATE(HYPERLINK("CALLTO:%2B356%209947%202226", "+356 9947 2226"))</f>
        <v>+356 9947 2226</v>
      </c>
      <c r="E19" s="5" t="s">
        <v>1040</v>
      </c>
      <c r="F19" s="5" t="s">
        <v>1057</v>
      </c>
      <c r="G19" s="4" t="s">
        <v>552</v>
      </c>
      <c r="H19" s="4" t="s">
        <v>551</v>
      </c>
      <c r="I19" s="4" t="s">
        <v>551</v>
      </c>
      <c r="J19" s="4" t="s">
        <v>551</v>
      </c>
      <c r="K19" s="4" t="s">
        <v>552</v>
      </c>
    </row>
    <row r="20" spans="1:11" x14ac:dyDescent="0.3">
      <c r="A20" s="2" t="s">
        <v>977</v>
      </c>
      <c r="B20" s="2" t="s">
        <v>998</v>
      </c>
      <c r="C20" s="3" t="s">
        <v>1019</v>
      </c>
      <c r="D20" s="2" t="str">
        <f>CONCATENATE(HYPERLINK("CALLTO:%2B356%209949%202278", "+356 9949 2278"))</f>
        <v>+356 9949 2278</v>
      </c>
      <c r="E20" s="3" t="s">
        <v>1041</v>
      </c>
      <c r="F20" s="3" t="s">
        <v>1058</v>
      </c>
      <c r="G20" s="2" t="s">
        <v>552</v>
      </c>
      <c r="H20" s="2" t="s">
        <v>551</v>
      </c>
      <c r="I20" s="2" t="s">
        <v>551</v>
      </c>
      <c r="J20" s="2" t="s">
        <v>551</v>
      </c>
      <c r="K20" s="2" t="s">
        <v>552</v>
      </c>
    </row>
    <row r="21" spans="1:11" x14ac:dyDescent="0.3">
      <c r="A21" s="4" t="s">
        <v>977</v>
      </c>
      <c r="B21" s="4" t="s">
        <v>997</v>
      </c>
      <c r="C21" s="5" t="s">
        <v>1020</v>
      </c>
      <c r="D21" s="4" t="str">
        <f>CONCATENATE(HYPERLINK("CALLTO:%2B356%207993%209898", "+356 7993 9898"))</f>
        <v>+356 7993 9898</v>
      </c>
      <c r="E21" s="5" t="s">
        <v>1039</v>
      </c>
      <c r="F21" s="5" t="s">
        <v>1059</v>
      </c>
      <c r="G21" s="4" t="s">
        <v>552</v>
      </c>
      <c r="H21" s="4" t="s">
        <v>551</v>
      </c>
      <c r="I21" s="4" t="s">
        <v>551</v>
      </c>
      <c r="J21" s="4" t="s">
        <v>551</v>
      </c>
      <c r="K21" s="4" t="s">
        <v>552</v>
      </c>
    </row>
    <row r="22" spans="1:11" x14ac:dyDescent="0.3">
      <c r="A22" s="2" t="s">
        <v>978</v>
      </c>
      <c r="B22" s="2" t="s">
        <v>999</v>
      </c>
      <c r="C22" s="3" t="s">
        <v>707</v>
      </c>
      <c r="D22" s="2" t="str">
        <f>CONCATENATE(HYPERLINK("CALLTO:%2B356%207908%207476", "+356 7908 7476"))</f>
        <v>+356 7908 7476</v>
      </c>
      <c r="E22" s="2"/>
      <c r="F22" s="3" t="s">
        <v>1042</v>
      </c>
      <c r="G22" s="2" t="s">
        <v>551</v>
      </c>
      <c r="H22" s="2" t="s">
        <v>552</v>
      </c>
      <c r="I22" s="2" t="s">
        <v>551</v>
      </c>
      <c r="J22" s="2" t="s">
        <v>552</v>
      </c>
      <c r="K22" s="2" t="s">
        <v>551</v>
      </c>
    </row>
    <row r="23" spans="1:11" x14ac:dyDescent="0.3">
      <c r="A23" s="4" t="s">
        <v>977</v>
      </c>
      <c r="B23" s="4" t="s">
        <v>1000</v>
      </c>
      <c r="C23" s="5" t="s">
        <v>1021</v>
      </c>
      <c r="D23" s="4" t="str">
        <f>CONCATENATE(HYPERLINK("CALLTO:%2B356%209988%207158", "+356 9988 7158"))</f>
        <v>+356 9988 7158</v>
      </c>
      <c r="E23" s="4"/>
      <c r="F23" s="5" t="s">
        <v>1061</v>
      </c>
      <c r="G23" s="4" t="s">
        <v>552</v>
      </c>
      <c r="H23" s="4" t="s">
        <v>551</v>
      </c>
      <c r="I23" s="4" t="s">
        <v>551</v>
      </c>
      <c r="J23" s="4" t="s">
        <v>551</v>
      </c>
      <c r="K23" s="4" t="s">
        <v>552</v>
      </c>
    </row>
  </sheetData>
  <hyperlinks>
    <hyperlink ref="C2" r:id="rId1" tooltip="Send a mail to sales@summit.com.mt" xr:uid="{00000000-0004-0000-1300-000000000000}"/>
    <hyperlink ref="C3" r:id="rId2" tooltip="Send a mail to cagypsum@onvol.net" xr:uid="{00000000-0004-0000-1300-000001000000}"/>
    <hyperlink ref="C4" r:id="rId3" tooltip="Send a mail to dgypsumandlights@gmail.com" xr:uid="{00000000-0004-0000-1300-000002000000}"/>
    <hyperlink ref="C5" r:id="rId4" tooltip="Send a mail to grantgypsumwork@gmail.com" xr:uid="{00000000-0004-0000-1300-000003000000}"/>
    <hyperlink ref="C6" r:id="rId5" tooltip="Send a mail to gplusgypsum@gmail.com" xr:uid="{00000000-0004-0000-1300-000004000000}"/>
    <hyperlink ref="C7" r:id="rId6" tooltip="Send a mail to buffamalta@t4bservices.com" xr:uid="{00000000-0004-0000-1300-000005000000}"/>
    <hyperlink ref="C8" r:id="rId7" tooltip="Send a mail to pjgypsumworks@gmail.com" xr:uid="{00000000-0004-0000-1300-000006000000}"/>
    <hyperlink ref="C9" r:id="rId8" tooltip="Send a mail to pchircop76@gmail.com" xr:uid="{00000000-0004-0000-1300-000007000000}"/>
    <hyperlink ref="C10" r:id="rId9" tooltip="Send a mail to grimainteriors@hotmail.com" xr:uid="{00000000-0004-0000-1300-000008000000}"/>
    <hyperlink ref="C11" r:id="rId10" tooltip="Send a mail to donovanplastermalta@gmail.com" xr:uid="{00000000-0004-0000-1300-000009000000}"/>
    <hyperlink ref="C12" r:id="rId11" tooltip="Send a mail to jattard@jcrimports.com.mt" xr:uid="{00000000-0004-0000-1300-00000A000000}"/>
    <hyperlink ref="C13" r:id="rId12" tooltip="Send a mail to info@ceilingsandwalls.com.mt" xr:uid="{00000000-0004-0000-1300-00000B000000}"/>
    <hyperlink ref="C14" r:id="rId13" tooltip="Send a mail to info@bitmacltd.com" xr:uid="{00000000-0004-0000-1300-00000C000000}"/>
    <hyperlink ref="C15" r:id="rId14" tooltip="Send a mail to info@mbfmalta.com" xr:uid="{00000000-0004-0000-1300-00000D000000}"/>
    <hyperlink ref="C16" r:id="rId15" tooltip="Send a mail to info@grfmalta.com" xr:uid="{00000000-0004-0000-1300-00000E000000}"/>
    <hyperlink ref="C17" r:id="rId16" tooltip="Send a mail to oandmgypsum.com@gmail.com" xr:uid="{00000000-0004-0000-1300-00000F000000}"/>
    <hyperlink ref="C18" r:id="rId17" tooltip="Send a mail to Info@perfectum.mt" xr:uid="{00000000-0004-0000-1300-000010000000}"/>
    <hyperlink ref="C19" r:id="rId18" tooltip="Send a mail to alex@gad.com.mt" xr:uid="{00000000-0004-0000-1300-000011000000}"/>
    <hyperlink ref="C20" r:id="rId19" tooltip="Send a mail to xil@xuerebinstall.com" xr:uid="{00000000-0004-0000-1300-000012000000}"/>
    <hyperlink ref="C21" r:id="rId20" tooltip="Send a mail to josephgiordano54@gmail.com" xr:uid="{00000000-0004-0000-1300-000013000000}"/>
    <hyperlink ref="C22" r:id="rId21" tooltip="Send a mail to info@melibugeja.com.mt" xr:uid="{00000000-0004-0000-1300-000014000000}"/>
    <hyperlink ref="C23" r:id="rId22" tooltip="Send a mail to lukeattard89@gmail.com" xr:uid="{00000000-0004-0000-1300-000015000000}"/>
    <hyperlink ref="E2" r:id="rId23" tooltip="Search Xwieki Road, Triq Tal-Balal, Tal-Balal, Iklin, IKL 9013, Malta on Google Maps" xr:uid="{00000000-0004-0000-1300-000016000000}"/>
    <hyperlink ref="E3" r:id="rId24" tooltip="Search 107, Triq L-Istadju, Gzira, GZR 1301, Malta on Google Maps" xr:uid="{00000000-0004-0000-1300-000017000000}"/>
    <hyperlink ref="E4" r:id="rId25" tooltip="Search Triq Hal Tarxien, Il-Gudja, Malta on Google Maps" xr:uid="{00000000-0004-0000-1300-000018000000}"/>
    <hyperlink ref="E5" r:id="rId26" tooltip="Search 13, Triq Ignazio Saverio Mifsud, Birkirkara, BKR1017, Malta on Google Maps" xr:uid="{00000000-0004-0000-1300-000019000000}"/>
    <hyperlink ref="E6" r:id="rId27" tooltip="Search 43, Triq Qrajten, Tal-Pieta', Malta on Google Maps" xr:uid="{00000000-0004-0000-1300-00001A000000}"/>
    <hyperlink ref="E7" r:id="rId28" tooltip="Search Valletta Road, Qormi (frente a Maltapost), Malta on Google Maps" xr:uid="{00000000-0004-0000-1300-00001B000000}"/>
    <hyperlink ref="E8" r:id="rId29" tooltip="Search 94, Emmant, Triq Salvu Aquilina, Mosta, MST 3162, Malta on Google Maps" xr:uid="{00000000-0004-0000-1300-00001C000000}"/>
    <hyperlink ref="E9" r:id="rId30" tooltip="Search Marsaxlokk, Malta on Google Maps" xr:uid="{00000000-0004-0000-1300-00001D000000}"/>
    <hyperlink ref="E10" r:id="rId31" tooltip="Search Triq Luret Cutajar, Ħaż-Żebbuġ ZBG 273, Malta on Google Maps" xr:uid="{00000000-0004-0000-1300-00001E000000}"/>
    <hyperlink ref="E11" r:id="rId32" tooltip="Search 49 Triq Spadaro, Ħaż-Żabbar, Malta on Google Maps" xr:uid="{00000000-0004-0000-1300-00001F000000}"/>
    <hyperlink ref="E12" r:id="rId33" tooltip="Search Triq In-Negozju, Mrieħel, Birkirkara BKR 3000, Malta on Google Maps" xr:uid="{00000000-0004-0000-1300-000020000000}"/>
    <hyperlink ref="E13" r:id="rId34" tooltip="Search 27 Triq Il-Vittmi Tax-Xogħol, Paola, Malta on Google Maps" xr:uid="{00000000-0004-0000-1300-000021000000}"/>
    <hyperlink ref="E14" r:id="rId35" tooltip="Search Triq Tal-Balal, San Ġwann, Malta on Google Maps" xr:uid="{00000000-0004-0000-1300-000022000000}"/>
    <hyperlink ref="E15" r:id="rId36" tooltip="Search Riviera Court/2, Triq Forrest, San Ġiljan, Malta on Google Maps" xr:uid="{00000000-0004-0000-1300-000023000000}"/>
    <hyperlink ref="E16" r:id="rId37" tooltip="Search 117 Triq L-Assemblea Nazzjonali,_x000a_San Gwann SGN 3034, Malta on Google Maps" xr:uid="{00000000-0004-0000-1300-000024000000}"/>
    <hyperlink ref="E17" r:id="rId38" tooltip="Search 69, Triq John Borg, Birkirkara, Malta BKR 1284 on Google Maps" xr:uid="{00000000-0004-0000-1300-000025000000}"/>
    <hyperlink ref="E18" r:id="rId39" tooltip="Search Valletta, Malta on Google Maps" xr:uid="{00000000-0004-0000-1300-000026000000}"/>
    <hyperlink ref="E19" r:id="rId40" tooltip="Search 21, Triq Gellewza Sewda,_x000a_Midland Park, D7_x000a_Burmarrad Road, Burmarrad LO Naxxar_x000a_Malta on Google Maps" xr:uid="{00000000-0004-0000-1300-000027000000}"/>
    <hyperlink ref="E20" r:id="rId41" tooltip="Search Xuereb Installations Ltd. Tal-Hlas Road, Qormi QRM 5011. Malta on Google Maps" xr:uid="{00000000-0004-0000-1300-000028000000}"/>
    <hyperlink ref="E21" r:id="rId42" tooltip="Search Hal Mula Street, Garage number 5. on Google Maps" xr:uid="{00000000-0004-0000-1300-000029000000}"/>
    <hyperlink ref="F2" r:id="rId43" tooltip="Visit summit.com.mt" xr:uid="{00000000-0004-0000-1300-00002A000000}"/>
    <hyperlink ref="F3" r:id="rId44" tooltip="Visit cagypsummalta.com" xr:uid="{00000000-0004-0000-1300-00002B000000}"/>
    <hyperlink ref="F4" r:id="rId45" tooltip="Visit dgypsumworks.com" xr:uid="{00000000-0004-0000-1300-00002C000000}"/>
    <hyperlink ref="F5" r:id="rId46" tooltip="Visit grantsgypsumwork.com" xr:uid="{00000000-0004-0000-1300-00002D000000}"/>
    <hyperlink ref="F8" r:id="rId47" tooltip="Visit pjgypsumworks.com" xr:uid="{00000000-0004-0000-1300-00002E000000}"/>
    <hyperlink ref="F9" r:id="rId48" tooltip="Visit summit.com.mt" xr:uid="{00000000-0004-0000-1300-00002F000000}"/>
    <hyperlink ref="F10" r:id="rId49" tooltip="Visit grimainteriors.com" xr:uid="{00000000-0004-0000-1300-000030000000}"/>
    <hyperlink ref="F11" r:id="rId50" tooltip="Visit donovan-plastering.com" xr:uid="{00000000-0004-0000-1300-000031000000}"/>
    <hyperlink ref="F12" r:id="rId51" tooltip="Visit jcrimports.com.mt" xr:uid="{00000000-0004-0000-1300-000032000000}"/>
    <hyperlink ref="F13" r:id="rId52" tooltip="Visit ceilingsandwalls.com.mt" xr:uid="{00000000-0004-0000-1300-000033000000}"/>
    <hyperlink ref="F14" r:id="rId53" tooltip="Visit bitmacltd.com/" xr:uid="{00000000-0004-0000-1300-000034000000}"/>
    <hyperlink ref="F15" r:id="rId54" tooltip="Visit mbfmalta.com" xr:uid="{00000000-0004-0000-1300-000035000000}"/>
    <hyperlink ref="F16" r:id="rId55" tooltip="Visit grfmalta.com/" xr:uid="{00000000-0004-0000-1300-000036000000}"/>
    <hyperlink ref="F17" r:id="rId56" tooltip="Visit findit.com.mt/en/directory/listings/441/oandampm-gypsum-malta.htm" xr:uid="{00000000-0004-0000-1300-000037000000}"/>
    <hyperlink ref="F18" r:id="rId57" tooltip="Visit facebook.com/perfectummt/" xr:uid="{00000000-0004-0000-1300-000038000000}"/>
    <hyperlink ref="F19" r:id="rId58" tooltip="Visit gad.com.mt/" xr:uid="{00000000-0004-0000-1300-000039000000}"/>
    <hyperlink ref="F20" r:id="rId59" tooltip="Visit xuerebinstall.com/" xr:uid="{00000000-0004-0000-1300-00003A000000}"/>
    <hyperlink ref="F21" r:id="rId60" tooltip="Visit josephgiordano54.wixsite.com/josephgiordano" xr:uid="{00000000-0004-0000-1300-00003B000000}"/>
    <hyperlink ref="F22" r:id="rId61" tooltip="Visit melibugeja.com.mt" xr:uid="{00000000-0004-0000-1300-00003C000000}"/>
    <hyperlink ref="F23" r:id="rId62" tooltip="Visit facebook.com/profile.php?id=61560664902130" xr:uid="{00000000-0004-0000-1300-00003D000000}"/>
  </hyperlink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2"/>
  <sheetViews>
    <sheetView workbookViewId="0"/>
  </sheetViews>
  <sheetFormatPr defaultRowHeight="14.4" x14ac:dyDescent="0.3"/>
  <cols>
    <col min="1" max="1" width="8.6640625" customWidth="1"/>
    <col min="2" max="2" width="18.88671875" customWidth="1"/>
    <col min="3" max="3" width="26.6640625" customWidth="1"/>
    <col min="4" max="4" width="18.6640625" customWidth="1"/>
    <col min="5" max="5" width="11.44140625" customWidth="1"/>
    <col min="6" max="6" width="73" customWidth="1"/>
    <col min="7" max="7" width="7.5546875" customWidth="1"/>
  </cols>
  <sheetData>
    <row r="1" spans="1:7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526</v>
      </c>
      <c r="F1" s="1" t="s">
        <v>532</v>
      </c>
      <c r="G1" s="1" t="s">
        <v>866</v>
      </c>
    </row>
    <row r="2" spans="1:7" x14ac:dyDescent="0.3">
      <c r="A2" s="2" t="s">
        <v>1060</v>
      </c>
      <c r="B2" s="2" t="s">
        <v>1062</v>
      </c>
      <c r="C2" s="3" t="s">
        <v>1073</v>
      </c>
      <c r="D2" s="2" t="str">
        <f>CONCATENATE(HYPERLINK("CALLTO:%2B356%207741%209400", "+356 7741 9400"))</f>
        <v>+356 7741 9400</v>
      </c>
      <c r="E2" s="2"/>
      <c r="F2" s="3" t="s">
        <v>1081</v>
      </c>
      <c r="G2" s="2"/>
    </row>
    <row r="3" spans="1:7" x14ac:dyDescent="0.3">
      <c r="A3" s="4" t="s">
        <v>1060</v>
      </c>
      <c r="B3" s="4" t="s">
        <v>1063</v>
      </c>
      <c r="C3" s="5" t="s">
        <v>1074</v>
      </c>
      <c r="D3" s="4" t="str">
        <f>CONCATENATE(HYPERLINK("CALLTO:%2B356%202123%208054", "+356 2123 8054"))</f>
        <v>+356 2123 8054</v>
      </c>
      <c r="E3" s="4"/>
      <c r="F3" s="5" t="s">
        <v>1082</v>
      </c>
      <c r="G3" s="4"/>
    </row>
    <row r="4" spans="1:7" x14ac:dyDescent="0.3">
      <c r="A4" s="2" t="s">
        <v>1060</v>
      </c>
      <c r="B4" s="2" t="s">
        <v>1064</v>
      </c>
      <c r="C4" s="3" t="s">
        <v>1075</v>
      </c>
      <c r="D4" s="2" t="str">
        <f>CONCATENATE(HYPERLINK("CALLTO:%2B356%207741%209500", "+356 7741 9500"))</f>
        <v>+356 7741 9500</v>
      </c>
      <c r="E4" s="2"/>
      <c r="F4" s="3" t="s">
        <v>1083</v>
      </c>
      <c r="G4" s="2"/>
    </row>
    <row r="5" spans="1:7" x14ac:dyDescent="0.3">
      <c r="A5" s="4" t="s">
        <v>1060</v>
      </c>
      <c r="B5" s="4" t="s">
        <v>1065</v>
      </c>
      <c r="C5" s="5" t="s">
        <v>1076</v>
      </c>
      <c r="D5" s="4" t="str">
        <f>CONCATENATE(HYPERLINK("CALLTO:%2B356%209914%208332", "+356 9914 8332"))</f>
        <v>+356 9914 8332</v>
      </c>
      <c r="E5" s="4"/>
      <c r="F5" s="5" t="s">
        <v>1084</v>
      </c>
      <c r="G5" s="4"/>
    </row>
    <row r="6" spans="1:7" x14ac:dyDescent="0.3">
      <c r="A6" s="2" t="s">
        <v>1060</v>
      </c>
      <c r="B6" s="2" t="s">
        <v>1066</v>
      </c>
      <c r="C6" s="3" t="s">
        <v>791</v>
      </c>
      <c r="D6" s="2"/>
      <c r="E6" s="2"/>
      <c r="F6" s="3" t="s">
        <v>1085</v>
      </c>
      <c r="G6" s="2"/>
    </row>
    <row r="7" spans="1:7" x14ac:dyDescent="0.3">
      <c r="A7" s="4" t="s">
        <v>1060</v>
      </c>
      <c r="B7" s="4" t="s">
        <v>1067</v>
      </c>
      <c r="C7" s="5" t="s">
        <v>1019</v>
      </c>
      <c r="D7" s="4"/>
      <c r="E7" s="4"/>
      <c r="F7" s="5" t="s">
        <v>1086</v>
      </c>
      <c r="G7" s="4"/>
    </row>
    <row r="8" spans="1:7" x14ac:dyDescent="0.3">
      <c r="A8" s="2" t="s">
        <v>1060</v>
      </c>
      <c r="B8" s="2" t="s">
        <v>1068</v>
      </c>
      <c r="C8" s="3" t="s">
        <v>1077</v>
      </c>
      <c r="D8" s="2"/>
      <c r="E8" s="2"/>
      <c r="F8" s="3" t="s">
        <v>1087</v>
      </c>
      <c r="G8" s="2"/>
    </row>
    <row r="9" spans="1:7" x14ac:dyDescent="0.3">
      <c r="A9" s="4" t="s">
        <v>1060</v>
      </c>
      <c r="B9" s="4" t="s">
        <v>1069</v>
      </c>
      <c r="C9" s="5" t="s">
        <v>1079</v>
      </c>
      <c r="D9" s="4"/>
      <c r="E9" s="4"/>
      <c r="F9" s="5" t="s">
        <v>1088</v>
      </c>
      <c r="G9" s="4"/>
    </row>
    <row r="10" spans="1:7" x14ac:dyDescent="0.3">
      <c r="A10" s="2"/>
      <c r="B10" s="2" t="s">
        <v>1070</v>
      </c>
      <c r="C10" s="3" t="s">
        <v>1078</v>
      </c>
      <c r="D10" s="2"/>
      <c r="E10" s="2"/>
      <c r="F10" s="3" t="s">
        <v>1089</v>
      </c>
      <c r="G10" s="2"/>
    </row>
    <row r="11" spans="1:7" x14ac:dyDescent="0.3">
      <c r="A11" s="4"/>
      <c r="B11" s="4" t="s">
        <v>1071</v>
      </c>
      <c r="C11" s="5" t="s">
        <v>1080</v>
      </c>
      <c r="D11" s="4"/>
      <c r="E11" s="4"/>
      <c r="F11" s="4"/>
      <c r="G11" s="4"/>
    </row>
    <row r="12" spans="1:7" x14ac:dyDescent="0.3">
      <c r="A12" s="2"/>
      <c r="B12" s="2" t="s">
        <v>1072</v>
      </c>
      <c r="C12" s="2"/>
      <c r="D12" s="2"/>
      <c r="E12" s="2"/>
      <c r="F12" s="2"/>
      <c r="G12" s="2"/>
    </row>
  </sheetData>
  <hyperlinks>
    <hyperlink ref="C2" r:id="rId1" tooltip="Send a mail to marketing@crcmalta.com" xr:uid="{00000000-0004-0000-1400-000000000000}"/>
    <hyperlink ref="C3" r:id="rId2" tooltip="Send a mail to qualitypostform@gmail.com" xr:uid="{00000000-0004-0000-1400-000001000000}"/>
    <hyperlink ref="C4" r:id="rId3" tooltip="Send a mail to sales@probuildmalta.com" xr:uid="{00000000-0004-0000-1400-000002000000}"/>
    <hyperlink ref="C5" r:id="rId4" tooltip="Send a mail to sales@bsl-lifestyles.com" xr:uid="{00000000-0004-0000-1400-000003000000}"/>
    <hyperlink ref="C6" r:id="rId5" tooltip="Send a mail to info@devalier.com.mt" xr:uid="{00000000-0004-0000-1400-000004000000}"/>
    <hyperlink ref="C7" r:id="rId6" tooltip="Send a mail to xil@xuerebinstall.com" xr:uid="{00000000-0004-0000-1400-000005000000}"/>
    <hyperlink ref="C8" r:id="rId7" tooltip="Send a mail to info@trendsltdmalta.com" xr:uid="{00000000-0004-0000-1400-000006000000}"/>
    <hyperlink ref="C9" r:id="rId8" tooltip="Send a mail to sales@dimech-ent.com" xr:uid="{00000000-0004-0000-1400-000007000000}"/>
    <hyperlink ref="C10" r:id="rId9" tooltip="Send a mail to sales@shaker.com.mt" xr:uid="{00000000-0004-0000-1400-000008000000}"/>
    <hyperlink ref="C11" r:id="rId10" tooltip="Send a mail to sales@jialifucn.com" xr:uid="{00000000-0004-0000-1400-000009000000}"/>
    <hyperlink ref="F2" r:id="rId11" tooltip="Visit crcmalta.com/shop/category/partitions-cubicles-for-showers-or-w-cs-656" xr:uid="{00000000-0004-0000-1400-00000A000000}"/>
    <hyperlink ref="F3" r:id="rId12" tooltip="Visit qualitypostform.com/en/products/products/21/algonquin-anti-vandal-cubicles" xr:uid="{00000000-0004-0000-1400-00000B000000}"/>
    <hyperlink ref="F4" r:id="rId13" tooltip="Visit probuildmalta.com/" xr:uid="{00000000-0004-0000-1400-00000C000000}"/>
    <hyperlink ref="F5" r:id="rId14" tooltip="Visit bsl-lifestyles.com/product-category/partitions-panels/?offset=4" xr:uid="{00000000-0004-0000-1400-00000D000000}"/>
    <hyperlink ref="F6" r:id="rId15" tooltip="Visit dv.mt/showroom-category/office-partitions/" xr:uid="{00000000-0004-0000-1400-00000E000000}"/>
    <hyperlink ref="F7" r:id="rId16" tooltip="Visit xuerebinstall.com/our-service/demountable-partitions/" xr:uid="{00000000-0004-0000-1400-00000F000000}"/>
    <hyperlink ref="F8" r:id="rId17" tooltip="Visit trendsltdmalta.com/products/commercial-bathrooms/cubicles/" xr:uid="{00000000-0004-0000-1400-000010000000}"/>
    <hyperlink ref="F9" r:id="rId18" tooltip="Visit dimech-ent.com/" xr:uid="{00000000-0004-0000-1400-000011000000}"/>
    <hyperlink ref="F10" r:id="rId19" tooltip="Visit jialifucn.com/compact-laminate-toilet-partitions/" xr:uid="{00000000-0004-0000-1400-000012000000}"/>
  </hyperlink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"/>
  <sheetViews>
    <sheetView workbookViewId="0"/>
  </sheetViews>
  <sheetFormatPr defaultRowHeight="14.4" x14ac:dyDescent="0.3"/>
  <cols>
    <col min="1" max="1" width="41.5546875" customWidth="1"/>
    <col min="2" max="2" width="25.109375" customWidth="1"/>
    <col min="3" max="3" width="30.44140625" customWidth="1"/>
    <col min="4" max="4" width="29.88671875" customWidth="1"/>
    <col min="5" max="5" width="36" customWidth="1"/>
    <col min="6" max="6" width="41.66406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1090</v>
      </c>
      <c r="B2" s="2" t="s">
        <v>1092</v>
      </c>
      <c r="C2" s="3" t="s">
        <v>1094</v>
      </c>
      <c r="D2" s="2" t="str">
        <f>CONCATENATE(HYPERLINK("CALLTO:%2B356%209968%205377", "+356 9968 5377"))</f>
        <v>+356 9968 5377</v>
      </c>
      <c r="E2" s="3" t="s">
        <v>1096</v>
      </c>
      <c r="F2" s="3" t="s">
        <v>1099</v>
      </c>
    </row>
    <row r="3" spans="1:6" x14ac:dyDescent="0.3">
      <c r="A3" s="4" t="s">
        <v>1091</v>
      </c>
      <c r="B3" s="4" t="s">
        <v>1093</v>
      </c>
      <c r="C3" s="5" t="s">
        <v>1095</v>
      </c>
      <c r="D3" s="4" t="str">
        <f>CONCATENATE(HYPERLINK("CALLTO:%2B356%202145%205674", "+356 2145 5674"), " / ", HYPERLINK("CALLTO:%2B356%207945%205674", "+356 7945 5674"))</f>
        <v>+356 2145 5674 / +356 7945 5674</v>
      </c>
      <c r="E3" s="5" t="s">
        <v>1097</v>
      </c>
      <c r="F3" s="5" t="s">
        <v>1100</v>
      </c>
    </row>
  </sheetData>
  <hyperlinks>
    <hyperlink ref="C2" r:id="rId1" tooltip="Send a mail to fardellhonda@gmail.com" xr:uid="{00000000-0004-0000-1500-000000000000}"/>
    <hyperlink ref="C3" r:id="rId2" tooltip="Send a mail to info@vellabrothersandsons.com" xr:uid="{00000000-0004-0000-1500-000001000000}"/>
    <hyperlink ref="E2" r:id="rId3" tooltip="Search 111-113 Hompesch Road, Fgura on Google Maps" xr:uid="{00000000-0004-0000-1500-000002000000}"/>
    <hyperlink ref="E3" r:id="rId4" tooltip="Search TA' DMIEREK QUARRY_x000a_c/o Maghlaq Quarry - Panoramic Road,_x000a_Qrendi on Google Maps" xr:uid="{00000000-0004-0000-1500-000003000000}"/>
    <hyperlink ref="F2" r:id="rId5" tooltip="Visit fardellhonda.wixsite.com/fardellmaintenance" xr:uid="{00000000-0004-0000-1500-000004000000}"/>
    <hyperlink ref="F3" r:id="rId6" tooltip="Visit vellabrothersandsons.com/index.html" xr:uid="{00000000-0004-0000-1500-000005000000}"/>
  </hyperlink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6"/>
  <sheetViews>
    <sheetView workbookViewId="0"/>
  </sheetViews>
  <sheetFormatPr defaultRowHeight="14.4" x14ac:dyDescent="0.3"/>
  <cols>
    <col min="1" max="1" width="17" customWidth="1"/>
    <col min="2" max="2" width="36.6640625" customWidth="1"/>
    <col min="3" max="3" width="27.109375" customWidth="1"/>
    <col min="4" max="4" width="29.88671875" customWidth="1"/>
    <col min="5" max="5" width="98.88671875" customWidth="1"/>
    <col min="6" max="6" width="22.88671875" customWidth="1"/>
    <col min="7" max="7" width="16.5546875" customWidth="1"/>
    <col min="8" max="8" width="13.5546875" customWidth="1"/>
    <col min="9" max="9" width="10.109375" customWidth="1"/>
    <col min="10" max="10" width="15" customWidth="1"/>
    <col min="11" max="11" width="8.88671875" customWidth="1"/>
  </cols>
  <sheetData>
    <row r="1" spans="1:11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3038</v>
      </c>
      <c r="H1" s="1" t="s">
        <v>5381</v>
      </c>
      <c r="I1" s="1" t="s">
        <v>5362</v>
      </c>
      <c r="J1" s="1" t="s">
        <v>5360</v>
      </c>
      <c r="K1" s="1" t="s">
        <v>5359</v>
      </c>
    </row>
    <row r="2" spans="1:11" x14ac:dyDescent="0.3">
      <c r="A2" s="2" t="s">
        <v>1098</v>
      </c>
      <c r="B2" s="2" t="s">
        <v>1101</v>
      </c>
      <c r="C2" s="3" t="s">
        <v>1116</v>
      </c>
      <c r="D2" s="2" t="str">
        <f>CONCATENATE(HYPERLINK("CALLTO:%2B356%202146%203517", "+356 2146 3517"))</f>
        <v>+356 2146 3517</v>
      </c>
      <c r="E2" s="3" t="s">
        <v>1130</v>
      </c>
      <c r="F2" s="3" t="s">
        <v>1145</v>
      </c>
      <c r="G2" s="2" t="s">
        <v>551</v>
      </c>
      <c r="H2" s="2" t="s">
        <v>551</v>
      </c>
      <c r="I2" s="2" t="s">
        <v>551</v>
      </c>
      <c r="J2" s="2" t="s">
        <v>552</v>
      </c>
      <c r="K2" s="2" t="s">
        <v>551</v>
      </c>
    </row>
    <row r="3" spans="1:11" x14ac:dyDescent="0.3">
      <c r="A3" s="4" t="s">
        <v>1098</v>
      </c>
      <c r="B3" s="4" t="s">
        <v>1102</v>
      </c>
      <c r="C3" s="5" t="s">
        <v>1117</v>
      </c>
      <c r="D3" s="4" t="str">
        <f>CONCATENATE(HYPERLINK("CALLTO:%2B356%202148%208450", "+356 2148 8450"))</f>
        <v>+356 2148 8450</v>
      </c>
      <c r="E3" s="5" t="s">
        <v>1131</v>
      </c>
      <c r="F3" s="5" t="s">
        <v>1146</v>
      </c>
      <c r="G3" s="4" t="s">
        <v>551</v>
      </c>
      <c r="H3" s="4" t="s">
        <v>551</v>
      </c>
      <c r="I3" s="4" t="s">
        <v>551</v>
      </c>
      <c r="J3" s="4" t="s">
        <v>552</v>
      </c>
      <c r="K3" s="4" t="s">
        <v>551</v>
      </c>
    </row>
    <row r="4" spans="1:11" x14ac:dyDescent="0.3">
      <c r="A4" s="2" t="s">
        <v>1098</v>
      </c>
      <c r="B4" s="2" t="s">
        <v>1103</v>
      </c>
      <c r="C4" s="3" t="s">
        <v>1119</v>
      </c>
      <c r="D4" s="2" t="str">
        <f>CONCATENATE(HYPERLINK("CALLTO:%2B356%202134%200289", "+356 2134 0289"))</f>
        <v>+356 2134 0289</v>
      </c>
      <c r="E4" s="3" t="s">
        <v>1132</v>
      </c>
      <c r="F4" s="3" t="s">
        <v>1147</v>
      </c>
      <c r="G4" s="2" t="s">
        <v>551</v>
      </c>
      <c r="H4" s="2" t="s">
        <v>551</v>
      </c>
      <c r="I4" s="2" t="s">
        <v>551</v>
      </c>
      <c r="J4" s="2" t="s">
        <v>552</v>
      </c>
      <c r="K4" s="2" t="s">
        <v>551</v>
      </c>
    </row>
    <row r="5" spans="1:11" x14ac:dyDescent="0.3">
      <c r="A5" s="4" t="s">
        <v>1098</v>
      </c>
      <c r="B5" s="4" t="s">
        <v>1104</v>
      </c>
      <c r="C5" s="5" t="s">
        <v>1118</v>
      </c>
      <c r="D5" s="4" t="str">
        <f>CONCATENATE(HYPERLINK("CALLTO:%2B356%202279%202123", "+356 2279 2123"))</f>
        <v>+356 2279 2123</v>
      </c>
      <c r="E5" s="5" t="s">
        <v>1133</v>
      </c>
      <c r="F5" s="5" t="s">
        <v>1148</v>
      </c>
      <c r="G5" s="4" t="s">
        <v>551</v>
      </c>
      <c r="H5" s="4" t="s">
        <v>551</v>
      </c>
      <c r="I5" s="4" t="s">
        <v>551</v>
      </c>
      <c r="J5" s="4" t="s">
        <v>552</v>
      </c>
      <c r="K5" s="4" t="s">
        <v>551</v>
      </c>
    </row>
    <row r="6" spans="1:11" x14ac:dyDescent="0.3">
      <c r="A6" s="2" t="s">
        <v>1098</v>
      </c>
      <c r="B6" s="2" t="s">
        <v>1105</v>
      </c>
      <c r="C6" s="3" t="s">
        <v>1120</v>
      </c>
      <c r="D6" s="2" t="str">
        <f>CONCATENATE(HYPERLINK("CALLTO:%2B356%202123%207555", "+356 2123 7555"))</f>
        <v>+356 2123 7555</v>
      </c>
      <c r="E6" s="3" t="s">
        <v>1134</v>
      </c>
      <c r="F6" s="3" t="s">
        <v>1149</v>
      </c>
      <c r="G6" s="2" t="s">
        <v>551</v>
      </c>
      <c r="H6" s="2" t="s">
        <v>551</v>
      </c>
      <c r="I6" s="2" t="s">
        <v>551</v>
      </c>
      <c r="J6" s="2" t="s">
        <v>552</v>
      </c>
      <c r="K6" s="2" t="s">
        <v>551</v>
      </c>
    </row>
    <row r="7" spans="1:11" x14ac:dyDescent="0.3">
      <c r="A7" s="4" t="s">
        <v>1098</v>
      </c>
      <c r="B7" s="4" t="s">
        <v>1106</v>
      </c>
      <c r="C7" s="5" t="s">
        <v>1121</v>
      </c>
      <c r="D7" s="4" t="str">
        <f>CONCATENATE(HYPERLINK("CALLTO:%2B356%202122%205721", "+356 2122 5721"))</f>
        <v>+356 2122 5721</v>
      </c>
      <c r="E7" s="5" t="s">
        <v>1135</v>
      </c>
      <c r="F7" s="5" t="s">
        <v>1150</v>
      </c>
      <c r="G7" s="4" t="s">
        <v>551</v>
      </c>
      <c r="H7" s="4" t="s">
        <v>551</v>
      </c>
      <c r="I7" s="4" t="s">
        <v>551</v>
      </c>
      <c r="J7" s="4" t="s">
        <v>552</v>
      </c>
      <c r="K7" s="4" t="s">
        <v>551</v>
      </c>
    </row>
    <row r="8" spans="1:11" x14ac:dyDescent="0.3">
      <c r="A8" s="2" t="s">
        <v>1098</v>
      </c>
      <c r="B8" s="2" t="s">
        <v>1107</v>
      </c>
      <c r="C8" s="3" t="s">
        <v>1122</v>
      </c>
      <c r="D8" s="2" t="str">
        <f>CONCATENATE(HYPERLINK("CALLTO:%2B356%202156%204456", "+356 2156 4456"))</f>
        <v>+356 2156 4456</v>
      </c>
      <c r="E8" s="3" t="s">
        <v>1136</v>
      </c>
      <c r="F8" s="3" t="s">
        <v>1151</v>
      </c>
      <c r="G8" s="2" t="s">
        <v>551</v>
      </c>
      <c r="H8" s="2" t="s">
        <v>551</v>
      </c>
      <c r="I8" s="2" t="s">
        <v>551</v>
      </c>
      <c r="J8" s="2" t="s">
        <v>552</v>
      </c>
      <c r="K8" s="2" t="s">
        <v>551</v>
      </c>
    </row>
    <row r="9" spans="1:11" x14ac:dyDescent="0.3">
      <c r="A9" s="4" t="s">
        <v>1098</v>
      </c>
      <c r="B9" s="4" t="s">
        <v>1108</v>
      </c>
      <c r="C9" s="5" t="s">
        <v>1123</v>
      </c>
      <c r="D9" s="4" t="str">
        <f>CONCATENATE(HYPERLINK("CALLTO:%2B356%202713%209608", "+356 2713 9608"))</f>
        <v>+356 2713 9608</v>
      </c>
      <c r="E9" s="5" t="s">
        <v>1137</v>
      </c>
      <c r="F9" s="5" t="s">
        <v>1152</v>
      </c>
      <c r="G9" s="4" t="s">
        <v>551</v>
      </c>
      <c r="H9" s="4" t="s">
        <v>551</v>
      </c>
      <c r="I9" s="4" t="s">
        <v>551</v>
      </c>
      <c r="J9" s="4" t="s">
        <v>552</v>
      </c>
      <c r="K9" s="4" t="s">
        <v>551</v>
      </c>
    </row>
    <row r="10" spans="1:11" x14ac:dyDescent="0.3">
      <c r="A10" s="2" t="s">
        <v>1098</v>
      </c>
      <c r="B10" s="2" t="s">
        <v>1109</v>
      </c>
      <c r="C10" s="3" t="s">
        <v>1124</v>
      </c>
      <c r="D10" s="2" t="str">
        <f>CONCATENATE(HYPERLINK("CALLTO:%2B356%207942%205055", "+356 7942 5055"))</f>
        <v>+356 7942 5055</v>
      </c>
      <c r="E10" s="3" t="s">
        <v>1138</v>
      </c>
      <c r="F10" s="3" t="s">
        <v>1153</v>
      </c>
      <c r="G10" s="2" t="s">
        <v>551</v>
      </c>
      <c r="H10" s="2" t="s">
        <v>551</v>
      </c>
      <c r="I10" s="2" t="s">
        <v>551</v>
      </c>
      <c r="J10" s="2" t="s">
        <v>552</v>
      </c>
      <c r="K10" s="2" t="s">
        <v>551</v>
      </c>
    </row>
    <row r="11" spans="1:11" x14ac:dyDescent="0.3">
      <c r="A11" s="4" t="s">
        <v>1098</v>
      </c>
      <c r="B11" s="4" t="s">
        <v>1110</v>
      </c>
      <c r="C11" s="5" t="s">
        <v>791</v>
      </c>
      <c r="D11" s="4" t="str">
        <f>CONCATENATE(HYPERLINK("CALLTO:%2B356%202149%201111", "+356 2149 1111"))</f>
        <v>+356 2149 1111</v>
      </c>
      <c r="E11" s="5" t="s">
        <v>1139</v>
      </c>
      <c r="F11" s="5" t="s">
        <v>1154</v>
      </c>
      <c r="G11" s="4" t="s">
        <v>551</v>
      </c>
      <c r="H11" s="4" t="s">
        <v>551</v>
      </c>
      <c r="I11" s="4" t="s">
        <v>551</v>
      </c>
      <c r="J11" s="4" t="s">
        <v>552</v>
      </c>
      <c r="K11" s="4" t="s">
        <v>551</v>
      </c>
    </row>
    <row r="12" spans="1:11" x14ac:dyDescent="0.3">
      <c r="A12" s="2" t="s">
        <v>1098</v>
      </c>
      <c r="B12" s="2" t="s">
        <v>1111</v>
      </c>
      <c r="C12" s="3" t="s">
        <v>1125</v>
      </c>
      <c r="D12" s="2" t="str">
        <f>CONCATENATE(HYPERLINK("CALLTO:%2B356%209968%205778", "+356 9968 5778"))</f>
        <v>+356 9968 5778</v>
      </c>
      <c r="E12" s="3" t="s">
        <v>1140</v>
      </c>
      <c r="F12" s="3" t="s">
        <v>1144</v>
      </c>
      <c r="G12" s="2" t="s">
        <v>551</v>
      </c>
      <c r="H12" s="2" t="s">
        <v>551</v>
      </c>
      <c r="I12" s="2" t="s">
        <v>551</v>
      </c>
      <c r="J12" s="2" t="s">
        <v>552</v>
      </c>
      <c r="K12" s="2" t="s">
        <v>551</v>
      </c>
    </row>
    <row r="13" spans="1:11" x14ac:dyDescent="0.3">
      <c r="A13" s="4" t="s">
        <v>1098</v>
      </c>
      <c r="B13" s="4" t="s">
        <v>1112</v>
      </c>
      <c r="C13" s="5" t="s">
        <v>1126</v>
      </c>
      <c r="D13" s="4" t="str">
        <f>CONCATENATE(HYPERLINK("CALLTO:%2B356%202133%204716", "+356 2133 4716"))</f>
        <v>+356 2133 4716</v>
      </c>
      <c r="E13" s="5" t="s">
        <v>1141</v>
      </c>
      <c r="F13" s="5" t="s">
        <v>1156</v>
      </c>
      <c r="G13" s="4" t="s">
        <v>551</v>
      </c>
      <c r="H13" s="4" t="s">
        <v>551</v>
      </c>
      <c r="I13" s="4" t="s">
        <v>551</v>
      </c>
      <c r="J13" s="4" t="s">
        <v>552</v>
      </c>
      <c r="K13" s="4" t="s">
        <v>551</v>
      </c>
    </row>
    <row r="14" spans="1:11" x14ac:dyDescent="0.3">
      <c r="A14" s="2" t="s">
        <v>1098</v>
      </c>
      <c r="B14" s="2" t="s">
        <v>1113</v>
      </c>
      <c r="C14" s="3" t="s">
        <v>1127</v>
      </c>
      <c r="D14" s="2" t="str">
        <f>CONCATENATE(HYPERLINK("CALLTO:%2B356%202143%208925", "+356 2143 8925"))</f>
        <v>+356 2143 8925</v>
      </c>
      <c r="E14" s="3" t="s">
        <v>1142</v>
      </c>
      <c r="F14" s="3" t="s">
        <v>1157</v>
      </c>
      <c r="G14" s="2" t="s">
        <v>551</v>
      </c>
      <c r="H14" s="2" t="s">
        <v>551</v>
      </c>
      <c r="I14" s="2" t="s">
        <v>551</v>
      </c>
      <c r="J14" s="2" t="s">
        <v>552</v>
      </c>
      <c r="K14" s="2" t="s">
        <v>551</v>
      </c>
    </row>
    <row r="15" spans="1:11" x14ac:dyDescent="0.3">
      <c r="A15" s="4" t="s">
        <v>1098</v>
      </c>
      <c r="B15" s="4" t="s">
        <v>1114</v>
      </c>
      <c r="C15" s="5" t="s">
        <v>1128</v>
      </c>
      <c r="D15" s="4" t="str">
        <f>CONCATENATE(HYPERLINK("CALLTO:%2B356%202123%204501", "+356 2123 4501"))</f>
        <v>+356 2123 4501</v>
      </c>
      <c r="E15" s="5" t="s">
        <v>929</v>
      </c>
      <c r="F15" s="5" t="s">
        <v>1155</v>
      </c>
      <c r="G15" s="4" t="s">
        <v>551</v>
      </c>
      <c r="H15" s="4" t="s">
        <v>552</v>
      </c>
      <c r="I15" s="4" t="s">
        <v>551</v>
      </c>
      <c r="J15" s="4" t="s">
        <v>552</v>
      </c>
      <c r="K15" s="4" t="s">
        <v>551</v>
      </c>
    </row>
    <row r="16" spans="1:11" x14ac:dyDescent="0.3">
      <c r="A16" s="2" t="s">
        <v>1098</v>
      </c>
      <c r="B16" s="2" t="s">
        <v>1115</v>
      </c>
      <c r="C16" s="3" t="s">
        <v>1129</v>
      </c>
      <c r="D16" s="2" t="str">
        <f>CONCATENATE(HYPERLINK("CALLTO:%2B356%202169%203621", "+356 2169 3621"), " / ", HYPERLINK("CALLTO:%2B356%209949%208659", "+356 9949 8659"))</f>
        <v>+356 2169 3621 / +356 9949 8659</v>
      </c>
      <c r="E16" s="3" t="s">
        <v>1143</v>
      </c>
      <c r="F16" s="3" t="s">
        <v>1159</v>
      </c>
      <c r="G16" s="2" t="s">
        <v>551</v>
      </c>
      <c r="H16" s="2" t="s">
        <v>551</v>
      </c>
      <c r="I16" s="2" t="s">
        <v>551</v>
      </c>
      <c r="J16" s="2" t="s">
        <v>552</v>
      </c>
      <c r="K16" s="2" t="s">
        <v>551</v>
      </c>
    </row>
  </sheetData>
  <hyperlinks>
    <hyperlink ref="C2" r:id="rId1" tooltip="Send a mail to sales@ennegiltd.com" xr:uid="{00000000-0004-0000-1600-000000000000}"/>
    <hyperlink ref="C3" r:id="rId2" tooltip="Send a mail to storagesys@vol.net.mt" xr:uid="{00000000-0004-0000-1600-000001000000}"/>
    <hyperlink ref="C4" r:id="rId3" tooltip="Send a mail to dario@caravelmalta.com" xr:uid="{00000000-0004-0000-1600-000002000000}"/>
    <hyperlink ref="C5" r:id="rId4" tooltip="Send a mail to info@agps.com.mt" xr:uid="{00000000-0004-0000-1600-000003000000}"/>
    <hyperlink ref="C6" r:id="rId5" tooltip="Send a mail to info@t4bservices.com" xr:uid="{00000000-0004-0000-1600-000004000000}"/>
    <hyperlink ref="C7" r:id="rId6" tooltip="Send a mail to alfen@maltanet.net" xr:uid="{00000000-0004-0000-1600-000005000000}"/>
    <hyperlink ref="C8" r:id="rId7" tooltip="Send a mail to uds@maltanet.net" xr:uid="{00000000-0004-0000-1600-000006000000}"/>
    <hyperlink ref="C9" r:id="rId8" tooltip="Send a mail to info@360rs.com.mt" xr:uid="{00000000-0004-0000-1600-000007000000}"/>
    <hyperlink ref="C10" r:id="rId9" tooltip="Send a mail to info@devaltech.com" xr:uid="{00000000-0004-0000-1600-000008000000}"/>
    <hyperlink ref="C11" r:id="rId10" tooltip="Send a mail to info@devalier.com.mt" xr:uid="{00000000-0004-0000-1600-000009000000}"/>
    <hyperlink ref="C12" r:id="rId11" tooltip="Send a mail to info@metalock.com.mt" xr:uid="{00000000-0004-0000-1600-00000A000000}"/>
    <hyperlink ref="C13" r:id="rId12" tooltip="Send a mail to info@ramilenemalta.com" xr:uid="{00000000-0004-0000-1600-00000B000000}"/>
    <hyperlink ref="C14" r:id="rId13" tooltip="Send a mail to info@intervisions.com.mt" xr:uid="{00000000-0004-0000-1600-00000C000000}"/>
    <hyperlink ref="C15" r:id="rId14" tooltip="Send a mail to info@petroleamalta.com" xr:uid="{00000000-0004-0000-1600-00000D000000}"/>
    <hyperlink ref="C16" r:id="rId15" tooltip="Send a mail to sales@scengineering.com.mt" xr:uid="{00000000-0004-0000-1600-00000E000000}"/>
    <hyperlink ref="E2" r:id="rId16" tooltip="Search 237, Triq Hal Qormi, Marsa, MRS 9045, Malta on Google Maps" xr:uid="{00000000-0004-0000-1600-00000F000000}"/>
    <hyperlink ref="E3" r:id="rId17" tooltip="Search KW12, Zona Industrijali Ta' Kordin, Coradino, Paola, Malta on Google Maps" xr:uid="{00000000-0004-0000-1600-000010000000}"/>
    <hyperlink ref="E4" r:id="rId18" tooltip="Search ‘Raycop’, Plot 13/15, Sqaq iz-Ziemel, Handaq, Qormi QRM-4003, Malta on Google Maps" xr:uid="{00000000-0004-0000-1600-000011000000}"/>
    <hyperlink ref="E5" r:id="rId19" tooltip="Search Zamco Buildings, Triq Il-Mithna, Hal Qormi, QRM 3103, Malta on Google Maps" xr:uid="{00000000-0004-0000-1600-000012000000}"/>
    <hyperlink ref="E6" r:id="rId20" tooltip="Search Canter Business Centre, Triq Patri Felicjan Bilocca, Il-Marsa, Malta on Google Maps" xr:uid="{00000000-0004-0000-1600-000013000000}"/>
    <hyperlink ref="E7" r:id="rId21" tooltip="Search 96, Triq Il-Kbira San Guzepp, Il-Hamrun, Malta on Google Maps" xr:uid="{00000000-0004-0000-1600-000014000000}"/>
    <hyperlink ref="E8" r:id="rId22" tooltip="Search Factory C, Triq L-Industrija, Ix-Xewkija (Gozo) XWK 3000, Malta on Google Maps" xr:uid="{00000000-0004-0000-1600-000015000000}"/>
    <hyperlink ref="E9" r:id="rId23" tooltip="Search 360 Business Center, Mdina Road, Ħaż-Żebbuġ, ZBG 9014, Malta on Google Maps" xr:uid="{00000000-0004-0000-1600-000016000000}"/>
    <hyperlink ref="E10" r:id="rId24" tooltip="Search de Valtech Building, San Gwakkin Street, Zone 3, Central Businees District, Mriehel CBD 3030 Birkirkara, Malta on Google Maps" xr:uid="{00000000-0004-0000-1600-000017000000}"/>
    <hyperlink ref="E11" r:id="rId25" tooltip="Search The Old Factory, San Gwakkin str, Mriehel,Central Business District Birkirkara CBD, 3030 on Google Maps" xr:uid="{00000000-0004-0000-1600-000018000000}"/>
    <hyperlink ref="E12" r:id="rId26" tooltip="Search The Hillock - Block North C 8, Triq Il-Qolla S-Safra, Marsalforn, MFN 1405, Gozo on Google Maps" xr:uid="{00000000-0004-0000-1600-000019000000}"/>
    <hyperlink ref="E13" r:id="rId27" tooltip="Search 50/51, Triq It-Torri, Birkirkara, Is-Swatar, Malta BKR 4011 on Google Maps" xr:uid="{00000000-0004-0000-1600-00001A000000}"/>
    <hyperlink ref="E14" r:id="rId28" tooltip="Search Hard Rocks Industrial Park, Triq Burmarrad, Naxxar, Malta NXR 6345 on Google Maps" xr:uid="{00000000-0004-0000-1600-00001B000000}"/>
    <hyperlink ref="E15" r:id="rId29" tooltip="Search Valley Road, Msida, Malta on Google Maps" xr:uid="{00000000-0004-0000-1600-00001C000000}"/>
    <hyperlink ref="E16" r:id="rId30" tooltip="Search 322, Qasam Industrijali Ta' Hal Luqa Hal Luqa, Malta on Google Maps" xr:uid="{00000000-0004-0000-1600-00001D000000}"/>
    <hyperlink ref="F2" r:id="rId31" tooltip="Visit ennegiltd.com" xr:uid="{00000000-0004-0000-1600-00001E000000}"/>
    <hyperlink ref="F3" r:id="rId32" tooltip="Visit storagesystems.com.mt" xr:uid="{00000000-0004-0000-1600-00001F000000}"/>
    <hyperlink ref="F4" r:id="rId33" tooltip="Visit caravelmalta.com" xr:uid="{00000000-0004-0000-1600-000020000000}"/>
    <hyperlink ref="F5" r:id="rId34" tooltip="Visit agps.com.mt" xr:uid="{00000000-0004-0000-1600-000021000000}"/>
    <hyperlink ref="F6" r:id="rId35" tooltip="Visit t4bservices.com" xr:uid="{00000000-0004-0000-1600-000022000000}"/>
    <hyperlink ref="F7" r:id="rId36" tooltip="Visit alfendisplays.com" xr:uid="{00000000-0004-0000-1600-000023000000}"/>
    <hyperlink ref="F8" r:id="rId37" tooltip="Visit udsmalta.com" xr:uid="{00000000-0004-0000-1600-000024000000}"/>
    <hyperlink ref="F9" r:id="rId38" tooltip="Visit 360retailsupplies.com" xr:uid="{00000000-0004-0000-1600-000025000000}"/>
    <hyperlink ref="F10" r:id="rId39" tooltip="Visit dv.mt/de-valtech/" xr:uid="{00000000-0004-0000-1600-000026000000}"/>
    <hyperlink ref="F11" r:id="rId40" tooltip="Visit dv.mt/" xr:uid="{00000000-0004-0000-1600-000027000000}"/>
    <hyperlink ref="F12" r:id="rId41" tooltip="Visit metalock.com.mt" xr:uid="{00000000-0004-0000-1600-000028000000}"/>
    <hyperlink ref="F13" r:id="rId42" tooltip="Visit ramilenemalta.com/" xr:uid="{00000000-0004-0000-1600-000029000000}"/>
    <hyperlink ref="F14" r:id="rId43" tooltip="Visit intervisions.com.mt" xr:uid="{00000000-0004-0000-1600-00002A000000}"/>
    <hyperlink ref="F15" r:id="rId44" tooltip="Visit petroleamalta.com" xr:uid="{00000000-0004-0000-1600-00002B000000}"/>
    <hyperlink ref="F16" r:id="rId45" tooltip="Visit scengineering.com.mt/" xr:uid="{00000000-0004-0000-1600-00002C000000}"/>
  </hyperlink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7"/>
  <sheetViews>
    <sheetView workbookViewId="0"/>
  </sheetViews>
  <sheetFormatPr defaultRowHeight="14.4" x14ac:dyDescent="0.3"/>
  <cols>
    <col min="1" max="1" width="35.88671875" customWidth="1"/>
    <col min="2" max="2" width="18.109375" customWidth="1"/>
    <col min="3" max="3" width="20.5546875" customWidth="1"/>
    <col min="4" max="4" width="18.109375" customWidth="1"/>
    <col min="5" max="5" width="45.109375" customWidth="1"/>
    <col min="6" max="6" width="31" customWidth="1"/>
    <col min="7" max="7" width="16.5546875" customWidth="1"/>
    <col min="8" max="8" width="13.5546875" customWidth="1"/>
    <col min="9" max="9" width="10.109375" customWidth="1"/>
    <col min="10" max="10" width="15" customWidth="1"/>
    <col min="11" max="11" width="8.88671875" customWidth="1"/>
  </cols>
  <sheetData>
    <row r="1" spans="1:11" ht="18" x14ac:dyDescent="0.35">
      <c r="A1" s="1" t="s">
        <v>1158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  <c r="G1" s="1" t="s">
        <v>3038</v>
      </c>
      <c r="H1" s="1" t="s">
        <v>5381</v>
      </c>
      <c r="I1" s="1" t="s">
        <v>5362</v>
      </c>
      <c r="J1" s="1" t="s">
        <v>5360</v>
      </c>
      <c r="K1" s="1" t="s">
        <v>5359</v>
      </c>
    </row>
    <row r="2" spans="1:11" x14ac:dyDescent="0.3">
      <c r="A2" s="2" t="s">
        <v>0</v>
      </c>
      <c r="B2" s="2" t="s">
        <v>1162</v>
      </c>
      <c r="C2" s="3" t="s">
        <v>1167</v>
      </c>
      <c r="D2" s="2" t="str">
        <f>CONCATENATE(HYPERLINK("CALLTO:%2B356%202144%205544", "+356 2144 5544"))</f>
        <v>+356 2144 5544</v>
      </c>
      <c r="E2" s="3" t="s">
        <v>1173</v>
      </c>
      <c r="F2" s="3" t="s">
        <v>1179</v>
      </c>
      <c r="G2" s="2" t="s">
        <v>551</v>
      </c>
      <c r="H2" s="2" t="s">
        <v>551</v>
      </c>
      <c r="I2" s="2" t="s">
        <v>551</v>
      </c>
      <c r="J2" s="2" t="s">
        <v>552</v>
      </c>
      <c r="K2" s="2" t="s">
        <v>551</v>
      </c>
    </row>
    <row r="3" spans="1:11" x14ac:dyDescent="0.3">
      <c r="A3" s="4" t="s">
        <v>1160</v>
      </c>
      <c r="B3" s="4" t="s">
        <v>1164</v>
      </c>
      <c r="C3" s="5" t="s">
        <v>1169</v>
      </c>
      <c r="D3" s="4" t="str">
        <f>CONCATENATE(HYPERLINK("CALLTO:%2B356%202189%204712", "+356 2189 4712"))</f>
        <v>+356 2189 4712</v>
      </c>
      <c r="E3" s="5" t="s">
        <v>1174</v>
      </c>
      <c r="F3" s="5" t="s">
        <v>1180</v>
      </c>
      <c r="G3" s="4" t="s">
        <v>551</v>
      </c>
      <c r="H3" s="4" t="s">
        <v>552</v>
      </c>
      <c r="I3" s="4" t="s">
        <v>551</v>
      </c>
      <c r="J3" s="4" t="s">
        <v>552</v>
      </c>
      <c r="K3" s="4" t="s">
        <v>551</v>
      </c>
    </row>
    <row r="4" spans="1:11" x14ac:dyDescent="0.3">
      <c r="A4" s="2" t="s">
        <v>1161</v>
      </c>
      <c r="B4" s="2" t="s">
        <v>1165</v>
      </c>
      <c r="C4" s="3" t="s">
        <v>1170</v>
      </c>
      <c r="D4" s="2" t="str">
        <f>CONCATENATE(HYPERLINK("CALLTO:%2B356%202141%203112", "+356 2141 3112"))</f>
        <v>+356 2141 3112</v>
      </c>
      <c r="E4" s="3" t="s">
        <v>1175</v>
      </c>
      <c r="F4" s="3" t="s">
        <v>1181</v>
      </c>
      <c r="G4" s="2" t="s">
        <v>551</v>
      </c>
      <c r="H4" s="2" t="s">
        <v>551</v>
      </c>
      <c r="I4" s="2" t="s">
        <v>551</v>
      </c>
      <c r="J4" s="2" t="s">
        <v>552</v>
      </c>
      <c r="K4" s="2" t="s">
        <v>551</v>
      </c>
    </row>
    <row r="5" spans="1:11" x14ac:dyDescent="0.3">
      <c r="A5" s="4" t="s">
        <v>1163</v>
      </c>
      <c r="B5" s="4" t="s">
        <v>1166</v>
      </c>
      <c r="C5" s="5" t="s">
        <v>1171</v>
      </c>
      <c r="D5" s="4" t="str">
        <f>CONCATENATE(HYPERLINK("CALLTO:%2B356%202180%202828", "+356 2180 2828"))</f>
        <v>+356 2180 2828</v>
      </c>
      <c r="E5" s="5" t="s">
        <v>1176</v>
      </c>
      <c r="F5" s="5" t="s">
        <v>1183</v>
      </c>
      <c r="G5" s="4" t="s">
        <v>551</v>
      </c>
      <c r="H5" s="4" t="s">
        <v>551</v>
      </c>
      <c r="I5" s="4" t="s">
        <v>551</v>
      </c>
      <c r="J5" s="4" t="s">
        <v>552</v>
      </c>
      <c r="K5" s="4" t="s">
        <v>551</v>
      </c>
    </row>
    <row r="6" spans="1:11" x14ac:dyDescent="0.3">
      <c r="A6" s="2" t="s">
        <v>1163</v>
      </c>
      <c r="B6" s="2" t="s">
        <v>1168</v>
      </c>
      <c r="C6" s="3" t="s">
        <v>1172</v>
      </c>
      <c r="D6" s="2" t="str">
        <f>CONCATENATE(HYPERLINK("CALLTO:%2B356%202733%203444", "+356 2733 3444"))</f>
        <v>+356 2733 3444</v>
      </c>
      <c r="E6" s="3" t="s">
        <v>1177</v>
      </c>
      <c r="F6" s="3" t="s">
        <v>1184</v>
      </c>
      <c r="G6" s="2" t="s">
        <v>551</v>
      </c>
      <c r="H6" s="2" t="s">
        <v>552</v>
      </c>
      <c r="I6" s="2" t="s">
        <v>551</v>
      </c>
      <c r="J6" s="2" t="s">
        <v>552</v>
      </c>
      <c r="K6" s="2" t="s">
        <v>551</v>
      </c>
    </row>
    <row r="7" spans="1:11" x14ac:dyDescent="0.3">
      <c r="A7" s="4" t="s">
        <v>1163</v>
      </c>
      <c r="B7" s="4"/>
      <c r="C7" s="4"/>
      <c r="D7" s="4"/>
      <c r="E7" s="4"/>
      <c r="F7" s="4"/>
      <c r="G7" s="4"/>
      <c r="H7" s="4"/>
      <c r="I7" s="4"/>
      <c r="J7" s="4"/>
      <c r="K7" s="4"/>
    </row>
  </sheetData>
  <hyperlinks>
    <hyperlink ref="C2" r:id="rId1" tooltip="Send a mail to info@unicare.com.mt" xr:uid="{00000000-0004-0000-1700-000000000000}"/>
    <hyperlink ref="C3" r:id="rId2" tooltip="Send a mail to info@edusell.com.mt" xr:uid="{00000000-0004-0000-1700-000001000000}"/>
    <hyperlink ref="C4" r:id="rId3" tooltip="Send a mail to info@noriva.com.mt" xr:uid="{00000000-0004-0000-1700-000002000000}"/>
    <hyperlink ref="C5" r:id="rId4" tooltip="Send a mail to info@aim.com.mt" xr:uid="{00000000-0004-0000-1700-000003000000}"/>
    <hyperlink ref="C6" r:id="rId5" tooltip="Send a mail to info@tjnovelty.com" xr:uid="{00000000-0004-0000-1700-000004000000}"/>
    <hyperlink ref="E2" r:id="rId6" tooltip="Search Birkirkara, Malta on Google Maps" xr:uid="{00000000-0004-0000-1700-000005000000}"/>
    <hyperlink ref="E3" r:id="rId7" tooltip="Search Hamrun, Malta on Google Maps" xr:uid="{00000000-0004-0000-1700-000006000000}"/>
    <hyperlink ref="E4" r:id="rId8" tooltip="Search mosta ,malta on Google Maps" xr:uid="{00000000-0004-0000-1700-000007000000}"/>
    <hyperlink ref="E5" r:id="rId9" tooltip="Search 54 telghet rahal gdid,PAOLA,MALTA,PLA 1706 on Google Maps" xr:uid="{00000000-0004-0000-1700-000008000000}"/>
    <hyperlink ref="E6" r:id="rId10" tooltip="Search triq Dun Karm Schembri,Mosta MST 2440-MALTA on Google Maps" xr:uid="{00000000-0004-0000-1700-000009000000}"/>
    <hyperlink ref="F2" r:id="rId11" tooltip="Visit unicare.com.mt" xr:uid="{00000000-0004-0000-1700-00000A000000}"/>
    <hyperlink ref="F3" r:id="rId12" tooltip="Visit edusell.com.mt" xr:uid="{00000000-0004-0000-1700-00000B000000}"/>
    <hyperlink ref="F4" r:id="rId13" tooltip="Visit noriva.com.mt" xr:uid="{00000000-0004-0000-1700-00000C000000}"/>
    <hyperlink ref="F5" r:id="rId14" tooltip="Visit facebook.com/AimEnterprisesLtd" xr:uid="{00000000-0004-0000-1700-00000D000000}"/>
    <hyperlink ref="F6" r:id="rId15" tooltip="Visit tjnovelty.com" xr:uid="{00000000-0004-0000-1700-00000E000000}"/>
  </hyperlink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2"/>
  <sheetViews>
    <sheetView workbookViewId="0"/>
  </sheetViews>
  <sheetFormatPr defaultRowHeight="14.4" x14ac:dyDescent="0.3"/>
  <cols>
    <col min="1" max="1" width="11" customWidth="1"/>
    <col min="2" max="2" width="41.5546875" customWidth="1"/>
    <col min="3" max="3" width="54.5546875" customWidth="1"/>
    <col min="4" max="4" width="39.88671875" customWidth="1"/>
    <col min="5" max="5" width="68.88671875" customWidth="1"/>
    <col min="6" max="6" width="53.441406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1182</v>
      </c>
      <c r="B2" s="2" t="s">
        <v>1190</v>
      </c>
      <c r="C2" s="3" t="s">
        <v>1270</v>
      </c>
      <c r="D2" s="2" t="str">
        <f>CONCATENATE(HYPERLINK("CALLTO:%2B356%202149%201249", "+356 2149 1249"))</f>
        <v>+356 2149 1249</v>
      </c>
      <c r="E2" s="3" t="s">
        <v>1337</v>
      </c>
      <c r="F2" s="3" t="s">
        <v>1421</v>
      </c>
    </row>
    <row r="3" spans="1:6" x14ac:dyDescent="0.3">
      <c r="A3" s="4" t="s">
        <v>1182</v>
      </c>
      <c r="B3" s="4" t="s">
        <v>1191</v>
      </c>
      <c r="C3" s="5" t="s">
        <v>1271</v>
      </c>
      <c r="D3" s="4" t="str">
        <f>CONCATENATE(HYPERLINK("CALLTO:%2B356%202156%2003887990261399307711", "+356 2156 03887990261399307711"))</f>
        <v>+356 2156 03887990261399307711</v>
      </c>
      <c r="E3" s="5" t="s">
        <v>1338</v>
      </c>
      <c r="F3" s="5" t="s">
        <v>1422</v>
      </c>
    </row>
    <row r="4" spans="1:6" x14ac:dyDescent="0.3">
      <c r="A4" s="2" t="s">
        <v>1182</v>
      </c>
      <c r="B4" s="2" t="s">
        <v>1192</v>
      </c>
      <c r="C4" s="3" t="s">
        <v>1272</v>
      </c>
      <c r="D4" s="2" t="str">
        <f>CONCATENATE(HYPERLINK("CALLTO:%2B356%202156%203966", "+356 2156 3966"))</f>
        <v>+356 2156 3966</v>
      </c>
      <c r="E4" s="3" t="s">
        <v>1339</v>
      </c>
      <c r="F4" s="3" t="s">
        <v>1423</v>
      </c>
    </row>
    <row r="5" spans="1:6" x14ac:dyDescent="0.3">
      <c r="A5" s="4" t="s">
        <v>1182</v>
      </c>
      <c r="B5" s="4" t="s">
        <v>1193</v>
      </c>
      <c r="C5" s="5" t="s">
        <v>1272</v>
      </c>
      <c r="D5" s="4" t="str">
        <f>CONCATENATE(HYPERLINK("CALLTO:%2B356%202156%203966", "+356 2156 3966"))</f>
        <v>+356 2156 3966</v>
      </c>
      <c r="E5" s="5" t="s">
        <v>1340</v>
      </c>
      <c r="F5" s="5" t="s">
        <v>1423</v>
      </c>
    </row>
    <row r="6" spans="1:6" x14ac:dyDescent="0.3">
      <c r="A6" s="2" t="s">
        <v>1182</v>
      </c>
      <c r="B6" s="2" t="s">
        <v>1194</v>
      </c>
      <c r="C6" s="3" t="s">
        <v>856</v>
      </c>
      <c r="D6" s="2" t="str">
        <f>CONCATENATE(HYPERLINK("CALLTO:%2B356%202146%203335", "+356 2146 3335"))</f>
        <v>+356 2146 3335</v>
      </c>
      <c r="E6" s="3" t="s">
        <v>1341</v>
      </c>
      <c r="F6" s="3" t="s">
        <v>1424</v>
      </c>
    </row>
    <row r="7" spans="1:6" x14ac:dyDescent="0.3">
      <c r="A7" s="4" t="s">
        <v>1182</v>
      </c>
      <c r="B7" s="4" t="s">
        <v>1195</v>
      </c>
      <c r="C7" s="5" t="s">
        <v>1273</v>
      </c>
      <c r="D7" s="4" t="str">
        <f>CONCATENATE(HYPERLINK("CALLTO:%2B356%202011%207900", "+356 2011 7900"))</f>
        <v>+356 2011 7900</v>
      </c>
      <c r="E7" s="5" t="s">
        <v>1342</v>
      </c>
      <c r="F7" s="5" t="s">
        <v>1425</v>
      </c>
    </row>
    <row r="8" spans="1:6" x14ac:dyDescent="0.3">
      <c r="A8" s="2" t="s">
        <v>1182</v>
      </c>
      <c r="B8" s="2" t="s">
        <v>1196</v>
      </c>
      <c r="C8" s="3" t="s">
        <v>1274</v>
      </c>
      <c r="D8" s="2" t="str">
        <f>CONCATENATE(HYPERLINK("CALLTO:%2B356%202792%202222", "+356 2792 2222"))</f>
        <v>+356 2792 2222</v>
      </c>
      <c r="E8" s="3" t="s">
        <v>1343</v>
      </c>
      <c r="F8" s="3" t="s">
        <v>1426</v>
      </c>
    </row>
    <row r="9" spans="1:6" x14ac:dyDescent="0.3">
      <c r="A9" s="4" t="s">
        <v>1182</v>
      </c>
      <c r="B9" s="4" t="s">
        <v>1197</v>
      </c>
      <c r="C9" s="5" t="s">
        <v>1275</v>
      </c>
      <c r="D9" s="4" t="str">
        <f>CONCATENATE(HYPERLINK("CALLTO:%2B356%209993%202230", "+356 9993 2230"))</f>
        <v>+356 9993 2230</v>
      </c>
      <c r="E9" s="5" t="s">
        <v>1344</v>
      </c>
      <c r="F9" s="5" t="s">
        <v>1427</v>
      </c>
    </row>
    <row r="10" spans="1:6" x14ac:dyDescent="0.3">
      <c r="A10" s="2" t="s">
        <v>1182</v>
      </c>
      <c r="B10" s="2" t="s">
        <v>1198</v>
      </c>
      <c r="C10" s="3" t="s">
        <v>1276</v>
      </c>
      <c r="D10" s="2" t="str">
        <f>CONCATENATE(HYPERLINK("CALLTO:%2B356%202169%205438%2B35621672049%2B36579402553", "+356 2169 5438+35621672049+36579402553"))</f>
        <v>+356 2169 5438+35621672049+36579402553</v>
      </c>
      <c r="E10" s="3" t="s">
        <v>1345</v>
      </c>
      <c r="F10" s="3" t="s">
        <v>1428</v>
      </c>
    </row>
    <row r="11" spans="1:6" x14ac:dyDescent="0.3">
      <c r="A11" s="4" t="s">
        <v>1182</v>
      </c>
      <c r="B11" s="4" t="s">
        <v>1199</v>
      </c>
      <c r="C11" s="5" t="s">
        <v>1277</v>
      </c>
      <c r="D11" s="4" t="str">
        <f>CONCATENATE(HYPERLINK("CALLTO:%2B356%202744%205533", "+356 2744 5533"))</f>
        <v>+356 2744 5533</v>
      </c>
      <c r="E11" s="5" t="s">
        <v>1346</v>
      </c>
      <c r="F11" s="5" t="s">
        <v>1429</v>
      </c>
    </row>
    <row r="12" spans="1:6" x14ac:dyDescent="0.3">
      <c r="A12" s="2" t="s">
        <v>1182</v>
      </c>
      <c r="B12" s="2" t="s">
        <v>1200</v>
      </c>
      <c r="C12" s="3" t="s">
        <v>1278</v>
      </c>
      <c r="D12" s="2" t="str">
        <f>CONCATENATE(HYPERLINK("CALLTO:%2B356%207921%208080", "+356 7921 8080"))</f>
        <v>+356 7921 8080</v>
      </c>
      <c r="E12" s="3" t="s">
        <v>1347</v>
      </c>
      <c r="F12" s="3" t="s">
        <v>1430</v>
      </c>
    </row>
    <row r="13" spans="1:6" x14ac:dyDescent="0.3">
      <c r="A13" s="4" t="s">
        <v>1182</v>
      </c>
      <c r="B13" s="4" t="s">
        <v>1201</v>
      </c>
      <c r="C13" s="5" t="s">
        <v>1279</v>
      </c>
      <c r="D13" s="4" t="str">
        <f>CONCATENATE(HYPERLINK("CALLTO:%2B356%209947%200302", "+356 9947 0302"))</f>
        <v>+356 9947 0302</v>
      </c>
      <c r="E13" s="5" t="s">
        <v>1348</v>
      </c>
      <c r="F13" s="5" t="s">
        <v>1431</v>
      </c>
    </row>
    <row r="14" spans="1:6" x14ac:dyDescent="0.3">
      <c r="A14" s="2" t="s">
        <v>1182</v>
      </c>
      <c r="B14" s="2" t="s">
        <v>1202</v>
      </c>
      <c r="C14" s="3" t="s">
        <v>1280</v>
      </c>
      <c r="D14" s="2" t="str">
        <f>CONCATENATE(HYPERLINK("CALLTO:%2B356%202155%206021", "+356 2155 6021"))</f>
        <v>+356 2155 6021</v>
      </c>
      <c r="E14" s="3" t="s">
        <v>1349</v>
      </c>
      <c r="F14" s="3" t="s">
        <v>1432</v>
      </c>
    </row>
    <row r="15" spans="1:6" x14ac:dyDescent="0.3">
      <c r="A15" s="4" t="s">
        <v>1182</v>
      </c>
      <c r="B15" s="4" t="s">
        <v>1203</v>
      </c>
      <c r="C15" s="5" t="s">
        <v>1281</v>
      </c>
      <c r="D15" s="4" t="str">
        <f>CONCATENATE(HYPERLINK("CALLTO:%2B356%202180%20583999707639", "+356 2180 583999707639"))</f>
        <v>+356 2180 583999707639</v>
      </c>
      <c r="E15" s="5" t="s">
        <v>1350</v>
      </c>
      <c r="F15" s="5" t="s">
        <v>1433</v>
      </c>
    </row>
    <row r="16" spans="1:6" x14ac:dyDescent="0.3">
      <c r="A16" s="2" t="s">
        <v>1182</v>
      </c>
      <c r="B16" s="2" t="s">
        <v>1204</v>
      </c>
      <c r="C16" s="2" t="s">
        <v>1282</v>
      </c>
      <c r="D16" s="2" t="str">
        <f>CONCATENATE(HYPERLINK("CALLTO:%2B356%202144%205165", "+356 2144 5165"))</f>
        <v>+356 2144 5165</v>
      </c>
      <c r="E16" s="3" t="s">
        <v>1351</v>
      </c>
      <c r="F16" s="3" t="s">
        <v>1434</v>
      </c>
    </row>
    <row r="17" spans="1:6" x14ac:dyDescent="0.3">
      <c r="A17" s="4" t="s">
        <v>1182</v>
      </c>
      <c r="B17" s="4" t="s">
        <v>1205</v>
      </c>
      <c r="C17" s="5" t="s">
        <v>1283</v>
      </c>
      <c r="D17" s="4" t="str">
        <f>CONCATENATE(HYPERLINK("CALLTO:%2B356%202142%204990", "+356 2142 4990"))</f>
        <v>+356 2142 4990</v>
      </c>
      <c r="E17" s="5" t="s">
        <v>1352</v>
      </c>
      <c r="F17" s="5" t="s">
        <v>1435</v>
      </c>
    </row>
    <row r="18" spans="1:6" x14ac:dyDescent="0.3">
      <c r="A18" s="2" t="s">
        <v>1182</v>
      </c>
      <c r="B18" s="2" t="s">
        <v>1206</v>
      </c>
      <c r="C18" s="3" t="s">
        <v>1284</v>
      </c>
      <c r="D18" s="2" t="str">
        <f>CONCATENATE(HYPERLINK("CALLTO:%2B356%202148%20688399498840", "+356 2148 688399498840"))</f>
        <v>+356 2148 688399498840</v>
      </c>
      <c r="E18" s="3" t="s">
        <v>1353</v>
      </c>
      <c r="F18" s="3" t="s">
        <v>1436</v>
      </c>
    </row>
    <row r="19" spans="1:6" x14ac:dyDescent="0.3">
      <c r="A19" s="4" t="s">
        <v>1182</v>
      </c>
      <c r="B19" s="4" t="s">
        <v>1207</v>
      </c>
      <c r="C19" s="4" t="s">
        <v>1285</v>
      </c>
      <c r="D19" s="4" t="str">
        <f>CONCATENATE(HYPERLINK("CALLTO:%2B356%202144%202466", "+356 2144 2466"))</f>
        <v>+356 2144 2466</v>
      </c>
      <c r="E19" s="5" t="s">
        <v>1354</v>
      </c>
      <c r="F19" s="5" t="s">
        <v>1420</v>
      </c>
    </row>
    <row r="20" spans="1:6" x14ac:dyDescent="0.3">
      <c r="A20" s="2" t="s">
        <v>1182</v>
      </c>
      <c r="B20" s="2" t="s">
        <v>1208</v>
      </c>
      <c r="C20" s="3" t="s">
        <v>1286</v>
      </c>
      <c r="D20" s="2" t="str">
        <f>CONCATENATE(HYPERLINK("CALLTO:%2B356%202148%2028602148553621495485", "+356 2148 28602148553621495485"))</f>
        <v>+356 2148 28602148553621495485</v>
      </c>
      <c r="E20" s="3" t="s">
        <v>1355</v>
      </c>
      <c r="F20" s="3" t="s">
        <v>1438</v>
      </c>
    </row>
    <row r="21" spans="1:6" x14ac:dyDescent="0.3">
      <c r="A21" s="4" t="s">
        <v>1182</v>
      </c>
      <c r="B21" s="4" t="s">
        <v>1209</v>
      </c>
      <c r="C21" s="4" t="s">
        <v>146</v>
      </c>
      <c r="D21" s="4" t="str">
        <f>CONCATENATE(HYPERLINK("CALLTO:%2B356%202034%201569", "+356 2034 1569"))</f>
        <v>+356 2034 1569</v>
      </c>
      <c r="E21" s="5" t="s">
        <v>1356</v>
      </c>
      <c r="F21" s="5" t="s">
        <v>1439</v>
      </c>
    </row>
    <row r="22" spans="1:6" x14ac:dyDescent="0.3">
      <c r="A22" s="2" t="s">
        <v>1182</v>
      </c>
      <c r="B22" s="2" t="s">
        <v>1210</v>
      </c>
      <c r="C22" s="3" t="s">
        <v>1287</v>
      </c>
      <c r="D22" s="2" t="str">
        <f>CONCATENATE(HYPERLINK("CALLTO:%2B356%202137%201891", "+356 2137 1891"))</f>
        <v>+356 2137 1891</v>
      </c>
      <c r="E22" s="3" t="s">
        <v>1357</v>
      </c>
      <c r="F22" s="3" t="s">
        <v>1440</v>
      </c>
    </row>
    <row r="23" spans="1:6" x14ac:dyDescent="0.3">
      <c r="A23" s="4" t="s">
        <v>1182</v>
      </c>
      <c r="B23" s="4" t="s">
        <v>1211</v>
      </c>
      <c r="C23" s="5" t="s">
        <v>1288</v>
      </c>
      <c r="D23" s="4" t="str">
        <f>CONCATENATE(HYPERLINK("CALLTO:%2B356%202144%201328", "+356 2144 1328"))</f>
        <v>+356 2144 1328</v>
      </c>
      <c r="E23" s="5" t="s">
        <v>1358</v>
      </c>
      <c r="F23" s="5" t="s">
        <v>1441</v>
      </c>
    </row>
    <row r="24" spans="1:6" x14ac:dyDescent="0.3">
      <c r="A24" s="2" t="s">
        <v>1182</v>
      </c>
      <c r="B24" s="2" t="s">
        <v>1212</v>
      </c>
      <c r="C24" s="3" t="s">
        <v>1289</v>
      </c>
      <c r="D24" s="2" t="str">
        <f>CONCATENATE(HYPERLINK("CALLTO:%2B356%209933%200274", "+356 9933 0274"))</f>
        <v>+356 9933 0274</v>
      </c>
      <c r="E24" s="3" t="s">
        <v>1359</v>
      </c>
      <c r="F24" s="3" t="s">
        <v>1442</v>
      </c>
    </row>
    <row r="25" spans="1:6" x14ac:dyDescent="0.3">
      <c r="A25" s="4" t="s">
        <v>1182</v>
      </c>
      <c r="B25" s="4" t="s">
        <v>1213</v>
      </c>
      <c r="C25" s="5" t="s">
        <v>1290</v>
      </c>
      <c r="D25" s="4" t="str">
        <f>CONCATENATE(HYPERLINK("CALLTO:%2B356%202144%20849979522969", "+356 2144 849979522969"))</f>
        <v>+356 2144 849979522969</v>
      </c>
      <c r="E25" s="5" t="s">
        <v>1360</v>
      </c>
      <c r="F25" s="5" t="s">
        <v>1443</v>
      </c>
    </row>
    <row r="26" spans="1:6" x14ac:dyDescent="0.3">
      <c r="A26" s="2" t="s">
        <v>1182</v>
      </c>
      <c r="B26" s="2" t="s">
        <v>1214</v>
      </c>
      <c r="C26" s="3" t="s">
        <v>860</v>
      </c>
      <c r="D26" s="2" t="str">
        <f>CONCATENATE(HYPERLINK("CALLTO:%2B356%202146%208770", "+356 2146 8770"))</f>
        <v>+356 2146 8770</v>
      </c>
      <c r="E26" s="3" t="s">
        <v>1361</v>
      </c>
      <c r="F26" s="3" t="s">
        <v>1444</v>
      </c>
    </row>
    <row r="27" spans="1:6" x14ac:dyDescent="0.3">
      <c r="A27" s="4" t="s">
        <v>1182</v>
      </c>
      <c r="B27" s="4" t="s">
        <v>1215</v>
      </c>
      <c r="C27" s="5" t="s">
        <v>1291</v>
      </c>
      <c r="D27" s="4" t="str">
        <f>CONCATENATE(HYPERLINK("CALLTO:%2B356%202144%20964121440202", "+356 2144 964121440202"))</f>
        <v>+356 2144 964121440202</v>
      </c>
      <c r="E27" s="5" t="s">
        <v>1362</v>
      </c>
      <c r="F27" s="5" t="s">
        <v>1445</v>
      </c>
    </row>
    <row r="28" spans="1:6" x14ac:dyDescent="0.3">
      <c r="A28" s="2" t="s">
        <v>1182</v>
      </c>
      <c r="B28" s="2" t="s">
        <v>1216</v>
      </c>
      <c r="C28" s="3" t="s">
        <v>1292</v>
      </c>
      <c r="D28" s="2" t="str">
        <f>CONCATENATE(HYPERLINK("CALLTO:%2B356%202278%202000", "+356 2278 2000"))</f>
        <v>+356 2278 2000</v>
      </c>
      <c r="E28" s="3" t="s">
        <v>1363</v>
      </c>
      <c r="F28" s="3" t="s">
        <v>1446</v>
      </c>
    </row>
    <row r="29" spans="1:6" x14ac:dyDescent="0.3">
      <c r="A29" s="4" t="s">
        <v>1182</v>
      </c>
      <c r="B29" s="4" t="s">
        <v>1217</v>
      </c>
      <c r="C29" s="5" t="s">
        <v>1293</v>
      </c>
      <c r="D29" s="4" t="str">
        <f>CONCATENATE(HYPERLINK("CALLTO:%2B356%202713%207364", "+356 2713 7364"))</f>
        <v>+356 2713 7364</v>
      </c>
      <c r="E29" s="5" t="s">
        <v>1364</v>
      </c>
      <c r="F29" s="5" t="s">
        <v>1447</v>
      </c>
    </row>
    <row r="30" spans="1:6" x14ac:dyDescent="0.3">
      <c r="A30" s="2" t="s">
        <v>1182</v>
      </c>
      <c r="B30" s="2" t="s">
        <v>1218</v>
      </c>
      <c r="C30" s="3" t="s">
        <v>1294</v>
      </c>
      <c r="D30" s="2" t="str">
        <f>CONCATENATE(HYPERLINK("CALLTO:%2B356%202749%205590", "+356 2749 5590"))</f>
        <v>+356 2749 5590</v>
      </c>
      <c r="E30" s="3" t="s">
        <v>1365</v>
      </c>
      <c r="F30" s="3" t="s">
        <v>1448</v>
      </c>
    </row>
    <row r="31" spans="1:6" x14ac:dyDescent="0.3">
      <c r="A31" s="4" t="s">
        <v>1182</v>
      </c>
      <c r="B31" s="4" t="s">
        <v>1219</v>
      </c>
      <c r="C31" s="5" t="s">
        <v>855</v>
      </c>
      <c r="D31" s="4" t="str">
        <f>CONCATENATE(HYPERLINK("CALLTO:%2B356%202141%207596", "+356 2141 7596"))</f>
        <v>+356 2141 7596</v>
      </c>
      <c r="E31" s="5" t="s">
        <v>1366</v>
      </c>
      <c r="F31" s="5" t="s">
        <v>1449</v>
      </c>
    </row>
    <row r="32" spans="1:6" x14ac:dyDescent="0.3">
      <c r="A32" s="2" t="s">
        <v>1182</v>
      </c>
      <c r="B32" s="2" t="s">
        <v>1220</v>
      </c>
      <c r="C32" s="3" t="s">
        <v>1295</v>
      </c>
      <c r="D32" s="2" t="str">
        <f>CONCATENATE(HYPERLINK("CALLTO:%2B356%202144%200710", "+356 2144 0710"))</f>
        <v>+356 2144 0710</v>
      </c>
      <c r="E32" s="3" t="s">
        <v>1367</v>
      </c>
      <c r="F32" s="3" t="s">
        <v>1450</v>
      </c>
    </row>
    <row r="33" spans="1:6" x14ac:dyDescent="0.3">
      <c r="A33" s="4" t="s">
        <v>1182</v>
      </c>
      <c r="B33" s="4" t="s">
        <v>1221</v>
      </c>
      <c r="C33" s="5" t="s">
        <v>1296</v>
      </c>
      <c r="D33" s="4" t="str">
        <f>CONCATENATE(HYPERLINK("CALLTO:%2B356%202549%203000", "+356 2549 3000"))</f>
        <v>+356 2549 3000</v>
      </c>
      <c r="E33" s="5" t="s">
        <v>1368</v>
      </c>
      <c r="F33" s="5" t="s">
        <v>1451</v>
      </c>
    </row>
    <row r="34" spans="1:6" x14ac:dyDescent="0.3">
      <c r="A34" s="2" t="s">
        <v>1182</v>
      </c>
      <c r="B34" s="2" t="s">
        <v>1222</v>
      </c>
      <c r="C34" s="3" t="s">
        <v>1297</v>
      </c>
      <c r="D34" s="2" t="str">
        <f>CONCATENATE(HYPERLINK("CALLTO:%2B356%202713%203090", "+356 2713 3090"))</f>
        <v>+356 2713 3090</v>
      </c>
      <c r="E34" s="3" t="s">
        <v>1369</v>
      </c>
      <c r="F34" s="3" t="s">
        <v>1452</v>
      </c>
    </row>
    <row r="35" spans="1:6" x14ac:dyDescent="0.3">
      <c r="A35" s="4" t="s">
        <v>1182</v>
      </c>
      <c r="B35" s="4" t="s">
        <v>1223</v>
      </c>
      <c r="C35" s="5" t="s">
        <v>1298</v>
      </c>
      <c r="D35" s="4" t="str">
        <f>CONCATENATE(HYPERLINK("CALLTO:%2B356%202149%202822", "+356 2149 2822"))</f>
        <v>+356 2149 2822</v>
      </c>
      <c r="E35" s="5" t="s">
        <v>1370</v>
      </c>
      <c r="F35" s="5" t="s">
        <v>1453</v>
      </c>
    </row>
    <row r="36" spans="1:6" x14ac:dyDescent="0.3">
      <c r="A36" s="2" t="s">
        <v>1182</v>
      </c>
      <c r="B36" s="2" t="s">
        <v>1224</v>
      </c>
      <c r="C36" s="3" t="s">
        <v>1299</v>
      </c>
      <c r="D36" s="2" t="str">
        <f>CONCATENATE(HYPERLINK("CALLTO:%2B356%202148%203216", "+356 2148 3216"), " / ", HYPERLINK("CALLTO:%2B356%202144%205947", "+356 2144 5947"))</f>
        <v>+356 2148 3216 / +356 2144 5947</v>
      </c>
      <c r="E36" s="3" t="s">
        <v>1371</v>
      </c>
      <c r="F36" s="3" t="s">
        <v>1454</v>
      </c>
    </row>
    <row r="37" spans="1:6" x14ac:dyDescent="0.3">
      <c r="A37" s="4" t="s">
        <v>1185</v>
      </c>
      <c r="B37" s="4" t="s">
        <v>1191</v>
      </c>
      <c r="C37" s="5" t="s">
        <v>1271</v>
      </c>
      <c r="D37" s="4" t="str">
        <f>CONCATENATE(HYPERLINK("CALLTO:%2B356%202156%2003887990261399307711", "+356 2156 03887990261399307711"))</f>
        <v>+356 2156 03887990261399307711</v>
      </c>
      <c r="E37" s="5" t="s">
        <v>1338</v>
      </c>
      <c r="F37" s="5" t="s">
        <v>1422</v>
      </c>
    </row>
    <row r="38" spans="1:6" x14ac:dyDescent="0.3">
      <c r="A38" s="2" t="s">
        <v>1185</v>
      </c>
      <c r="B38" s="2" t="s">
        <v>1225</v>
      </c>
      <c r="C38" s="3" t="s">
        <v>1300</v>
      </c>
      <c r="D38" s="2" t="str">
        <f>CONCATENATE(HYPERLINK("CALLTO:%2B356%202148%203216", "+356 2148 3216"))</f>
        <v>+356 2148 3216</v>
      </c>
      <c r="E38" s="3" t="s">
        <v>1372</v>
      </c>
      <c r="F38" s="3" t="s">
        <v>1455</v>
      </c>
    </row>
    <row r="39" spans="1:6" x14ac:dyDescent="0.3">
      <c r="A39" s="4" t="s">
        <v>1185</v>
      </c>
      <c r="B39" s="4" t="s">
        <v>1226</v>
      </c>
      <c r="C39" s="5" t="s">
        <v>1301</v>
      </c>
      <c r="D39" s="4" t="str">
        <f>CONCATENATE(HYPERLINK("CALLTO:%2B356%202144%208012", "+356 2144 8012"))</f>
        <v>+356 2144 8012</v>
      </c>
      <c r="E39" s="5" t="s">
        <v>1373</v>
      </c>
      <c r="F39" s="5" t="s">
        <v>1456</v>
      </c>
    </row>
    <row r="40" spans="1:6" x14ac:dyDescent="0.3">
      <c r="A40" s="2" t="s">
        <v>1185</v>
      </c>
      <c r="B40" s="2" t="s">
        <v>1227</v>
      </c>
      <c r="C40" s="3" t="s">
        <v>1302</v>
      </c>
      <c r="D40" s="2" t="str">
        <f>CONCATENATE(HYPERLINK("CALLTO:%2B356%207942%205175", "+356 7942 5175"))</f>
        <v>+356 7942 5175</v>
      </c>
      <c r="E40" s="3" t="s">
        <v>1374</v>
      </c>
      <c r="F40" s="3" t="s">
        <v>1457</v>
      </c>
    </row>
    <row r="41" spans="1:6" x14ac:dyDescent="0.3">
      <c r="A41" s="4" t="s">
        <v>1185</v>
      </c>
      <c r="B41" s="4" t="s">
        <v>1198</v>
      </c>
      <c r="C41" s="5" t="s">
        <v>1276</v>
      </c>
      <c r="D41" s="4" t="str">
        <f>CONCATENATE(HYPERLINK("CALLTO:%2B356%202169%205438%2B35621672049%2B36579402553", "+356 2169 5438+35621672049+36579402553"))</f>
        <v>+356 2169 5438+35621672049+36579402553</v>
      </c>
      <c r="E41" s="5" t="s">
        <v>1345</v>
      </c>
      <c r="F41" s="5" t="s">
        <v>1428</v>
      </c>
    </row>
    <row r="42" spans="1:6" x14ac:dyDescent="0.3">
      <c r="A42" s="2" t="s">
        <v>1185</v>
      </c>
      <c r="B42" s="2" t="s">
        <v>1219</v>
      </c>
      <c r="C42" s="3" t="s">
        <v>855</v>
      </c>
      <c r="D42" s="2" t="str">
        <f>CONCATENATE(HYPERLINK("CALLTO:%2B356%202141%207596", "+356 2141 7596"))</f>
        <v>+356 2141 7596</v>
      </c>
      <c r="E42" s="3" t="s">
        <v>1366</v>
      </c>
      <c r="F42" s="3" t="s">
        <v>1449</v>
      </c>
    </row>
    <row r="43" spans="1:6" x14ac:dyDescent="0.3">
      <c r="A43" s="4" t="s">
        <v>1185</v>
      </c>
      <c r="B43" s="4" t="s">
        <v>1228</v>
      </c>
      <c r="C43" s="5" t="s">
        <v>1303</v>
      </c>
      <c r="D43" s="4" t="str">
        <f>CONCATENATE(HYPERLINK("CALLTO:%2B356%202723%204527", "+356 2723 4527"))</f>
        <v>+356 2723 4527</v>
      </c>
      <c r="E43" s="5" t="s">
        <v>1375</v>
      </c>
      <c r="F43" s="5" t="s">
        <v>1458</v>
      </c>
    </row>
    <row r="44" spans="1:6" x14ac:dyDescent="0.3">
      <c r="A44" s="2" t="s">
        <v>1185</v>
      </c>
      <c r="B44" s="2" t="s">
        <v>1229</v>
      </c>
      <c r="C44" s="3" t="s">
        <v>1304</v>
      </c>
      <c r="D44" s="2" t="str">
        <f>CONCATENATE(HYPERLINK("CALLTO:%2B356%202147%202095", "+356 2147 2095"))</f>
        <v>+356 2147 2095</v>
      </c>
      <c r="E44" s="3" t="s">
        <v>1376</v>
      </c>
      <c r="F44" s="3" t="s">
        <v>1459</v>
      </c>
    </row>
    <row r="45" spans="1:6" x14ac:dyDescent="0.3">
      <c r="A45" s="4" t="s">
        <v>1185</v>
      </c>
      <c r="B45" s="4" t="s">
        <v>1230</v>
      </c>
      <c r="C45" s="5" t="s">
        <v>1273</v>
      </c>
      <c r="D45" s="4" t="str">
        <f>CONCATENATE(HYPERLINK("CALLTO:%2B356%202011%207900", "+356 2011 7900"))</f>
        <v>+356 2011 7900</v>
      </c>
      <c r="E45" s="5" t="s">
        <v>1377</v>
      </c>
      <c r="F45" s="5" t="s">
        <v>1425</v>
      </c>
    </row>
    <row r="46" spans="1:6" x14ac:dyDescent="0.3">
      <c r="A46" s="2" t="s">
        <v>1185</v>
      </c>
      <c r="B46" s="2" t="s">
        <v>1232</v>
      </c>
      <c r="C46" s="3" t="s">
        <v>1288</v>
      </c>
      <c r="D46" s="2" t="str">
        <f>CONCATENATE(HYPERLINK("CALLTO:%2B356%202144%201328", "+356 2144 1328"))</f>
        <v>+356 2144 1328</v>
      </c>
      <c r="E46" s="3" t="s">
        <v>1378</v>
      </c>
      <c r="F46" s="3" t="s">
        <v>1441</v>
      </c>
    </row>
    <row r="47" spans="1:6" x14ac:dyDescent="0.3">
      <c r="A47" s="4" t="s">
        <v>1185</v>
      </c>
      <c r="B47" s="4" t="s">
        <v>1218</v>
      </c>
      <c r="C47" s="5" t="s">
        <v>1294</v>
      </c>
      <c r="D47" s="4" t="str">
        <f>CONCATENATE(HYPERLINK("CALLTO:%2B356%202749%205590", "+356 2749 5590"))</f>
        <v>+356 2749 5590</v>
      </c>
      <c r="E47" s="5" t="s">
        <v>1379</v>
      </c>
      <c r="F47" s="5" t="s">
        <v>1448</v>
      </c>
    </row>
    <row r="48" spans="1:6" x14ac:dyDescent="0.3">
      <c r="A48" s="2" t="s">
        <v>1185</v>
      </c>
      <c r="B48" s="2" t="s">
        <v>1231</v>
      </c>
      <c r="C48" s="3" t="s">
        <v>1305</v>
      </c>
      <c r="D48" s="2" t="str">
        <f>CONCATENATE(HYPERLINK("CALLTO:%2B356%202142%200538", "+356 2142 0538"))</f>
        <v>+356 2142 0538</v>
      </c>
      <c r="E48" s="3" t="s">
        <v>1380</v>
      </c>
      <c r="F48" s="3" t="s">
        <v>1460</v>
      </c>
    </row>
    <row r="49" spans="1:6" x14ac:dyDescent="0.3">
      <c r="A49" s="4" t="s">
        <v>1185</v>
      </c>
      <c r="B49" s="4" t="s">
        <v>1233</v>
      </c>
      <c r="C49" s="5" t="s">
        <v>1306</v>
      </c>
      <c r="D49" s="4" t="str">
        <f>CONCATENATE(HYPERLINK("CALLTO:%2B356%202144%202093", "+356 2144 2093"))</f>
        <v>+356 2144 2093</v>
      </c>
      <c r="E49" s="5" t="s">
        <v>1381</v>
      </c>
      <c r="F49" s="5" t="s">
        <v>1461</v>
      </c>
    </row>
    <row r="50" spans="1:6" x14ac:dyDescent="0.3">
      <c r="A50" s="2" t="s">
        <v>1185</v>
      </c>
      <c r="B50" s="2" t="s">
        <v>1234</v>
      </c>
      <c r="C50" s="3" t="s">
        <v>863</v>
      </c>
      <c r="D50" s="2" t="str">
        <f>CONCATENATE(HYPERLINK("CALLTO:%2B356%202141%204090", "+356 2141 4090"))</f>
        <v>+356 2141 4090</v>
      </c>
      <c r="E50" s="3" t="s">
        <v>1382</v>
      </c>
      <c r="F50" s="3" t="s">
        <v>1462</v>
      </c>
    </row>
    <row r="51" spans="1:6" x14ac:dyDescent="0.3">
      <c r="A51" s="4" t="s">
        <v>1185</v>
      </c>
      <c r="B51" s="4" t="s">
        <v>1235</v>
      </c>
      <c r="C51" s="5" t="s">
        <v>1307</v>
      </c>
      <c r="D51" s="4" t="str">
        <f>CONCATENATE(HYPERLINK("CALLTO:%2B356%209904%205047", "+356 9904 5047"))</f>
        <v>+356 9904 5047</v>
      </c>
      <c r="E51" s="5" t="s">
        <v>1383</v>
      </c>
      <c r="F51" s="5" t="s">
        <v>1463</v>
      </c>
    </row>
    <row r="52" spans="1:6" x14ac:dyDescent="0.3">
      <c r="A52" s="2" t="s">
        <v>1185</v>
      </c>
      <c r="B52" s="2" t="s">
        <v>1236</v>
      </c>
      <c r="C52" s="3" t="s">
        <v>1308</v>
      </c>
      <c r="D52" s="2" t="str">
        <f>CONCATENATE(HYPERLINK("CALLTO:%2B356%202164%202396", "+356 2164 2396"))</f>
        <v>+356 2164 2396</v>
      </c>
      <c r="E52" s="3" t="s">
        <v>1384</v>
      </c>
      <c r="F52" s="3" t="s">
        <v>1464</v>
      </c>
    </row>
    <row r="53" spans="1:6" x14ac:dyDescent="0.3">
      <c r="A53" s="4" t="s">
        <v>1185</v>
      </c>
      <c r="B53" s="4" t="s">
        <v>848</v>
      </c>
      <c r="C53" s="5" t="s">
        <v>1309</v>
      </c>
      <c r="D53" s="4" t="str">
        <f>CONCATENATE(HYPERLINK("CALLTO:%2B356%202713%203090", "+356 2713 3090"))</f>
        <v>+356 2713 3090</v>
      </c>
      <c r="E53" s="5" t="s">
        <v>1385</v>
      </c>
      <c r="F53" s="5" t="s">
        <v>1465</v>
      </c>
    </row>
    <row r="54" spans="1:6" x14ac:dyDescent="0.3">
      <c r="A54" s="2" t="s">
        <v>1185</v>
      </c>
      <c r="B54" s="2" t="s">
        <v>1237</v>
      </c>
      <c r="C54" s="3" t="s">
        <v>1310</v>
      </c>
      <c r="D54" s="2" t="str">
        <f>CONCATENATE(HYPERLINK("CALLTO:%2B356%202141%200685", "+356 2141 0685"))</f>
        <v>+356 2141 0685</v>
      </c>
      <c r="E54" s="3" t="s">
        <v>1387</v>
      </c>
      <c r="F54" s="3" t="s">
        <v>1466</v>
      </c>
    </row>
    <row r="55" spans="1:6" x14ac:dyDescent="0.3">
      <c r="A55" s="4" t="s">
        <v>1185</v>
      </c>
      <c r="B55" s="4" t="s">
        <v>1238</v>
      </c>
      <c r="C55" s="5" t="s">
        <v>1311</v>
      </c>
      <c r="D55" s="4" t="str">
        <f>CONCATENATE(HYPERLINK("CALLTO:%2B356%202143%204935", "+356 2143 4935"))</f>
        <v>+356 2143 4935</v>
      </c>
      <c r="E55" s="5" t="s">
        <v>1386</v>
      </c>
      <c r="F55" s="5" t="s">
        <v>1467</v>
      </c>
    </row>
    <row r="56" spans="1:6" x14ac:dyDescent="0.3">
      <c r="A56" s="2" t="s">
        <v>1185</v>
      </c>
      <c r="B56" s="2" t="s">
        <v>1239</v>
      </c>
      <c r="C56" s="3" t="s">
        <v>1312</v>
      </c>
      <c r="D56" s="2" t="str">
        <f>CONCATENATE(HYPERLINK("CALLTO:%2B356%202157%203499", "+356 2157 3499"))</f>
        <v>+356 2157 3499</v>
      </c>
      <c r="E56" s="3" t="s">
        <v>1388</v>
      </c>
      <c r="F56" s="2" t="s">
        <v>146</v>
      </c>
    </row>
    <row r="57" spans="1:6" x14ac:dyDescent="0.3">
      <c r="A57" s="4" t="s">
        <v>1185</v>
      </c>
      <c r="B57" s="4" t="s">
        <v>1240</v>
      </c>
      <c r="C57" s="5" t="s">
        <v>1284</v>
      </c>
      <c r="D57" s="4" t="str">
        <f>CONCATENATE(HYPERLINK("CALLTO:%2B356%202148%206883", "+356 2148 6883"))</f>
        <v>+356 2148 6883</v>
      </c>
      <c r="E57" s="5" t="s">
        <v>1389</v>
      </c>
      <c r="F57" s="5" t="s">
        <v>1436</v>
      </c>
    </row>
    <row r="58" spans="1:6" x14ac:dyDescent="0.3">
      <c r="A58" s="2" t="s">
        <v>1185</v>
      </c>
      <c r="B58" s="2" t="s">
        <v>1241</v>
      </c>
      <c r="C58" s="3" t="s">
        <v>1313</v>
      </c>
      <c r="D58" s="2" t="str">
        <f>CONCATENATE(HYPERLINK("CALLTO:%2B356%202144%206751", "+356 2144 6751"))</f>
        <v>+356 2144 6751</v>
      </c>
      <c r="E58" s="3" t="s">
        <v>1390</v>
      </c>
      <c r="F58" s="3" t="s">
        <v>1468</v>
      </c>
    </row>
    <row r="59" spans="1:6" x14ac:dyDescent="0.3">
      <c r="A59" s="4" t="s">
        <v>1185</v>
      </c>
      <c r="B59" s="4" t="s">
        <v>1242</v>
      </c>
      <c r="C59" s="5" t="s">
        <v>1314</v>
      </c>
      <c r="D59" s="4" t="str">
        <f>CONCATENATE(HYPERLINK("CALLTO:%2B356%202180%202845", "+356 2180 2845"))</f>
        <v>+356 2180 2845</v>
      </c>
      <c r="E59" s="5" t="s">
        <v>1391</v>
      </c>
      <c r="F59" s="5" t="s">
        <v>1469</v>
      </c>
    </row>
    <row r="60" spans="1:6" x14ac:dyDescent="0.3">
      <c r="A60" s="2" t="s">
        <v>1185</v>
      </c>
      <c r="B60" s="2" t="s">
        <v>1243</v>
      </c>
      <c r="C60" s="3" t="s">
        <v>1315</v>
      </c>
      <c r="D60" s="2" t="str">
        <f>CONCATENATE(HYPERLINK("CALLTO:%2B356%209942%203740", "+356 9942 3740"))</f>
        <v>+356 9942 3740</v>
      </c>
      <c r="E60" s="3" t="s">
        <v>1392</v>
      </c>
      <c r="F60" s="3" t="s">
        <v>1470</v>
      </c>
    </row>
    <row r="61" spans="1:6" x14ac:dyDescent="0.3">
      <c r="A61" s="4" t="s">
        <v>1185</v>
      </c>
      <c r="B61" s="4" t="s">
        <v>1244</v>
      </c>
      <c r="C61" s="5" t="s">
        <v>1316</v>
      </c>
      <c r="D61" s="4" t="str">
        <f>CONCATENATE(HYPERLINK("CALLTO:%2B356%202141%202222", "+356 2141 2222"))</f>
        <v>+356 2141 2222</v>
      </c>
      <c r="E61" s="5" t="s">
        <v>1393</v>
      </c>
      <c r="F61" s="5" t="s">
        <v>1471</v>
      </c>
    </row>
    <row r="62" spans="1:6" x14ac:dyDescent="0.3">
      <c r="A62" s="2" t="s">
        <v>1185</v>
      </c>
      <c r="B62" s="2" t="s">
        <v>1245</v>
      </c>
      <c r="C62" s="3" t="s">
        <v>1317</v>
      </c>
      <c r="D62" s="2" t="str">
        <f>CONCATENATE(HYPERLINK("CALLTO:%2B356%202145%201032", "+356 2145 1032"))</f>
        <v>+356 2145 1032</v>
      </c>
      <c r="E62" s="3" t="s">
        <v>1394</v>
      </c>
      <c r="F62" s="3" t="s">
        <v>1472</v>
      </c>
    </row>
    <row r="63" spans="1:6" x14ac:dyDescent="0.3">
      <c r="A63" s="4" t="s">
        <v>1185</v>
      </c>
      <c r="B63" s="4" t="s">
        <v>1246</v>
      </c>
      <c r="C63" s="5" t="s">
        <v>1283</v>
      </c>
      <c r="D63" s="4" t="str">
        <f>CONCATENATE(HYPERLINK("CALLTO:%2B356%202142%204990", "+356 2142 4990"))</f>
        <v>+356 2142 4990</v>
      </c>
      <c r="E63" s="5" t="s">
        <v>1395</v>
      </c>
      <c r="F63" s="5" t="s">
        <v>1473</v>
      </c>
    </row>
    <row r="64" spans="1:6" x14ac:dyDescent="0.3">
      <c r="A64" s="2" t="s">
        <v>1185</v>
      </c>
      <c r="B64" s="2" t="s">
        <v>1247</v>
      </c>
      <c r="C64" s="3" t="s">
        <v>1318</v>
      </c>
      <c r="D64" s="2" t="str">
        <f>CONCATENATE(HYPERLINK("CALLTO:%2B356%202093%202932", "+356 2093 2932"))</f>
        <v>+356 2093 2932</v>
      </c>
      <c r="E64" s="3" t="s">
        <v>1396</v>
      </c>
      <c r="F64" s="3" t="s">
        <v>1474</v>
      </c>
    </row>
    <row r="65" spans="1:6" x14ac:dyDescent="0.3">
      <c r="A65" s="4" t="s">
        <v>1185</v>
      </c>
      <c r="B65" s="4" t="s">
        <v>1215</v>
      </c>
      <c r="C65" s="5" t="s">
        <v>1291</v>
      </c>
      <c r="D65" s="4" t="str">
        <f>CONCATENATE(HYPERLINK("CALLTO:%2B356%202144%20964121440202", "+356 2144 964121440202"))</f>
        <v>+356 2144 964121440202</v>
      </c>
      <c r="E65" s="5" t="s">
        <v>1362</v>
      </c>
      <c r="F65" s="5" t="s">
        <v>1445</v>
      </c>
    </row>
    <row r="66" spans="1:6" x14ac:dyDescent="0.3">
      <c r="A66" s="2" t="s">
        <v>1185</v>
      </c>
      <c r="B66" s="2" t="s">
        <v>1196</v>
      </c>
      <c r="C66" s="3" t="s">
        <v>1274</v>
      </c>
      <c r="D66" s="2" t="str">
        <f>CONCATENATE(HYPERLINK("CALLTO:%2B356%202792%202222", "+356 2792 2222"))</f>
        <v>+356 2792 2222</v>
      </c>
      <c r="E66" s="3" t="s">
        <v>1343</v>
      </c>
      <c r="F66" s="3" t="s">
        <v>1426</v>
      </c>
    </row>
    <row r="67" spans="1:6" x14ac:dyDescent="0.3">
      <c r="A67" s="4" t="s">
        <v>1185</v>
      </c>
      <c r="B67" s="4" t="s">
        <v>1248</v>
      </c>
      <c r="C67" s="5" t="s">
        <v>1319</v>
      </c>
      <c r="D67" s="4" t="str">
        <f>CONCATENATE(HYPERLINK("CALLTO:%2B356%202167%206627", "+356 2167 6627"))</f>
        <v>+356 2167 6627</v>
      </c>
      <c r="E67" s="5" t="s">
        <v>1397</v>
      </c>
      <c r="F67" s="5" t="s">
        <v>1437</v>
      </c>
    </row>
    <row r="68" spans="1:6" x14ac:dyDescent="0.3">
      <c r="A68" s="2" t="s">
        <v>1185</v>
      </c>
      <c r="B68" s="2" t="s">
        <v>1249</v>
      </c>
      <c r="C68" s="3" t="s">
        <v>1271</v>
      </c>
      <c r="D68" s="2" t="str">
        <f>CONCATENATE(HYPERLINK("CALLTO:%2B356%202156%2003887990261399307711", "+356 2156 03887990261399307711"))</f>
        <v>+356 2156 03887990261399307711</v>
      </c>
      <c r="E68" s="3" t="s">
        <v>1338</v>
      </c>
      <c r="F68" s="3" t="s">
        <v>1422</v>
      </c>
    </row>
    <row r="69" spans="1:6" x14ac:dyDescent="0.3">
      <c r="A69" s="4" t="s">
        <v>1186</v>
      </c>
      <c r="B69" s="4" t="s">
        <v>1191</v>
      </c>
      <c r="C69" s="5" t="s">
        <v>1300</v>
      </c>
      <c r="D69" s="4" t="str">
        <f>CONCATENATE(HYPERLINK("CALLTO:%2B356%202148%203216", "+356 2148 3216"))</f>
        <v>+356 2148 3216</v>
      </c>
      <c r="E69" s="5" t="s">
        <v>1372</v>
      </c>
      <c r="F69" s="5" t="s">
        <v>1455</v>
      </c>
    </row>
    <row r="70" spans="1:6" x14ac:dyDescent="0.3">
      <c r="A70" s="2" t="s">
        <v>1186</v>
      </c>
      <c r="B70" s="2" t="s">
        <v>1225</v>
      </c>
      <c r="C70" s="3" t="s">
        <v>1303</v>
      </c>
      <c r="D70" s="2" t="str">
        <f>CONCATENATE(HYPERLINK("CALLTO:%2B356%202723%204527", "+356 2723 4527"))</f>
        <v>+356 2723 4527</v>
      </c>
      <c r="E70" s="3" t="s">
        <v>1375</v>
      </c>
      <c r="F70" s="3" t="s">
        <v>1458</v>
      </c>
    </row>
    <row r="71" spans="1:6" x14ac:dyDescent="0.3">
      <c r="A71" s="4" t="s">
        <v>1186</v>
      </c>
      <c r="B71" s="4" t="s">
        <v>1228</v>
      </c>
      <c r="C71" s="5" t="s">
        <v>1320</v>
      </c>
      <c r="D71" s="4" t="str">
        <f>CONCATENATE(HYPERLINK("CALLTO:%2B356%202143%203636", "+356 2143 3636"))</f>
        <v>+356 2143 3636</v>
      </c>
      <c r="E71" s="5" t="s">
        <v>1398</v>
      </c>
      <c r="F71" s="5" t="s">
        <v>1476</v>
      </c>
    </row>
    <row r="72" spans="1:6" x14ac:dyDescent="0.3">
      <c r="A72" s="2" t="s">
        <v>1186</v>
      </c>
      <c r="B72" s="2" t="s">
        <v>1250</v>
      </c>
      <c r="C72" s="3" t="s">
        <v>1301</v>
      </c>
      <c r="D72" s="2" t="str">
        <f>CONCATENATE(HYPERLINK("CALLTO:%2B356%202144%208012", "+356 2144 8012"))</f>
        <v>+356 2144 8012</v>
      </c>
      <c r="E72" s="3" t="s">
        <v>1373</v>
      </c>
      <c r="F72" s="3" t="s">
        <v>1456</v>
      </c>
    </row>
    <row r="73" spans="1:6" x14ac:dyDescent="0.3">
      <c r="A73" s="4" t="s">
        <v>1186</v>
      </c>
      <c r="B73" s="4" t="s">
        <v>1226</v>
      </c>
      <c r="C73" s="5" t="s">
        <v>1302</v>
      </c>
      <c r="D73" s="4" t="str">
        <f>CONCATENATE(HYPERLINK("CALLTO:%2B356%207942%205175", "+356 7942 5175"))</f>
        <v>+356 7942 5175</v>
      </c>
      <c r="E73" s="5" t="s">
        <v>1374</v>
      </c>
      <c r="F73" s="5" t="s">
        <v>1457</v>
      </c>
    </row>
    <row r="74" spans="1:6" x14ac:dyDescent="0.3">
      <c r="A74" s="2" t="s">
        <v>1186</v>
      </c>
      <c r="B74" s="2" t="s">
        <v>1227</v>
      </c>
      <c r="C74" s="3" t="s">
        <v>1276</v>
      </c>
      <c r="D74" s="2" t="str">
        <f>CONCATENATE(HYPERLINK("CALLTO:%2B356%202169%205438%2B35621672049%2B36579402553", "+356 2169 5438+35621672049+36579402553"))</f>
        <v>+356 2169 5438+35621672049+36579402553</v>
      </c>
      <c r="E74" s="3" t="s">
        <v>1345</v>
      </c>
      <c r="F74" s="3" t="s">
        <v>1428</v>
      </c>
    </row>
    <row r="75" spans="1:6" x14ac:dyDescent="0.3">
      <c r="A75" s="4" t="s">
        <v>1186</v>
      </c>
      <c r="B75" s="4" t="s">
        <v>1198</v>
      </c>
      <c r="C75" s="5" t="s">
        <v>1278</v>
      </c>
      <c r="D75" s="4" t="str">
        <f>CONCATENATE(HYPERLINK("CALLTO:%2B356%207921%208080", "+356 7921 8080"))</f>
        <v>+356 7921 8080</v>
      </c>
      <c r="E75" s="5" t="s">
        <v>1347</v>
      </c>
      <c r="F75" s="5" t="s">
        <v>1430</v>
      </c>
    </row>
    <row r="76" spans="1:6" x14ac:dyDescent="0.3">
      <c r="A76" s="2" t="s">
        <v>1186</v>
      </c>
      <c r="B76" s="2" t="s">
        <v>1200</v>
      </c>
      <c r="C76" s="3" t="s">
        <v>1280</v>
      </c>
      <c r="D76" s="2" t="str">
        <f>CONCATENATE(HYPERLINK("CALLTO:%2B356%202155%206021", "+356 2155 6021"))</f>
        <v>+356 2155 6021</v>
      </c>
      <c r="E76" s="3" t="s">
        <v>1349</v>
      </c>
      <c r="F76" s="3" t="s">
        <v>1432</v>
      </c>
    </row>
    <row r="77" spans="1:6" x14ac:dyDescent="0.3">
      <c r="A77" s="4" t="s">
        <v>1186</v>
      </c>
      <c r="B77" s="4" t="s">
        <v>1202</v>
      </c>
      <c r="C77" s="5" t="s">
        <v>855</v>
      </c>
      <c r="D77" s="4" t="str">
        <f>CONCATENATE(HYPERLINK("CALLTO:%2B356%202141%207596", "+356 2141 7596"))</f>
        <v>+356 2141 7596</v>
      </c>
      <c r="E77" s="5" t="s">
        <v>1366</v>
      </c>
      <c r="F77" s="5" t="s">
        <v>1449</v>
      </c>
    </row>
    <row r="78" spans="1:6" x14ac:dyDescent="0.3">
      <c r="A78" s="2" t="s">
        <v>1186</v>
      </c>
      <c r="B78" s="2" t="s">
        <v>1219</v>
      </c>
      <c r="C78" s="3" t="s">
        <v>1304</v>
      </c>
      <c r="D78" s="2" t="str">
        <f>CONCATENATE(HYPERLINK("CALLTO:%2B356%202147%202095", "+356 2147 2095"))</f>
        <v>+356 2147 2095</v>
      </c>
      <c r="E78" s="3" t="s">
        <v>1376</v>
      </c>
      <c r="F78" s="3" t="s">
        <v>1459</v>
      </c>
    </row>
    <row r="79" spans="1:6" x14ac:dyDescent="0.3">
      <c r="A79" s="4" t="s">
        <v>1186</v>
      </c>
      <c r="B79" s="4" t="s">
        <v>1229</v>
      </c>
      <c r="C79" s="5" t="s">
        <v>1273</v>
      </c>
      <c r="D79" s="4" t="str">
        <f>CONCATENATE(HYPERLINK("CALLTO:%2B356%202011%207900", "+356 2011 7900"))</f>
        <v>+356 2011 7900</v>
      </c>
      <c r="E79" s="5" t="s">
        <v>1377</v>
      </c>
      <c r="F79" s="5" t="s">
        <v>1425</v>
      </c>
    </row>
    <row r="80" spans="1:6" x14ac:dyDescent="0.3">
      <c r="A80" s="2" t="s">
        <v>1186</v>
      </c>
      <c r="B80" s="2" t="s">
        <v>1230</v>
      </c>
      <c r="C80" s="3" t="s">
        <v>1321</v>
      </c>
      <c r="D80" s="2" t="str">
        <f>CONCATENATE(HYPERLINK("CALLTO:%2B356%202132%200571", "+356 2132 0571"))</f>
        <v>+356 2132 0571</v>
      </c>
      <c r="E80" s="3" t="s">
        <v>1399</v>
      </c>
      <c r="F80" s="3" t="s">
        <v>1477</v>
      </c>
    </row>
    <row r="81" spans="1:6" x14ac:dyDescent="0.3">
      <c r="A81" s="4" t="s">
        <v>1186</v>
      </c>
      <c r="B81" s="4" t="s">
        <v>1251</v>
      </c>
      <c r="C81" s="5" t="s">
        <v>1288</v>
      </c>
      <c r="D81" s="4" t="str">
        <f>CONCATENATE(HYPERLINK("CALLTO:%2B356%202144%201328", "+356 2144 1328"))</f>
        <v>+356 2144 1328</v>
      </c>
      <c r="E81" s="5" t="s">
        <v>1378</v>
      </c>
      <c r="F81" s="5" t="s">
        <v>1441</v>
      </c>
    </row>
    <row r="82" spans="1:6" x14ac:dyDescent="0.3">
      <c r="A82" s="2" t="s">
        <v>1186</v>
      </c>
      <c r="B82" s="2" t="s">
        <v>1232</v>
      </c>
      <c r="C82" s="3" t="s">
        <v>1294</v>
      </c>
      <c r="D82" s="2" t="str">
        <f>CONCATENATE(HYPERLINK("CALLTO:%2B356%202749%205590", "+356 2749 5590"))</f>
        <v>+356 2749 5590</v>
      </c>
      <c r="E82" s="3" t="s">
        <v>1379</v>
      </c>
      <c r="F82" s="3" t="s">
        <v>1448</v>
      </c>
    </row>
    <row r="83" spans="1:6" x14ac:dyDescent="0.3">
      <c r="A83" s="4" t="s">
        <v>1186</v>
      </c>
      <c r="B83" s="4" t="s">
        <v>1218</v>
      </c>
      <c r="C83" s="5" t="s">
        <v>1322</v>
      </c>
      <c r="D83" s="4" t="str">
        <f>CONCATENATE(HYPERLINK("CALLTO:%2B356%202132%202292", "+356 2132 2292"))</f>
        <v>+356 2132 2292</v>
      </c>
      <c r="E83" s="5" t="s">
        <v>1400</v>
      </c>
      <c r="F83" s="5" t="s">
        <v>1478</v>
      </c>
    </row>
    <row r="84" spans="1:6" x14ac:dyDescent="0.3">
      <c r="A84" s="2" t="s">
        <v>1186</v>
      </c>
      <c r="B84" s="2" t="s">
        <v>1252</v>
      </c>
      <c r="C84" s="3" t="s">
        <v>1323</v>
      </c>
      <c r="D84" s="2" t="str">
        <f>CONCATENATE(HYPERLINK("CALLTO:%2B356%202752%201855", "+356 2752 1855"))</f>
        <v>+356 2752 1855</v>
      </c>
      <c r="E84" s="3" t="s">
        <v>1401</v>
      </c>
      <c r="F84" s="3" t="s">
        <v>1479</v>
      </c>
    </row>
    <row r="85" spans="1:6" x14ac:dyDescent="0.3">
      <c r="A85" s="4" t="s">
        <v>1186</v>
      </c>
      <c r="B85" s="4" t="s">
        <v>1253</v>
      </c>
      <c r="C85" s="5" t="s">
        <v>1324</v>
      </c>
      <c r="D85" s="4" t="str">
        <f>CONCATENATE(HYPERLINK("CALLTO:%2B356%202155%202413", "+356 2155 2413"))</f>
        <v>+356 2155 2413</v>
      </c>
      <c r="E85" s="5" t="s">
        <v>1402</v>
      </c>
      <c r="F85" s="5" t="s">
        <v>1480</v>
      </c>
    </row>
    <row r="86" spans="1:6" x14ac:dyDescent="0.3">
      <c r="A86" s="2" t="s">
        <v>1186</v>
      </c>
      <c r="B86" s="2" t="s">
        <v>1254</v>
      </c>
      <c r="C86" s="3" t="s">
        <v>1305</v>
      </c>
      <c r="D86" s="2" t="str">
        <f>CONCATENATE(HYPERLINK("CALLTO:%2B356%202142%200538", "+356 2142 0538"))</f>
        <v>+356 2142 0538</v>
      </c>
      <c r="E86" s="3" t="s">
        <v>1380</v>
      </c>
      <c r="F86" s="3" t="s">
        <v>1460</v>
      </c>
    </row>
    <row r="87" spans="1:6" x14ac:dyDescent="0.3">
      <c r="A87" s="4" t="s">
        <v>1186</v>
      </c>
      <c r="B87" s="4" t="s">
        <v>1231</v>
      </c>
      <c r="C87" s="5" t="s">
        <v>1306</v>
      </c>
      <c r="D87" s="4" t="str">
        <f>CONCATENATE(HYPERLINK("CALLTO:%2B356%202144%202093", "+356 2144 2093"))</f>
        <v>+356 2144 2093</v>
      </c>
      <c r="E87" s="5" t="s">
        <v>1381</v>
      </c>
      <c r="F87" s="5" t="s">
        <v>1461</v>
      </c>
    </row>
    <row r="88" spans="1:6" x14ac:dyDescent="0.3">
      <c r="A88" s="2" t="s">
        <v>1186</v>
      </c>
      <c r="B88" s="2" t="s">
        <v>1233</v>
      </c>
      <c r="C88" s="3" t="s">
        <v>1325</v>
      </c>
      <c r="D88" s="2" t="str">
        <f>CONCATENATE(HYPERLINK("CALLTO:%2B356%209947%209003", "+356 9947 9003"))</f>
        <v>+356 9947 9003</v>
      </c>
      <c r="E88" s="3" t="s">
        <v>1403</v>
      </c>
      <c r="F88" s="3" t="s">
        <v>1481</v>
      </c>
    </row>
    <row r="89" spans="1:6" x14ac:dyDescent="0.3">
      <c r="A89" s="4" t="s">
        <v>1186</v>
      </c>
      <c r="B89" s="4" t="s">
        <v>1255</v>
      </c>
      <c r="C89" s="5" t="s">
        <v>863</v>
      </c>
      <c r="D89" s="4" t="str">
        <f>CONCATENATE(HYPERLINK("CALLTO:%2B356%202141%204090", "+356 2141 4090"))</f>
        <v>+356 2141 4090</v>
      </c>
      <c r="E89" s="5" t="s">
        <v>1382</v>
      </c>
      <c r="F89" s="5" t="s">
        <v>1462</v>
      </c>
    </row>
    <row r="90" spans="1:6" x14ac:dyDescent="0.3">
      <c r="A90" s="2" t="s">
        <v>1186</v>
      </c>
      <c r="B90" s="2" t="s">
        <v>1234</v>
      </c>
      <c r="C90" s="3" t="s">
        <v>1307</v>
      </c>
      <c r="D90" s="2" t="str">
        <f>CONCATENATE(HYPERLINK("CALLTO:%2B356%209904%205047", "+356 9904 5047"))</f>
        <v>+356 9904 5047</v>
      </c>
      <c r="E90" s="3" t="s">
        <v>1383</v>
      </c>
      <c r="F90" s="3" t="s">
        <v>1463</v>
      </c>
    </row>
    <row r="91" spans="1:6" x14ac:dyDescent="0.3">
      <c r="A91" s="4" t="s">
        <v>1186</v>
      </c>
      <c r="B91" s="4" t="s">
        <v>1235</v>
      </c>
      <c r="C91" s="5" t="s">
        <v>1326</v>
      </c>
      <c r="D91" s="4" t="str">
        <f>CONCATENATE(HYPERLINK("CALLTO:%2B356%202141%201541", "+356 2141 1541"))</f>
        <v>+356 2141 1541</v>
      </c>
      <c r="E91" s="5" t="s">
        <v>1404</v>
      </c>
      <c r="F91" s="5" t="s">
        <v>1482</v>
      </c>
    </row>
    <row r="92" spans="1:6" x14ac:dyDescent="0.3">
      <c r="A92" s="2" t="s">
        <v>1186</v>
      </c>
      <c r="B92" s="2" t="s">
        <v>1256</v>
      </c>
      <c r="C92" s="3" t="s">
        <v>1308</v>
      </c>
      <c r="D92" s="2" t="str">
        <f>CONCATENATE(HYPERLINK("CALLTO:%2B356%202164%202396", "+356 2164 2396"))</f>
        <v>+356 2164 2396</v>
      </c>
      <c r="E92" s="3" t="s">
        <v>1384</v>
      </c>
      <c r="F92" s="3" t="s">
        <v>1464</v>
      </c>
    </row>
    <row r="93" spans="1:6" x14ac:dyDescent="0.3">
      <c r="A93" s="4" t="s">
        <v>1186</v>
      </c>
      <c r="B93" s="4" t="s">
        <v>1257</v>
      </c>
      <c r="C93" s="5" t="s">
        <v>1327</v>
      </c>
      <c r="D93" s="4" t="str">
        <f>CONCATENATE(HYPERLINK("CALLTO:%2B356%207963%203615", "+356 7963 3615"))</f>
        <v>+356 7963 3615</v>
      </c>
      <c r="E93" s="5" t="s">
        <v>1405</v>
      </c>
      <c r="F93" s="5" t="s">
        <v>1483</v>
      </c>
    </row>
    <row r="94" spans="1:6" x14ac:dyDescent="0.3">
      <c r="A94" s="2" t="s">
        <v>1186</v>
      </c>
      <c r="B94" s="2" t="s">
        <v>1258</v>
      </c>
      <c r="C94" s="3" t="s">
        <v>1309</v>
      </c>
      <c r="D94" s="2" t="str">
        <f>CONCATENATE(HYPERLINK("CALLTO:%2B356%202713%203090", "+356 2713 3090"))</f>
        <v>+356 2713 3090</v>
      </c>
      <c r="E94" s="3" t="s">
        <v>1385</v>
      </c>
      <c r="F94" s="3" t="s">
        <v>1465</v>
      </c>
    </row>
    <row r="95" spans="1:6" x14ac:dyDescent="0.3">
      <c r="A95" s="4" t="s">
        <v>1186</v>
      </c>
      <c r="B95" s="4" t="s">
        <v>848</v>
      </c>
      <c r="C95" s="5" t="s">
        <v>1310</v>
      </c>
      <c r="D95" s="4" t="str">
        <f>CONCATENATE(HYPERLINK("CALLTO:%2B356%202141%200685", "+356 2141 0685"))</f>
        <v>+356 2141 0685</v>
      </c>
      <c r="E95" s="5" t="s">
        <v>1387</v>
      </c>
      <c r="F95" s="5" t="s">
        <v>1466</v>
      </c>
    </row>
    <row r="96" spans="1:6" x14ac:dyDescent="0.3">
      <c r="A96" s="2" t="s">
        <v>1186</v>
      </c>
      <c r="B96" s="2" t="s">
        <v>1237</v>
      </c>
      <c r="C96" s="3" t="s">
        <v>1311</v>
      </c>
      <c r="D96" s="2" t="str">
        <f>CONCATENATE(HYPERLINK("CALLTO:%2B356%202143%204935", "+356 2143 4935"))</f>
        <v>+356 2143 4935</v>
      </c>
      <c r="E96" s="3" t="s">
        <v>1386</v>
      </c>
      <c r="F96" s="3" t="s">
        <v>1467</v>
      </c>
    </row>
    <row r="97" spans="1:6" x14ac:dyDescent="0.3">
      <c r="A97" s="4" t="s">
        <v>1186</v>
      </c>
      <c r="B97" s="4" t="s">
        <v>1238</v>
      </c>
      <c r="C97" s="5" t="s">
        <v>1312</v>
      </c>
      <c r="D97" s="4" t="str">
        <f>CONCATENATE(HYPERLINK("CALLTO:%2B356%202157%203499", "+356 2157 3499"))</f>
        <v>+356 2157 3499</v>
      </c>
      <c r="E97" s="5" t="s">
        <v>1388</v>
      </c>
      <c r="F97" s="4" t="s">
        <v>146</v>
      </c>
    </row>
    <row r="98" spans="1:6" x14ac:dyDescent="0.3">
      <c r="A98" s="2" t="s">
        <v>1186</v>
      </c>
      <c r="B98" s="2" t="s">
        <v>1239</v>
      </c>
      <c r="C98" s="3" t="s">
        <v>1284</v>
      </c>
      <c r="D98" s="2" t="str">
        <f>CONCATENATE(HYPERLINK("CALLTO:%2B356%202148%206883", "+356 2148 6883"))</f>
        <v>+356 2148 6883</v>
      </c>
      <c r="E98" s="3" t="s">
        <v>1389</v>
      </c>
      <c r="F98" s="3" t="s">
        <v>1436</v>
      </c>
    </row>
    <row r="99" spans="1:6" x14ac:dyDescent="0.3">
      <c r="A99" s="4" t="s">
        <v>1186</v>
      </c>
      <c r="B99" s="4" t="s">
        <v>1240</v>
      </c>
      <c r="C99" s="5" t="s">
        <v>1313</v>
      </c>
      <c r="D99" s="4" t="str">
        <f>CONCATENATE(HYPERLINK("CALLTO:%2B356%202144%206751", "+356 2144 6751"))</f>
        <v>+356 2144 6751</v>
      </c>
      <c r="E99" s="5" t="s">
        <v>1390</v>
      </c>
      <c r="F99" s="5" t="s">
        <v>1468</v>
      </c>
    </row>
    <row r="100" spans="1:6" x14ac:dyDescent="0.3">
      <c r="A100" s="2" t="s">
        <v>1186</v>
      </c>
      <c r="B100" s="2" t="s">
        <v>1241</v>
      </c>
      <c r="C100" s="3" t="s">
        <v>1314</v>
      </c>
      <c r="D100" s="2" t="str">
        <f>CONCATENATE(HYPERLINK("CALLTO:%2B356%202180%202845", "+356 2180 2845"))</f>
        <v>+356 2180 2845</v>
      </c>
      <c r="E100" s="3" t="s">
        <v>1391</v>
      </c>
      <c r="F100" s="3" t="s">
        <v>1469</v>
      </c>
    </row>
    <row r="101" spans="1:6" x14ac:dyDescent="0.3">
      <c r="A101" s="4" t="s">
        <v>1186</v>
      </c>
      <c r="B101" s="4" t="s">
        <v>1242</v>
      </c>
      <c r="C101" s="5" t="s">
        <v>1315</v>
      </c>
      <c r="D101" s="4" t="str">
        <f>CONCATENATE(HYPERLINK("CALLTO:%2B356%209942%203740", "+356 9942 3740"))</f>
        <v>+356 9942 3740</v>
      </c>
      <c r="E101" s="5" t="s">
        <v>1392</v>
      </c>
      <c r="F101" s="5" t="s">
        <v>1470</v>
      </c>
    </row>
    <row r="102" spans="1:6" x14ac:dyDescent="0.3">
      <c r="A102" s="2" t="s">
        <v>1186</v>
      </c>
      <c r="B102" s="2" t="s">
        <v>1243</v>
      </c>
      <c r="C102" s="3" t="s">
        <v>1316</v>
      </c>
      <c r="D102" s="2" t="str">
        <f>CONCATENATE(HYPERLINK("CALLTO:%2B356%202141%202222", "+356 2141 2222"))</f>
        <v>+356 2141 2222</v>
      </c>
      <c r="E102" s="3" t="s">
        <v>1393</v>
      </c>
      <c r="F102" s="3" t="s">
        <v>1471</v>
      </c>
    </row>
    <row r="103" spans="1:6" x14ac:dyDescent="0.3">
      <c r="A103" s="4" t="s">
        <v>1186</v>
      </c>
      <c r="B103" s="4" t="s">
        <v>1244</v>
      </c>
      <c r="C103" s="5" t="s">
        <v>1317</v>
      </c>
      <c r="D103" s="4" t="str">
        <f>CONCATENATE(HYPERLINK("CALLTO:%2B356%202145%201032", "+356 2145 1032"))</f>
        <v>+356 2145 1032</v>
      </c>
      <c r="E103" s="5" t="s">
        <v>1394</v>
      </c>
      <c r="F103" s="5" t="s">
        <v>1472</v>
      </c>
    </row>
    <row r="104" spans="1:6" x14ac:dyDescent="0.3">
      <c r="A104" s="2" t="s">
        <v>1186</v>
      </c>
      <c r="B104" s="2" t="s">
        <v>1245</v>
      </c>
      <c r="C104" s="3" t="s">
        <v>1290</v>
      </c>
      <c r="D104" s="2" t="str">
        <f>CONCATENATE(HYPERLINK("CALLTO:%2B356%207952%202966", "+356 7952 2966"))</f>
        <v>+356 7952 2966</v>
      </c>
      <c r="E104" s="3" t="s">
        <v>1406</v>
      </c>
      <c r="F104" s="3" t="s">
        <v>1484</v>
      </c>
    </row>
    <row r="105" spans="1:6" x14ac:dyDescent="0.3">
      <c r="A105" s="4" t="s">
        <v>1186</v>
      </c>
      <c r="B105" s="4" t="s">
        <v>1213</v>
      </c>
      <c r="C105" s="5" t="s">
        <v>1328</v>
      </c>
      <c r="D105" s="4" t="str">
        <f>CONCATENATE(HYPERLINK("CALLTO:%2B356%202144%205165", "+356 2144 5165"))</f>
        <v>+356 2144 5165</v>
      </c>
      <c r="E105" s="5" t="s">
        <v>1407</v>
      </c>
      <c r="F105" s="5" t="s">
        <v>1485</v>
      </c>
    </row>
    <row r="106" spans="1:6" x14ac:dyDescent="0.3">
      <c r="A106" s="2" t="s">
        <v>1186</v>
      </c>
      <c r="B106" s="2" t="s">
        <v>1259</v>
      </c>
      <c r="C106" s="3" t="s">
        <v>1283</v>
      </c>
      <c r="D106" s="2" t="str">
        <f>CONCATENATE(HYPERLINK("CALLTO:%2B356%202142%204990", "+356 2142 4990"))</f>
        <v>+356 2142 4990</v>
      </c>
      <c r="E106" s="3" t="s">
        <v>1395</v>
      </c>
      <c r="F106" s="3" t="s">
        <v>1473</v>
      </c>
    </row>
    <row r="107" spans="1:6" x14ac:dyDescent="0.3">
      <c r="A107" s="4" t="s">
        <v>1186</v>
      </c>
      <c r="B107" s="4" t="s">
        <v>1246</v>
      </c>
      <c r="C107" s="5" t="s">
        <v>1318</v>
      </c>
      <c r="D107" s="4" t="str">
        <f>CONCATENATE(HYPERLINK("CALLTO:%2B356%202093%202932", "+356 2093 2932"))</f>
        <v>+356 2093 2932</v>
      </c>
      <c r="E107" s="5" t="s">
        <v>1396</v>
      </c>
      <c r="F107" s="5" t="s">
        <v>1474</v>
      </c>
    </row>
    <row r="108" spans="1:6" x14ac:dyDescent="0.3">
      <c r="A108" s="2" t="s">
        <v>1186</v>
      </c>
      <c r="B108" s="2" t="s">
        <v>1247</v>
      </c>
      <c r="C108" s="3" t="s">
        <v>1271</v>
      </c>
      <c r="D108" s="2" t="str">
        <f>CONCATENATE(HYPERLINK("CALLTO:%2B356%202156%2003887990261399307711", "+356 2156 03887990261399307711"))</f>
        <v>+356 2156 03887990261399307711</v>
      </c>
      <c r="E108" s="3" t="s">
        <v>1338</v>
      </c>
      <c r="F108" s="3" t="s">
        <v>1422</v>
      </c>
    </row>
    <row r="109" spans="1:6" x14ac:dyDescent="0.3">
      <c r="A109" s="4" t="s">
        <v>1187</v>
      </c>
      <c r="B109" s="4" t="s">
        <v>1191</v>
      </c>
      <c r="C109" s="5" t="s">
        <v>1300</v>
      </c>
      <c r="D109" s="4" t="str">
        <f>CONCATENATE(HYPERLINK("CALLTO:%2B356%202148%203216", "+356 2148 3216"))</f>
        <v>+356 2148 3216</v>
      </c>
      <c r="E109" s="5" t="s">
        <v>1372</v>
      </c>
      <c r="F109" s="5" t="s">
        <v>1455</v>
      </c>
    </row>
    <row r="110" spans="1:6" x14ac:dyDescent="0.3">
      <c r="A110" s="2" t="s">
        <v>1187</v>
      </c>
      <c r="B110" s="2" t="s">
        <v>1225</v>
      </c>
      <c r="C110" s="3" t="s">
        <v>1276</v>
      </c>
      <c r="D110" s="2" t="str">
        <f>CONCATENATE(HYPERLINK("CALLTO:%2B356%202169%205438%2B35621672049%2B36579402553", "+356 2169 5438+35621672049+36579402553"))</f>
        <v>+356 2169 5438+35621672049+36579402553</v>
      </c>
      <c r="E110" s="3" t="s">
        <v>1345</v>
      </c>
      <c r="F110" s="3" t="s">
        <v>1428</v>
      </c>
    </row>
    <row r="111" spans="1:6" x14ac:dyDescent="0.3">
      <c r="A111" s="4" t="s">
        <v>1187</v>
      </c>
      <c r="B111" s="4" t="s">
        <v>1198</v>
      </c>
      <c r="C111" s="5" t="s">
        <v>1280</v>
      </c>
      <c r="D111" s="4" t="str">
        <f>CONCATENATE(HYPERLINK("CALLTO:%2B356%202155%206021", "+356 2155 6021"))</f>
        <v>+356 2155 6021</v>
      </c>
      <c r="E111" s="5" t="s">
        <v>1349</v>
      </c>
      <c r="F111" s="5" t="s">
        <v>1432</v>
      </c>
    </row>
    <row r="112" spans="1:6" x14ac:dyDescent="0.3">
      <c r="A112" s="2" t="s">
        <v>1187</v>
      </c>
      <c r="B112" s="2" t="s">
        <v>1202</v>
      </c>
      <c r="C112" s="3" t="s">
        <v>1304</v>
      </c>
      <c r="D112" s="2" t="str">
        <f>CONCATENATE(HYPERLINK("CALLTO:%2B356%202147%202095", "+356 2147 2095"))</f>
        <v>+356 2147 2095</v>
      </c>
      <c r="E112" s="3" t="s">
        <v>1376</v>
      </c>
      <c r="F112" s="3" t="s">
        <v>1459</v>
      </c>
    </row>
    <row r="113" spans="1:6" x14ac:dyDescent="0.3">
      <c r="A113" s="4" t="s">
        <v>1187</v>
      </c>
      <c r="B113" s="4" t="s">
        <v>1229</v>
      </c>
      <c r="C113" s="5" t="s">
        <v>1273</v>
      </c>
      <c r="D113" s="4" t="str">
        <f>CONCATENATE(HYPERLINK("CALLTO:%2B356%202011%207900", "+356 2011 7900"))</f>
        <v>+356 2011 7900</v>
      </c>
      <c r="E113" s="5" t="s">
        <v>1377</v>
      </c>
      <c r="F113" s="5" t="s">
        <v>1425</v>
      </c>
    </row>
    <row r="114" spans="1:6" x14ac:dyDescent="0.3">
      <c r="A114" s="2" t="s">
        <v>1187</v>
      </c>
      <c r="B114" s="2" t="s">
        <v>1230</v>
      </c>
      <c r="C114" s="3" t="s">
        <v>1288</v>
      </c>
      <c r="D114" s="2" t="str">
        <f>CONCATENATE(HYPERLINK("CALLTO:%2B356%202144%201328", "+356 2144 1328"))</f>
        <v>+356 2144 1328</v>
      </c>
      <c r="E114" s="3" t="s">
        <v>1378</v>
      </c>
      <c r="F114" s="3" t="s">
        <v>1441</v>
      </c>
    </row>
    <row r="115" spans="1:6" x14ac:dyDescent="0.3">
      <c r="A115" s="4" t="s">
        <v>1187</v>
      </c>
      <c r="B115" s="4" t="s">
        <v>1232</v>
      </c>
      <c r="C115" s="5" t="s">
        <v>1294</v>
      </c>
      <c r="D115" s="4" t="str">
        <f>CONCATENATE(HYPERLINK("CALLTO:%2B356%202749%205590", "+356 2749 5590"))</f>
        <v>+356 2749 5590</v>
      </c>
      <c r="E115" s="5" t="s">
        <v>1379</v>
      </c>
      <c r="F115" s="5" t="s">
        <v>1448</v>
      </c>
    </row>
    <row r="116" spans="1:6" x14ac:dyDescent="0.3">
      <c r="A116" s="2" t="s">
        <v>1187</v>
      </c>
      <c r="B116" s="2" t="s">
        <v>1218</v>
      </c>
      <c r="C116" s="3" t="s">
        <v>1305</v>
      </c>
      <c r="D116" s="2" t="str">
        <f>CONCATENATE(HYPERLINK("CALLTO:%2B356%202142%200538", "+356 2142 0538"))</f>
        <v>+356 2142 0538</v>
      </c>
      <c r="E116" s="3" t="s">
        <v>1380</v>
      </c>
      <c r="F116" s="3" t="s">
        <v>1460</v>
      </c>
    </row>
    <row r="117" spans="1:6" x14ac:dyDescent="0.3">
      <c r="A117" s="4" t="s">
        <v>1187</v>
      </c>
      <c r="B117" s="4" t="s">
        <v>1231</v>
      </c>
      <c r="C117" s="5" t="s">
        <v>1325</v>
      </c>
      <c r="D117" s="4" t="str">
        <f>CONCATENATE(HYPERLINK("CALLTO:%2B356%209947%209003", "+356 9947 9003"))</f>
        <v>+356 9947 9003</v>
      </c>
      <c r="E117" s="5" t="s">
        <v>1403</v>
      </c>
      <c r="F117" s="5" t="s">
        <v>1481</v>
      </c>
    </row>
    <row r="118" spans="1:6" x14ac:dyDescent="0.3">
      <c r="A118" s="2" t="s">
        <v>1187</v>
      </c>
      <c r="B118" s="2" t="s">
        <v>1255</v>
      </c>
      <c r="C118" s="3" t="s">
        <v>863</v>
      </c>
      <c r="D118" s="2" t="str">
        <f>CONCATENATE(HYPERLINK("CALLTO:%2B356%202141%204090", "+356 2141 4090"))</f>
        <v>+356 2141 4090</v>
      </c>
      <c r="E118" s="3" t="s">
        <v>1382</v>
      </c>
      <c r="F118" s="3" t="s">
        <v>1462</v>
      </c>
    </row>
    <row r="119" spans="1:6" x14ac:dyDescent="0.3">
      <c r="A119" s="4" t="s">
        <v>1187</v>
      </c>
      <c r="B119" s="4" t="s">
        <v>1234</v>
      </c>
      <c r="C119" s="5" t="s">
        <v>1308</v>
      </c>
      <c r="D119" s="4" t="str">
        <f>CONCATENATE(HYPERLINK("CALLTO:%2B356%202164%202396", "+356 2164 2396"))</f>
        <v>+356 2164 2396</v>
      </c>
      <c r="E119" s="5" t="s">
        <v>1384</v>
      </c>
      <c r="F119" s="5" t="s">
        <v>1464</v>
      </c>
    </row>
    <row r="120" spans="1:6" x14ac:dyDescent="0.3">
      <c r="A120" s="2" t="s">
        <v>1187</v>
      </c>
      <c r="B120" s="2" t="s">
        <v>1257</v>
      </c>
      <c r="C120" s="3" t="s">
        <v>1311</v>
      </c>
      <c r="D120" s="2" t="str">
        <f>CONCATENATE(HYPERLINK("CALLTO:%2B356%202143%204935", "+356 2143 4935"))</f>
        <v>+356 2143 4935</v>
      </c>
      <c r="E120" s="3" t="s">
        <v>1386</v>
      </c>
      <c r="F120" s="3" t="s">
        <v>1467</v>
      </c>
    </row>
    <row r="121" spans="1:6" x14ac:dyDescent="0.3">
      <c r="A121" s="4" t="s">
        <v>1187</v>
      </c>
      <c r="B121" s="4" t="s">
        <v>1238</v>
      </c>
      <c r="C121" s="5" t="s">
        <v>1284</v>
      </c>
      <c r="D121" s="4" t="str">
        <f>CONCATENATE(HYPERLINK("CALLTO:%2B356%202148%206883", "+356 2148 6883"))</f>
        <v>+356 2148 6883</v>
      </c>
      <c r="E121" s="5" t="s">
        <v>1389</v>
      </c>
      <c r="F121" s="5" t="s">
        <v>1436</v>
      </c>
    </row>
    <row r="122" spans="1:6" x14ac:dyDescent="0.3">
      <c r="A122" s="2" t="s">
        <v>1187</v>
      </c>
      <c r="B122" s="2" t="s">
        <v>1240</v>
      </c>
      <c r="C122" s="3" t="s">
        <v>1313</v>
      </c>
      <c r="D122" s="2" t="str">
        <f>CONCATENATE(HYPERLINK("CALLTO:%2B356%202144%206751", "+356 2144 6751"))</f>
        <v>+356 2144 6751</v>
      </c>
      <c r="E122" s="3" t="s">
        <v>1390</v>
      </c>
      <c r="F122" s="3" t="s">
        <v>1468</v>
      </c>
    </row>
    <row r="123" spans="1:6" x14ac:dyDescent="0.3">
      <c r="A123" s="4" t="s">
        <v>1187</v>
      </c>
      <c r="B123" s="4" t="s">
        <v>1241</v>
      </c>
      <c r="C123" s="5" t="s">
        <v>1283</v>
      </c>
      <c r="D123" s="4" t="str">
        <f>CONCATENATE(HYPERLINK("CALLTO:%2B356%202142%204990", "+356 2142 4990"))</f>
        <v>+356 2142 4990</v>
      </c>
      <c r="E123" s="5" t="s">
        <v>1395</v>
      </c>
      <c r="F123" s="5" t="s">
        <v>1473</v>
      </c>
    </row>
    <row r="124" spans="1:6" x14ac:dyDescent="0.3">
      <c r="A124" s="2" t="s">
        <v>1187</v>
      </c>
      <c r="B124" s="2" t="s">
        <v>1246</v>
      </c>
      <c r="C124" s="3" t="s">
        <v>1318</v>
      </c>
      <c r="D124" s="2" t="str">
        <f>CONCATENATE(HYPERLINK("CALLTO:%2B356%202093%202932", "+356 2093 2932"))</f>
        <v>+356 2093 2932</v>
      </c>
      <c r="E124" s="3" t="s">
        <v>1396</v>
      </c>
      <c r="F124" s="3" t="s">
        <v>1474</v>
      </c>
    </row>
    <row r="125" spans="1:6" x14ac:dyDescent="0.3">
      <c r="A125" s="4" t="s">
        <v>1187</v>
      </c>
      <c r="B125" s="4" t="s">
        <v>1247</v>
      </c>
      <c r="C125" s="5" t="s">
        <v>1329</v>
      </c>
      <c r="D125" s="4" t="str">
        <f>CONCATENATE(HYPERLINK("CALLTO:%2B356%209999%209819", "+356 9999 9819"))</f>
        <v>+356 9999 9819</v>
      </c>
      <c r="E125" s="5" t="s">
        <v>1408</v>
      </c>
      <c r="F125" s="5" t="s">
        <v>1486</v>
      </c>
    </row>
    <row r="126" spans="1:6" x14ac:dyDescent="0.3">
      <c r="A126" s="2" t="s">
        <v>1187</v>
      </c>
      <c r="B126" s="2" t="s">
        <v>1260</v>
      </c>
      <c r="C126" s="3" t="s">
        <v>1330</v>
      </c>
      <c r="D126" s="2" t="str">
        <f>CONCATENATE(HYPERLINK("CALLTO:%2B356%202123%200659", "+356 2123 0659"))</f>
        <v>+356 2123 0659</v>
      </c>
      <c r="E126" s="3" t="s">
        <v>1409</v>
      </c>
      <c r="F126" s="3" t="s">
        <v>1487</v>
      </c>
    </row>
    <row r="127" spans="1:6" x14ac:dyDescent="0.3">
      <c r="A127" s="4" t="s">
        <v>1188</v>
      </c>
      <c r="B127" s="4" t="s">
        <v>1261</v>
      </c>
      <c r="C127" s="5" t="s">
        <v>1331</v>
      </c>
      <c r="D127" s="4" t="str">
        <f>CONCATENATE(HYPERLINK("CALLTO:%2B356%202141%202011", "+356 2141 2011"))</f>
        <v>+356 2141 2011</v>
      </c>
      <c r="E127" s="5" t="s">
        <v>1410</v>
      </c>
      <c r="F127" s="5" t="s">
        <v>1488</v>
      </c>
    </row>
    <row r="128" spans="1:6" x14ac:dyDescent="0.3">
      <c r="A128" s="2" t="s">
        <v>1188</v>
      </c>
      <c r="B128" s="2" t="s">
        <v>1262</v>
      </c>
      <c r="C128" s="3" t="s">
        <v>1332</v>
      </c>
      <c r="D128" s="2" t="str">
        <f>CONCATENATE(HYPERLINK("CALLTO:%2B356%202142%203039", "+356 2142 3039"))</f>
        <v>+356 2142 3039</v>
      </c>
      <c r="E128" s="3" t="s">
        <v>1411</v>
      </c>
      <c r="F128" s="3" t="s">
        <v>1489</v>
      </c>
    </row>
    <row r="129" spans="1:6" x14ac:dyDescent="0.3">
      <c r="A129" s="4" t="s">
        <v>1188</v>
      </c>
      <c r="B129" s="4" t="s">
        <v>1263</v>
      </c>
      <c r="C129" s="5" t="s">
        <v>1291</v>
      </c>
      <c r="D129" s="4" t="str">
        <f>CONCATENATE(HYPERLINK("CALLTO:%2B356%202144%20964121440202", "+356 2144 964121440202"))</f>
        <v>+356 2144 964121440202</v>
      </c>
      <c r="E129" s="5" t="s">
        <v>1362</v>
      </c>
      <c r="F129" s="5" t="s">
        <v>1445</v>
      </c>
    </row>
    <row r="130" spans="1:6" x14ac:dyDescent="0.3">
      <c r="A130" s="2" t="s">
        <v>1188</v>
      </c>
      <c r="B130" s="2" t="s">
        <v>1215</v>
      </c>
      <c r="C130" s="3" t="s">
        <v>856</v>
      </c>
      <c r="D130" s="2" t="str">
        <f>CONCATENATE(HYPERLINK("CALLTO:%2B356%207946%203335", "+356 7946 3335"))</f>
        <v>+356 7946 3335</v>
      </c>
      <c r="E130" s="3" t="s">
        <v>1412</v>
      </c>
      <c r="F130" s="3" t="s">
        <v>1424</v>
      </c>
    </row>
    <row r="131" spans="1:6" x14ac:dyDescent="0.3">
      <c r="A131" s="4" t="s">
        <v>1188</v>
      </c>
      <c r="B131" s="4" t="s">
        <v>1194</v>
      </c>
      <c r="C131" s="5" t="s">
        <v>1286</v>
      </c>
      <c r="D131" s="4" t="str">
        <f>CONCATENATE(HYPERLINK("CALLTO:%2B356%202148%2028602148553621495485", "+356 2148 28602148553621495485"))</f>
        <v>+356 2148 28602148553621495485</v>
      </c>
      <c r="E131" s="5" t="s">
        <v>1355</v>
      </c>
      <c r="F131" s="5" t="s">
        <v>1438</v>
      </c>
    </row>
    <row r="132" spans="1:6" x14ac:dyDescent="0.3">
      <c r="A132" s="2" t="s">
        <v>1188</v>
      </c>
      <c r="B132" s="2" t="s">
        <v>1208</v>
      </c>
      <c r="C132" s="3" t="s">
        <v>1333</v>
      </c>
      <c r="D132" s="2" t="str">
        <f>CONCATENATE(HYPERLINK("CALLTO:%2B356%202144%200710", "+356 2144 0710"))</f>
        <v>+356 2144 0710</v>
      </c>
      <c r="E132" s="3" t="s">
        <v>1413</v>
      </c>
      <c r="F132" s="3" t="s">
        <v>1450</v>
      </c>
    </row>
    <row r="133" spans="1:6" x14ac:dyDescent="0.3">
      <c r="A133" s="4" t="s">
        <v>1188</v>
      </c>
      <c r="B133" s="4" t="s">
        <v>1220</v>
      </c>
      <c r="C133" s="5" t="s">
        <v>1276</v>
      </c>
      <c r="D133" s="4" t="str">
        <f>CONCATENATE(HYPERLINK("CALLTO:%2B356%202169%205438%2B35621672049%2B36579402553", "+356 2169 5438+35621672049+36579402553"))</f>
        <v>+356 2169 5438+35621672049+36579402553</v>
      </c>
      <c r="E133" s="5" t="s">
        <v>1345</v>
      </c>
      <c r="F133" s="5" t="s">
        <v>1428</v>
      </c>
    </row>
    <row r="134" spans="1:6" x14ac:dyDescent="0.3">
      <c r="A134" s="2" t="s">
        <v>1188</v>
      </c>
      <c r="B134" s="2" t="s">
        <v>1198</v>
      </c>
      <c r="C134" s="3" t="s">
        <v>1316</v>
      </c>
      <c r="D134" s="2" t="str">
        <f>CONCATENATE(HYPERLINK("CALLTO:%2B356%202141%202222", "+356 2141 2222"))</f>
        <v>+356 2141 2222</v>
      </c>
      <c r="E134" s="3" t="s">
        <v>1414</v>
      </c>
      <c r="F134" s="3" t="s">
        <v>1471</v>
      </c>
    </row>
    <row r="135" spans="1:6" x14ac:dyDescent="0.3">
      <c r="A135" s="4" t="s">
        <v>1188</v>
      </c>
      <c r="B135" s="4" t="s">
        <v>1264</v>
      </c>
      <c r="C135" s="5" t="s">
        <v>1288</v>
      </c>
      <c r="D135" s="4" t="str">
        <f>CONCATENATE(HYPERLINK("CALLTO:%2B356%202144%201328", "+356 2144 1328"))</f>
        <v>+356 2144 1328</v>
      </c>
      <c r="E135" s="5" t="s">
        <v>1378</v>
      </c>
      <c r="F135" s="5" t="s">
        <v>1441</v>
      </c>
    </row>
    <row r="136" spans="1:6" x14ac:dyDescent="0.3">
      <c r="A136" s="2" t="s">
        <v>1188</v>
      </c>
      <c r="B136" s="2" t="s">
        <v>1232</v>
      </c>
      <c r="C136" s="3" t="s">
        <v>1334</v>
      </c>
      <c r="D136" s="2" t="str">
        <f>CONCATENATE(HYPERLINK("CALLTO:%2B356%202149%2043142148746021227729", "+356 2149 43142148746021227729"))</f>
        <v>+356 2149 43142148746021227729</v>
      </c>
      <c r="E136" s="3" t="s">
        <v>1415</v>
      </c>
      <c r="F136" s="3" t="s">
        <v>1490</v>
      </c>
    </row>
    <row r="137" spans="1:6" x14ac:dyDescent="0.3">
      <c r="A137" s="4" t="s">
        <v>1188</v>
      </c>
      <c r="B137" s="4" t="s">
        <v>1265</v>
      </c>
      <c r="C137" s="5" t="s">
        <v>1335</v>
      </c>
      <c r="D137" s="4" t="str">
        <f>CONCATENATE(HYPERLINK("CALLTO:%2B356%202125%20708899472104", "+356 2125 708899472104"))</f>
        <v>+356 2125 708899472104</v>
      </c>
      <c r="E137" s="5" t="s">
        <v>1416</v>
      </c>
      <c r="F137" s="5" t="s">
        <v>1491</v>
      </c>
    </row>
    <row r="138" spans="1:6" x14ac:dyDescent="0.3">
      <c r="A138" s="2" t="s">
        <v>1188</v>
      </c>
      <c r="B138" s="2" t="s">
        <v>1266</v>
      </c>
      <c r="C138" s="2" t="s">
        <v>1336</v>
      </c>
      <c r="D138" s="2" t="str">
        <f>CONCATENATE(HYPERLINK("CALLTO:%2B356%209925%207011", "+356 9925 7011"))</f>
        <v>+356 9925 7011</v>
      </c>
      <c r="E138" s="3" t="s">
        <v>1417</v>
      </c>
      <c r="F138" s="3" t="s">
        <v>1492</v>
      </c>
    </row>
    <row r="139" spans="1:6" x14ac:dyDescent="0.3">
      <c r="A139" s="4" t="s">
        <v>1188</v>
      </c>
      <c r="B139" s="4" t="s">
        <v>1267</v>
      </c>
      <c r="C139" s="5" t="s">
        <v>1274</v>
      </c>
      <c r="D139" s="4" t="str">
        <f>CONCATENATE(HYPERLINK("CALLTO:%2B356%202792%202222", "+356 2792 2222"))</f>
        <v>+356 2792 2222</v>
      </c>
      <c r="E139" s="5" t="s">
        <v>1418</v>
      </c>
      <c r="F139" s="5" t="s">
        <v>1493</v>
      </c>
    </row>
    <row r="140" spans="1:6" x14ac:dyDescent="0.3">
      <c r="A140" s="2" t="s">
        <v>1188</v>
      </c>
      <c r="B140" s="2" t="s">
        <v>1268</v>
      </c>
      <c r="C140" s="3" t="s">
        <v>860</v>
      </c>
      <c r="D140" s="2" t="str">
        <f>CONCATENATE(HYPERLINK("CALLTO:%2B356%202146%208770", "+356 2146 8770"))</f>
        <v>+356 2146 8770</v>
      </c>
      <c r="E140" s="3" t="s">
        <v>1419</v>
      </c>
      <c r="F140" s="3" t="s">
        <v>875</v>
      </c>
    </row>
    <row r="141" spans="1:6" x14ac:dyDescent="0.3">
      <c r="A141" s="4" t="s">
        <v>1189</v>
      </c>
      <c r="B141" s="4" t="s">
        <v>851</v>
      </c>
      <c r="C141" s="4"/>
      <c r="D141" s="4"/>
      <c r="E141" s="4"/>
      <c r="F141" s="4"/>
    </row>
    <row r="142" spans="1:6" x14ac:dyDescent="0.3">
      <c r="A142" s="2"/>
      <c r="B142" s="2" t="s">
        <v>1269</v>
      </c>
      <c r="C142" s="2"/>
      <c r="D142" s="2"/>
      <c r="E142" s="2"/>
      <c r="F142" s="2"/>
    </row>
  </sheetData>
  <hyperlinks>
    <hyperlink ref="C2" r:id="rId1" tooltip="Send a mail to info@satarino.com" xr:uid="{00000000-0004-0000-1800-000000000000}"/>
    <hyperlink ref="C3" r:id="rId2" tooltip="Send a mail to deluxebathroomsmanagement@gmail.com" xr:uid="{00000000-0004-0000-1800-000001000000}"/>
    <hyperlink ref="C4" r:id="rId3" tooltip="Send a mail to newlineliving@gmail.com" xr:uid="{00000000-0004-0000-1800-000002000000}"/>
    <hyperlink ref="C5" r:id="rId4" tooltip="Send a mail to newlineliving@gmail.com" xr:uid="{00000000-0004-0000-1800-000003000000}"/>
    <hyperlink ref="C6" r:id="rId5" tooltip="Send a mail to info@jpitre.com" xr:uid="{00000000-0004-0000-1800-000004000000}"/>
    <hyperlink ref="C7" r:id="rId6" tooltip="Send a mail to info@banjuboutique.com" xr:uid="{00000000-0004-0000-1800-000005000000}"/>
    <hyperlink ref="C8" r:id="rId7" tooltip="Send a mail to sales@bridgepoint.com.mt" xr:uid="{00000000-0004-0000-1800-000006000000}"/>
    <hyperlink ref="C9" r:id="rId8" tooltip="Send a mail to gozobaths@gmail.com" xr:uid="{00000000-0004-0000-1800-000007000000}"/>
    <hyperlink ref="C10" r:id="rId9" tooltip="Send a mail to info@alexmercieca.com" xr:uid="{00000000-0004-0000-1800-000008000000}"/>
    <hyperlink ref="C11" r:id="rId10" tooltip="Send a mail to dfloorings@gmail.com" xr:uid="{00000000-0004-0000-1800-000009000000}"/>
    <hyperlink ref="C12" r:id="rId11" tooltip="Send a mail to faenzabathroomsmalta@gmail.com" xr:uid="{00000000-0004-0000-1800-00000A000000}"/>
    <hyperlink ref="C13" r:id="rId12" tooltip="Send a mail to simonbonnicimarble@gmail.com" xr:uid="{00000000-0004-0000-1800-00000B000000}"/>
    <hyperlink ref="C14" r:id="rId13" tooltip="Send a mail to mail@afellis.com.tm" xr:uid="{00000000-0004-0000-1800-00000C000000}"/>
    <hyperlink ref="C15" r:id="rId14" tooltip="Send a mail to naasan.co@gmail.com" xr:uid="{00000000-0004-0000-1800-00000D000000}"/>
    <hyperlink ref="C17" r:id="rId15" tooltip="Send a mail to info@vellmann.com" xr:uid="{00000000-0004-0000-1800-00000E000000}"/>
    <hyperlink ref="C18" r:id="rId16" tooltip="Send a mail to info@magribathrooms.com" xr:uid="{00000000-0004-0000-1800-00000F000000}"/>
    <hyperlink ref="C20" r:id="rId17" tooltip="Send a mail to info@falzons.com" xr:uid="{00000000-0004-0000-1800-000010000000}"/>
    <hyperlink ref="C22" r:id="rId18" tooltip="Send a mail to info@the-tile.com" xr:uid="{00000000-0004-0000-1800-000011000000}"/>
    <hyperlink ref="C23" r:id="rId19" tooltip="Send a mail to info@bathroomdesign.com.mt" xr:uid="{00000000-0004-0000-1800-000012000000}"/>
    <hyperlink ref="C24" r:id="rId20" tooltip="Send a mail to info@tilewarehousemalta.com" xr:uid="{00000000-0004-0000-1800-000013000000}"/>
    <hyperlink ref="C25" r:id="rId21" tooltip="Send a mail to sales@thetubmalta.com" xr:uid="{00000000-0004-0000-1800-000014000000}"/>
    <hyperlink ref="C26" r:id="rId22" tooltip="Send a mail to info@mrcd.com.mt" xr:uid="{00000000-0004-0000-1800-000015000000}"/>
    <hyperlink ref="C27" r:id="rId23" tooltip="Send a mail to sales@carinibathrooms.com" xr:uid="{00000000-0004-0000-1800-000016000000}"/>
    <hyperlink ref="C28" r:id="rId24" tooltip="Send a mail to info@waterartconcepts.com" xr:uid="{00000000-0004-0000-1800-000017000000}"/>
    <hyperlink ref="C29" r:id="rId25" tooltip="Send a mail to jysk@jysk.com.mt" xr:uid="{00000000-0004-0000-1800-000018000000}"/>
    <hyperlink ref="C30" r:id="rId26" tooltip="Send a mail to bc.bathrooms@gmail.com" xr:uid="{00000000-0004-0000-1800-000019000000}"/>
    <hyperlink ref="C31" r:id="rId27" tooltip="Send a mail to info@absolute.com.mt" xr:uid="{00000000-0004-0000-1800-00001A000000}"/>
    <hyperlink ref="C32" r:id="rId28" tooltip="Send a mail to info@bmsupplies.com" xr:uid="{00000000-0004-0000-1800-00001B000000}"/>
    <hyperlink ref="C33" r:id="rId29" tooltip="Send a mail to info@fino.com.mt" xr:uid="{00000000-0004-0000-1800-00001C000000}"/>
    <hyperlink ref="C34" r:id="rId30" tooltip="Send a mail to malta@iperceamica.it" xr:uid="{00000000-0004-0000-1800-00001D000000}"/>
    <hyperlink ref="C35" r:id="rId31" tooltip="Send a mail to info@goldenhouse.com.mt" xr:uid="{00000000-0004-0000-1800-00001E000000}"/>
    <hyperlink ref="C36" r:id="rId32" tooltip="Send a mail to cristalbath@onvol.net" xr:uid="{00000000-0004-0000-1800-00001F000000}"/>
    <hyperlink ref="C37" r:id="rId33" tooltip="Send a mail to deluxebathroomsmanagement@gmail.com" xr:uid="{00000000-0004-0000-1800-000020000000}"/>
    <hyperlink ref="C38" r:id="rId34" tooltip="Send a mail to info@egrechcristalbath.com" xr:uid="{00000000-0004-0000-1800-000021000000}"/>
    <hyperlink ref="C39" r:id="rId35" tooltip="Send a mail to bugejamarbles@gmail.com" xr:uid="{00000000-0004-0000-1800-000022000000}"/>
    <hyperlink ref="C40" r:id="rId36" tooltip="Send a mail to custobathrooms@gmail.com" xr:uid="{00000000-0004-0000-1800-000023000000}"/>
    <hyperlink ref="C41" r:id="rId37" tooltip="Send a mail to info@alexmercieca.com" xr:uid="{00000000-0004-0000-1800-000024000000}"/>
    <hyperlink ref="C42" r:id="rId38" tooltip="Send a mail to info@absolute.com.mt" xr:uid="{00000000-0004-0000-1800-000025000000}"/>
    <hyperlink ref="C43" r:id="rId39" tooltip="Send a mail to sales@alfredhili.com" xr:uid="{00000000-0004-0000-1800-000026000000}"/>
    <hyperlink ref="C44" r:id="rId40" tooltip="Send a mail to meli@avantebathrooms.com" xr:uid="{00000000-0004-0000-1800-000027000000}"/>
    <hyperlink ref="C45" r:id="rId41" tooltip="Send a mail to info@banjuboutique.com" xr:uid="{00000000-0004-0000-1800-000028000000}"/>
    <hyperlink ref="C46" r:id="rId42" tooltip="Send a mail to info@bathroomdesign.com.mt" xr:uid="{00000000-0004-0000-1800-000029000000}"/>
    <hyperlink ref="C47" r:id="rId43" tooltip="Send a mail to bc.bathrooms@gmail.com" xr:uid="{00000000-0004-0000-1800-00002A000000}"/>
    <hyperlink ref="C48" r:id="rId44" tooltip="Send a mail to cgrarbles@gmail.com" xr:uid="{00000000-0004-0000-1800-00002B000000}"/>
    <hyperlink ref="C49" r:id="rId45" tooltip="Send a mail to calbrosltd@gmail.com" xr:uid="{00000000-0004-0000-1800-00002C000000}"/>
    <hyperlink ref="C50" r:id="rId46" tooltip="Send a mail to info@chicliving.com.mt" xr:uid="{00000000-0004-0000-1800-00002D000000}"/>
    <hyperlink ref="C51" r:id="rId47" tooltip="Send a mail to classic-bathrooms@outlook.com" xr:uid="{00000000-0004-0000-1800-00002E000000}"/>
    <hyperlink ref="C52" r:id="rId48" tooltip="Send a mail to info@farellbathrooms.com" xr:uid="{00000000-0004-0000-1800-00002F000000}"/>
    <hyperlink ref="C53" r:id="rId49" tooltip="Send a mail to info@bayker.it" xr:uid="{00000000-0004-0000-1800-000030000000}"/>
    <hyperlink ref="C54" r:id="rId50" tooltip="Send a mail to josies@josies.com.mt" xr:uid="{00000000-0004-0000-1800-000031000000}"/>
    <hyperlink ref="C55" r:id="rId51" tooltip="Send a mail to jovanpisani@keramitbathrooms.com" xr:uid="{00000000-0004-0000-1800-000032000000}"/>
    <hyperlink ref="C56" r:id="rId52" tooltip="Send a mail to bugejamalcolm@gmail.com" xr:uid="{00000000-0004-0000-1800-000033000000}"/>
    <hyperlink ref="C57" r:id="rId53" tooltip="Send a mail to info@magribathrooms.com" xr:uid="{00000000-0004-0000-1800-000034000000}"/>
    <hyperlink ref="C58" r:id="rId54" tooltip="Send a mail to modabagnor@gmail.com" xr:uid="{00000000-0004-0000-1800-000035000000}"/>
    <hyperlink ref="C59" r:id="rId55" tooltip="Send a mail to michaelnuovobagno@gmail.com" xr:uid="{00000000-0004-0000-1800-000036000000}"/>
    <hyperlink ref="C60" r:id="rId56" tooltip="Send a mail to adrian@esclmalta.com" xr:uid="{00000000-0004-0000-1800-000037000000}"/>
    <hyperlink ref="C61" r:id="rId57" tooltip="Send a mail to info@ssbathrooms.com" xr:uid="{00000000-0004-0000-1800-000038000000}"/>
    <hyperlink ref="C62" r:id="rId58" tooltip="Send a mail to jg375@maltanet.net" xr:uid="{00000000-0004-0000-1800-000039000000}"/>
    <hyperlink ref="C63" r:id="rId59" tooltip="Send a mail to info@vellmann.com" xr:uid="{00000000-0004-0000-1800-00003A000000}"/>
    <hyperlink ref="C64" r:id="rId60" tooltip="Send a mail to info@vivo.com.mt" xr:uid="{00000000-0004-0000-1800-00003B000000}"/>
    <hyperlink ref="C65" r:id="rId61" tooltip="Send a mail to sales@carinibathrooms.com" xr:uid="{00000000-0004-0000-1800-00003C000000}"/>
    <hyperlink ref="C66" r:id="rId62" tooltip="Send a mail to sales@bridgepoint.com.mt" xr:uid="{00000000-0004-0000-1800-00003D000000}"/>
    <hyperlink ref="C67" r:id="rId63" tooltip="Send a mail to info@fbpmalta.com" xr:uid="{00000000-0004-0000-1800-00003E000000}"/>
    <hyperlink ref="C68" r:id="rId64" tooltip="Send a mail to deluxebathroomsmanagement@gmail.com" xr:uid="{00000000-0004-0000-1800-00003F000000}"/>
    <hyperlink ref="C69" r:id="rId65" tooltip="Send a mail to info@egrechcristalbath.com" xr:uid="{00000000-0004-0000-1800-000040000000}"/>
    <hyperlink ref="C70" r:id="rId66" tooltip="Send a mail to sales@alfredhili.com" xr:uid="{00000000-0004-0000-1800-000041000000}"/>
    <hyperlink ref="C71" r:id="rId67" tooltip="Send a mail to info@hallmannvella.com" xr:uid="{00000000-0004-0000-1800-000042000000}"/>
    <hyperlink ref="C72" r:id="rId68" tooltip="Send a mail to bugejamarbles@gmail.com" xr:uid="{00000000-0004-0000-1800-000043000000}"/>
    <hyperlink ref="C73" r:id="rId69" tooltip="Send a mail to custobathrooms@gmail.com" xr:uid="{00000000-0004-0000-1800-000044000000}"/>
    <hyperlink ref="C74" r:id="rId70" tooltip="Send a mail to info@alexmercieca.com" xr:uid="{00000000-0004-0000-1800-000045000000}"/>
    <hyperlink ref="C75" r:id="rId71" tooltip="Send a mail to faenzabathroomsmalta@gmail.com" xr:uid="{00000000-0004-0000-1800-000046000000}"/>
    <hyperlink ref="C76" r:id="rId72" tooltip="Send a mail to mail@afellis.com.tm" xr:uid="{00000000-0004-0000-1800-000047000000}"/>
    <hyperlink ref="C77" r:id="rId73" tooltip="Send a mail to info@absolute.com.mt" xr:uid="{00000000-0004-0000-1800-000048000000}"/>
    <hyperlink ref="C78" r:id="rId74" tooltip="Send a mail to meli@avantebathrooms.com" xr:uid="{00000000-0004-0000-1800-000049000000}"/>
    <hyperlink ref="C79" r:id="rId75" tooltip="Send a mail to info@banjuboutique.com" xr:uid="{00000000-0004-0000-1800-00004A000000}"/>
    <hyperlink ref="C80" r:id="rId76" tooltip="Send a mail to info@bathlinemalta.com" xr:uid="{00000000-0004-0000-1800-00004B000000}"/>
    <hyperlink ref="C81" r:id="rId77" tooltip="Send a mail to info@bathroomdesign.com.mt" xr:uid="{00000000-0004-0000-1800-00004C000000}"/>
    <hyperlink ref="C82" r:id="rId78" tooltip="Send a mail to bc.bathrooms@gmail.com" xr:uid="{00000000-0004-0000-1800-00004D000000}"/>
    <hyperlink ref="C83" r:id="rId79" tooltip="Send a mail to purchases@bhome.com.mt" xr:uid="{00000000-0004-0000-1800-00004E000000}"/>
    <hyperlink ref="C84" r:id="rId80" tooltip="Send a mail to info@blaugrana.com.mt" xr:uid="{00000000-0004-0000-1800-00004F000000}"/>
    <hyperlink ref="C85" r:id="rId81" tooltip="Send a mail to bubblesbathrooms@gmail.com" xr:uid="{00000000-0004-0000-1800-000050000000}"/>
    <hyperlink ref="C86" r:id="rId82" tooltip="Send a mail to cgrarbles@gmail.com" xr:uid="{00000000-0004-0000-1800-000051000000}"/>
    <hyperlink ref="C87" r:id="rId83" tooltip="Send a mail to calbrosltd@gmail.com" xr:uid="{00000000-0004-0000-1800-000052000000}"/>
    <hyperlink ref="C88" r:id="rId84" tooltip="Send a mail to info@casamiamalta.com" xr:uid="{00000000-0004-0000-1800-000053000000}"/>
    <hyperlink ref="C89" r:id="rId85" tooltip="Send a mail to info@chicliving.com.mt" xr:uid="{00000000-0004-0000-1800-000054000000}"/>
    <hyperlink ref="C90" r:id="rId86" tooltip="Send a mail to classic-bathrooms@outlook.com" xr:uid="{00000000-0004-0000-1800-000055000000}"/>
    <hyperlink ref="C91" r:id="rId87" tooltip="Send a mail to info@creationsomni.com" xr:uid="{00000000-0004-0000-1800-000056000000}"/>
    <hyperlink ref="C92" r:id="rId88" tooltip="Send a mail to info@farellbathrooms.com" xr:uid="{00000000-0004-0000-1800-000057000000}"/>
    <hyperlink ref="C93" r:id="rId89" tooltip="Send a mail to info@hauz.mt" xr:uid="{00000000-0004-0000-1800-000058000000}"/>
    <hyperlink ref="C94" r:id="rId90" tooltip="Send a mail to info@bayker.it" xr:uid="{00000000-0004-0000-1800-000059000000}"/>
    <hyperlink ref="C95" r:id="rId91" tooltip="Send a mail to josies@josies.com.mt" xr:uid="{00000000-0004-0000-1800-00005A000000}"/>
    <hyperlink ref="C96" r:id="rId92" tooltip="Send a mail to jovanpisani@keramitbathrooms.com" xr:uid="{00000000-0004-0000-1800-00005B000000}"/>
    <hyperlink ref="C97" r:id="rId93" tooltip="Send a mail to bugejamalcolm@gmail.com" xr:uid="{00000000-0004-0000-1800-00005C000000}"/>
    <hyperlink ref="C98" r:id="rId94" tooltip="Send a mail to info@magribathrooms.com" xr:uid="{00000000-0004-0000-1800-00005D000000}"/>
    <hyperlink ref="C99" r:id="rId95" tooltip="Send a mail to modabagnor@gmail.com" xr:uid="{00000000-0004-0000-1800-00005E000000}"/>
    <hyperlink ref="C100" r:id="rId96" tooltip="Send a mail to michaelnuovobagno@gmail.com" xr:uid="{00000000-0004-0000-1800-00005F000000}"/>
    <hyperlink ref="C101" r:id="rId97" tooltip="Send a mail to adrian@esclmalta.com" xr:uid="{00000000-0004-0000-1800-000060000000}"/>
    <hyperlink ref="C102" r:id="rId98" tooltip="Send a mail to info@ssbathrooms.com" xr:uid="{00000000-0004-0000-1800-000061000000}"/>
    <hyperlink ref="C103" r:id="rId99" tooltip="Send a mail to jg375@maltanet.net" xr:uid="{00000000-0004-0000-1800-000062000000}"/>
    <hyperlink ref="C104" r:id="rId100" tooltip="Send a mail to sales@thetubmalta.com" xr:uid="{00000000-0004-0000-1800-000063000000}"/>
    <hyperlink ref="C105" r:id="rId101" tooltip="Send a mail to info@vellafalzon.com" xr:uid="{00000000-0004-0000-1800-000064000000}"/>
    <hyperlink ref="C106" r:id="rId102" tooltip="Send a mail to info@vellmann.com" xr:uid="{00000000-0004-0000-1800-000065000000}"/>
    <hyperlink ref="C107" r:id="rId103" tooltip="Send a mail to info@vivo.com.mt" xr:uid="{00000000-0004-0000-1800-000066000000}"/>
    <hyperlink ref="C108" r:id="rId104" tooltip="Send a mail to deluxebathroomsmanagement@gmail.com" xr:uid="{00000000-0004-0000-1800-000067000000}"/>
    <hyperlink ref="C109" r:id="rId105" tooltip="Send a mail to info@egrechcristalbath.com" xr:uid="{00000000-0004-0000-1800-000068000000}"/>
    <hyperlink ref="C110" r:id="rId106" tooltip="Send a mail to info@alexmercieca.com" xr:uid="{00000000-0004-0000-1800-000069000000}"/>
    <hyperlink ref="C111" r:id="rId107" tooltip="Send a mail to mail@afellis.com.tm" xr:uid="{00000000-0004-0000-1800-00006A000000}"/>
    <hyperlink ref="C112" r:id="rId108" tooltip="Send a mail to meli@avantebathrooms.com" xr:uid="{00000000-0004-0000-1800-00006B000000}"/>
    <hyperlink ref="C113" r:id="rId109" tooltip="Send a mail to info@banjuboutique.com" xr:uid="{00000000-0004-0000-1800-00006C000000}"/>
    <hyperlink ref="C114" r:id="rId110" tooltip="Send a mail to info@bathroomdesign.com.mt" xr:uid="{00000000-0004-0000-1800-00006D000000}"/>
    <hyperlink ref="C115" r:id="rId111" tooltip="Send a mail to bc.bathrooms@gmail.com" xr:uid="{00000000-0004-0000-1800-00006E000000}"/>
    <hyperlink ref="C116" r:id="rId112" tooltip="Send a mail to cgrarbles@gmail.com" xr:uid="{00000000-0004-0000-1800-00006F000000}"/>
    <hyperlink ref="C117" r:id="rId113" tooltip="Send a mail to info@casamiamalta.com" xr:uid="{00000000-0004-0000-1800-000070000000}"/>
    <hyperlink ref="C118" r:id="rId114" tooltip="Send a mail to info@chicliving.com.mt" xr:uid="{00000000-0004-0000-1800-000071000000}"/>
    <hyperlink ref="C119" r:id="rId115" tooltip="Send a mail to info@farellbathrooms.com" xr:uid="{00000000-0004-0000-1800-000072000000}"/>
    <hyperlink ref="C120" r:id="rId116" tooltip="Send a mail to jovanpisani@keramitbathrooms.com" xr:uid="{00000000-0004-0000-1800-000073000000}"/>
    <hyperlink ref="C121" r:id="rId117" tooltip="Send a mail to info@magribathrooms.com" xr:uid="{00000000-0004-0000-1800-000074000000}"/>
    <hyperlink ref="C122" r:id="rId118" tooltip="Send a mail to modabagnor@gmail.com" xr:uid="{00000000-0004-0000-1800-000075000000}"/>
    <hyperlink ref="C123" r:id="rId119" tooltip="Send a mail to info@vellmann.com" xr:uid="{00000000-0004-0000-1800-000076000000}"/>
    <hyperlink ref="C124" r:id="rId120" tooltip="Send a mail to info@vivo.com.mt" xr:uid="{00000000-0004-0000-1800-000077000000}"/>
    <hyperlink ref="C125" r:id="rId121" tooltip="Send a mail to sales@wc.mt" xr:uid="{00000000-0004-0000-1800-000078000000}"/>
    <hyperlink ref="C126" r:id="rId122" tooltip="Send a mail to info@fzammitglass.com" xr:uid="{00000000-0004-0000-1800-000079000000}"/>
    <hyperlink ref="C127" r:id="rId123" tooltip="Send a mail to verredemic@onvol.net" xr:uid="{00000000-0004-0000-1800-00007A000000}"/>
    <hyperlink ref="C128" r:id="rId124" tooltip="Send a mail to info@idealbathrooms.com.mt" xr:uid="{00000000-0004-0000-1800-00007B000000}"/>
    <hyperlink ref="C129" r:id="rId125" tooltip="Send a mail to sales@carinibathrooms.com" xr:uid="{00000000-0004-0000-1800-00007C000000}"/>
    <hyperlink ref="C130" r:id="rId126" tooltip="Send a mail to info@jpitre.com" xr:uid="{00000000-0004-0000-1800-00007D000000}"/>
    <hyperlink ref="C131" r:id="rId127" tooltip="Send a mail to info@falzons.com" xr:uid="{00000000-0004-0000-1800-00007E000000}"/>
    <hyperlink ref="C132" r:id="rId128" tooltip="Send a mail to sales@bmsupplies.com" xr:uid="{00000000-0004-0000-1800-00007F000000}"/>
    <hyperlink ref="C133" r:id="rId129" tooltip="Send a mail to info@alexmercieca.com" xr:uid="{00000000-0004-0000-1800-000080000000}"/>
    <hyperlink ref="C134" r:id="rId130" tooltip="Send a mail to info@ssbathrooms.com" xr:uid="{00000000-0004-0000-1800-000081000000}"/>
    <hyperlink ref="C135" r:id="rId131" tooltip="Send a mail to info@bathroomdesign.com.mt" xr:uid="{00000000-0004-0000-1800-000082000000}"/>
    <hyperlink ref="C136" r:id="rId132" tooltip="Send a mail to info@floatglassltd.com" xr:uid="{00000000-0004-0000-1800-000083000000}"/>
    <hyperlink ref="C137" r:id="rId133" tooltip="Send a mail to kl.glass@outlook.com" xr:uid="{00000000-0004-0000-1800-000084000000}"/>
    <hyperlink ref="C139" r:id="rId134" tooltip="Send a mail to sales@bridgepoint.com.mt" xr:uid="{00000000-0004-0000-1800-000085000000}"/>
    <hyperlink ref="C140" r:id="rId135" tooltip="Send a mail to info@mrcd.com.mt" xr:uid="{00000000-0004-0000-1800-000086000000}"/>
    <hyperlink ref="E2" r:id="rId136" tooltip="Search 122, Msida Valley Road, B'kara, BKR 9024 on Google Maps" xr:uid="{00000000-0004-0000-1800-000087000000}"/>
    <hyperlink ref="E3" r:id="rId137" tooltip="Search Triq Benghazi, Ghajnsielem-Gozo, GSM 1624 on Google Maps" xr:uid="{00000000-0004-0000-1800-000088000000}"/>
    <hyperlink ref="E4" r:id="rId138" tooltip="Search Triq Papa Gwanni Pawlu II, Victoria-Gozo, Gozo VCT 9046 on Google Maps" xr:uid="{00000000-0004-0000-1800-000089000000}"/>
    <hyperlink ref="E5" r:id="rId139" tooltip="Search Triq Papa Gwanni Pawlu ll, Victoria-Gozo, Gozo VCT 9046 on Google Maps" xr:uid="{00000000-0004-0000-1800-00008A000000}"/>
    <hyperlink ref="E6" r:id="rId140" tooltip="Search Mdina Road, Qormi, QRM 9011, Malta on Google Maps" xr:uid="{00000000-0004-0000-1800-00008B000000}"/>
    <hyperlink ref="E7" r:id="rId141" tooltip="Search Paola Outlet Arcade Street, Paola PLA1212 on Google Maps" xr:uid="{00000000-0004-0000-1800-00008C000000}"/>
    <hyperlink ref="E8" r:id="rId142" tooltip="Search No 3, Triq Ferdinand Inglott, Attard ATD 3134 on Google Maps" xr:uid="{00000000-0004-0000-1800-00008D000000}"/>
    <hyperlink ref="E9" r:id="rId143" tooltip="Search Triq Dun Karm, Birkirkara, Malta on Google Maps" xr:uid="{00000000-0004-0000-1800-00008E000000}"/>
    <hyperlink ref="E10" r:id="rId144" tooltip="Search 25th November Avenue, Zejtun, ZTN2019 on Google Maps" xr:uid="{00000000-0004-0000-1800-00008F000000}"/>
    <hyperlink ref="E11" r:id="rId145" tooltip="Search Vjal il-Helsen, Zebbug, Malta on Google Maps" xr:uid="{00000000-0004-0000-1800-000090000000}"/>
    <hyperlink ref="E12" r:id="rId146" tooltip="Search 7 Triq I-Erba' Qaddisin on Google Maps" xr:uid="{00000000-0004-0000-1800-000091000000}"/>
    <hyperlink ref="E13" r:id="rId147" tooltip="Search 5 Triq Profs Carmelo Coleiro Tal-Handaq, Qormi, Malta QRM 4000 on Google Maps" xr:uid="{00000000-0004-0000-1800-000092000000}"/>
    <hyperlink ref="E14" r:id="rId148" tooltip="Search Triq il-Taflija Qasam Industrijali, Xewkija-Gozo, Gozo XWK 3000 on Google Maps" xr:uid="{00000000-0004-0000-1800-000093000000}"/>
    <hyperlink ref="E15" r:id="rId149" tooltip="Search 226, Triq Alfred Cachia Zammit, Zejtun, Malta on Google Maps" xr:uid="{00000000-0004-0000-1800-000094000000}"/>
    <hyperlink ref="E16" r:id="rId150" tooltip="Search 13, Triq il-Furnar Qormi QRM 3504, Malta on Google Maps" xr:uid="{00000000-0004-0000-1800-000095000000}"/>
    <hyperlink ref="E17" r:id="rId151" tooltip="Search Pantar Road Hal Lija LJA, 2023 on Google Maps" xr:uid="{00000000-0004-0000-1800-000096000000}"/>
    <hyperlink ref="E18" r:id="rId152" tooltip="Search Triq il-Kanun, al Qormi, Malta on Google Maps" xr:uid="{00000000-0004-0000-1800-000097000000}"/>
    <hyperlink ref="E19" r:id="rId153" tooltip="Search Zone 3, Triq In-Negozju Central Business District Birkirkara CBD 3010 on Google Maps" xr:uid="{00000000-0004-0000-1800-000098000000}"/>
    <hyperlink ref="E20" r:id="rId154" tooltip="Search Falzon's Bathroom &amp; Ceramics, Triq il-Kummerc, Qormi, Malta on Google Maps" xr:uid="{00000000-0004-0000-1800-000099000000}"/>
    <hyperlink ref="E21" r:id="rId155" tooltip="Search 160, Mdina Road, Zebbug ZBG9015 on Google Maps" xr:uid="{00000000-0004-0000-1800-00009A000000}"/>
    <hyperlink ref="E22" r:id="rId156" tooltip="Search Triq Bella Vista, San Gwann, Malta SGN 2690 on Google Maps" xr:uid="{00000000-0004-0000-1800-00009B000000}"/>
    <hyperlink ref="E23" r:id="rId157" tooltip="Search 356 Naxxar Road, B'Kara, BKR 9040, Malta on Google Maps" xr:uid="{00000000-0004-0000-1800-00009C000000}"/>
    <hyperlink ref="E24" r:id="rId158" tooltip="Search Triq iI-Qoton, Santa Lucija, Malta on Google Maps" xr:uid="{00000000-0004-0000-1800-00009D000000}"/>
    <hyperlink ref="E25" r:id="rId159" tooltip="Search 313A, Triq il-Barrieri, St Venera on Google Maps" xr:uid="{00000000-0004-0000-1800-00009E000000}"/>
    <hyperlink ref="E26" r:id="rId160" tooltip="Search Karmenu Camilleri Street, Qormi, QRM46 on Google Maps" xr:uid="{00000000-0004-0000-1800-00009F000000}"/>
    <hyperlink ref="E27" r:id="rId161" tooltip="Search 435 St. Joseph High Road, St. Venera, Malta on Google Maps" xr:uid="{00000000-0004-0000-1800-0000A0000000}"/>
    <hyperlink ref="E28" r:id="rId162" tooltip="Search Mill Street, Qormi QRM 3102, Malta on Google Maps" xr:uid="{00000000-0004-0000-1800-0000A1000000}"/>
    <hyperlink ref="E29" r:id="rId163" tooltip="Search Triq II-Mosta, Lija, Malta on Google Maps" xr:uid="{00000000-0004-0000-1800-0000A2000000}"/>
    <hyperlink ref="E30" r:id="rId164" tooltip="Search Triq Dun Karm, B'Kara Bypass, Birkirkara BKR 2940 on Google Maps" xr:uid="{00000000-0004-0000-1800-0000A3000000}"/>
    <hyperlink ref="E31" r:id="rId165" tooltip="Search Triq Pantar, Hal Lija on Google Maps" xr:uid="{00000000-0004-0000-1800-0000A4000000}"/>
    <hyperlink ref="E32" r:id="rId166" tooltip="Search Triq Dun Karm, Kirkirkara, BKR 9035 on Google Maps" xr:uid="{00000000-0004-0000-1800-0000A5000000}"/>
    <hyperlink ref="E33" r:id="rId167" tooltip="Search Triq I-Imdina, Zone 4, Meriehel/Central Business District CBD 2010, Malta on Google Maps" xr:uid="{00000000-0004-0000-1800-0000A6000000}"/>
    <hyperlink ref="E34" r:id="rId168" tooltip="Search Velley Road, Msida, MSD 9020, Malta on Google Maps" xr:uid="{00000000-0004-0000-1800-0000A7000000}"/>
    <hyperlink ref="E35" r:id="rId169" tooltip="Search Ħal Qormi, Malta on Google Maps" xr:uid="{00000000-0004-0000-1800-0000A8000000}"/>
    <hyperlink ref="E36" r:id="rId170" tooltip="Search E.Grech Cristal Bath, _x000a_Psaila Street,_x000a_Birkirkara, BKR 9076, Malta. on Google Maps" xr:uid="{00000000-0004-0000-1800-0000A9000000}"/>
    <hyperlink ref="E37" r:id="rId171" tooltip="Search Triq Benghazi, Ghajnsielem-Gozo, GSM 1624 on Google Maps" xr:uid="{00000000-0004-0000-1800-0000AA000000}"/>
    <hyperlink ref="E38" r:id="rId172" tooltip="Search Triq Salvu Psaila, B'Kara, Matla BKR 9076 on Google Maps" xr:uid="{00000000-0004-0000-1800-0000AB000000}"/>
    <hyperlink ref="E39" r:id="rId173" tooltip="Search Zone 3 Triq San Gwakkin Central Business District, B'kara, Malta CBD 3030 on Google Maps" xr:uid="{00000000-0004-0000-1800-0000AC000000}"/>
    <hyperlink ref="E40" r:id="rId174" tooltip="Search Triq Joe Sciberras, Hamrun, Malta HMR 1550 on Google Maps" xr:uid="{00000000-0004-0000-1800-0000AD000000}"/>
    <hyperlink ref="E41" r:id="rId175" tooltip="Search 25th November Avenue, Zejtun, ZTN2019 on Google Maps" xr:uid="{00000000-0004-0000-1800-0000AE000000}"/>
    <hyperlink ref="E42" r:id="rId176" tooltip="Search Triq Pantar, Hal Lija on Google Maps" xr:uid="{00000000-0004-0000-1800-0000AF000000}"/>
    <hyperlink ref="E43" r:id="rId177" tooltip="Search 17 Triq Guze' Galea Qormi, Malta QRM 2106 on Google Maps" xr:uid="{00000000-0004-0000-1800-0000B0000000}"/>
    <hyperlink ref="E44" r:id="rId178" tooltip="Search 181 Triq Salvu Psaila, B'Kara, Malta BKR 9076 on Google Maps" xr:uid="{00000000-0004-0000-1800-0000B1000000}"/>
    <hyperlink ref="E45" r:id="rId179" tooltip="Search Triq I-Arkata, Paola, Malta PLA 1212 on Google Maps" xr:uid="{00000000-0004-0000-1800-0000B2000000}"/>
    <hyperlink ref="E46" r:id="rId180" tooltip="Search 358 Triq in-Naxxar, B'Kara, Malta BKR 9040 on Google Maps" xr:uid="{00000000-0004-0000-1800-0000B3000000}"/>
    <hyperlink ref="E47" r:id="rId181" tooltip="Search Triq Dun Karm B'Kara By Pass, B'Kara, Malta BKR 2940 on Google Maps" xr:uid="{00000000-0004-0000-1800-0000B4000000}"/>
    <hyperlink ref="E48" r:id="rId182" tooltip="Search 11 Triq I-Imdina, Attard, Malta ATD 9036 on Google Maps" xr:uid="{00000000-0004-0000-1800-0000B5000000}"/>
    <hyperlink ref="E49" r:id="rId183" tooltip="Search 1 Triq I-Isqof Labini, B'Kara, Malta BKR 1270 on Google Maps" xr:uid="{00000000-0004-0000-1800-0000B6000000}"/>
    <hyperlink ref="E50" r:id="rId184" tooltip="Search Triq Durumblat, II-Mosta, MST 4816 on Google Maps" xr:uid="{00000000-0004-0000-1800-0000B7000000}"/>
    <hyperlink ref="E51" r:id="rId185" tooltip="Search 118 Triq iI-Kullegg, Rabat, Malta RBT 1408 on Google Maps" xr:uid="{00000000-0004-0000-1800-0000B8000000}"/>
    <hyperlink ref="E52" r:id="rId186" tooltip="Search 115 Vjal iI-Blue Grotto, Zurrieq, Malta ZRQ 4015 on Google Maps" xr:uid="{00000000-0004-0000-1800-0000B9000000}"/>
    <hyperlink ref="E53" r:id="rId187" tooltip="Search Triq iI-Wied ta' I-Imsida, Msida, Malta on Google Maps" xr:uid="{00000000-0004-0000-1800-0000BA000000}"/>
    <hyperlink ref="E54" r:id="rId188" tooltip="Search Triq in-Naxxar, Lija, Malta on Google Maps" xr:uid="{00000000-0004-0000-1800-0000BB000000}"/>
    <hyperlink ref="E55" r:id="rId189" tooltip="Search Naxxar, Malta NXR 6345 on Google Maps" xr:uid="{00000000-0004-0000-1800-0000BC000000}"/>
    <hyperlink ref="E56" r:id="rId190" tooltip="Search 137 Triq Parades, San Pawl II-Bahar, Malta SPB 3430 on Google Maps" xr:uid="{00000000-0004-0000-1800-0000BD000000}"/>
    <hyperlink ref="E57" r:id="rId191" tooltip="Search Triq iI-Kanun, Qormi, Malta QRM 9039 on Google Maps" xr:uid="{00000000-0004-0000-1800-0000BE000000}"/>
    <hyperlink ref="E58" r:id="rId192" tooltip="Search Zone 3 Triq I-Intornjatur, Zona Industrjali, Mriehel, B'Kara, Malta BKR 3000 on Google Maps" xr:uid="{00000000-0004-0000-1800-0000BF000000}"/>
    <hyperlink ref="E59" r:id="rId193" tooltip="Search M'Skala By Pass, Zabbar, Malta ZBR 9042 on Google Maps" xr:uid="{00000000-0004-0000-1800-0000C0000000}"/>
    <hyperlink ref="E60" r:id="rId194" tooltip="Search Triq San Bartolomew, Qormi, Malta on Google Maps" xr:uid="{00000000-0004-0000-1800-0000C1000000}"/>
    <hyperlink ref="E61" r:id="rId195" tooltip="Search Triq il-Mosta, Lija, Malta LJA 9012 on Google Maps" xr:uid="{00000000-0004-0000-1800-0000C2000000}"/>
    <hyperlink ref="E62" r:id="rId196" tooltip="Search 120 Triq il-Kullegg, Rabat, Malta RBT 1408 on Google Maps" xr:uid="{00000000-0004-0000-1800-0000C3000000}"/>
    <hyperlink ref="E63" r:id="rId197" tooltip="Search Pantar Estate Triq Pantar on Google Maps" xr:uid="{00000000-0004-0000-1800-0000C4000000}"/>
    <hyperlink ref="E64" r:id="rId198" tooltip="Search 9 Triq Geronimo Abos, Iklin, Malta IKL 1022 on Google Maps" xr:uid="{00000000-0004-0000-1800-0000C5000000}"/>
    <hyperlink ref="E65" r:id="rId199" tooltip="Search 435 St. Joseph High Road, St. Venera, Malta on Google Maps" xr:uid="{00000000-0004-0000-1800-0000C6000000}"/>
    <hyperlink ref="E66" r:id="rId200" tooltip="Search No 3, Triq Ferdinand Inglott, Attard ATD 3134 on Google Maps" xr:uid="{00000000-0004-0000-1800-0000C7000000}"/>
    <hyperlink ref="E67" r:id="rId201" tooltip="Search 139, Bajada Street ZBR 3011 Zabbar, Malta on Google Maps" xr:uid="{00000000-0004-0000-1800-0000C8000000}"/>
    <hyperlink ref="E68" r:id="rId202" tooltip="Search Triq Benghazi, Ghajnsielem-Gozo, GSM 1624 on Google Maps" xr:uid="{00000000-0004-0000-1800-0000C9000000}"/>
    <hyperlink ref="E69" r:id="rId203" tooltip="Search Triq Salvu Psaila, B'Kara, Matla BKR 9076 on Google Maps" xr:uid="{00000000-0004-0000-1800-0000CA000000}"/>
    <hyperlink ref="E70" r:id="rId204" tooltip="Search 17 Triq Guze' Galea Qormi, Malta QRM 2106 on Google Maps" xr:uid="{00000000-0004-0000-1800-0000CB000000}"/>
    <hyperlink ref="E71" r:id="rId205" tooltip="Search The Factory Triq il-Mosta, Lija, Malta LJA 9016 on Google Maps" xr:uid="{00000000-0004-0000-1800-0000CC000000}"/>
    <hyperlink ref="E72" r:id="rId206" tooltip="Search Zone 3 Triq San Gwakkin Central Business District, B'kara, Malta CBD 3030 on Google Maps" xr:uid="{00000000-0004-0000-1800-0000CD000000}"/>
    <hyperlink ref="E73" r:id="rId207" tooltip="Search Triq Joe Sciberras, Hamrun, Malta HMR 1550 on Google Maps" xr:uid="{00000000-0004-0000-1800-0000CE000000}"/>
    <hyperlink ref="E74" r:id="rId208" tooltip="Search 25th November Avenue, Zejtun, ZTN2019 on Google Maps" xr:uid="{00000000-0004-0000-1800-0000CF000000}"/>
    <hyperlink ref="E75" r:id="rId209" tooltip="Search 7 Triq I-Erba' Qaddisin on Google Maps" xr:uid="{00000000-0004-0000-1800-0000D0000000}"/>
    <hyperlink ref="E76" r:id="rId210" tooltip="Search Triq il-Taflija Qasam Industrijali, Xewkija-Gozo, Gozo XWK 3000 on Google Maps" xr:uid="{00000000-0004-0000-1800-0000D1000000}"/>
    <hyperlink ref="E77" r:id="rId211" tooltip="Search Triq Pantar, Hal Lija on Google Maps" xr:uid="{00000000-0004-0000-1800-0000D2000000}"/>
    <hyperlink ref="E78" r:id="rId212" tooltip="Search 181 Triq Salvu Psaila, B'Kara, Malta BKR 9076 on Google Maps" xr:uid="{00000000-0004-0000-1800-0000D3000000}"/>
    <hyperlink ref="E79" r:id="rId213" tooltip="Search Triq I-Arkata, Paola, Malta PLA 1212 on Google Maps" xr:uid="{00000000-0004-0000-1800-0000D4000000}"/>
    <hyperlink ref="E80" r:id="rId214" tooltip="Search Triq Manwel Borg Qasam Indrustrijali, Tal-Handaq, Qormi, Malta QRM 4000 on Google Maps" xr:uid="{00000000-0004-0000-1800-0000D5000000}"/>
    <hyperlink ref="E81" r:id="rId215" tooltip="Search 358 Triq in-Naxxar, B'Kara, Malta BKR 9040 on Google Maps" xr:uid="{00000000-0004-0000-1800-0000D6000000}"/>
    <hyperlink ref="E82" r:id="rId216" tooltip="Search Triq Dun Karm B'Kara By Pass, B'Kara, Malta BKR 2940 on Google Maps" xr:uid="{00000000-0004-0000-1800-0000D7000000}"/>
    <hyperlink ref="E83" r:id="rId217" tooltip="Search Bilom T/G fi triq l-Imdina, Zebbug, Malta on Google Maps" xr:uid="{00000000-0004-0000-1800-0000D8000000}"/>
    <hyperlink ref="E84" r:id="rId218" tooltip="Search Triq il-Kbira, Mgarr, Malta MGR 1430 on Google Maps" xr:uid="{00000000-0004-0000-1800-0000D9000000}"/>
    <hyperlink ref="E85" r:id="rId219" tooltip="Search Triq Fortunato Mizzi, Victoria-Gozo, Gozo VCT 2687 on Google Maps" xr:uid="{00000000-0004-0000-1800-0000DA000000}"/>
    <hyperlink ref="E86" r:id="rId220" tooltip="Search 11 Triq I-Imdina, Attard, Malta ATD 9036 on Google Maps" xr:uid="{00000000-0004-0000-1800-0000DB000000}"/>
    <hyperlink ref="E87" r:id="rId221" tooltip="Search 1 Triq I-Isqof Labini, B'Kara, Malta BKR 1270 on Google Maps" xr:uid="{00000000-0004-0000-1800-0000DC000000}"/>
    <hyperlink ref="E88" r:id="rId222" tooltip="Search Triq Ninu Ceremona, Victoria-Gozo, Gozo VCT 2563 on Google Maps" xr:uid="{00000000-0004-0000-1800-0000DD000000}"/>
    <hyperlink ref="E89" r:id="rId223" tooltip="Search Triq Durumblat, II-Mosta, MST 4816 on Google Maps" xr:uid="{00000000-0004-0000-1800-0000DE000000}"/>
    <hyperlink ref="E90" r:id="rId224" tooltip="Search 118 Triq iI-Kullegg, Rabat, Malta RBT 1408 on Google Maps" xr:uid="{00000000-0004-0000-1800-0000DF000000}"/>
    <hyperlink ref="E91" r:id="rId225" tooltip="Search Liland Bldgs Triq l-Imdina, Attard, Malta ATD 9036 on Google Maps" xr:uid="{00000000-0004-0000-1800-0000E0000000}"/>
    <hyperlink ref="E92" r:id="rId226" tooltip="Search 115 Vjal iI-Blue Grotto, Zurrieq, Malta ZRQ 4015 on Google Maps" xr:uid="{00000000-0004-0000-1800-0000E1000000}"/>
    <hyperlink ref="E93" r:id="rId227" tooltip="Search 123 Triq Dun Karm Sant, Tarxien, Malta on Google Maps" xr:uid="{00000000-0004-0000-1800-0000E2000000}"/>
    <hyperlink ref="E94" r:id="rId228" tooltip="Search Triq iI-Wied ta' I-Imsida, Msida, Malta on Google Maps" xr:uid="{00000000-0004-0000-1800-0000E3000000}"/>
    <hyperlink ref="E95" r:id="rId229" tooltip="Search Triq in-Naxxar, Lija, Malta on Google Maps" xr:uid="{00000000-0004-0000-1800-0000E4000000}"/>
    <hyperlink ref="E96" r:id="rId230" tooltip="Search Naxxar, Malta NXR 6345 on Google Maps" xr:uid="{00000000-0004-0000-1800-0000E5000000}"/>
    <hyperlink ref="E97" r:id="rId231" tooltip="Search 137 Triq Parades, San Pawl II-Bahar, Malta SPB 3430 on Google Maps" xr:uid="{00000000-0004-0000-1800-0000E6000000}"/>
    <hyperlink ref="E98" r:id="rId232" tooltip="Search Triq iI-Kanun, Qormi, Malta QRM 9039 on Google Maps" xr:uid="{00000000-0004-0000-1800-0000E7000000}"/>
    <hyperlink ref="E99" r:id="rId233" tooltip="Search Zone 3 Triq I-Intornjatur, Zona Industrjali, Mriehel, B'Kara, Malta BKR 3000 on Google Maps" xr:uid="{00000000-0004-0000-1800-0000E8000000}"/>
    <hyperlink ref="E100" r:id="rId234" tooltip="Search M'Skala By Pass, Zabbar, Malta ZBR 9042 on Google Maps" xr:uid="{00000000-0004-0000-1800-0000E9000000}"/>
    <hyperlink ref="E101" r:id="rId235" tooltip="Search Triq San Bartolomew, Qormi, Malta on Google Maps" xr:uid="{00000000-0004-0000-1800-0000EA000000}"/>
    <hyperlink ref="E102" r:id="rId236" tooltip="Search Triq il-Mosta, Lija, Malta LJA 9012 on Google Maps" xr:uid="{00000000-0004-0000-1800-0000EB000000}"/>
    <hyperlink ref="E103" r:id="rId237" tooltip="Search 120 Triq il-Kullegg, Rabat, Malta RBT 1408 on Google Maps" xr:uid="{00000000-0004-0000-1800-0000EC000000}"/>
    <hyperlink ref="E104" r:id="rId238" tooltip="Search Misrah il-Barrieri, Sta Venera, Malta on Google Maps" xr:uid="{00000000-0004-0000-1800-0000ED000000}"/>
    <hyperlink ref="E105" r:id="rId239" tooltip="Search Triq il-Wied ta'Imsida, Msida, Malta MSD 9022 on Google Maps" xr:uid="{00000000-0004-0000-1800-0000EE000000}"/>
    <hyperlink ref="E106" r:id="rId240" tooltip="Search Pantar Estate Triq Pantar on Google Maps" xr:uid="{00000000-0004-0000-1800-0000EF000000}"/>
    <hyperlink ref="E107" r:id="rId241" tooltip="Search 9 Triq Geronimo Abos, Iklin, Malta IKL 1022 on Google Maps" xr:uid="{00000000-0004-0000-1800-0000F0000000}"/>
    <hyperlink ref="E108" r:id="rId242" tooltip="Search Triq Benghazi, Ghajnsielem-Gozo, GSM 1624 on Google Maps" xr:uid="{00000000-0004-0000-1800-0000F1000000}"/>
    <hyperlink ref="E109" r:id="rId243" tooltip="Search Triq Salvu Psaila, B'Kara, Matla BKR 9076 on Google Maps" xr:uid="{00000000-0004-0000-1800-0000F2000000}"/>
    <hyperlink ref="E110" r:id="rId244" tooltip="Search 25th November Avenue, Zejtun, ZTN2019 on Google Maps" xr:uid="{00000000-0004-0000-1800-0000F3000000}"/>
    <hyperlink ref="E111" r:id="rId245" tooltip="Search Triq il-Taflija Qasam Industrijali, Xewkija-Gozo, Gozo XWK 3000 on Google Maps" xr:uid="{00000000-0004-0000-1800-0000F4000000}"/>
    <hyperlink ref="E112" r:id="rId246" tooltip="Search 181 Triq Salvu Psaila, B'Kara, Malta BKR 9076 on Google Maps" xr:uid="{00000000-0004-0000-1800-0000F5000000}"/>
    <hyperlink ref="E113" r:id="rId247" tooltip="Search Triq I-Arkata, Paola, Malta PLA 1212 on Google Maps" xr:uid="{00000000-0004-0000-1800-0000F6000000}"/>
    <hyperlink ref="E114" r:id="rId248" tooltip="Search 358 Triq in-Naxxar, B'Kara, Malta BKR 9040 on Google Maps" xr:uid="{00000000-0004-0000-1800-0000F7000000}"/>
    <hyperlink ref="E115" r:id="rId249" tooltip="Search Triq Dun Karm B'Kara By Pass, B'Kara, Malta BKR 2940 on Google Maps" xr:uid="{00000000-0004-0000-1800-0000F8000000}"/>
    <hyperlink ref="E116" r:id="rId250" tooltip="Search 11 Triq I-Imdina, Attard, Malta ATD 9036 on Google Maps" xr:uid="{00000000-0004-0000-1800-0000F9000000}"/>
    <hyperlink ref="E117" r:id="rId251" tooltip="Search Triq Ninu Ceremona, Victoria-Gozo, Gozo VCT 2563 on Google Maps" xr:uid="{00000000-0004-0000-1800-0000FA000000}"/>
    <hyperlink ref="E118" r:id="rId252" tooltip="Search Triq Durumblat, II-Mosta, MST 4816 on Google Maps" xr:uid="{00000000-0004-0000-1800-0000FB000000}"/>
    <hyperlink ref="E119" r:id="rId253" tooltip="Search 115 Vjal iI-Blue Grotto, Zurrieq, Malta ZRQ 4015 on Google Maps" xr:uid="{00000000-0004-0000-1800-0000FC000000}"/>
    <hyperlink ref="E120" r:id="rId254" tooltip="Search Naxxar, Malta NXR 6345 on Google Maps" xr:uid="{00000000-0004-0000-1800-0000FD000000}"/>
    <hyperlink ref="E121" r:id="rId255" tooltip="Search Triq iI-Kanun, Qormi, Malta QRM 9039 on Google Maps" xr:uid="{00000000-0004-0000-1800-0000FE000000}"/>
    <hyperlink ref="E122" r:id="rId256" tooltip="Search Zone 3 Triq I-Intornjatur, Zona Industrjali, Mriehel, B'Kara, Malta BKR 3000 on Google Maps" xr:uid="{00000000-0004-0000-1800-0000FF000000}"/>
    <hyperlink ref="E123" r:id="rId257" tooltip="Search Pantar Estate Triq Pantar on Google Maps" xr:uid="{00000000-0004-0000-1800-000000010000}"/>
    <hyperlink ref="E124" r:id="rId258" tooltip="Search 9 Triq Geronimo Abos, Iklin, Malta IKL 1022 on Google Maps" xr:uid="{00000000-0004-0000-1800-000001010000}"/>
    <hyperlink ref="E125" r:id="rId259" tooltip="Search 1 Lenger, Court A, Triq Mons Pawlu Mallia, Gudja, Malta on Google Maps" xr:uid="{00000000-0004-0000-1800-000002010000}"/>
    <hyperlink ref="E126" r:id="rId260" tooltip="Search Triq il-Kummerc, Qormi, Malta on Google Maps" xr:uid="{00000000-0004-0000-1800-000003010000}"/>
    <hyperlink ref="E127" r:id="rId261" tooltip="Search Building 46 Crafts Village Ta' Qali, Attard, Malta ATD 4000 on Google Maps" xr:uid="{00000000-0004-0000-1800-000004010000}"/>
    <hyperlink ref="E128" r:id="rId262" tooltip="Search Constitution Street, Mosta, Malta on Google Maps" xr:uid="{00000000-0004-0000-1800-000005010000}"/>
    <hyperlink ref="E129" r:id="rId263" tooltip="Search 435 St. Joseph High Road, St. Venera, Malta on Google Maps" xr:uid="{00000000-0004-0000-1800-000006010000}"/>
    <hyperlink ref="E130" r:id="rId264" tooltip="Search Triq I-Imdina, Qormi QRM 9011 on Google Maps" xr:uid="{00000000-0004-0000-1800-000007010000}"/>
    <hyperlink ref="E131" r:id="rId265" tooltip="Search Falzon's Bathroom &amp; Ceramics, Triq il-Kummerc, Qormi, Malta on Google Maps" xr:uid="{00000000-0004-0000-1800-000008010000}"/>
    <hyperlink ref="E132" r:id="rId266" tooltip="Search Triq Dun Karm Birkirkara, BKR9035, Malta on Google Maps" xr:uid="{00000000-0004-0000-1800-000009010000}"/>
    <hyperlink ref="E133" r:id="rId267" tooltip="Search 25th November Avenue, Zejtun, ZTN2019 on Google Maps" xr:uid="{00000000-0004-0000-1800-00000A010000}"/>
    <hyperlink ref="E134" r:id="rId268" tooltip="Search New Street, Vjal Il-Labour, Nax, Malta on Google Maps" xr:uid="{00000000-0004-0000-1800-00000B010000}"/>
    <hyperlink ref="E135" r:id="rId269" tooltip="Search 358 Triq in-Naxxar, B'Kara, Malta BKR 9040 on Google Maps" xr:uid="{00000000-0004-0000-1800-00000C010000}"/>
    <hyperlink ref="E136" r:id="rId270" tooltip="Search 26B, Marsa Industrial Estate, Marsa MRS 3000 on Google Maps" xr:uid="{00000000-0004-0000-1800-00000D010000}"/>
    <hyperlink ref="E137" r:id="rId271" tooltip="Search Plot 34, Qasam Industrijali LQA 3000 Luqa MT on Google Maps" xr:uid="{00000000-0004-0000-1800-00000E010000}"/>
    <hyperlink ref="E138" r:id="rId272" tooltip="Search 12 Olt Trafford, Dun Filippu Borg, Birkirkara, Malta on Google Maps" xr:uid="{00000000-0004-0000-1800-00000F010000}"/>
    <hyperlink ref="E139" r:id="rId273" tooltip="Search 3, Triq Ferdinandu Inglott, Ħ'Attard on Google Maps" xr:uid="{00000000-0004-0000-1800-000010010000}"/>
    <hyperlink ref="E140" r:id="rId274" tooltip="Search MRCD Building,_x000a_Karmenu Camilleri Street,_x000a_Qormi, QRM4631 on Google Maps" xr:uid="{00000000-0004-0000-1800-000011010000}"/>
    <hyperlink ref="F2" r:id="rId275" tooltip="Visit satariano.com" xr:uid="{00000000-0004-0000-1800-000012010000}"/>
    <hyperlink ref="F3" r:id="rId276" tooltip="Visit deluxe-bathrooms.com" xr:uid="{00000000-0004-0000-1800-000013010000}"/>
    <hyperlink ref="F4" r:id="rId277" tooltip="Visit newline.com.mt" xr:uid="{00000000-0004-0000-1800-000014010000}"/>
    <hyperlink ref="F5" r:id="rId278" tooltip="Visit newline.com.mt" xr:uid="{00000000-0004-0000-1800-000015010000}"/>
    <hyperlink ref="F6" r:id="rId279" tooltip="Visit pitrebathrooms.com" xr:uid="{00000000-0004-0000-1800-000016010000}"/>
    <hyperlink ref="F7" r:id="rId280" tooltip="Visit banjuboutique.com" xr:uid="{00000000-0004-0000-1800-000017010000}"/>
    <hyperlink ref="F8" r:id="rId281" tooltip="Visit bridgepoint.com" xr:uid="{00000000-0004-0000-1800-000018010000}"/>
    <hyperlink ref="F9" r:id="rId282" tooltip="Visit facebook.com/p/Gozo-Baths-Ceramics-100063540523723/" xr:uid="{00000000-0004-0000-1800-000019010000}"/>
    <hyperlink ref="F10" r:id="rId283" tooltip="Visit alexmercieca.com" xr:uid="{00000000-0004-0000-1800-00001A010000}"/>
    <hyperlink ref="F11" r:id="rId284" tooltip="Visit dfloorings.com" xr:uid="{00000000-0004-0000-1800-00001B010000}"/>
    <hyperlink ref="F12" r:id="rId285" tooltip="Visit faenzabathrooms.com" xr:uid="{00000000-0004-0000-1800-00001C010000}"/>
    <hyperlink ref="F13" r:id="rId286" tooltip="Visit sbmmarble.com" xr:uid="{00000000-0004-0000-1800-00001D010000}"/>
    <hyperlink ref="F14" r:id="rId287" tooltip="Visit afellis.com.mt" xr:uid="{00000000-0004-0000-1800-00001E010000}"/>
    <hyperlink ref="F15" r:id="rId288" tooltip="Visit nsntilesandceramics.com" xr:uid="{00000000-0004-0000-1800-00001F010000}"/>
    <hyperlink ref="F16" r:id="rId289" tooltip="Visit wvellafalzon.com" xr:uid="{00000000-0004-0000-1800-000020010000}"/>
    <hyperlink ref="F17" r:id="rId290" tooltip="Visit vellmann.com" xr:uid="{00000000-0004-0000-1800-000021010000}"/>
    <hyperlink ref="F18" r:id="rId291" tooltip="Visit magribathrooms.com" xr:uid="{00000000-0004-0000-1800-000022010000}"/>
    <hyperlink ref="F19" r:id="rId292" tooltip="Visit wwwjcrimports.com.mt" xr:uid="{00000000-0004-0000-1800-000023010000}"/>
    <hyperlink ref="F20" r:id="rId293" tooltip="Visit falzons.com" xr:uid="{00000000-0004-0000-1800-000024010000}"/>
    <hyperlink ref="F21" r:id="rId294" tooltip="Visit maltadiy.com" xr:uid="{00000000-0004-0000-1800-000025010000}"/>
    <hyperlink ref="F22" r:id="rId295" tooltip="Visit the-tile.com" xr:uid="{00000000-0004-0000-1800-000026010000}"/>
    <hyperlink ref="F23" r:id="rId296" tooltip="Visit bathroomdesign.com.mt" xr:uid="{00000000-0004-0000-1800-000027010000}"/>
    <hyperlink ref="F24" r:id="rId297" tooltip="Visit facebook.com/tilewarehousemalta/" xr:uid="{00000000-0004-0000-1800-000028010000}"/>
    <hyperlink ref="F25" r:id="rId298" tooltip="Visit thetub.com" xr:uid="{00000000-0004-0000-1800-000029010000}"/>
    <hyperlink ref="F26" r:id="rId299" tooltip="Visit mrcd.com.mt" xr:uid="{00000000-0004-0000-1800-00002A010000}"/>
    <hyperlink ref="F27" r:id="rId300" tooltip="Visit carinibathrooms.com" xr:uid="{00000000-0004-0000-1800-00002B010000}"/>
    <hyperlink ref="F28" r:id="rId301" tooltip="Visit waterartconcepts.com" xr:uid="{00000000-0004-0000-1800-00002C010000}"/>
    <hyperlink ref="F29" r:id="rId302" tooltip="Visit jysk.com.mt" xr:uid="{00000000-0004-0000-1800-00002D010000}"/>
    <hyperlink ref="F30" r:id="rId303" tooltip="Visit bc-bathrooms.com" xr:uid="{00000000-0004-0000-1800-00002E010000}"/>
    <hyperlink ref="F31" r:id="rId304" tooltip="Visit absolute.com.mt" xr:uid="{00000000-0004-0000-1800-00002F010000}"/>
    <hyperlink ref="F32" r:id="rId305" tooltip="Visit bmsupplies.com" xr:uid="{00000000-0004-0000-1800-000030010000}"/>
    <hyperlink ref="F33" r:id="rId306" tooltip="Visit fino.com.mt" xr:uid="{00000000-0004-0000-1800-000031010000}"/>
    <hyperlink ref="F34" r:id="rId307" tooltip="Visit iperceramica.it/en/ita" xr:uid="{00000000-0004-0000-1800-000032010000}"/>
    <hyperlink ref="F35" r:id="rId308" tooltip="Visit goldenhouse.mt" xr:uid="{00000000-0004-0000-1800-000033010000}"/>
    <hyperlink ref="F36" r:id="rId309" tooltip="Visit egrechcristalbath.com/en/home.htm" xr:uid="{00000000-0004-0000-1800-000034010000}"/>
    <hyperlink ref="F37" r:id="rId310" tooltip="Visit deluxe-bathrooms.com" xr:uid="{00000000-0004-0000-1800-000035010000}"/>
    <hyperlink ref="F38" r:id="rId311" tooltip="Visit egrechcristalbath.com" xr:uid="{00000000-0004-0000-1800-000036010000}"/>
    <hyperlink ref="F39" r:id="rId312" tooltip="Visit bugeja-marbles.com" xr:uid="{00000000-0004-0000-1800-000037010000}"/>
    <hyperlink ref="F40" r:id="rId313" tooltip="Visit custobathrooms.com" xr:uid="{00000000-0004-0000-1800-000038010000}"/>
    <hyperlink ref="F41" r:id="rId314" tooltip="Visit alexmercieca.com" xr:uid="{00000000-0004-0000-1800-000039010000}"/>
    <hyperlink ref="F42" r:id="rId315" tooltip="Visit absolute.com.mt" xr:uid="{00000000-0004-0000-1800-00003A010000}"/>
    <hyperlink ref="F43" r:id="rId316" tooltip="Visit alfredhili.com" xr:uid="{00000000-0004-0000-1800-00003B010000}"/>
    <hyperlink ref="F44" r:id="rId317" tooltip="Visit facebook.com/avantebathrooms/" xr:uid="{00000000-0004-0000-1800-00003C010000}"/>
    <hyperlink ref="F45" r:id="rId318" tooltip="Visit banjuboutique.com" xr:uid="{00000000-0004-0000-1800-00003D010000}"/>
    <hyperlink ref="F46" r:id="rId319" tooltip="Visit bathroomdesign.com.mt" xr:uid="{00000000-0004-0000-1800-00003E010000}"/>
    <hyperlink ref="F47" r:id="rId320" tooltip="Visit bc-bathrooms.com" xr:uid="{00000000-0004-0000-1800-00003F010000}"/>
    <hyperlink ref="F48" r:id="rId321" tooltip="Visit cgremarbles.com.mt" xr:uid="{00000000-0004-0000-1800-000040010000}"/>
    <hyperlink ref="F49" r:id="rId322" tooltip="Visit facebook.com/Calbros-Bathrooms-Ltd" xr:uid="{00000000-0004-0000-1800-000041010000}"/>
    <hyperlink ref="F50" r:id="rId323" tooltip="Visit chicliving.com.mt" xr:uid="{00000000-0004-0000-1800-000042010000}"/>
    <hyperlink ref="F51" r:id="rId324" tooltip="Visit facebook.com/classicbathroom/" xr:uid="{00000000-0004-0000-1800-000043010000}"/>
    <hyperlink ref="F52" r:id="rId325" tooltip="Visit farellbathrooms.com" xr:uid="{00000000-0004-0000-1800-000044010000}"/>
    <hyperlink ref="F53" r:id="rId326" tooltip="Visit iperceramica.it" xr:uid="{00000000-0004-0000-1800-000045010000}"/>
    <hyperlink ref="F54" r:id="rId327" tooltip="Visit facebook.com/Josies-Bathroom-Centre" xr:uid="{00000000-0004-0000-1800-000046010000}"/>
    <hyperlink ref="F55" r:id="rId328" tooltip="Visit facebook.com/keramitbathrooms/" xr:uid="{00000000-0004-0000-1800-000047010000}"/>
    <hyperlink ref="F57" r:id="rId329" tooltip="Visit magribathrooms.com" xr:uid="{00000000-0004-0000-1800-000048010000}"/>
    <hyperlink ref="F58" r:id="rId330" tooltip="Visit facebook.com/ModaBagnoMalta" xr:uid="{00000000-0004-0000-1800-000049010000}"/>
    <hyperlink ref="F59" r:id="rId331" tooltip="Visit facebook.com/Nuovo-Bagno" xr:uid="{00000000-0004-0000-1800-00004A010000}"/>
    <hyperlink ref="F60" r:id="rId332" tooltip="Visit propertyservicesltd.com" xr:uid="{00000000-0004-0000-1800-00004B010000}"/>
    <hyperlink ref="F61" r:id="rId333" tooltip="Visit ssbathrooms.com" xr:uid="{00000000-0004-0000-1800-00004C010000}"/>
    <hyperlink ref="F62" r:id="rId334" tooltip="Visit facebook.com/SognoBagno/" xr:uid="{00000000-0004-0000-1800-00004D010000}"/>
    <hyperlink ref="F63" r:id="rId335" tooltip="Visit facebook.com/Vellmann/" xr:uid="{00000000-0004-0000-1800-00004E010000}"/>
    <hyperlink ref="F64" r:id="rId336" tooltip="Visit vivo.com.mt" xr:uid="{00000000-0004-0000-1800-00004F010000}"/>
    <hyperlink ref="F65" r:id="rId337" tooltip="Visit carinibathrooms.com" xr:uid="{00000000-0004-0000-1800-000050010000}"/>
    <hyperlink ref="F66" r:id="rId338" tooltip="Visit bridgepoint.com" xr:uid="{00000000-0004-0000-1800-000051010000}"/>
    <hyperlink ref="F67" r:id="rId339" tooltip="Visit fbpmalta.com" xr:uid="{00000000-0004-0000-1800-000052010000}"/>
    <hyperlink ref="F68" r:id="rId340" tooltip="Visit deluxe-bathrooms.com" xr:uid="{00000000-0004-0000-1800-000053010000}"/>
    <hyperlink ref="F69" r:id="rId341" tooltip="Visit egrechcristalbath.com" xr:uid="{00000000-0004-0000-1800-000054010000}"/>
    <hyperlink ref="F70" r:id="rId342" tooltip="Visit alfredhili.com" xr:uid="{00000000-0004-0000-1800-000055010000}"/>
    <hyperlink ref="F71" r:id="rId343" tooltip="Visit halmannvella.com" xr:uid="{00000000-0004-0000-1800-000056010000}"/>
    <hyperlink ref="F72" r:id="rId344" tooltip="Visit bugeja-marbles.com" xr:uid="{00000000-0004-0000-1800-000057010000}"/>
    <hyperlink ref="F73" r:id="rId345" tooltip="Visit custobathrooms.com" xr:uid="{00000000-0004-0000-1800-000058010000}"/>
    <hyperlink ref="F74" r:id="rId346" tooltip="Visit alexmercieca.com" xr:uid="{00000000-0004-0000-1800-000059010000}"/>
    <hyperlink ref="F75" r:id="rId347" tooltip="Visit faenzabathrooms.com" xr:uid="{00000000-0004-0000-1800-00005A010000}"/>
    <hyperlink ref="F76" r:id="rId348" tooltip="Visit afellis.com.mt" xr:uid="{00000000-0004-0000-1800-00005B010000}"/>
    <hyperlink ref="F77" r:id="rId349" tooltip="Visit absolute.com.mt" xr:uid="{00000000-0004-0000-1800-00005C010000}"/>
    <hyperlink ref="F78" r:id="rId350" tooltip="Visit facebook.com/avantebathrooms/" xr:uid="{00000000-0004-0000-1800-00005D010000}"/>
    <hyperlink ref="F79" r:id="rId351" tooltip="Visit banjuboutique.com" xr:uid="{00000000-0004-0000-1800-00005E010000}"/>
    <hyperlink ref="F80" r:id="rId352" tooltip="Visit facebook.com/bathlinemalta/" xr:uid="{00000000-0004-0000-1800-00005F010000}"/>
    <hyperlink ref="F81" r:id="rId353" tooltip="Visit bathroomdesign.com.mt" xr:uid="{00000000-0004-0000-1800-000060010000}"/>
    <hyperlink ref="F82" r:id="rId354" tooltip="Visit bc-bathrooms.com" xr:uid="{00000000-0004-0000-1800-000061010000}"/>
    <hyperlink ref="F83" r:id="rId355" tooltip="Visit bilomtilesanddecor.com" xr:uid="{00000000-0004-0000-1800-000062010000}"/>
    <hyperlink ref="F84" r:id="rId356" tooltip="Visit blaugrana.com.mt" xr:uid="{00000000-0004-0000-1800-000063010000}"/>
    <hyperlink ref="F85" r:id="rId357" tooltip="Visit facebook.com/bubblesbathroomsmalta/" xr:uid="{00000000-0004-0000-1800-000064010000}"/>
    <hyperlink ref="F86" r:id="rId358" tooltip="Visit cgremarbles.com.mt" xr:uid="{00000000-0004-0000-1800-000065010000}"/>
    <hyperlink ref="F87" r:id="rId359" tooltip="Visit facebook.com/Calbros-Bathrooms-Ltd" xr:uid="{00000000-0004-0000-1800-000066010000}"/>
    <hyperlink ref="F88" r:id="rId360" tooltip="Visit casamiamalta.com" xr:uid="{00000000-0004-0000-1800-000067010000}"/>
    <hyperlink ref="F89" r:id="rId361" tooltip="Visit chicliving.com.mt" xr:uid="{00000000-0004-0000-1800-000068010000}"/>
    <hyperlink ref="F90" r:id="rId362" tooltip="Visit facebook.com/classicbathroom/" xr:uid="{00000000-0004-0000-1800-000069010000}"/>
    <hyperlink ref="F91" r:id="rId363" tooltip="Visit creationsomni.cpm" xr:uid="{00000000-0004-0000-1800-00006A010000}"/>
    <hyperlink ref="F92" r:id="rId364" tooltip="Visit farellbathrooms.com" xr:uid="{00000000-0004-0000-1800-00006B010000}"/>
    <hyperlink ref="F93" r:id="rId365" tooltip="Visit hauz.mt" xr:uid="{00000000-0004-0000-1800-00006C010000}"/>
    <hyperlink ref="F94" r:id="rId366" tooltip="Visit iperceramica.it" xr:uid="{00000000-0004-0000-1800-00006D010000}"/>
    <hyperlink ref="F95" r:id="rId367" tooltip="Visit facebook.com/Josies-Bathroom-Centre" xr:uid="{00000000-0004-0000-1800-00006E010000}"/>
    <hyperlink ref="F96" r:id="rId368" tooltip="Visit facebook.com/keramitbathrooms/" xr:uid="{00000000-0004-0000-1800-00006F010000}"/>
    <hyperlink ref="F98" r:id="rId369" tooltip="Visit magribathrooms.com" xr:uid="{00000000-0004-0000-1800-000070010000}"/>
    <hyperlink ref="F99" r:id="rId370" tooltip="Visit facebook.com/ModaBagnoMalta" xr:uid="{00000000-0004-0000-1800-000071010000}"/>
    <hyperlink ref="F100" r:id="rId371" tooltip="Visit facebook.com/Nuovo-Bagno" xr:uid="{00000000-0004-0000-1800-000072010000}"/>
    <hyperlink ref="F101" r:id="rId372" tooltip="Visit propertyservicesltd.com" xr:uid="{00000000-0004-0000-1800-000073010000}"/>
    <hyperlink ref="F102" r:id="rId373" tooltip="Visit ssbathrooms.com" xr:uid="{00000000-0004-0000-1800-000074010000}"/>
    <hyperlink ref="F103" r:id="rId374" tooltip="Visit facebook.com/SognoBagno/" xr:uid="{00000000-0004-0000-1800-000075010000}"/>
    <hyperlink ref="F104" r:id="rId375" tooltip="Visit thetubmalta.com" xr:uid="{00000000-0004-0000-1800-000076010000}"/>
    <hyperlink ref="F105" r:id="rId376" tooltip="Visit vellafalzon.com" xr:uid="{00000000-0004-0000-1800-000077010000}"/>
    <hyperlink ref="F106" r:id="rId377" tooltip="Visit facebook.com/Vellmann/" xr:uid="{00000000-0004-0000-1800-000078010000}"/>
    <hyperlink ref="F107" r:id="rId378" tooltip="Visit vivo.com.mt" xr:uid="{00000000-0004-0000-1800-000079010000}"/>
    <hyperlink ref="F108" r:id="rId379" tooltip="Visit deluxe-bathrooms.com" xr:uid="{00000000-0004-0000-1800-00007A010000}"/>
    <hyperlink ref="F109" r:id="rId380" tooltip="Visit egrechcristalbath.com" xr:uid="{00000000-0004-0000-1800-00007B010000}"/>
    <hyperlink ref="F110" r:id="rId381" tooltip="Visit alexmercieca.com" xr:uid="{00000000-0004-0000-1800-00007C010000}"/>
    <hyperlink ref="F111" r:id="rId382" tooltip="Visit afellis.com.mt" xr:uid="{00000000-0004-0000-1800-00007D010000}"/>
    <hyperlink ref="F112" r:id="rId383" tooltip="Visit facebook.com/avantebathrooms/" xr:uid="{00000000-0004-0000-1800-00007E010000}"/>
    <hyperlink ref="F113" r:id="rId384" tooltip="Visit banjuboutique.com" xr:uid="{00000000-0004-0000-1800-00007F010000}"/>
    <hyperlink ref="F114" r:id="rId385" tooltip="Visit bathroomdesign.com.mt" xr:uid="{00000000-0004-0000-1800-000080010000}"/>
    <hyperlink ref="F115" r:id="rId386" tooltip="Visit bc-bathrooms.com" xr:uid="{00000000-0004-0000-1800-000081010000}"/>
    <hyperlink ref="F116" r:id="rId387" tooltip="Visit cgremarbles.com.mt" xr:uid="{00000000-0004-0000-1800-000082010000}"/>
    <hyperlink ref="F117" r:id="rId388" tooltip="Visit casamiamalta.com" xr:uid="{00000000-0004-0000-1800-000083010000}"/>
    <hyperlink ref="F118" r:id="rId389" tooltip="Visit chicliving.com.mt" xr:uid="{00000000-0004-0000-1800-000084010000}"/>
    <hyperlink ref="F119" r:id="rId390" tooltip="Visit farellbathrooms.com" xr:uid="{00000000-0004-0000-1800-000085010000}"/>
    <hyperlink ref="F120" r:id="rId391" tooltip="Visit facebook.com/keramitbathrooms/" xr:uid="{00000000-0004-0000-1800-000086010000}"/>
    <hyperlink ref="F121" r:id="rId392" tooltip="Visit magribathrooms.com" xr:uid="{00000000-0004-0000-1800-000087010000}"/>
    <hyperlink ref="F122" r:id="rId393" tooltip="Visit facebook.com/ModaBagnoMalta" xr:uid="{00000000-0004-0000-1800-000088010000}"/>
    <hyperlink ref="F123" r:id="rId394" tooltip="Visit facebook.com/Vellmann/" xr:uid="{00000000-0004-0000-1800-000089010000}"/>
    <hyperlink ref="F124" r:id="rId395" tooltip="Visit vivo.com.mt" xr:uid="{00000000-0004-0000-1800-00008A010000}"/>
    <hyperlink ref="F125" r:id="rId396" tooltip="Visit wc.mt" xr:uid="{00000000-0004-0000-1800-00008B010000}"/>
    <hyperlink ref="F126" r:id="rId397" tooltip="Visit fzammitglass.com" xr:uid="{00000000-0004-0000-1800-00008C010000}"/>
    <hyperlink ref="F127" r:id="rId398" tooltip="Visit facebook.com/verredemic/" xr:uid="{00000000-0004-0000-1800-00008D010000}"/>
    <hyperlink ref="F128" r:id="rId399" tooltip="Visit idealbathrooms.com.mt" xr:uid="{00000000-0004-0000-1800-00008E010000}"/>
    <hyperlink ref="F129" r:id="rId400" tooltip="Visit carinibathrooms.com" xr:uid="{00000000-0004-0000-1800-00008F010000}"/>
    <hyperlink ref="F130" r:id="rId401" tooltip="Visit pitrebathrooms.com" xr:uid="{00000000-0004-0000-1800-000090010000}"/>
    <hyperlink ref="F131" r:id="rId402" tooltip="Visit falzons.com" xr:uid="{00000000-0004-0000-1800-000091010000}"/>
    <hyperlink ref="F132" r:id="rId403" tooltip="Visit bmsupplies.com" xr:uid="{00000000-0004-0000-1800-000092010000}"/>
    <hyperlink ref="F133" r:id="rId404" tooltip="Visit alexmercieca.com" xr:uid="{00000000-0004-0000-1800-000093010000}"/>
    <hyperlink ref="F134" r:id="rId405" tooltip="Visit ssbathrooms.com" xr:uid="{00000000-0004-0000-1800-000094010000}"/>
    <hyperlink ref="F135" r:id="rId406" tooltip="Visit bathroomdesign.com.mt" xr:uid="{00000000-0004-0000-1800-000095010000}"/>
    <hyperlink ref="F136" r:id="rId407" tooltip="Visit floatglassltd.com" xr:uid="{00000000-0004-0000-1800-000096010000}"/>
    <hyperlink ref="F137" r:id="rId408" tooltip="Visit klglassmalta.com" xr:uid="{00000000-0004-0000-1800-000097010000}"/>
    <hyperlink ref="F138" r:id="rId409" tooltip="Visit glassdesignmalta.com" xr:uid="{00000000-0004-0000-1800-000098010000}"/>
    <hyperlink ref="F139" r:id="rId410" tooltip="Visit bridgepointmalta.com/" xr:uid="{00000000-0004-0000-1800-000099010000}"/>
    <hyperlink ref="F140" r:id="rId411" tooltip="Visit mrcd.com.mt/en/home.htm" xr:uid="{00000000-0004-0000-1800-00009A010000}"/>
  </hyperlink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5"/>
  <sheetViews>
    <sheetView workbookViewId="0"/>
  </sheetViews>
  <sheetFormatPr defaultRowHeight="14.4" x14ac:dyDescent="0.3"/>
  <cols>
    <col min="1" max="1" width="6.33203125" customWidth="1"/>
    <col min="2" max="2" width="36.33203125" customWidth="1"/>
    <col min="3" max="3" width="40.33203125" customWidth="1"/>
    <col min="4" max="4" width="39.88671875" customWidth="1"/>
    <col min="5" max="5" width="57" customWidth="1"/>
    <col min="6" max="6" width="53.441406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1475</v>
      </c>
      <c r="B2" s="2" t="s">
        <v>1191</v>
      </c>
      <c r="C2" s="3" t="s">
        <v>1271</v>
      </c>
      <c r="D2" s="2" t="str">
        <f>CONCATENATE(HYPERLINK("CALLTO:%2B356%202156%2003887990261399307711", "+356 2156 03887990261399307711"))</f>
        <v>+356 2156 03887990261399307711</v>
      </c>
      <c r="E2" s="3" t="s">
        <v>1338</v>
      </c>
      <c r="F2" s="3" t="s">
        <v>1422</v>
      </c>
    </row>
    <row r="3" spans="1:6" x14ac:dyDescent="0.3">
      <c r="A3" s="4" t="s">
        <v>1475</v>
      </c>
      <c r="B3" s="4" t="s">
        <v>1192</v>
      </c>
      <c r="C3" s="5" t="s">
        <v>1272</v>
      </c>
      <c r="D3" s="4" t="str">
        <f>CONCATENATE(HYPERLINK("CALLTO:%2B356%202156%203966", "+356 2156 3966"))</f>
        <v>+356 2156 3966</v>
      </c>
      <c r="E3" s="5" t="s">
        <v>1339</v>
      </c>
      <c r="F3" s="5" t="s">
        <v>1423</v>
      </c>
    </row>
    <row r="4" spans="1:6" x14ac:dyDescent="0.3">
      <c r="A4" s="2" t="s">
        <v>1475</v>
      </c>
      <c r="B4" s="2" t="s">
        <v>1194</v>
      </c>
      <c r="C4" s="3" t="s">
        <v>856</v>
      </c>
      <c r="D4" s="2" t="str">
        <f>CONCATENATE(HYPERLINK("CALLTO:%2B356%202146%203335", "+356 2146 3335"))</f>
        <v>+356 2146 3335</v>
      </c>
      <c r="E4" s="3" t="s">
        <v>1341</v>
      </c>
      <c r="F4" s="3" t="s">
        <v>1424</v>
      </c>
    </row>
    <row r="5" spans="1:6" x14ac:dyDescent="0.3">
      <c r="A5" s="4" t="s">
        <v>1475</v>
      </c>
      <c r="B5" s="4" t="s">
        <v>1195</v>
      </c>
      <c r="C5" s="5" t="s">
        <v>1273</v>
      </c>
      <c r="D5" s="4" t="str">
        <f>CONCATENATE(HYPERLINK("CALLTO:%2B356%202011%207900", "+356 2011 7900"))</f>
        <v>+356 2011 7900</v>
      </c>
      <c r="E5" s="5" t="s">
        <v>1342</v>
      </c>
      <c r="F5" s="5" t="s">
        <v>1425</v>
      </c>
    </row>
    <row r="6" spans="1:6" x14ac:dyDescent="0.3">
      <c r="A6" s="2" t="s">
        <v>1475</v>
      </c>
      <c r="B6" s="2" t="s">
        <v>1196</v>
      </c>
      <c r="C6" s="3" t="s">
        <v>1274</v>
      </c>
      <c r="D6" s="2" t="str">
        <f>CONCATENATE(HYPERLINK("CALLTO:%2B356%202792%202222", "+356 2792 2222"))</f>
        <v>+356 2792 2222</v>
      </c>
      <c r="E6" s="3" t="s">
        <v>1343</v>
      </c>
      <c r="F6" s="3" t="s">
        <v>1426</v>
      </c>
    </row>
    <row r="7" spans="1:6" x14ac:dyDescent="0.3">
      <c r="A7" s="4" t="s">
        <v>1475</v>
      </c>
      <c r="B7" s="4" t="s">
        <v>1197</v>
      </c>
      <c r="C7" s="5" t="s">
        <v>1275</v>
      </c>
      <c r="D7" s="4" t="str">
        <f>CONCATENATE(HYPERLINK("CALLTO:%2B356%209993%202230", "+356 9993 2230"))</f>
        <v>+356 9993 2230</v>
      </c>
      <c r="E7" s="5" t="s">
        <v>1344</v>
      </c>
      <c r="F7" s="5" t="s">
        <v>1427</v>
      </c>
    </row>
    <row r="8" spans="1:6" x14ac:dyDescent="0.3">
      <c r="A8" s="2" t="s">
        <v>1475</v>
      </c>
      <c r="B8" s="2" t="s">
        <v>1198</v>
      </c>
      <c r="C8" s="3" t="s">
        <v>1276</v>
      </c>
      <c r="D8" s="2" t="str">
        <f>CONCATENATE(HYPERLINK("CALLTO:%2B356%202169%205438%2B35621672049%2B36579402553", "+356 2169 5438+35621672049+36579402553"))</f>
        <v>+356 2169 5438+35621672049+36579402553</v>
      </c>
      <c r="E8" s="3" t="s">
        <v>1345</v>
      </c>
      <c r="F8" s="3" t="s">
        <v>1428</v>
      </c>
    </row>
    <row r="9" spans="1:6" x14ac:dyDescent="0.3">
      <c r="A9" s="4" t="s">
        <v>1475</v>
      </c>
      <c r="B9" s="4" t="s">
        <v>1200</v>
      </c>
      <c r="C9" s="5" t="s">
        <v>1278</v>
      </c>
      <c r="D9" s="4" t="str">
        <f>CONCATENATE(HYPERLINK("CALLTO:%2B356%207921%208080", "+356 7921 8080"))</f>
        <v>+356 7921 8080</v>
      </c>
      <c r="E9" s="5" t="s">
        <v>1347</v>
      </c>
      <c r="F9" s="5" t="s">
        <v>1430</v>
      </c>
    </row>
    <row r="10" spans="1:6" x14ac:dyDescent="0.3">
      <c r="A10" s="2" t="s">
        <v>1475</v>
      </c>
      <c r="B10" s="2" t="s">
        <v>1202</v>
      </c>
      <c r="C10" s="3" t="s">
        <v>1280</v>
      </c>
      <c r="D10" s="2" t="str">
        <f>CONCATENATE(HYPERLINK("CALLTO:%2B356%202155%206021", "+356 2155 6021"))</f>
        <v>+356 2155 6021</v>
      </c>
      <c r="E10" s="3" t="s">
        <v>1349</v>
      </c>
      <c r="F10" s="3" t="s">
        <v>1432</v>
      </c>
    </row>
    <row r="11" spans="1:6" x14ac:dyDescent="0.3">
      <c r="A11" s="4" t="s">
        <v>1475</v>
      </c>
      <c r="B11" s="4" t="s">
        <v>1204</v>
      </c>
      <c r="C11" s="5" t="s">
        <v>1328</v>
      </c>
      <c r="D11" s="4" t="str">
        <f>CONCATENATE(HYPERLINK("CALLTO:%2B356%202144%205165", "+356 2144 5165"))</f>
        <v>+356 2144 5165</v>
      </c>
      <c r="E11" s="5" t="s">
        <v>1351</v>
      </c>
      <c r="F11" s="5" t="s">
        <v>1434</v>
      </c>
    </row>
    <row r="12" spans="1:6" x14ac:dyDescent="0.3">
      <c r="A12" s="2" t="s">
        <v>1475</v>
      </c>
      <c r="B12" s="2" t="s">
        <v>1205</v>
      </c>
      <c r="C12" s="3" t="s">
        <v>1283</v>
      </c>
      <c r="D12" s="2" t="str">
        <f>CONCATENATE(HYPERLINK("CALLTO:%2B356%202142%204990", "+356 2142 4990"))</f>
        <v>+356 2142 4990</v>
      </c>
      <c r="E12" s="3" t="s">
        <v>1352</v>
      </c>
      <c r="F12" s="3" t="s">
        <v>1435</v>
      </c>
    </row>
    <row r="13" spans="1:6" x14ac:dyDescent="0.3">
      <c r="A13" s="4" t="s">
        <v>1475</v>
      </c>
      <c r="B13" s="4" t="s">
        <v>1206</v>
      </c>
      <c r="C13" s="5" t="s">
        <v>1284</v>
      </c>
      <c r="D13" s="4" t="str">
        <f>CONCATENATE(HYPERLINK("CALLTO:%2B356%202148%20688399498840", "+356 2148 688399498840"))</f>
        <v>+356 2148 688399498840</v>
      </c>
      <c r="E13" s="5" t="s">
        <v>1353</v>
      </c>
      <c r="F13" s="5" t="s">
        <v>1436</v>
      </c>
    </row>
    <row r="14" spans="1:6" x14ac:dyDescent="0.3">
      <c r="A14" s="2" t="s">
        <v>1475</v>
      </c>
      <c r="B14" s="2" t="s">
        <v>1208</v>
      </c>
      <c r="C14" s="3" t="s">
        <v>1286</v>
      </c>
      <c r="D14" s="2" t="str">
        <f>CONCATENATE(HYPERLINK("CALLTO:%2B356%202148%2028602148553621495485", "+356 2148 28602148553621495485"))</f>
        <v>+356 2148 28602148553621495485</v>
      </c>
      <c r="E14" s="3" t="s">
        <v>1355</v>
      </c>
      <c r="F14" s="3" t="s">
        <v>1438</v>
      </c>
    </row>
    <row r="15" spans="1:6" x14ac:dyDescent="0.3">
      <c r="A15" s="4" t="s">
        <v>1475</v>
      </c>
      <c r="B15" s="4" t="s">
        <v>1209</v>
      </c>
      <c r="C15" s="5" t="s">
        <v>1505</v>
      </c>
      <c r="D15" s="4" t="str">
        <f>CONCATENATE(HYPERLINK("CALLTO:%2B356%202034%201569", "+356 2034 1569"))</f>
        <v>+356 2034 1569</v>
      </c>
      <c r="E15" s="5" t="s">
        <v>1356</v>
      </c>
      <c r="F15" s="5" t="s">
        <v>1439</v>
      </c>
    </row>
    <row r="16" spans="1:6" x14ac:dyDescent="0.3">
      <c r="A16" s="2" t="s">
        <v>1475</v>
      </c>
      <c r="B16" s="2" t="s">
        <v>1210</v>
      </c>
      <c r="C16" s="3" t="s">
        <v>1287</v>
      </c>
      <c r="D16" s="2" t="str">
        <f>CONCATENATE(HYPERLINK("CALLTO:%2B356%202137%201891", "+356 2137 1891"))</f>
        <v>+356 2137 1891</v>
      </c>
      <c r="E16" s="3" t="s">
        <v>1357</v>
      </c>
      <c r="F16" s="3" t="s">
        <v>1440</v>
      </c>
    </row>
    <row r="17" spans="1:6" x14ac:dyDescent="0.3">
      <c r="A17" s="4" t="s">
        <v>1475</v>
      </c>
      <c r="B17" s="4" t="s">
        <v>1211</v>
      </c>
      <c r="C17" s="5" t="s">
        <v>1288</v>
      </c>
      <c r="D17" s="4" t="str">
        <f>CONCATENATE(HYPERLINK("CALLTO:%2B356%202144%201328", "+356 2144 1328"))</f>
        <v>+356 2144 1328</v>
      </c>
      <c r="E17" s="5" t="s">
        <v>1358</v>
      </c>
      <c r="F17" s="5" t="s">
        <v>1441</v>
      </c>
    </row>
    <row r="18" spans="1:6" x14ac:dyDescent="0.3">
      <c r="A18" s="2" t="s">
        <v>1475</v>
      </c>
      <c r="B18" s="2" t="s">
        <v>1213</v>
      </c>
      <c r="C18" s="3" t="s">
        <v>1290</v>
      </c>
      <c r="D18" s="2" t="str">
        <f>CONCATENATE(HYPERLINK("CALLTO:%2B356%202144%20849979522969", "+356 2144 849979522969"))</f>
        <v>+356 2144 849979522969</v>
      </c>
      <c r="E18" s="3" t="s">
        <v>1360</v>
      </c>
      <c r="F18" s="3" t="s">
        <v>1443</v>
      </c>
    </row>
    <row r="19" spans="1:6" x14ac:dyDescent="0.3">
      <c r="A19" s="4" t="s">
        <v>1475</v>
      </c>
      <c r="B19" s="4" t="s">
        <v>1215</v>
      </c>
      <c r="C19" s="5" t="s">
        <v>1291</v>
      </c>
      <c r="D19" s="4" t="str">
        <f>CONCATENATE(HYPERLINK("CALLTO:%2B356%202144%20964121440202", "+356 2144 964121440202"))</f>
        <v>+356 2144 964121440202</v>
      </c>
      <c r="E19" s="5" t="s">
        <v>1362</v>
      </c>
      <c r="F19" s="5" t="s">
        <v>1445</v>
      </c>
    </row>
    <row r="20" spans="1:6" x14ac:dyDescent="0.3">
      <c r="A20" s="2" t="s">
        <v>1475</v>
      </c>
      <c r="B20" s="2" t="s">
        <v>1216</v>
      </c>
      <c r="C20" s="3" t="s">
        <v>1292</v>
      </c>
      <c r="D20" s="2" t="str">
        <f>CONCATENATE(HYPERLINK("CALLTO:%2B356%202278%202000", "+356 2278 2000"))</f>
        <v>+356 2278 2000</v>
      </c>
      <c r="E20" s="3" t="s">
        <v>1363</v>
      </c>
      <c r="F20" s="3" t="s">
        <v>1446</v>
      </c>
    </row>
    <row r="21" spans="1:6" x14ac:dyDescent="0.3">
      <c r="A21" s="4" t="s">
        <v>1475</v>
      </c>
      <c r="B21" s="4" t="s">
        <v>1218</v>
      </c>
      <c r="C21" s="5" t="s">
        <v>1294</v>
      </c>
      <c r="D21" s="4" t="str">
        <f>CONCATENATE(HYPERLINK("CALLTO:%2B356%202749%205590", "+356 2749 5590"))</f>
        <v>+356 2749 5590</v>
      </c>
      <c r="E21" s="5" t="s">
        <v>1365</v>
      </c>
      <c r="F21" s="5" t="s">
        <v>1448</v>
      </c>
    </row>
    <row r="22" spans="1:6" x14ac:dyDescent="0.3">
      <c r="A22" s="2" t="s">
        <v>1475</v>
      </c>
      <c r="B22" s="2" t="s">
        <v>1220</v>
      </c>
      <c r="C22" s="3" t="s">
        <v>1295</v>
      </c>
      <c r="D22" s="2" t="str">
        <f>CONCATENATE(HYPERLINK("CALLTO:%2B356%202144%200710", "+356 2144 0710"))</f>
        <v>+356 2144 0710</v>
      </c>
      <c r="E22" s="3" t="s">
        <v>1367</v>
      </c>
      <c r="F22" s="3" t="s">
        <v>1450</v>
      </c>
    </row>
    <row r="23" spans="1:6" x14ac:dyDescent="0.3">
      <c r="A23" s="4" t="s">
        <v>1475</v>
      </c>
      <c r="B23" s="4" t="s">
        <v>1246</v>
      </c>
      <c r="C23" s="5" t="s">
        <v>1283</v>
      </c>
      <c r="D23" s="4" t="str">
        <f>CONCATENATE(HYPERLINK("CALLTO:%2B356%202142%204990", "+356 2142 4990"))</f>
        <v>+356 2142 4990</v>
      </c>
      <c r="E23" s="5" t="s">
        <v>1395</v>
      </c>
      <c r="F23" s="5" t="s">
        <v>1473</v>
      </c>
    </row>
    <row r="24" spans="1:6" x14ac:dyDescent="0.3">
      <c r="A24" s="2"/>
      <c r="B24" s="2" t="s">
        <v>1494</v>
      </c>
      <c r="C24" s="3" t="s">
        <v>1506</v>
      </c>
      <c r="D24" s="2"/>
      <c r="E24" s="2"/>
      <c r="F24" s="2"/>
    </row>
    <row r="25" spans="1:6" x14ac:dyDescent="0.3">
      <c r="A25" s="4"/>
      <c r="B25" s="4" t="s">
        <v>1495</v>
      </c>
      <c r="C25" s="5" t="s">
        <v>1507</v>
      </c>
      <c r="D25" s="4"/>
      <c r="E25" s="4"/>
      <c r="F25" s="4"/>
    </row>
    <row r="26" spans="1:6" x14ac:dyDescent="0.3">
      <c r="A26" s="2"/>
      <c r="B26" s="2" t="s">
        <v>1496</v>
      </c>
      <c r="C26" s="3" t="s">
        <v>1508</v>
      </c>
      <c r="D26" s="2"/>
      <c r="E26" s="2"/>
      <c r="F26" s="2"/>
    </row>
    <row r="27" spans="1:6" x14ac:dyDescent="0.3">
      <c r="A27" s="4"/>
      <c r="B27" s="4" t="s">
        <v>1497</v>
      </c>
      <c r="C27" s="5" t="s">
        <v>1509</v>
      </c>
      <c r="D27" s="4"/>
      <c r="E27" s="4"/>
      <c r="F27" s="4"/>
    </row>
    <row r="28" spans="1:6" x14ac:dyDescent="0.3">
      <c r="A28" s="2"/>
      <c r="B28" s="2" t="s">
        <v>1498</v>
      </c>
      <c r="C28" s="3" t="s">
        <v>1511</v>
      </c>
      <c r="D28" s="2"/>
      <c r="E28" s="2"/>
      <c r="F28" s="2"/>
    </row>
    <row r="29" spans="1:6" x14ac:dyDescent="0.3">
      <c r="A29" s="4"/>
      <c r="B29" s="4" t="s">
        <v>1499</v>
      </c>
      <c r="C29" s="5" t="s">
        <v>1510</v>
      </c>
      <c r="D29" s="4"/>
      <c r="E29" s="4"/>
      <c r="F29" s="4"/>
    </row>
    <row r="30" spans="1:6" x14ac:dyDescent="0.3">
      <c r="A30" s="2"/>
      <c r="B30" s="2" t="s">
        <v>1200</v>
      </c>
      <c r="C30" s="3" t="s">
        <v>1278</v>
      </c>
      <c r="D30" s="2"/>
      <c r="E30" s="2"/>
      <c r="F30" s="2"/>
    </row>
    <row r="31" spans="1:6" x14ac:dyDescent="0.3">
      <c r="A31" s="4"/>
      <c r="B31" s="4" t="s">
        <v>1500</v>
      </c>
      <c r="C31" s="5" t="s">
        <v>1512</v>
      </c>
      <c r="D31" s="4"/>
      <c r="E31" s="4"/>
      <c r="F31" s="4"/>
    </row>
    <row r="32" spans="1:6" x14ac:dyDescent="0.3">
      <c r="A32" s="2"/>
      <c r="B32" s="2" t="s">
        <v>1501</v>
      </c>
      <c r="C32" s="3" t="s">
        <v>1513</v>
      </c>
      <c r="D32" s="2"/>
      <c r="E32" s="2"/>
      <c r="F32" s="2"/>
    </row>
    <row r="33" spans="1:6" x14ac:dyDescent="0.3">
      <c r="A33" s="4"/>
      <c r="B33" s="4" t="s">
        <v>1502</v>
      </c>
      <c r="C33" s="5" t="s">
        <v>1515</v>
      </c>
      <c r="D33" s="4"/>
      <c r="E33" s="4"/>
      <c r="F33" s="4"/>
    </row>
    <row r="34" spans="1:6" x14ac:dyDescent="0.3">
      <c r="A34" s="2"/>
      <c r="B34" s="2" t="s">
        <v>1503</v>
      </c>
      <c r="C34" s="3" t="s">
        <v>1514</v>
      </c>
      <c r="D34" s="2"/>
      <c r="E34" s="2"/>
      <c r="F34" s="2"/>
    </row>
    <row r="35" spans="1:6" x14ac:dyDescent="0.3">
      <c r="A35" s="4"/>
      <c r="B35" s="4" t="s">
        <v>1504</v>
      </c>
      <c r="C35" s="4"/>
      <c r="D35" s="4"/>
      <c r="E35" s="4"/>
      <c r="F35" s="4"/>
    </row>
  </sheetData>
  <hyperlinks>
    <hyperlink ref="C2" r:id="rId1" tooltip="Send a mail to deluxebathroomsmanagement@gmail.com" xr:uid="{00000000-0004-0000-1900-000000000000}"/>
    <hyperlink ref="C3" r:id="rId2" tooltip="Send a mail to newlineliving@gmail.com" xr:uid="{00000000-0004-0000-1900-000001000000}"/>
    <hyperlink ref="C4" r:id="rId3" tooltip="Send a mail to info@jpitre.com" xr:uid="{00000000-0004-0000-1900-000002000000}"/>
    <hyperlink ref="C5" r:id="rId4" tooltip="Send a mail to info@banjuboutique.com" xr:uid="{00000000-0004-0000-1900-000003000000}"/>
    <hyperlink ref="C6" r:id="rId5" tooltip="Send a mail to sales@bridgepoint.com.mt" xr:uid="{00000000-0004-0000-1900-000004000000}"/>
    <hyperlink ref="C7" r:id="rId6" tooltip="Send a mail to gozobaths@gmail.com" xr:uid="{00000000-0004-0000-1900-000005000000}"/>
    <hyperlink ref="C8" r:id="rId7" tooltip="Send a mail to info@alexmercieca.com" xr:uid="{00000000-0004-0000-1900-000006000000}"/>
    <hyperlink ref="C9" r:id="rId8" tooltip="Send a mail to faenzabathroomsmalta@gmail.com" xr:uid="{00000000-0004-0000-1900-000007000000}"/>
    <hyperlink ref="C10" r:id="rId9" tooltip="Send a mail to mail@afellis.com.tm" xr:uid="{00000000-0004-0000-1900-000008000000}"/>
    <hyperlink ref="C11" r:id="rId10" tooltip="Send a mail to info@vellafalzon.com" xr:uid="{00000000-0004-0000-1900-000009000000}"/>
    <hyperlink ref="C12" r:id="rId11" tooltip="Send a mail to info@vellmann.com" xr:uid="{00000000-0004-0000-1900-00000A000000}"/>
    <hyperlink ref="C13" r:id="rId12" tooltip="Send a mail to info@magribathrooms.com" xr:uid="{00000000-0004-0000-1900-00000B000000}"/>
    <hyperlink ref="C14" r:id="rId13" tooltip="Send a mail to info@falzons.com" xr:uid="{00000000-0004-0000-1900-00000C000000}"/>
    <hyperlink ref="C15" r:id="rId14" tooltip="Send a mail to sales@maltadiy.com" xr:uid="{00000000-0004-0000-1900-00000D000000}"/>
    <hyperlink ref="C16" r:id="rId15" tooltip="Send a mail to info@the-tile.com" xr:uid="{00000000-0004-0000-1900-00000E000000}"/>
    <hyperlink ref="C17" r:id="rId16" tooltip="Send a mail to info@bathroomdesign.com.mt" xr:uid="{00000000-0004-0000-1900-00000F000000}"/>
    <hyperlink ref="C18" r:id="rId17" tooltip="Send a mail to sales@thetubmalta.com" xr:uid="{00000000-0004-0000-1900-000010000000}"/>
    <hyperlink ref="C19" r:id="rId18" tooltip="Send a mail to sales@carinibathrooms.com" xr:uid="{00000000-0004-0000-1900-000011000000}"/>
    <hyperlink ref="C20" r:id="rId19" tooltip="Send a mail to info@waterartconcepts.com" xr:uid="{00000000-0004-0000-1900-000012000000}"/>
    <hyperlink ref="C21" r:id="rId20" tooltip="Send a mail to bc.bathrooms@gmail.com" xr:uid="{00000000-0004-0000-1900-000013000000}"/>
    <hyperlink ref="C22" r:id="rId21" tooltip="Send a mail to info@bmsupplies.com" xr:uid="{00000000-0004-0000-1900-000014000000}"/>
    <hyperlink ref="C23" r:id="rId22" tooltip="Send a mail to info@vellmann.com" xr:uid="{00000000-0004-0000-1900-000015000000}"/>
    <hyperlink ref="C24" r:id="rId23" tooltip="Send a mail to info@dolphinpools.com.mt" xr:uid="{00000000-0004-0000-1900-000016000000}"/>
    <hyperlink ref="C25" r:id="rId24" tooltip="Send a mail to mail@afellis.com.mt" xr:uid="{00000000-0004-0000-1900-000017000000}"/>
    <hyperlink ref="C26" r:id="rId25" tooltip="Send a mail to pools@muscatpools.com" xr:uid="{00000000-0004-0000-1900-000018000000}"/>
    <hyperlink ref="C27" r:id="rId26" tooltip="Send a mail to rodneycolombo@gmail.com" xr:uid="{00000000-0004-0000-1900-000019000000}"/>
    <hyperlink ref="C28" r:id="rId27" tooltip="Send a mail to info@splashstoremalta.com" xr:uid="{00000000-0004-0000-1900-00001A000000}"/>
    <hyperlink ref="C29" r:id="rId28" tooltip="Send a mail to info@crystalpools.com.mt" xr:uid="{00000000-0004-0000-1900-00001B000000}"/>
    <hyperlink ref="C30" r:id="rId29" tooltip="Send a mail to faenzabathroomsmalta@gmail.com" xr:uid="{00000000-0004-0000-1900-00001C000000}"/>
    <hyperlink ref="C31" r:id="rId30" tooltip="Send a mail to shop@hometrends.com.mt" xr:uid="{00000000-0004-0000-1900-00001D000000}"/>
    <hyperlink ref="C32" r:id="rId31" tooltip="Send a mail to sales@casafini.com.mt" xr:uid="{00000000-0004-0000-1900-00001E000000}"/>
    <hyperlink ref="C33" r:id="rId32" tooltip="Send a mail to info@bigmatmalta.com" xr:uid="{00000000-0004-0000-1900-00001F000000}"/>
    <hyperlink ref="C34" r:id="rId33" tooltip="Send a mail to info@thegreatoutdoorsmalta.com" xr:uid="{00000000-0004-0000-1900-000020000000}"/>
    <hyperlink ref="E2" r:id="rId34" tooltip="Search Triq Benghazi, Ghajnsielem-Gozo, GSM 1624 on Google Maps" xr:uid="{00000000-0004-0000-1900-000021000000}"/>
    <hyperlink ref="E3" r:id="rId35" tooltip="Search Triq Papa Gwanni Pawlu II, Victoria-Gozo, Gozo VCT 9046 on Google Maps" xr:uid="{00000000-0004-0000-1900-000022000000}"/>
    <hyperlink ref="E4" r:id="rId36" tooltip="Search Mdina Road, Qormi, QRM 9011, Malta on Google Maps" xr:uid="{00000000-0004-0000-1900-000023000000}"/>
    <hyperlink ref="E5" r:id="rId37" tooltip="Search Paola Outlet Arcade Street, Paola PLA1212 on Google Maps" xr:uid="{00000000-0004-0000-1900-000024000000}"/>
    <hyperlink ref="E6" r:id="rId38" tooltip="Search No 3, Triq Ferdinand Inglott, Attard ATD 3134 on Google Maps" xr:uid="{00000000-0004-0000-1900-000025000000}"/>
    <hyperlink ref="E7" r:id="rId39" tooltip="Search Triq Dun Karm, Birkirkara, Malta on Google Maps" xr:uid="{00000000-0004-0000-1900-000026000000}"/>
    <hyperlink ref="E8" r:id="rId40" tooltip="Search 25th November Avenue, Zejtun, ZTN2019 on Google Maps" xr:uid="{00000000-0004-0000-1900-000027000000}"/>
    <hyperlink ref="E9" r:id="rId41" tooltip="Search 7 Triq I-Erba' Qaddisin on Google Maps" xr:uid="{00000000-0004-0000-1900-000028000000}"/>
    <hyperlink ref="E10" r:id="rId42" tooltip="Search Triq il-Taflija Qasam Industrijali, Xewkija-Gozo, Gozo XWK 3000 on Google Maps" xr:uid="{00000000-0004-0000-1900-000029000000}"/>
    <hyperlink ref="E11" r:id="rId43" tooltip="Search 13, Triq il-Furnar Qormi QRM 3504, Malta on Google Maps" xr:uid="{00000000-0004-0000-1900-00002A000000}"/>
    <hyperlink ref="E12" r:id="rId44" tooltip="Search Pantar Road Hal Lija LJA, 2023 on Google Maps" xr:uid="{00000000-0004-0000-1900-00002B000000}"/>
    <hyperlink ref="E13" r:id="rId45" tooltip="Search Triq il-Kanun, al Qormi, Malta on Google Maps" xr:uid="{00000000-0004-0000-1900-00002C000000}"/>
    <hyperlink ref="E14" r:id="rId46" tooltip="Search Falzon's Bathroom &amp; Ceramics, Triq il-Kummerc, Qormi, Malta on Google Maps" xr:uid="{00000000-0004-0000-1900-00002D000000}"/>
    <hyperlink ref="E15" r:id="rId47" tooltip="Search 160, Mdina Road, Zebbug ZBG9015 on Google Maps" xr:uid="{00000000-0004-0000-1900-00002E000000}"/>
    <hyperlink ref="E16" r:id="rId48" tooltip="Search Triq Bella Vista, San Gwann, Malta SGN 2690 on Google Maps" xr:uid="{00000000-0004-0000-1900-00002F000000}"/>
    <hyperlink ref="E17" r:id="rId49" tooltip="Search 356 Naxxar Road, B'Kara, BKR 9040, Malta on Google Maps" xr:uid="{00000000-0004-0000-1900-000030000000}"/>
    <hyperlink ref="E18" r:id="rId50" tooltip="Search 313A, Triq il-Barrieri, St Venera on Google Maps" xr:uid="{00000000-0004-0000-1900-000031000000}"/>
    <hyperlink ref="E19" r:id="rId51" tooltip="Search 435 St. Joseph High Road, St. Venera, Malta on Google Maps" xr:uid="{00000000-0004-0000-1900-000032000000}"/>
    <hyperlink ref="E20" r:id="rId52" tooltip="Search Mill Street, Qormi QRM 3102, Malta on Google Maps" xr:uid="{00000000-0004-0000-1900-000033000000}"/>
    <hyperlink ref="E21" r:id="rId53" tooltip="Search Triq Dun Karm, B'Kara Bypass, Birkirkara BKR 2940 on Google Maps" xr:uid="{00000000-0004-0000-1900-000034000000}"/>
    <hyperlink ref="E22" r:id="rId54" tooltip="Search Triq Dun Karm, Kirkirkara, BKR 9035 on Google Maps" xr:uid="{00000000-0004-0000-1900-000035000000}"/>
    <hyperlink ref="E23" r:id="rId55" tooltip="Search Pantar Estate Triq Pantar on Google Maps" xr:uid="{00000000-0004-0000-1900-000036000000}"/>
    <hyperlink ref="F2" r:id="rId56" tooltip="Visit deluxe-bathrooms.com" xr:uid="{00000000-0004-0000-1900-000037000000}"/>
    <hyperlink ref="F3" r:id="rId57" tooltip="Visit newline.com.mt" xr:uid="{00000000-0004-0000-1900-000038000000}"/>
    <hyperlink ref="F4" r:id="rId58" tooltip="Visit pitrebathrooms.com" xr:uid="{00000000-0004-0000-1900-000039000000}"/>
    <hyperlink ref="F5" r:id="rId59" tooltip="Visit banjuboutique.com" xr:uid="{00000000-0004-0000-1900-00003A000000}"/>
    <hyperlink ref="F6" r:id="rId60" tooltip="Visit bridgepoint.com" xr:uid="{00000000-0004-0000-1900-00003B000000}"/>
    <hyperlink ref="F7" r:id="rId61" tooltip="Visit facebook.com/p/Gozo-Baths-Ceramics-100063540523723/" xr:uid="{00000000-0004-0000-1900-00003C000000}"/>
    <hyperlink ref="F8" r:id="rId62" tooltip="Visit alexmercieca.com" xr:uid="{00000000-0004-0000-1900-00003D000000}"/>
    <hyperlink ref="F9" r:id="rId63" tooltip="Visit faenzabathrooms.com" xr:uid="{00000000-0004-0000-1900-00003E000000}"/>
    <hyperlink ref="F10" r:id="rId64" tooltip="Visit afellis.com.mt" xr:uid="{00000000-0004-0000-1900-00003F000000}"/>
    <hyperlink ref="F11" r:id="rId65" tooltip="Visit wvellafalzon.com" xr:uid="{00000000-0004-0000-1900-000040000000}"/>
    <hyperlink ref="F12" r:id="rId66" tooltip="Visit vellmann.com" xr:uid="{00000000-0004-0000-1900-000041000000}"/>
    <hyperlink ref="F13" r:id="rId67" tooltip="Visit magribathrooms.com" xr:uid="{00000000-0004-0000-1900-000042000000}"/>
    <hyperlink ref="F14" r:id="rId68" tooltip="Visit falzons.com" xr:uid="{00000000-0004-0000-1900-000043000000}"/>
    <hyperlink ref="F15" r:id="rId69" tooltip="Visit maltadiy.com" xr:uid="{00000000-0004-0000-1900-000044000000}"/>
    <hyperlink ref="F16" r:id="rId70" tooltip="Visit the-tile.com" xr:uid="{00000000-0004-0000-1900-000045000000}"/>
    <hyperlink ref="F17" r:id="rId71" tooltip="Visit bathroomdesign.com.mt" xr:uid="{00000000-0004-0000-1900-000046000000}"/>
    <hyperlink ref="F18" r:id="rId72" tooltip="Visit thetub.com" xr:uid="{00000000-0004-0000-1900-000047000000}"/>
    <hyperlink ref="F19" r:id="rId73" tooltip="Visit carinibathrooms.com" xr:uid="{00000000-0004-0000-1900-000048000000}"/>
    <hyperlink ref="F20" r:id="rId74" tooltip="Visit waterartconcepts.com" xr:uid="{00000000-0004-0000-1900-000049000000}"/>
    <hyperlink ref="F21" r:id="rId75" tooltip="Visit bc-bathrooms.com" xr:uid="{00000000-0004-0000-1900-00004A000000}"/>
    <hyperlink ref="F22" r:id="rId76" tooltip="Visit bmsupplies.com" xr:uid="{00000000-0004-0000-1900-00004B000000}"/>
    <hyperlink ref="F23" r:id="rId77" tooltip="Visit facebook.com/Vellmann/" xr:uid="{00000000-0004-0000-1900-00004C000000}"/>
  </hyperlink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20"/>
  <sheetViews>
    <sheetView workbookViewId="0"/>
  </sheetViews>
  <sheetFormatPr defaultRowHeight="14.4" x14ac:dyDescent="0.3"/>
  <cols>
    <col min="1" max="1" width="11.6640625" customWidth="1"/>
    <col min="2" max="2" width="42.88671875" customWidth="1"/>
    <col min="3" max="3" width="34.5546875" customWidth="1"/>
    <col min="4" max="4" width="23" customWidth="1"/>
    <col min="5" max="5" width="76.33203125" customWidth="1"/>
    <col min="6" max="6" width="65.44140625" customWidth="1"/>
  </cols>
  <sheetData>
    <row r="1" spans="1:6" ht="18" x14ac:dyDescent="0.35">
      <c r="A1" s="1" t="s">
        <v>1516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0</v>
      </c>
      <c r="B2" s="2" t="s">
        <v>1522</v>
      </c>
      <c r="C2" s="3" t="s">
        <v>1608</v>
      </c>
      <c r="D2" s="2" t="str">
        <f>CONCATENATE(HYPERLINK("CALLTO:%2B356%202141%205553", "+356 2141 5553"))</f>
        <v>+356 2141 5553</v>
      </c>
      <c r="E2" s="3" t="s">
        <v>1687</v>
      </c>
      <c r="F2" s="3" t="s">
        <v>1780</v>
      </c>
    </row>
    <row r="3" spans="1:6" x14ac:dyDescent="0.3">
      <c r="A3" s="4" t="s">
        <v>1517</v>
      </c>
      <c r="B3" s="4" t="s">
        <v>1523</v>
      </c>
      <c r="C3" s="5" t="s">
        <v>1609</v>
      </c>
      <c r="D3" s="4" t="str">
        <f>CONCATENATE(HYPERLINK("CALLTO:%2B356%202149%206473", "+356 2149 6473"))</f>
        <v>+356 2149 6473</v>
      </c>
      <c r="E3" s="5" t="s">
        <v>1688</v>
      </c>
      <c r="F3" s="5" t="s">
        <v>1781</v>
      </c>
    </row>
    <row r="4" spans="1:6" x14ac:dyDescent="0.3">
      <c r="A4" s="2" t="s">
        <v>1517</v>
      </c>
      <c r="B4" s="2" t="s">
        <v>1524</v>
      </c>
      <c r="C4" s="3" t="s">
        <v>1610</v>
      </c>
      <c r="D4" s="2" t="str">
        <f>CONCATENATE(HYPERLINK("CALLTO:%2B356%207904%209970", "+356 7904 9970"))</f>
        <v>+356 7904 9970</v>
      </c>
      <c r="E4" s="3" t="s">
        <v>1689</v>
      </c>
      <c r="F4" s="3" t="s">
        <v>1782</v>
      </c>
    </row>
    <row r="5" spans="1:6" x14ac:dyDescent="0.3">
      <c r="A5" s="4" t="s">
        <v>1517</v>
      </c>
      <c r="B5" s="4" t="s">
        <v>1525</v>
      </c>
      <c r="C5" s="5" t="s">
        <v>1611</v>
      </c>
      <c r="D5" s="4" t="str">
        <f>CONCATENATE(HYPERLINK("CALLTO:%2B356%202123%20215927232159", "+356 2123 215927232159"))</f>
        <v>+356 2123 215927232159</v>
      </c>
      <c r="E5" s="5" t="s">
        <v>1690</v>
      </c>
      <c r="F5" s="5" t="s">
        <v>1783</v>
      </c>
    </row>
    <row r="6" spans="1:6" x14ac:dyDescent="0.3">
      <c r="A6" s="2" t="s">
        <v>1517</v>
      </c>
      <c r="B6" s="2" t="s">
        <v>1526</v>
      </c>
      <c r="C6" s="3" t="s">
        <v>1612</v>
      </c>
      <c r="D6" s="2" t="str">
        <f>CONCATENATE(HYPERLINK("CALLTO:%2B356%202166%201317", "+356 2166 1317"))</f>
        <v>+356 2166 1317</v>
      </c>
      <c r="E6" s="3" t="s">
        <v>1691</v>
      </c>
      <c r="F6" s="3" t="s">
        <v>1784</v>
      </c>
    </row>
    <row r="7" spans="1:6" x14ac:dyDescent="0.3">
      <c r="A7" s="4" t="s">
        <v>1517</v>
      </c>
      <c r="B7" s="4" t="s">
        <v>1527</v>
      </c>
      <c r="C7" s="5" t="s">
        <v>1613</v>
      </c>
      <c r="D7" s="4" t="str">
        <f>CONCATENATE(HYPERLINK("CALLTO:%2B356%202155%201500", "+356 2155 1500"))</f>
        <v>+356 2155 1500</v>
      </c>
      <c r="E7" s="5" t="s">
        <v>1692</v>
      </c>
      <c r="F7" s="4" t="s">
        <v>146</v>
      </c>
    </row>
    <row r="8" spans="1:6" x14ac:dyDescent="0.3">
      <c r="A8" s="2" t="s">
        <v>1517</v>
      </c>
      <c r="B8" s="2" t="s">
        <v>1528</v>
      </c>
      <c r="C8" s="3" t="s">
        <v>1614</v>
      </c>
      <c r="D8" s="2" t="str">
        <f>CONCATENATE(HYPERLINK("CALLTO:%2B356%202144%205607", "+356 2144 5607"))</f>
        <v>+356 2144 5607</v>
      </c>
      <c r="E8" s="3" t="s">
        <v>1693</v>
      </c>
      <c r="F8" s="3" t="s">
        <v>1785</v>
      </c>
    </row>
    <row r="9" spans="1:6" x14ac:dyDescent="0.3">
      <c r="A9" s="4" t="s">
        <v>1517</v>
      </c>
      <c r="B9" s="4" t="s">
        <v>1529</v>
      </c>
      <c r="C9" s="5" t="s">
        <v>1615</v>
      </c>
      <c r="D9" s="4" t="str">
        <f>CONCATENATE(HYPERLINK("CALLTO:%2B356%202742%204632", "+356 2742 4632"))</f>
        <v>+356 2742 4632</v>
      </c>
      <c r="E9" s="5" t="s">
        <v>1694</v>
      </c>
      <c r="F9" s="5" t="s">
        <v>1786</v>
      </c>
    </row>
    <row r="10" spans="1:6" x14ac:dyDescent="0.3">
      <c r="A10" s="2" t="s">
        <v>1517</v>
      </c>
      <c r="B10" s="2" t="s">
        <v>1530</v>
      </c>
      <c r="C10" s="3" t="s">
        <v>1616</v>
      </c>
      <c r="D10" s="2" t="str">
        <f>CONCATENATE(HYPERLINK("CALLTO:%2B356%202146%203501", "+356 2146 3501"))</f>
        <v>+356 2146 3501</v>
      </c>
      <c r="E10" s="3" t="s">
        <v>1695</v>
      </c>
      <c r="F10" s="3" t="s">
        <v>1787</v>
      </c>
    </row>
    <row r="11" spans="1:6" x14ac:dyDescent="0.3">
      <c r="A11" s="4" t="s">
        <v>1517</v>
      </c>
      <c r="B11" s="4" t="s">
        <v>1217</v>
      </c>
      <c r="C11" s="5" t="s">
        <v>1293</v>
      </c>
      <c r="D11" s="4" t="str">
        <f>CONCATENATE(HYPERLINK("CALLTO:%2B356%202713%207364", "+356 2713 7364"))</f>
        <v>+356 2713 7364</v>
      </c>
      <c r="E11" s="5" t="s">
        <v>1696</v>
      </c>
      <c r="F11" s="5" t="s">
        <v>1447</v>
      </c>
    </row>
    <row r="12" spans="1:6" x14ac:dyDescent="0.3">
      <c r="A12" s="2" t="s">
        <v>1517</v>
      </c>
      <c r="B12" s="2" t="s">
        <v>1531</v>
      </c>
      <c r="C12" s="3" t="s">
        <v>1617</v>
      </c>
      <c r="D12" s="2" t="str">
        <f>CONCATENATE(HYPERLINK("CALLTO:%2B356%202124%200100", "+356 2124 0100"))</f>
        <v>+356 2124 0100</v>
      </c>
      <c r="E12" s="3" t="s">
        <v>1697</v>
      </c>
      <c r="F12" s="3" t="s">
        <v>1788</v>
      </c>
    </row>
    <row r="13" spans="1:6" x14ac:dyDescent="0.3">
      <c r="A13" s="4" t="s">
        <v>1517</v>
      </c>
      <c r="B13" s="4" t="s">
        <v>1532</v>
      </c>
      <c r="C13" s="5" t="s">
        <v>1618</v>
      </c>
      <c r="D13" s="4" t="str">
        <f>CONCATENATE(HYPERLINK("CALLTO:%2B356%202146%201961", "+356 2146 1961"))</f>
        <v>+356 2146 1961</v>
      </c>
      <c r="E13" s="5" t="s">
        <v>1698</v>
      </c>
      <c r="F13" s="5" t="s">
        <v>1789</v>
      </c>
    </row>
    <row r="14" spans="1:6" x14ac:dyDescent="0.3">
      <c r="A14" s="2" t="s">
        <v>1517</v>
      </c>
      <c r="B14" s="2" t="s">
        <v>1533</v>
      </c>
      <c r="C14" s="3" t="s">
        <v>1619</v>
      </c>
      <c r="D14" s="2" t="str">
        <f>CONCATENATE(HYPERLINK("CALLTO:%2B356%202144%209253", "+356 2144 9253"))</f>
        <v>+356 2144 9253</v>
      </c>
      <c r="E14" s="3" t="s">
        <v>1699</v>
      </c>
      <c r="F14" s="3" t="s">
        <v>1790</v>
      </c>
    </row>
    <row r="15" spans="1:6" x14ac:dyDescent="0.3">
      <c r="A15" s="4" t="s">
        <v>1517</v>
      </c>
      <c r="B15" s="4" t="s">
        <v>1071</v>
      </c>
      <c r="C15" s="5" t="s">
        <v>1078</v>
      </c>
      <c r="D15" s="4" t="str">
        <f>CONCATENATE(HYPERLINK("CALLTO:%2B356%202138%20768679387690", "+356 2138 768679387690"))</f>
        <v>+356 2138 768679387690</v>
      </c>
      <c r="E15" s="5" t="s">
        <v>1700</v>
      </c>
      <c r="F15" s="5" t="s">
        <v>1791</v>
      </c>
    </row>
    <row r="16" spans="1:6" x14ac:dyDescent="0.3">
      <c r="A16" s="2" t="s">
        <v>1517</v>
      </c>
      <c r="B16" s="2" t="s">
        <v>1534</v>
      </c>
      <c r="C16" s="3" t="s">
        <v>1620</v>
      </c>
      <c r="D16" s="2" t="str">
        <f>CONCATENATE(HYPERLINK("CALLTO:%2B356%207977%201054", "+356 7977 1054"))</f>
        <v>+356 7977 1054</v>
      </c>
      <c r="E16" s="3" t="s">
        <v>1701</v>
      </c>
      <c r="F16" s="3" t="s">
        <v>1792</v>
      </c>
    </row>
    <row r="17" spans="1:6" x14ac:dyDescent="0.3">
      <c r="A17" s="4" t="s">
        <v>1517</v>
      </c>
      <c r="B17" s="4" t="s">
        <v>1535</v>
      </c>
      <c r="C17" s="5" t="s">
        <v>1621</v>
      </c>
      <c r="D17" s="4" t="str">
        <f>CONCATENATE(HYPERLINK("CALLTO:%2B356%202799%205234", "+356 2799 5234"))</f>
        <v>+356 2799 5234</v>
      </c>
      <c r="E17" s="5" t="s">
        <v>1702</v>
      </c>
      <c r="F17" s="5" t="s">
        <v>1793</v>
      </c>
    </row>
    <row r="18" spans="1:6" x14ac:dyDescent="0.3">
      <c r="A18" s="2" t="s">
        <v>1517</v>
      </c>
      <c r="B18" s="2" t="s">
        <v>1536</v>
      </c>
      <c r="C18" s="3" t="s">
        <v>1622</v>
      </c>
      <c r="D18" s="2" t="str">
        <f>CONCATENATE(HYPERLINK("CALLTO:%2B356%202546%204000", "+356 2546 4000"))</f>
        <v>+356 2546 4000</v>
      </c>
      <c r="E18" s="3" t="s">
        <v>1703</v>
      </c>
      <c r="F18" s="3" t="s">
        <v>1794</v>
      </c>
    </row>
    <row r="19" spans="1:6" x14ac:dyDescent="0.3">
      <c r="A19" s="4" t="s">
        <v>1517</v>
      </c>
      <c r="B19" s="4" t="s">
        <v>1537</v>
      </c>
      <c r="C19" s="5" t="s">
        <v>1623</v>
      </c>
      <c r="D19" s="4" t="str">
        <f>CONCATENATE(HYPERLINK("CALLTO:%2B356%202143%204747", "+356 2143 4747"))</f>
        <v>+356 2143 4747</v>
      </c>
      <c r="E19" s="5" t="s">
        <v>1704</v>
      </c>
      <c r="F19" s="5" t="s">
        <v>1795</v>
      </c>
    </row>
    <row r="20" spans="1:6" x14ac:dyDescent="0.3">
      <c r="A20" s="2" t="s">
        <v>1517</v>
      </c>
      <c r="B20" s="2" t="s">
        <v>1538</v>
      </c>
      <c r="C20" s="3" t="s">
        <v>1624</v>
      </c>
      <c r="D20" s="2" t="str">
        <f>CONCATENATE(HYPERLINK("CALLTO:%2B356%202549%205000", "+356 2549 5000"))</f>
        <v>+356 2549 5000</v>
      </c>
      <c r="E20" s="3" t="s">
        <v>1705</v>
      </c>
      <c r="F20" s="3" t="s">
        <v>1796</v>
      </c>
    </row>
    <row r="21" spans="1:6" x14ac:dyDescent="0.3">
      <c r="A21" s="4" t="s">
        <v>1517</v>
      </c>
      <c r="B21" s="4" t="s">
        <v>1539</v>
      </c>
      <c r="C21" s="5" t="s">
        <v>1296</v>
      </c>
      <c r="D21" s="4" t="str">
        <f>CONCATENATE(HYPERLINK("CALLTO:%2B356%202549%203000", "+356 2549 3000"))</f>
        <v>+356 2549 3000</v>
      </c>
      <c r="E21" s="5" t="s">
        <v>1706</v>
      </c>
      <c r="F21" s="5" t="s">
        <v>1451</v>
      </c>
    </row>
    <row r="22" spans="1:6" x14ac:dyDescent="0.3">
      <c r="A22" s="2" t="s">
        <v>1517</v>
      </c>
      <c r="B22" s="2" t="s">
        <v>955</v>
      </c>
      <c r="C22" s="3" t="s">
        <v>1625</v>
      </c>
      <c r="D22" s="2" t="str">
        <f>CONCATENATE(HYPERLINK("CALLTO:%2B356%202326%202700", "+356 2326 2700"))</f>
        <v>+356 2326 2700</v>
      </c>
      <c r="E22" s="3" t="s">
        <v>1707</v>
      </c>
      <c r="F22" s="3" t="s">
        <v>1797</v>
      </c>
    </row>
    <row r="23" spans="1:6" x14ac:dyDescent="0.3">
      <c r="A23" s="4" t="s">
        <v>1517</v>
      </c>
      <c r="B23" s="4" t="s">
        <v>1540</v>
      </c>
      <c r="C23" s="5" t="s">
        <v>1626</v>
      </c>
      <c r="D23" s="4" t="str">
        <f>CONCATENATE(HYPERLINK("CALLTO:%2B356%202148%204992", "+356 2148 4992"))</f>
        <v>+356 2148 4992</v>
      </c>
      <c r="E23" s="5" t="s">
        <v>1708</v>
      </c>
      <c r="F23" s="5" t="s">
        <v>1798</v>
      </c>
    </row>
    <row r="24" spans="1:6" x14ac:dyDescent="0.3">
      <c r="A24" s="2" t="s">
        <v>1517</v>
      </c>
      <c r="B24" s="2" t="s">
        <v>1541</v>
      </c>
      <c r="C24" s="3" t="s">
        <v>1627</v>
      </c>
      <c r="D24" s="2" t="str">
        <f>CONCATENATE(HYPERLINK("CALLTO:%2B356%202166%206488", "+356 2166 6488"))</f>
        <v>+356 2166 6488</v>
      </c>
      <c r="E24" s="3" t="s">
        <v>1709</v>
      </c>
      <c r="F24" s="3" t="s">
        <v>1799</v>
      </c>
    </row>
    <row r="25" spans="1:6" x14ac:dyDescent="0.3">
      <c r="A25" s="4" t="s">
        <v>1517</v>
      </c>
      <c r="B25" s="4" t="s">
        <v>1542</v>
      </c>
      <c r="C25" s="5" t="s">
        <v>1628</v>
      </c>
      <c r="D25" s="4" t="str">
        <f>CONCATENATE(HYPERLINK("CALLTO:%2B356%202164%202343", "+356 2164 2343"))</f>
        <v>+356 2164 2343</v>
      </c>
      <c r="E25" s="5" t="s">
        <v>1710</v>
      </c>
      <c r="F25" s="5" t="s">
        <v>1800</v>
      </c>
    </row>
    <row r="26" spans="1:6" x14ac:dyDescent="0.3">
      <c r="A26" s="2" t="s">
        <v>1517</v>
      </c>
      <c r="B26" s="2" t="s">
        <v>1543</v>
      </c>
      <c r="C26" s="2" t="s">
        <v>146</v>
      </c>
      <c r="D26" s="2" t="str">
        <f>CONCATENATE(HYPERLINK("CALLTO:%2B356%202133%20363821333639", "+356 2133 363821333639"))</f>
        <v>+356 2133 363821333639</v>
      </c>
      <c r="E26" s="3" t="s">
        <v>1711</v>
      </c>
      <c r="F26" s="3" t="s">
        <v>1801</v>
      </c>
    </row>
    <row r="27" spans="1:6" x14ac:dyDescent="0.3">
      <c r="A27" s="4" t="s">
        <v>1517</v>
      </c>
      <c r="B27" s="4" t="s">
        <v>1544</v>
      </c>
      <c r="C27" s="5" t="s">
        <v>1629</v>
      </c>
      <c r="D27" s="4" t="str">
        <f>CONCATENATE(HYPERLINK("CALLTO:%2B356%202131%206678", "+356 2131 6678"))</f>
        <v>+356 2131 6678</v>
      </c>
      <c r="E27" s="5" t="s">
        <v>1712</v>
      </c>
      <c r="F27" s="5" t="s">
        <v>1802</v>
      </c>
    </row>
    <row r="28" spans="1:6" x14ac:dyDescent="0.3">
      <c r="A28" s="2" t="s">
        <v>1517</v>
      </c>
      <c r="B28" s="2" t="s">
        <v>1545</v>
      </c>
      <c r="C28" s="3" t="s">
        <v>1630</v>
      </c>
      <c r="D28" s="2" t="str">
        <f>CONCATENATE(HYPERLINK("CALLTO:%2B356%202141%20796779300135", "+356 2141 796779300135"))</f>
        <v>+356 2141 796779300135</v>
      </c>
      <c r="E28" s="3" t="s">
        <v>1713</v>
      </c>
      <c r="F28" s="3" t="s">
        <v>1803</v>
      </c>
    </row>
    <row r="29" spans="1:6" x14ac:dyDescent="0.3">
      <c r="A29" s="4" t="s">
        <v>1517</v>
      </c>
      <c r="B29" s="4" t="s">
        <v>1546</v>
      </c>
      <c r="C29" s="5" t="s">
        <v>1631</v>
      </c>
      <c r="D29" s="4" t="str">
        <f>CONCATENATE(HYPERLINK("CALLTO:%2B356%202122%20025821234453", "+356 2122 025821234453"))</f>
        <v>+356 2122 025821234453</v>
      </c>
      <c r="E29" s="5" t="s">
        <v>1714</v>
      </c>
      <c r="F29" s="5" t="s">
        <v>1804</v>
      </c>
    </row>
    <row r="30" spans="1:6" x14ac:dyDescent="0.3">
      <c r="A30" s="2" t="s">
        <v>1517</v>
      </c>
      <c r="B30" s="2" t="s">
        <v>1547</v>
      </c>
      <c r="C30" s="3" t="s">
        <v>1632</v>
      </c>
      <c r="D30" s="2" t="str">
        <f>CONCATENATE(HYPERLINK("CALLTO:%2B356%207710%205385", "+356 7710 5385"))</f>
        <v>+356 7710 5385</v>
      </c>
      <c r="E30" s="3" t="s">
        <v>1715</v>
      </c>
      <c r="F30" s="3" t="s">
        <v>1805</v>
      </c>
    </row>
    <row r="31" spans="1:6" x14ac:dyDescent="0.3">
      <c r="A31" s="4" t="s">
        <v>1517</v>
      </c>
      <c r="B31" s="4" t="s">
        <v>1548</v>
      </c>
      <c r="C31" s="5" t="s">
        <v>1633</v>
      </c>
      <c r="D31" s="4" t="str">
        <f>CONCATENATE(HYPERLINK("CALLTO:%2B356%202131%200334", "+356 2131 0334"))</f>
        <v>+356 2131 0334</v>
      </c>
      <c r="E31" s="5" t="s">
        <v>1716</v>
      </c>
      <c r="F31" s="5" t="s">
        <v>1806</v>
      </c>
    </row>
    <row r="32" spans="1:6" x14ac:dyDescent="0.3">
      <c r="A32" s="2" t="s">
        <v>1517</v>
      </c>
      <c r="B32" s="2" t="s">
        <v>1549</v>
      </c>
      <c r="C32" s="3" t="s">
        <v>1634</v>
      </c>
      <c r="D32" s="2" t="str">
        <f>CONCATENATE(HYPERLINK("CALLTO:%2B356%202189%200459", "+356 2189 0459"))</f>
        <v>+356 2189 0459</v>
      </c>
      <c r="E32" s="3" t="s">
        <v>1717</v>
      </c>
      <c r="F32" s="3" t="s">
        <v>1807</v>
      </c>
    </row>
    <row r="33" spans="1:6" x14ac:dyDescent="0.3">
      <c r="A33" s="4" t="s">
        <v>1517</v>
      </c>
      <c r="B33" s="4" t="s">
        <v>1550</v>
      </c>
      <c r="C33" s="5" t="s">
        <v>1635</v>
      </c>
      <c r="D33" s="4" t="str">
        <f>CONCATENATE(HYPERLINK("CALLTO:%2B356%202095%209595", "+356 2095 9595"))</f>
        <v>+356 2095 9595</v>
      </c>
      <c r="E33" s="5" t="s">
        <v>1718</v>
      </c>
      <c r="F33" s="5" t="s">
        <v>1808</v>
      </c>
    </row>
    <row r="34" spans="1:6" x14ac:dyDescent="0.3">
      <c r="A34" s="2" t="s">
        <v>1517</v>
      </c>
      <c r="B34" s="2" t="s">
        <v>1551</v>
      </c>
      <c r="C34" s="3" t="s">
        <v>1636</v>
      </c>
      <c r="D34" s="2" t="str">
        <f>CONCATENATE(HYPERLINK("CALLTO:%2B356%202149%209699", "+356 2149 9699"))</f>
        <v>+356 2149 9699</v>
      </c>
      <c r="E34" s="3" t="s">
        <v>1719</v>
      </c>
      <c r="F34" s="3" t="s">
        <v>1809</v>
      </c>
    </row>
    <row r="35" spans="1:6" x14ac:dyDescent="0.3">
      <c r="A35" s="4" t="s">
        <v>1517</v>
      </c>
      <c r="B35" s="4" t="s">
        <v>1552</v>
      </c>
      <c r="C35" s="5" t="s">
        <v>1637</v>
      </c>
      <c r="D35" s="4" t="str">
        <f>CONCATENATE(HYPERLINK("CALLTO:%2B356%202165%208358", "+356 2165 8358"))</f>
        <v>+356 2165 8358</v>
      </c>
      <c r="E35" s="5" t="s">
        <v>1720</v>
      </c>
      <c r="F35" s="5" t="s">
        <v>1810</v>
      </c>
    </row>
    <row r="36" spans="1:6" x14ac:dyDescent="0.3">
      <c r="A36" s="2" t="s">
        <v>1517</v>
      </c>
      <c r="B36" s="2" t="s">
        <v>1553</v>
      </c>
      <c r="C36" s="3" t="s">
        <v>1638</v>
      </c>
      <c r="D36" s="2" t="str">
        <f>CONCATENATE(HYPERLINK("CALLTO:%2B356%202152%203853", "+356 2152 3853"))</f>
        <v>+356 2152 3853</v>
      </c>
      <c r="E36" s="3" t="s">
        <v>1721</v>
      </c>
      <c r="F36" s="3" t="s">
        <v>1811</v>
      </c>
    </row>
    <row r="37" spans="1:6" x14ac:dyDescent="0.3">
      <c r="A37" s="4" t="s">
        <v>1518</v>
      </c>
      <c r="B37" s="4" t="s">
        <v>1554</v>
      </c>
      <c r="C37" s="5" t="s">
        <v>1639</v>
      </c>
      <c r="D37" s="4" t="str">
        <f>CONCATENATE(HYPERLINK("CALLTO:%2B356%207777%203085", "+356 7777 3085"))</f>
        <v>+356 7777 3085</v>
      </c>
      <c r="E37" s="5" t="s">
        <v>1722</v>
      </c>
      <c r="F37" s="5" t="s">
        <v>1812</v>
      </c>
    </row>
    <row r="38" spans="1:6" x14ac:dyDescent="0.3">
      <c r="A38" s="2" t="s">
        <v>1518</v>
      </c>
      <c r="B38" s="2" t="s">
        <v>1555</v>
      </c>
      <c r="C38" s="3" t="s">
        <v>1640</v>
      </c>
      <c r="D38" s="2" t="str">
        <f>CONCATENATE(HYPERLINK("CALLTO:%2B356%207775%205520", "+356 7775 5520"))</f>
        <v>+356 7775 5520</v>
      </c>
      <c r="E38" s="3" t="s">
        <v>1723</v>
      </c>
      <c r="F38" s="3" t="s">
        <v>1813</v>
      </c>
    </row>
    <row r="39" spans="1:6" x14ac:dyDescent="0.3">
      <c r="A39" s="4" t="s">
        <v>1518</v>
      </c>
      <c r="B39" s="4" t="s">
        <v>1556</v>
      </c>
      <c r="C39" s="5" t="s">
        <v>1641</v>
      </c>
      <c r="D39" s="4" t="str">
        <f>CONCATENATE(HYPERLINK("CALLTO:%2B356%202766%206622", "+356 2766 6622"))</f>
        <v>+356 2766 6622</v>
      </c>
      <c r="E39" s="5" t="s">
        <v>1724</v>
      </c>
      <c r="F39" s="5" t="s">
        <v>1814</v>
      </c>
    </row>
    <row r="40" spans="1:6" x14ac:dyDescent="0.3">
      <c r="A40" s="2" t="s">
        <v>1518</v>
      </c>
      <c r="B40" s="2" t="s">
        <v>1557</v>
      </c>
      <c r="C40" s="3" t="s">
        <v>1642</v>
      </c>
      <c r="D40" s="2" t="str">
        <f>CONCATENATE(HYPERLINK("CALLTO:%2B356%202755%205525", "+356 2755 5525"))</f>
        <v>+356 2755 5525</v>
      </c>
      <c r="E40" s="3" t="s">
        <v>1725</v>
      </c>
      <c r="F40" s="3" t="s">
        <v>1815</v>
      </c>
    </row>
    <row r="41" spans="1:6" x14ac:dyDescent="0.3">
      <c r="A41" s="4" t="s">
        <v>1518</v>
      </c>
      <c r="B41" s="4" t="s">
        <v>1558</v>
      </c>
      <c r="C41" s="5" t="s">
        <v>1643</v>
      </c>
      <c r="D41" s="4" t="str">
        <f>CONCATENATE(HYPERLINK("CALLTO:%2B356%202165%208152", "+356 2165 8152"))</f>
        <v>+356 2165 8152</v>
      </c>
      <c r="E41" s="5" t="s">
        <v>1726</v>
      </c>
      <c r="F41" s="5" t="s">
        <v>1816</v>
      </c>
    </row>
    <row r="42" spans="1:6" x14ac:dyDescent="0.3">
      <c r="A42" s="2" t="s">
        <v>1518</v>
      </c>
      <c r="B42" s="2" t="s">
        <v>1501</v>
      </c>
      <c r="C42" s="3" t="s">
        <v>1513</v>
      </c>
      <c r="D42" s="2" t="str">
        <f>CONCATENATE(HYPERLINK("CALLTO:%2B356%202122%200610", "+356 2122 0610"))</f>
        <v>+356 2122 0610</v>
      </c>
      <c r="E42" s="3" t="s">
        <v>1727</v>
      </c>
      <c r="F42" s="3" t="s">
        <v>1817</v>
      </c>
    </row>
    <row r="43" spans="1:6" x14ac:dyDescent="0.3">
      <c r="A43" s="4" t="s">
        <v>1518</v>
      </c>
      <c r="B43" s="4" t="s">
        <v>1559</v>
      </c>
      <c r="C43" s="5" t="s">
        <v>1644</v>
      </c>
      <c r="D43" s="4" t="str">
        <f>CONCATENATE(HYPERLINK("CALLTO:%2B356%202148%202662", "+356 2148 2662"))</f>
        <v>+356 2148 2662</v>
      </c>
      <c r="E43" s="5" t="s">
        <v>1728</v>
      </c>
      <c r="F43" s="5" t="s">
        <v>1818</v>
      </c>
    </row>
    <row r="44" spans="1:6" x14ac:dyDescent="0.3">
      <c r="A44" s="2" t="s">
        <v>1518</v>
      </c>
      <c r="B44" s="2" t="s">
        <v>1560</v>
      </c>
      <c r="C44" s="3" t="s">
        <v>1645</v>
      </c>
      <c r="D44" s="2" t="str">
        <f>CONCATENATE(HYPERLINK("CALLTO:%2B356%202010%206917", "+356 2010 6917"))</f>
        <v>+356 2010 6917</v>
      </c>
      <c r="E44" s="3" t="s">
        <v>1729</v>
      </c>
      <c r="F44" s="3" t="s">
        <v>1819</v>
      </c>
    </row>
    <row r="45" spans="1:6" x14ac:dyDescent="0.3">
      <c r="A45" s="4" t="s">
        <v>1518</v>
      </c>
      <c r="B45" s="4" t="s">
        <v>1561</v>
      </c>
      <c r="C45" s="5" t="s">
        <v>1646</v>
      </c>
      <c r="D45" s="4" t="str">
        <f>CONCATENATE(HYPERLINK("CALLTO:%2B356%202144%209499", "+356 2144 9499"))</f>
        <v>+356 2144 9499</v>
      </c>
      <c r="E45" s="5" t="s">
        <v>1730</v>
      </c>
      <c r="F45" s="4" t="s">
        <v>146</v>
      </c>
    </row>
    <row r="46" spans="1:6" x14ac:dyDescent="0.3">
      <c r="A46" s="2" t="s">
        <v>1518</v>
      </c>
      <c r="B46" s="2" t="s">
        <v>1562</v>
      </c>
      <c r="C46" s="3" t="s">
        <v>1647</v>
      </c>
      <c r="D46" s="2" t="str">
        <f>CONCATENATE(HYPERLINK("CALLTO:%2B356%202124%209763", "+356 2124 9763"))</f>
        <v>+356 2124 9763</v>
      </c>
      <c r="E46" s="3" t="s">
        <v>1732</v>
      </c>
      <c r="F46" s="3" t="s">
        <v>1820</v>
      </c>
    </row>
    <row r="47" spans="1:6" x14ac:dyDescent="0.3">
      <c r="A47" s="4" t="s">
        <v>1518</v>
      </c>
      <c r="B47" s="4" t="s">
        <v>1563</v>
      </c>
      <c r="C47" s="5" t="s">
        <v>1648</v>
      </c>
      <c r="D47" s="4" t="str">
        <f>CONCATENATE(HYPERLINK("CALLTO:%2B356%202156%203364", "+356 2156 3364"))</f>
        <v>+356 2156 3364</v>
      </c>
      <c r="E47" s="5" t="s">
        <v>1731</v>
      </c>
      <c r="F47" s="5" t="s">
        <v>1821</v>
      </c>
    </row>
    <row r="48" spans="1:6" x14ac:dyDescent="0.3">
      <c r="A48" s="2" t="s">
        <v>1518</v>
      </c>
      <c r="B48" s="2" t="s">
        <v>1564</v>
      </c>
      <c r="C48" s="3" t="s">
        <v>1649</v>
      </c>
      <c r="D48" s="2" t="str">
        <f>CONCATENATE(HYPERLINK("CALLTO:%2B356%202144%206000", "+356 2144 6000"))</f>
        <v>+356 2144 6000</v>
      </c>
      <c r="E48" s="3" t="s">
        <v>1733</v>
      </c>
      <c r="F48" s="3" t="s">
        <v>1822</v>
      </c>
    </row>
    <row r="49" spans="1:6" x14ac:dyDescent="0.3">
      <c r="A49" s="4" t="s">
        <v>1518</v>
      </c>
      <c r="B49" s="4" t="s">
        <v>1565</v>
      </c>
      <c r="C49" s="5" t="s">
        <v>1650</v>
      </c>
      <c r="D49" s="4" t="str">
        <f>CONCATENATE(HYPERLINK("CALLTO:%2B356%202144%203539", "+356 2144 3539"))</f>
        <v>+356 2144 3539</v>
      </c>
      <c r="E49" s="5" t="s">
        <v>1734</v>
      </c>
      <c r="F49" s="5" t="s">
        <v>1823</v>
      </c>
    </row>
    <row r="50" spans="1:6" x14ac:dyDescent="0.3">
      <c r="A50" s="2" t="s">
        <v>1518</v>
      </c>
      <c r="B50" s="2" t="s">
        <v>1566</v>
      </c>
      <c r="C50" s="3" t="s">
        <v>1651</v>
      </c>
      <c r="D50" s="2" t="str">
        <f>CONCATENATE(HYPERLINK("CALLTO:%2B356%202152%202390", "+356 2152 2390"))</f>
        <v>+356 2152 2390</v>
      </c>
      <c r="E50" s="3" t="s">
        <v>1735</v>
      </c>
      <c r="F50" s="3" t="s">
        <v>1824</v>
      </c>
    </row>
    <row r="51" spans="1:6" x14ac:dyDescent="0.3">
      <c r="A51" s="4" t="s">
        <v>1518</v>
      </c>
      <c r="B51" s="4" t="s">
        <v>1567</v>
      </c>
      <c r="C51" s="5" t="s">
        <v>1652</v>
      </c>
      <c r="D51" s="4" t="str">
        <f>CONCATENATE(HYPERLINK("CALLTO:%2B356%209944%206951", "+356 9944 6951"))</f>
        <v>+356 9944 6951</v>
      </c>
      <c r="E51" s="5" t="s">
        <v>1736</v>
      </c>
      <c r="F51" s="5" t="s">
        <v>1825</v>
      </c>
    </row>
    <row r="52" spans="1:6" x14ac:dyDescent="0.3">
      <c r="A52" s="2" t="s">
        <v>1518</v>
      </c>
      <c r="B52" s="2" t="s">
        <v>1568</v>
      </c>
      <c r="C52" s="3" t="s">
        <v>1653</v>
      </c>
      <c r="D52" s="2" t="str">
        <f>CONCATENATE(HYPERLINK("CALLTO:%2B356%202180%201498", "+356 2180 1498"))</f>
        <v>+356 2180 1498</v>
      </c>
      <c r="E52" s="3" t="s">
        <v>1737</v>
      </c>
      <c r="F52" s="3" t="s">
        <v>1826</v>
      </c>
    </row>
    <row r="53" spans="1:6" x14ac:dyDescent="0.3">
      <c r="A53" s="4" t="s">
        <v>1518</v>
      </c>
      <c r="B53" s="4" t="s">
        <v>1569</v>
      </c>
      <c r="C53" s="5" t="s">
        <v>1654</v>
      </c>
      <c r="D53" s="4" t="str">
        <f>CONCATENATE(HYPERLINK("CALLTO:%2B356%209964%203810", "+356 9964 3810"))</f>
        <v>+356 9964 3810</v>
      </c>
      <c r="E53" s="5" t="s">
        <v>1738</v>
      </c>
      <c r="F53" s="5" t="s">
        <v>1827</v>
      </c>
    </row>
    <row r="54" spans="1:6" x14ac:dyDescent="0.3">
      <c r="A54" s="2" t="s">
        <v>1518</v>
      </c>
      <c r="B54" s="2" t="s">
        <v>1570</v>
      </c>
      <c r="C54" s="3" t="s">
        <v>1655</v>
      </c>
      <c r="D54" s="2" t="str">
        <f>CONCATENATE(HYPERLINK("CALLTO:%2B356%202546%205000", "+356 2546 5000"))</f>
        <v>+356 2546 5000</v>
      </c>
      <c r="E54" s="3" t="s">
        <v>1739</v>
      </c>
      <c r="F54" s="3" t="s">
        <v>1828</v>
      </c>
    </row>
    <row r="55" spans="1:6" x14ac:dyDescent="0.3">
      <c r="A55" s="4" t="s">
        <v>1518</v>
      </c>
      <c r="B55" s="4" t="s">
        <v>1571</v>
      </c>
      <c r="C55" s="5" t="s">
        <v>1656</v>
      </c>
      <c r="D55" s="4" t="str">
        <f>CONCATENATE(HYPERLINK("CALLTO:%2B356%209989%202178", "+356 9989 2178"))</f>
        <v>+356 9989 2178</v>
      </c>
      <c r="E55" s="5" t="s">
        <v>1740</v>
      </c>
      <c r="F55" s="5" t="s">
        <v>1829</v>
      </c>
    </row>
    <row r="56" spans="1:6" x14ac:dyDescent="0.3">
      <c r="A56" s="2" t="s">
        <v>1518</v>
      </c>
      <c r="B56" s="2" t="s">
        <v>1572</v>
      </c>
      <c r="C56" s="3" t="s">
        <v>1657</v>
      </c>
      <c r="D56" s="2" t="str">
        <f>CONCATENATE(HYPERLINK("CALLTO:%2B356%202123%208520", "+356 2123 8520"))</f>
        <v>+356 2123 8520</v>
      </c>
      <c r="E56" s="3" t="s">
        <v>1716</v>
      </c>
      <c r="F56" s="3" t="s">
        <v>1806</v>
      </c>
    </row>
    <row r="57" spans="1:6" x14ac:dyDescent="0.3">
      <c r="A57" s="4" t="s">
        <v>1518</v>
      </c>
      <c r="B57" s="4" t="s">
        <v>1573</v>
      </c>
      <c r="C57" s="5" t="s">
        <v>1658</v>
      </c>
      <c r="D57" s="4" t="str">
        <f>CONCATENATE(HYPERLINK("CALLTO:%2B356%202131%200334", "+356 2131 0334"))</f>
        <v>+356 2131 0334</v>
      </c>
      <c r="E57" s="5" t="s">
        <v>1694</v>
      </c>
      <c r="F57" s="5" t="s">
        <v>1786</v>
      </c>
    </row>
    <row r="58" spans="1:6" x14ac:dyDescent="0.3">
      <c r="A58" s="2" t="s">
        <v>1518</v>
      </c>
      <c r="B58" s="2" t="s">
        <v>1574</v>
      </c>
      <c r="C58" s="3" t="s">
        <v>1659</v>
      </c>
      <c r="D58" s="2" t="str">
        <f>CONCATENATE(HYPERLINK("CALLTO:%2B356%202742%204632", "+356 2742 4632"))</f>
        <v>+356 2742 4632</v>
      </c>
      <c r="E58" s="3" t="s">
        <v>1705</v>
      </c>
      <c r="F58" s="3" t="s">
        <v>1796</v>
      </c>
    </row>
    <row r="59" spans="1:6" x14ac:dyDescent="0.3">
      <c r="A59" s="4" t="s">
        <v>1518</v>
      </c>
      <c r="B59" s="4" t="s">
        <v>1575</v>
      </c>
      <c r="C59" s="5" t="s">
        <v>1660</v>
      </c>
      <c r="D59" s="4" t="str">
        <f>CONCATENATE(HYPERLINK("CALLTO:%2B356%202549%205000", "+356 2549 5000"))</f>
        <v>+356 2549 5000</v>
      </c>
      <c r="E59" s="5" t="s">
        <v>1707</v>
      </c>
      <c r="F59" s="5" t="s">
        <v>1797</v>
      </c>
    </row>
    <row r="60" spans="1:6" x14ac:dyDescent="0.3">
      <c r="A60" s="2" t="s">
        <v>1518</v>
      </c>
      <c r="B60" s="2" t="s">
        <v>1548</v>
      </c>
      <c r="C60" s="3" t="s">
        <v>1633</v>
      </c>
      <c r="D60" s="2" t="str">
        <f>CONCATENATE(HYPERLINK("CALLTO:%2B356%202326%202700", "+356 2326 2700"))</f>
        <v>+356 2326 2700</v>
      </c>
      <c r="E60" s="3" t="s">
        <v>1696</v>
      </c>
      <c r="F60" s="3" t="s">
        <v>1447</v>
      </c>
    </row>
    <row r="61" spans="1:6" x14ac:dyDescent="0.3">
      <c r="A61" s="4" t="s">
        <v>1518</v>
      </c>
      <c r="B61" s="4" t="s">
        <v>1529</v>
      </c>
      <c r="C61" s="5" t="s">
        <v>1615</v>
      </c>
      <c r="D61" s="4" t="str">
        <f>CONCATENATE(HYPERLINK("CALLTO:%2B356%202713%207364", "+356 2713 7364"))</f>
        <v>+356 2713 7364</v>
      </c>
      <c r="E61" s="5" t="s">
        <v>1704</v>
      </c>
      <c r="F61" s="5" t="s">
        <v>1795</v>
      </c>
    </row>
    <row r="62" spans="1:6" x14ac:dyDescent="0.3">
      <c r="A62" s="2" t="s">
        <v>1519</v>
      </c>
      <c r="B62" s="2" t="s">
        <v>1538</v>
      </c>
      <c r="C62" s="3" t="s">
        <v>1624</v>
      </c>
      <c r="D62" s="2" t="str">
        <f>CONCATENATE(HYPERLINK("CALLTO:%2B356%202143%204747", "+356 2143 4747"))</f>
        <v>+356 2143 4747</v>
      </c>
      <c r="E62" s="3" t="s">
        <v>1741</v>
      </c>
      <c r="F62" s="3" t="s">
        <v>1830</v>
      </c>
    </row>
    <row r="63" spans="1:6" x14ac:dyDescent="0.3">
      <c r="A63" s="4" t="s">
        <v>1519</v>
      </c>
      <c r="B63" s="4" t="s">
        <v>955</v>
      </c>
      <c r="C63" s="5" t="s">
        <v>1625</v>
      </c>
      <c r="D63" s="4" t="str">
        <f>CONCATENATE(HYPERLINK("CALLTO:%2B356%202799%20500099996755", "+356 2799 500099996755"))</f>
        <v>+356 2799 500099996755</v>
      </c>
      <c r="E63" s="5" t="s">
        <v>1706</v>
      </c>
      <c r="F63" s="5" t="s">
        <v>1451</v>
      </c>
    </row>
    <row r="64" spans="1:6" x14ac:dyDescent="0.3">
      <c r="A64" s="2" t="s">
        <v>1519</v>
      </c>
      <c r="B64" s="2" t="s">
        <v>1217</v>
      </c>
      <c r="C64" s="3" t="s">
        <v>1293</v>
      </c>
      <c r="D64" s="2" t="str">
        <f>CONCATENATE(HYPERLINK("CALLTO:%2B356%202549%203000", "+356 2549 3000"))</f>
        <v>+356 2549 3000</v>
      </c>
      <c r="E64" s="3" t="s">
        <v>1742</v>
      </c>
      <c r="F64" s="3" t="s">
        <v>1831</v>
      </c>
    </row>
    <row r="65" spans="1:6" x14ac:dyDescent="0.3">
      <c r="A65" s="4" t="s">
        <v>1519</v>
      </c>
      <c r="B65" s="4" t="s">
        <v>1537</v>
      </c>
      <c r="C65" s="5" t="s">
        <v>1623</v>
      </c>
      <c r="D65" s="4" t="str">
        <f>CONCATENATE(HYPERLINK("CALLTO:%2B356%202144%205733", "+356 2144 5733"))</f>
        <v>+356 2144 5733</v>
      </c>
      <c r="E65" s="5" t="s">
        <v>1340</v>
      </c>
      <c r="F65" s="5" t="s">
        <v>1423</v>
      </c>
    </row>
    <row r="66" spans="1:6" x14ac:dyDescent="0.3">
      <c r="A66" s="2" t="s">
        <v>1519</v>
      </c>
      <c r="B66" s="2" t="s">
        <v>1576</v>
      </c>
      <c r="C66" s="3" t="s">
        <v>1661</v>
      </c>
      <c r="D66" s="2" t="str">
        <f>CONCATENATE(HYPERLINK("CALLTO:%2B356%202156%203966", "+356 2156 3966"))</f>
        <v>+356 2156 3966</v>
      </c>
      <c r="E66" s="3" t="s">
        <v>1743</v>
      </c>
      <c r="F66" s="3" t="s">
        <v>1832</v>
      </c>
    </row>
    <row r="67" spans="1:6" x14ac:dyDescent="0.3">
      <c r="A67" s="4" t="s">
        <v>1519</v>
      </c>
      <c r="B67" s="4" t="s">
        <v>1539</v>
      </c>
      <c r="C67" s="5" t="s">
        <v>1296</v>
      </c>
      <c r="D67" s="4" t="str">
        <f>CONCATENATE(HYPERLINK("CALLTO:%2B356%202145%20171879288688", "+356 2145 171879288688"))</f>
        <v>+356 2145 171879288688</v>
      </c>
      <c r="E67" s="5" t="s">
        <v>1744</v>
      </c>
      <c r="F67" s="5" t="s">
        <v>1833</v>
      </c>
    </row>
    <row r="68" spans="1:6" x14ac:dyDescent="0.3">
      <c r="A68" s="2" t="s">
        <v>1519</v>
      </c>
      <c r="B68" s="2" t="s">
        <v>1577</v>
      </c>
      <c r="C68" s="2" t="s">
        <v>146</v>
      </c>
      <c r="D68" s="2" t="str">
        <f>CONCATENATE(HYPERLINK("CALLTO:%2B356%202152%204262", "+356 2152 4262"))</f>
        <v>+356 2152 4262</v>
      </c>
      <c r="E68" s="3" t="s">
        <v>1745</v>
      </c>
      <c r="F68" s="3" t="s">
        <v>1834</v>
      </c>
    </row>
    <row r="69" spans="1:6" x14ac:dyDescent="0.3">
      <c r="A69" s="4" t="s">
        <v>1519</v>
      </c>
      <c r="B69" s="4" t="s">
        <v>1193</v>
      </c>
      <c r="C69" s="5" t="s">
        <v>1272</v>
      </c>
      <c r="D69" s="4" t="str">
        <f>CONCATENATE(HYPERLINK("CALLTO:%2B356%207906%201065", "+356 7906 1065"))</f>
        <v>+356 7906 1065</v>
      </c>
      <c r="E69" s="5" t="s">
        <v>1746</v>
      </c>
      <c r="F69" s="5" t="s">
        <v>1835</v>
      </c>
    </row>
    <row r="70" spans="1:6" x14ac:dyDescent="0.3">
      <c r="A70" s="2" t="s">
        <v>1519</v>
      </c>
      <c r="B70" s="2" t="s">
        <v>1578</v>
      </c>
      <c r="C70" s="3" t="s">
        <v>1662</v>
      </c>
      <c r="D70" s="2" t="str">
        <f>CONCATENATE(HYPERLINK("CALLTO:%2B356%202765%201017", "+356 2765 1017"))</f>
        <v>+356 2765 1017</v>
      </c>
      <c r="E70" s="3" t="s">
        <v>1717</v>
      </c>
      <c r="F70" s="3" t="s">
        <v>1807</v>
      </c>
    </row>
    <row r="71" spans="1:6" x14ac:dyDescent="0.3">
      <c r="A71" s="4" t="s">
        <v>1519</v>
      </c>
      <c r="B71" s="4" t="s">
        <v>1579</v>
      </c>
      <c r="C71" s="5" t="s">
        <v>1663</v>
      </c>
      <c r="D71" s="4" t="str">
        <f>CONCATENATE(HYPERLINK("CALLTO:%2B356%202095%209595", "+356 2095 9595"))</f>
        <v>+356 2095 9595</v>
      </c>
      <c r="E71" s="5" t="s">
        <v>1718</v>
      </c>
      <c r="F71" s="5" t="s">
        <v>1808</v>
      </c>
    </row>
    <row r="72" spans="1:6" x14ac:dyDescent="0.3">
      <c r="A72" s="2" t="s">
        <v>1519</v>
      </c>
      <c r="B72" s="2" t="s">
        <v>1580</v>
      </c>
      <c r="C72" s="3" t="s">
        <v>1664</v>
      </c>
      <c r="D72" s="2" t="str">
        <f>CONCATENATE(HYPERLINK("CALLTO:%2B356%202149%209699", "+356 2149 9699"))</f>
        <v>+356 2149 9699</v>
      </c>
      <c r="E72" s="3" t="s">
        <v>1719</v>
      </c>
      <c r="F72" s="3" t="s">
        <v>1809</v>
      </c>
    </row>
    <row r="73" spans="1:6" x14ac:dyDescent="0.3">
      <c r="A73" s="4" t="s">
        <v>1519</v>
      </c>
      <c r="B73" s="4" t="s">
        <v>1581</v>
      </c>
      <c r="C73" s="5" t="s">
        <v>1665</v>
      </c>
      <c r="D73" s="4" t="str">
        <f>CONCATENATE(HYPERLINK("CALLTO:%2B356%202165%208358", "+356 2165 8358"))</f>
        <v>+356 2165 8358</v>
      </c>
      <c r="E73" s="5" t="s">
        <v>1747</v>
      </c>
      <c r="F73" s="5" t="s">
        <v>1836</v>
      </c>
    </row>
    <row r="74" spans="1:6" x14ac:dyDescent="0.3">
      <c r="A74" s="2" t="s">
        <v>1519</v>
      </c>
      <c r="B74" s="2" t="s">
        <v>1553</v>
      </c>
      <c r="C74" s="3" t="s">
        <v>1638</v>
      </c>
      <c r="D74" s="2" t="str">
        <f>CONCATENATE(HYPERLINK("CALLTO:%2B356%202141%200903", "+356 2141 0903"))</f>
        <v>+356 2141 0903</v>
      </c>
      <c r="E74" s="3" t="s">
        <v>1748</v>
      </c>
      <c r="F74" s="3" t="s">
        <v>1837</v>
      </c>
    </row>
    <row r="75" spans="1:6" x14ac:dyDescent="0.3">
      <c r="A75" s="4" t="s">
        <v>1520</v>
      </c>
      <c r="B75" s="4" t="s">
        <v>1554</v>
      </c>
      <c r="C75" s="5" t="s">
        <v>1639</v>
      </c>
      <c r="D75" s="4" t="str">
        <f>CONCATENATE(HYPERLINK("CALLTO:%2B356%202144%207266", "+356 2144 7266"))</f>
        <v>+356 2144 7266</v>
      </c>
      <c r="E75" s="5" t="s">
        <v>1723</v>
      </c>
      <c r="F75" s="5" t="s">
        <v>1813</v>
      </c>
    </row>
    <row r="76" spans="1:6" x14ac:dyDescent="0.3">
      <c r="A76" s="2" t="s">
        <v>1520</v>
      </c>
      <c r="B76" s="2" t="s">
        <v>1555</v>
      </c>
      <c r="C76" s="3" t="s">
        <v>1640</v>
      </c>
      <c r="D76" s="2" t="str">
        <f>CONCATENATE(HYPERLINK("CALLTO:%2B356%202766%206622", "+356 2766 6622"))</f>
        <v>+356 2766 6622</v>
      </c>
      <c r="E76" s="3" t="s">
        <v>1749</v>
      </c>
      <c r="F76" s="3" t="s">
        <v>1838</v>
      </c>
    </row>
    <row r="77" spans="1:6" x14ac:dyDescent="0.3">
      <c r="A77" s="4" t="s">
        <v>1520</v>
      </c>
      <c r="B77" s="4" t="s">
        <v>1582</v>
      </c>
      <c r="C77" s="5" t="s">
        <v>1666</v>
      </c>
      <c r="D77" s="4" t="str">
        <f>CONCATENATE(HYPERLINK("CALLTO:%2B356%202167%202432", "+356 2167 2432"))</f>
        <v>+356 2167 2432</v>
      </c>
      <c r="E77" s="5" t="s">
        <v>1725</v>
      </c>
      <c r="F77" s="5" t="s">
        <v>1815</v>
      </c>
    </row>
    <row r="78" spans="1:6" x14ac:dyDescent="0.3">
      <c r="A78" s="2" t="s">
        <v>1520</v>
      </c>
      <c r="B78" s="2" t="s">
        <v>1583</v>
      </c>
      <c r="C78" s="3" t="s">
        <v>1667</v>
      </c>
      <c r="D78" s="2" t="str">
        <f>CONCATENATE(HYPERLINK("CALLTO:%2B356%202165%208152", "+356 2165 8152"))</f>
        <v>+356 2165 8152</v>
      </c>
      <c r="E78" s="3" t="s">
        <v>1750</v>
      </c>
      <c r="F78" s="3" t="s">
        <v>1839</v>
      </c>
    </row>
    <row r="79" spans="1:6" x14ac:dyDescent="0.3">
      <c r="A79" s="4" t="s">
        <v>1520</v>
      </c>
      <c r="B79" s="4" t="s">
        <v>1501</v>
      </c>
      <c r="C79" s="5" t="s">
        <v>1513</v>
      </c>
      <c r="D79" s="4" t="str">
        <f>CONCATENATE(HYPERLINK("CALLTO:%2B356%202166%207106", "+356 2166 7106"))</f>
        <v>+356 2166 7106</v>
      </c>
      <c r="E79" s="5" t="s">
        <v>1727</v>
      </c>
      <c r="F79" s="5" t="s">
        <v>1817</v>
      </c>
    </row>
    <row r="80" spans="1:6" x14ac:dyDescent="0.3">
      <c r="A80" s="2" t="s">
        <v>1520</v>
      </c>
      <c r="B80" s="2" t="s">
        <v>1584</v>
      </c>
      <c r="C80" s="3" t="s">
        <v>1668</v>
      </c>
      <c r="D80" s="2" t="str">
        <f>CONCATENATE(HYPERLINK("CALLTO:%2B356%202148%202662", "+356 2148 2662"))</f>
        <v>+356 2148 2662</v>
      </c>
      <c r="E80" s="3" t="s">
        <v>1744</v>
      </c>
      <c r="F80" s="3" t="s">
        <v>1833</v>
      </c>
    </row>
    <row r="81" spans="1:6" x14ac:dyDescent="0.3">
      <c r="A81" s="4" t="s">
        <v>1520</v>
      </c>
      <c r="B81" s="4" t="s">
        <v>1560</v>
      </c>
      <c r="C81" s="5" t="s">
        <v>1645</v>
      </c>
      <c r="D81" s="4" t="str">
        <f>CONCATENATE(HYPERLINK("CALLTO:%2B356%202152%204262", "+356 2152 4262"))</f>
        <v>+356 2152 4262</v>
      </c>
      <c r="E81" s="5" t="s">
        <v>1728</v>
      </c>
      <c r="F81" s="5" t="s">
        <v>1818</v>
      </c>
    </row>
    <row r="82" spans="1:6" x14ac:dyDescent="0.3">
      <c r="A82" s="2" t="s">
        <v>1520</v>
      </c>
      <c r="B82" s="2" t="s">
        <v>1585</v>
      </c>
      <c r="C82" s="3" t="s">
        <v>1669</v>
      </c>
      <c r="D82" s="2" t="str">
        <f>CONCATENATE(HYPERLINK("CALLTO:%2B356%202010%206917", "+356 2010 6917"))</f>
        <v>+356 2010 6917</v>
      </c>
      <c r="E82" s="3" t="s">
        <v>1730</v>
      </c>
      <c r="F82" s="2" t="s">
        <v>146</v>
      </c>
    </row>
    <row r="83" spans="1:6" x14ac:dyDescent="0.3">
      <c r="A83" s="4" t="s">
        <v>1520</v>
      </c>
      <c r="B83" s="4" t="s">
        <v>1562</v>
      </c>
      <c r="C83" s="5" t="s">
        <v>1647</v>
      </c>
      <c r="D83" s="4" t="str">
        <f>CONCATENATE(HYPERLINK("CALLTO:%2B356%202124%209763", "+356 2124 9763"))</f>
        <v>+356 2124 9763</v>
      </c>
      <c r="E83" s="5" t="s">
        <v>1751</v>
      </c>
      <c r="F83" s="5" t="s">
        <v>1840</v>
      </c>
    </row>
    <row r="84" spans="1:6" x14ac:dyDescent="0.3">
      <c r="A84" s="2" t="s">
        <v>1520</v>
      </c>
      <c r="B84" s="2" t="s">
        <v>1579</v>
      </c>
      <c r="C84" s="3" t="s">
        <v>1663</v>
      </c>
      <c r="D84" s="2" t="str">
        <f>CONCATENATE(HYPERLINK("CALLTO:%2B356%209940%208444", "+356 9940 8444"))</f>
        <v>+356 9940 8444</v>
      </c>
      <c r="E84" s="3" t="s">
        <v>1752</v>
      </c>
      <c r="F84" s="3" t="s">
        <v>1841</v>
      </c>
    </row>
    <row r="85" spans="1:6" x14ac:dyDescent="0.3">
      <c r="A85" s="4" t="s">
        <v>1520</v>
      </c>
      <c r="B85" s="4" t="s">
        <v>1563</v>
      </c>
      <c r="C85" s="5" t="s">
        <v>1648</v>
      </c>
      <c r="D85" s="4" t="str">
        <f>CONCATENATE(HYPERLINK("CALLTO:%2B356%202148%203614", "+356 2148 3614"))</f>
        <v>+356 2148 3614</v>
      </c>
      <c r="E85" s="5" t="s">
        <v>1753</v>
      </c>
      <c r="F85" s="5" t="s">
        <v>1820</v>
      </c>
    </row>
    <row r="86" spans="1:6" x14ac:dyDescent="0.3">
      <c r="A86" s="2" t="s">
        <v>1520</v>
      </c>
      <c r="B86" s="2" t="s">
        <v>1565</v>
      </c>
      <c r="C86" s="3" t="s">
        <v>1650</v>
      </c>
      <c r="D86" s="2" t="str">
        <f>CONCATENATE(HYPERLINK("CALLTO:%2B356%202395%207630", "+356 2395 7630"))</f>
        <v>+356 2395 7630</v>
      </c>
      <c r="E86" s="3" t="s">
        <v>1754</v>
      </c>
      <c r="F86" s="3" t="s">
        <v>1842</v>
      </c>
    </row>
    <row r="87" spans="1:6" x14ac:dyDescent="0.3">
      <c r="A87" s="4" t="s">
        <v>1520</v>
      </c>
      <c r="B87" s="4" t="s">
        <v>1586</v>
      </c>
      <c r="C87" s="5" t="s">
        <v>1670</v>
      </c>
      <c r="D87" s="4" t="str">
        <f>CONCATENATE(HYPERLINK("CALLTO:%2B356%202156%203364", "+356 2156 3364"))</f>
        <v>+356 2156 3364</v>
      </c>
      <c r="E87" s="5" t="s">
        <v>1755</v>
      </c>
      <c r="F87" s="5" t="s">
        <v>1843</v>
      </c>
    </row>
    <row r="88" spans="1:6" x14ac:dyDescent="0.3">
      <c r="A88" s="2" t="s">
        <v>1520</v>
      </c>
      <c r="B88" s="2" t="s">
        <v>1587</v>
      </c>
      <c r="C88" s="3" t="s">
        <v>1671</v>
      </c>
      <c r="D88" s="2" t="str">
        <f>CONCATENATE(HYPERLINK("CALLTO:%2B356%202141%208984", "+356 2141 8984"))</f>
        <v>+356 2141 8984</v>
      </c>
      <c r="E88" s="3" t="s">
        <v>1756</v>
      </c>
      <c r="F88" s="3" t="s">
        <v>1844</v>
      </c>
    </row>
    <row r="89" spans="1:6" x14ac:dyDescent="0.3">
      <c r="A89" s="4" t="s">
        <v>1520</v>
      </c>
      <c r="B89" s="4" t="s">
        <v>1588</v>
      </c>
      <c r="C89" s="5" t="s">
        <v>1672</v>
      </c>
      <c r="D89" s="4" t="str">
        <f>CONCATENATE(HYPERLINK("CALLTO:%2B356%202123%200933", "+356 2123 0933"))</f>
        <v>+356 2123 0933</v>
      </c>
      <c r="E89" s="5" t="s">
        <v>1757</v>
      </c>
      <c r="F89" s="5" t="s">
        <v>1823</v>
      </c>
    </row>
    <row r="90" spans="1:6" x14ac:dyDescent="0.3">
      <c r="A90" s="2" t="s">
        <v>1520</v>
      </c>
      <c r="B90" s="2" t="s">
        <v>1566</v>
      </c>
      <c r="C90" s="3" t="s">
        <v>1651</v>
      </c>
      <c r="D90" s="2" t="str">
        <f>CONCATENATE(HYPERLINK("CALLTO:%2B356%207936%209176", "+356 7936 9176"))</f>
        <v>+356 7936 9176</v>
      </c>
      <c r="E90" s="3" t="s">
        <v>1758</v>
      </c>
      <c r="F90" s="3" t="s">
        <v>1447</v>
      </c>
    </row>
    <row r="91" spans="1:6" x14ac:dyDescent="0.3">
      <c r="A91" s="4" t="s">
        <v>1520</v>
      </c>
      <c r="B91" s="4" t="s">
        <v>1589</v>
      </c>
      <c r="C91" s="5" t="s">
        <v>1673</v>
      </c>
      <c r="D91" s="4" t="str">
        <f>CONCATENATE(HYPERLINK("CALLTO:%2B356%202152%202390", "+356 2152 2390"))</f>
        <v>+356 2152 2390</v>
      </c>
      <c r="E91" s="5" t="s">
        <v>1696</v>
      </c>
      <c r="F91" s="5" t="s">
        <v>1824</v>
      </c>
    </row>
    <row r="92" spans="1:6" x14ac:dyDescent="0.3">
      <c r="A92" s="2" t="s">
        <v>1520</v>
      </c>
      <c r="B92" s="2" t="s">
        <v>1590</v>
      </c>
      <c r="C92" s="3" t="s">
        <v>1674</v>
      </c>
      <c r="D92" s="2" t="str">
        <f>CONCATENATE(HYPERLINK("CALLTO:%2B356%202713%207364", "+356 2713 7364"))</f>
        <v>+356 2713 7364</v>
      </c>
      <c r="E92" s="3" t="s">
        <v>1735</v>
      </c>
      <c r="F92" s="3" t="s">
        <v>1826</v>
      </c>
    </row>
    <row r="93" spans="1:6" x14ac:dyDescent="0.3">
      <c r="A93" s="4" t="s">
        <v>1520</v>
      </c>
      <c r="B93" s="4" t="s">
        <v>1591</v>
      </c>
      <c r="C93" s="5" t="s">
        <v>1675</v>
      </c>
      <c r="D93" s="4" t="str">
        <f>CONCATENATE(HYPERLINK("CALLTO:%2B356%209944%206951", "+356 9944 6951"))</f>
        <v>+356 9944 6951</v>
      </c>
      <c r="E93" s="5" t="s">
        <v>1759</v>
      </c>
      <c r="F93" s="5" t="s">
        <v>1845</v>
      </c>
    </row>
    <row r="94" spans="1:6" x14ac:dyDescent="0.3">
      <c r="A94" s="2" t="s">
        <v>1520</v>
      </c>
      <c r="B94" s="2" t="s">
        <v>1569</v>
      </c>
      <c r="C94" s="3" t="s">
        <v>1654</v>
      </c>
      <c r="D94" s="2" t="str">
        <f>CONCATENATE(HYPERLINK("CALLTO:%2B356%209964%203810", "+356 9964 3810"))</f>
        <v>+356 9964 3810</v>
      </c>
      <c r="E94" s="3" t="s">
        <v>1760</v>
      </c>
      <c r="F94" s="3" t="s">
        <v>1846</v>
      </c>
    </row>
    <row r="95" spans="1:6" x14ac:dyDescent="0.3">
      <c r="A95" s="4" t="s">
        <v>1520</v>
      </c>
      <c r="B95" s="4" t="s">
        <v>1217</v>
      </c>
      <c r="C95" s="5" t="s">
        <v>1293</v>
      </c>
      <c r="D95" s="4" t="str">
        <f>CONCATENATE(HYPERLINK("CALLTO:%2B356%207959%203666", "+356 7959 3666"))</f>
        <v>+356 7959 3666</v>
      </c>
      <c r="E95" s="5" t="s">
        <v>1761</v>
      </c>
      <c r="F95" s="4" t="s">
        <v>146</v>
      </c>
    </row>
    <row r="96" spans="1:6" x14ac:dyDescent="0.3">
      <c r="A96" s="2" t="s">
        <v>1520</v>
      </c>
      <c r="B96" s="2" t="s">
        <v>1570</v>
      </c>
      <c r="C96" s="3" t="s">
        <v>1655</v>
      </c>
      <c r="D96" s="2" t="str">
        <f>CONCATENATE(HYPERLINK("CALLTO:%2B356%202122%204103", "+356 2122 4103"))</f>
        <v>+356 2122 4103</v>
      </c>
      <c r="E96" s="3" t="s">
        <v>1762</v>
      </c>
      <c r="F96" s="3" t="s">
        <v>1847</v>
      </c>
    </row>
    <row r="97" spans="1:6" x14ac:dyDescent="0.3">
      <c r="A97" s="4" t="s">
        <v>1520</v>
      </c>
      <c r="B97" s="4" t="s">
        <v>1572</v>
      </c>
      <c r="C97" s="5" t="s">
        <v>1657</v>
      </c>
      <c r="D97" s="4" t="str">
        <f>CONCATENATE(HYPERLINK("CALLTO:%2B356%209942%205609", "+356 9942 5609"))</f>
        <v>+356 9942 5609</v>
      </c>
      <c r="E97" s="5" t="s">
        <v>1763</v>
      </c>
      <c r="F97" s="5" t="s">
        <v>1848</v>
      </c>
    </row>
    <row r="98" spans="1:6" x14ac:dyDescent="0.3">
      <c r="A98" s="2" t="s">
        <v>1520</v>
      </c>
      <c r="B98" s="2" t="s">
        <v>1592</v>
      </c>
      <c r="C98" s="3" t="s">
        <v>1676</v>
      </c>
      <c r="D98" s="2" t="str">
        <f>CONCATENATE(HYPERLINK("CALLTO:%2B356%202123%200982", "+356 2123 0982"))</f>
        <v>+356 2123 0982</v>
      </c>
      <c r="E98" s="3" t="s">
        <v>1764</v>
      </c>
      <c r="F98" s="3" t="s">
        <v>1849</v>
      </c>
    </row>
    <row r="99" spans="1:6" x14ac:dyDescent="0.3">
      <c r="A99" s="4" t="s">
        <v>1520</v>
      </c>
      <c r="B99" s="4" t="s">
        <v>1593</v>
      </c>
      <c r="C99" s="5" t="s">
        <v>1677</v>
      </c>
      <c r="D99" s="4" t="str">
        <f>CONCATENATE(HYPERLINK("CALLTO:%2B356%202144%202455", "+356 2144 2455"))</f>
        <v>+356 2144 2455</v>
      </c>
      <c r="E99" s="5" t="s">
        <v>1765</v>
      </c>
      <c r="F99" s="5" t="s">
        <v>1850</v>
      </c>
    </row>
    <row r="100" spans="1:6" x14ac:dyDescent="0.3">
      <c r="A100" s="2" t="s">
        <v>1520</v>
      </c>
      <c r="B100" s="2" t="s">
        <v>1594</v>
      </c>
      <c r="C100" s="3" t="s">
        <v>1678</v>
      </c>
      <c r="D100" s="2" t="str">
        <f>CONCATENATE(HYPERLINK("CALLTO:%2B356%202149%206473", "+356 2149 6473"))</f>
        <v>+356 2149 6473</v>
      </c>
      <c r="E100" s="3" t="s">
        <v>1766</v>
      </c>
      <c r="F100" s="3" t="s">
        <v>1851</v>
      </c>
    </row>
    <row r="101" spans="1:6" x14ac:dyDescent="0.3">
      <c r="A101" s="4" t="s">
        <v>1520</v>
      </c>
      <c r="B101" s="4" t="s">
        <v>1595</v>
      </c>
      <c r="C101" s="5" t="s">
        <v>1679</v>
      </c>
      <c r="D101" s="4" t="str">
        <f>CONCATENATE(HYPERLINK("CALLTO:%2B356%202142%200226", "+356 2142 0226"))</f>
        <v>+356 2142 0226</v>
      </c>
      <c r="E101" s="5" t="s">
        <v>1767</v>
      </c>
      <c r="F101" s="5" t="s">
        <v>1789</v>
      </c>
    </row>
    <row r="102" spans="1:6" x14ac:dyDescent="0.3">
      <c r="A102" s="2" t="s">
        <v>1520</v>
      </c>
      <c r="B102" s="2" t="s">
        <v>1596</v>
      </c>
      <c r="C102" s="3" t="s">
        <v>1680</v>
      </c>
      <c r="D102" s="2" t="str">
        <f>CONCATENATE(HYPERLINK("CALLTO:%2B356%202144%204665", "+356 2144 4665"))</f>
        <v>+356 2144 4665</v>
      </c>
      <c r="E102" s="3" t="s">
        <v>1768</v>
      </c>
      <c r="F102" s="3" t="s">
        <v>1852</v>
      </c>
    </row>
    <row r="103" spans="1:6" x14ac:dyDescent="0.3">
      <c r="A103" s="4" t="s">
        <v>1520</v>
      </c>
      <c r="B103" s="4" t="s">
        <v>1597</v>
      </c>
      <c r="C103" s="5" t="s">
        <v>1681</v>
      </c>
      <c r="D103" s="4" t="str">
        <f>CONCATENATE(HYPERLINK("CALLTO:%2B356%202146%201961", "+356 2146 1961"))</f>
        <v>+356 2146 1961</v>
      </c>
      <c r="E103" s="5" t="s">
        <v>1769</v>
      </c>
      <c r="F103" s="5" t="s">
        <v>1821</v>
      </c>
    </row>
    <row r="104" spans="1:6" x14ac:dyDescent="0.3">
      <c r="A104" s="2" t="s">
        <v>1520</v>
      </c>
      <c r="B104" s="2" t="s">
        <v>1598</v>
      </c>
      <c r="C104" s="3" t="s">
        <v>1682</v>
      </c>
      <c r="D104" s="2" t="str">
        <f>CONCATENATE(HYPERLINK("CALLTO:%2B356%202143%206407", "+356 2143 6407"))</f>
        <v>+356 2143 6407</v>
      </c>
      <c r="E104" s="3" t="s">
        <v>1770</v>
      </c>
      <c r="F104" s="3" t="s">
        <v>1853</v>
      </c>
    </row>
    <row r="105" spans="1:6" x14ac:dyDescent="0.3">
      <c r="A105" s="4" t="s">
        <v>1520</v>
      </c>
      <c r="B105" s="4" t="s">
        <v>1599</v>
      </c>
      <c r="C105" s="5" t="s">
        <v>1683</v>
      </c>
      <c r="D105" s="4" t="str">
        <f>CONCATENATE(HYPERLINK("CALLTO:%2B356%202144%206000", "+356 2144 6000"))</f>
        <v>+356 2144 6000</v>
      </c>
      <c r="E105" s="5" t="s">
        <v>1771</v>
      </c>
      <c r="F105" s="5" t="s">
        <v>1792</v>
      </c>
    </row>
    <row r="106" spans="1:6" x14ac:dyDescent="0.3">
      <c r="A106" s="2" t="s">
        <v>1520</v>
      </c>
      <c r="B106" s="2" t="s">
        <v>1600</v>
      </c>
      <c r="C106" s="3" t="s">
        <v>1618</v>
      </c>
      <c r="D106" s="2" t="str">
        <f>CONCATENATE(HYPERLINK("CALLTO:%2B356%202148%202843", "+356 2148 2843"))</f>
        <v>+356 2148 2843</v>
      </c>
      <c r="E106" s="3" t="s">
        <v>1772</v>
      </c>
      <c r="F106" s="3" t="s">
        <v>1802</v>
      </c>
    </row>
    <row r="107" spans="1:6" x14ac:dyDescent="0.3">
      <c r="A107" s="4" t="s">
        <v>1521</v>
      </c>
      <c r="B107" s="4" t="s">
        <v>1601</v>
      </c>
      <c r="C107" s="5" t="s">
        <v>1684</v>
      </c>
      <c r="D107" s="4" t="str">
        <f>CONCATENATE(HYPERLINK("CALLTO:%2B356%202124%200022", "+356 2124 0022"))</f>
        <v>+356 2124 0022</v>
      </c>
      <c r="E107" s="5" t="s">
        <v>1773</v>
      </c>
      <c r="F107" s="5" t="s">
        <v>1790</v>
      </c>
    </row>
    <row r="108" spans="1:6" x14ac:dyDescent="0.3">
      <c r="A108" s="2" t="s">
        <v>1521</v>
      </c>
      <c r="B108" s="2" t="s">
        <v>1602</v>
      </c>
      <c r="C108" s="3" t="s">
        <v>1685</v>
      </c>
      <c r="D108" s="2" t="str">
        <f>CONCATENATE(HYPERLINK("CALLTO:%2B356%202131%206678", "+356 2131 6678"))</f>
        <v>+356 2131 6678</v>
      </c>
      <c r="E108" s="3" t="s">
        <v>1774</v>
      </c>
      <c r="F108" s="3" t="s">
        <v>1783</v>
      </c>
    </row>
    <row r="109" spans="1:6" x14ac:dyDescent="0.3">
      <c r="A109" s="4" t="s">
        <v>1521</v>
      </c>
      <c r="B109" s="4" t="s">
        <v>1603</v>
      </c>
      <c r="C109" s="5" t="s">
        <v>1686</v>
      </c>
      <c r="D109" s="4" t="str">
        <f>CONCATENATE(HYPERLINK("CALLTO:%2B356%202144%209253", "+356 2144 9253"))</f>
        <v>+356 2144 9253</v>
      </c>
      <c r="E109" s="5" t="s">
        <v>1775</v>
      </c>
      <c r="F109" s="5" t="s">
        <v>1799</v>
      </c>
    </row>
    <row r="110" spans="1:6" x14ac:dyDescent="0.3">
      <c r="A110" s="2" t="s">
        <v>1521</v>
      </c>
      <c r="B110" s="2" t="s">
        <v>1534</v>
      </c>
      <c r="C110" s="3" t="s">
        <v>1620</v>
      </c>
      <c r="D110" s="2" t="str">
        <f>CONCATENATE(HYPERLINK("CALLTO:%2B356%202123%202159", "+356 2123 2159"))</f>
        <v>+356 2123 2159</v>
      </c>
      <c r="E110" s="3" t="s">
        <v>1776</v>
      </c>
      <c r="F110" s="3" t="s">
        <v>1798</v>
      </c>
    </row>
    <row r="111" spans="1:6" x14ac:dyDescent="0.3">
      <c r="A111" s="4" t="s">
        <v>1521</v>
      </c>
      <c r="B111" s="4" t="s">
        <v>1604</v>
      </c>
      <c r="C111" s="5" t="s">
        <v>1629</v>
      </c>
      <c r="D111" s="4" t="str">
        <f>CONCATENATE(HYPERLINK("CALLTO:%2B356%202166%206488", "+356 2166 6488"))</f>
        <v>+356 2166 6488</v>
      </c>
      <c r="E111" s="5" t="s">
        <v>1708</v>
      </c>
      <c r="F111" s="5" t="s">
        <v>1793</v>
      </c>
    </row>
    <row r="112" spans="1:6" x14ac:dyDescent="0.3">
      <c r="A112" s="2" t="s">
        <v>1521</v>
      </c>
      <c r="B112" s="2" t="s">
        <v>1533</v>
      </c>
      <c r="C112" s="3" t="s">
        <v>1619</v>
      </c>
      <c r="D112" s="2" t="str">
        <f>CONCATENATE(HYPERLINK("CALLTO:%2B356%202148%204992", "+356 2148 4992"))</f>
        <v>+356 2148 4992</v>
      </c>
      <c r="E112" s="3" t="s">
        <v>1777</v>
      </c>
      <c r="F112" s="3" t="s">
        <v>1447</v>
      </c>
    </row>
    <row r="113" spans="1:6" x14ac:dyDescent="0.3">
      <c r="A113" s="4" t="s">
        <v>1521</v>
      </c>
      <c r="B113" s="4" t="s">
        <v>1605</v>
      </c>
      <c r="C113" s="5" t="s">
        <v>1611</v>
      </c>
      <c r="D113" s="4" t="str">
        <f>CONCATENATE(HYPERLINK("CALLTO:%2B356%202799%205234", "+356 2799 5234"))</f>
        <v>+356 2799 5234</v>
      </c>
      <c r="E113" s="5" t="s">
        <v>1778</v>
      </c>
      <c r="F113" s="5" t="s">
        <v>1800</v>
      </c>
    </row>
    <row r="114" spans="1:6" x14ac:dyDescent="0.3">
      <c r="A114" s="2" t="s">
        <v>1521</v>
      </c>
      <c r="B114" s="2" t="s">
        <v>1541</v>
      </c>
      <c r="C114" s="3" t="s">
        <v>1627</v>
      </c>
      <c r="D114" s="2" t="str">
        <f>CONCATENATE(HYPERLINK("CALLTO:%2B356%202713%207364", "+356 2713 7364"))</f>
        <v>+356 2713 7364</v>
      </c>
      <c r="E114" s="3" t="s">
        <v>533</v>
      </c>
      <c r="F114" s="2"/>
    </row>
    <row r="115" spans="1:6" x14ac:dyDescent="0.3">
      <c r="A115" s="4" t="s">
        <v>1521</v>
      </c>
      <c r="B115" s="4" t="s">
        <v>1606</v>
      </c>
      <c r="C115" s="5" t="s">
        <v>1626</v>
      </c>
      <c r="D115" s="4" t="str">
        <f>CONCATENATE(HYPERLINK("CALLTO:%2B356%202164%202343", "+356 2164 2343"))</f>
        <v>+356 2164 2343</v>
      </c>
      <c r="E115" s="4"/>
      <c r="F115" s="4"/>
    </row>
    <row r="116" spans="1:6" x14ac:dyDescent="0.3">
      <c r="A116" s="2" t="s">
        <v>1521</v>
      </c>
      <c r="B116" s="2" t="s">
        <v>1535</v>
      </c>
      <c r="C116" s="3" t="s">
        <v>1621</v>
      </c>
      <c r="D116" s="2"/>
      <c r="E116" s="2"/>
      <c r="F116" s="2"/>
    </row>
    <row r="117" spans="1:6" x14ac:dyDescent="0.3">
      <c r="A117" s="4" t="s">
        <v>1521</v>
      </c>
      <c r="B117" s="4" t="s">
        <v>1607</v>
      </c>
      <c r="C117" s="5" t="s">
        <v>1293</v>
      </c>
      <c r="D117" s="4"/>
      <c r="E117" s="4"/>
      <c r="F117" s="4"/>
    </row>
    <row r="118" spans="1:6" x14ac:dyDescent="0.3">
      <c r="A118" s="2" t="s">
        <v>1521</v>
      </c>
      <c r="B118" s="2" t="s">
        <v>1542</v>
      </c>
      <c r="C118" s="3" t="s">
        <v>1628</v>
      </c>
      <c r="D118" s="2"/>
      <c r="E118" s="2"/>
      <c r="F118" s="2"/>
    </row>
    <row r="119" spans="1:6" x14ac:dyDescent="0.3">
      <c r="A119" s="4" t="s">
        <v>1521</v>
      </c>
      <c r="B119" s="4" t="s">
        <v>1536</v>
      </c>
      <c r="C119" s="5" t="s">
        <v>1622</v>
      </c>
      <c r="D119" s="4"/>
      <c r="E119" s="4"/>
      <c r="F119" s="4"/>
    </row>
    <row r="120" spans="1:6" x14ac:dyDescent="0.3">
      <c r="A120" s="2" t="s">
        <v>1521</v>
      </c>
      <c r="B120" s="2"/>
      <c r="C120" s="2"/>
      <c r="D120" s="2"/>
      <c r="E120" s="2"/>
      <c r="F120" s="2"/>
    </row>
  </sheetData>
  <hyperlinks>
    <hyperlink ref="C2" r:id="rId1" tooltip="Send a mail to sales@euroimjsm.com" xr:uid="{00000000-0004-0000-1A00-000000000000}"/>
    <hyperlink ref="C3" r:id="rId2" tooltip="Send a mail to info@styleinterni.com" xr:uid="{00000000-0004-0000-1A00-000001000000}"/>
    <hyperlink ref="C4" r:id="rId3" tooltip="Send a mail to homistic@yahoo.com" xr:uid="{00000000-0004-0000-1A00-000002000000}"/>
    <hyperlink ref="C5" r:id="rId4" tooltip="Send a mail to foam.leather@gmail.com" xr:uid="{00000000-0004-0000-1A00-000003000000}"/>
    <hyperlink ref="C6" r:id="rId5" tooltip="Send a mail to cbrltd1@go.net.mt" xr:uid="{00000000-0004-0000-1A00-000004000000}"/>
    <hyperlink ref="C7" r:id="rId6" tooltip="Send a mail to lawrenceagalea@yahoo.com" xr:uid="{00000000-0004-0000-1A00-000005000000}"/>
    <hyperlink ref="C8" r:id="rId7" tooltip="Send a mail to marketing@form.com.mt" xr:uid="{00000000-0004-0000-1A00-000006000000}"/>
    <hyperlink ref="C9" r:id="rId8" tooltip="Send a mail to sales@powerhousemalta.eu" xr:uid="{00000000-0004-0000-1A00-000007000000}"/>
    <hyperlink ref="C10" r:id="rId9" tooltip="Send a mail to info@krea.com.mt" xr:uid="{00000000-0004-0000-1A00-000008000000}"/>
    <hyperlink ref="C11" r:id="rId10" tooltip="Send a mail to jysk@jysk.com.mt" xr:uid="{00000000-0004-0000-1A00-000009000000}"/>
    <hyperlink ref="C12" r:id="rId11" tooltip="Send a mail to info@dinofino.com" xr:uid="{00000000-0004-0000-1A00-00000A000000}"/>
    <hyperlink ref="C13" r:id="rId12" tooltip="Send a mail to help@mattresscollection.com.mt" xr:uid="{00000000-0004-0000-1A00-00000B000000}"/>
    <hyperlink ref="C14" r:id="rId13" tooltip="Send a mail to info@royaltybedding.com" xr:uid="{00000000-0004-0000-1A00-00000C000000}"/>
    <hyperlink ref="C15" r:id="rId14" tooltip="Send a mail to sales@shaker.com.mt" xr:uid="{00000000-0004-0000-1A00-00000D000000}"/>
    <hyperlink ref="C16" r:id="rId15" tooltip="Send a mail to info@dreamsmalta.com" xr:uid="{00000000-0004-0000-1A00-00000E000000}"/>
    <hyperlink ref="C17" r:id="rId16" tooltip="Send a mail to estevan@morfeus.com.mt" xr:uid="{00000000-0004-0000-1A00-00000F000000}"/>
    <hyperlink ref="C18" r:id="rId17" tooltip="Send a mail to info@oxfordhouse.com.mt" xr:uid="{00000000-0004-0000-1A00-000010000000}"/>
    <hyperlink ref="C19" r:id="rId18" tooltip="Send a mail to info@okhome.com.mt" xr:uid="{00000000-0004-0000-1A00-000011000000}"/>
    <hyperlink ref="C20" r:id="rId19" tooltip="Send a mail to contactus@theatrium.com.mt" xr:uid="{00000000-0004-0000-1A00-000012000000}"/>
    <hyperlink ref="C21" r:id="rId20" tooltip="Send a mail to info@fino.com.mt" xr:uid="{00000000-0004-0000-1A00-000013000000}"/>
    <hyperlink ref="C22" r:id="rId21" tooltip="Send a mail to mosta@homemate.com.mt" xr:uid="{00000000-0004-0000-1A00-000014000000}"/>
    <hyperlink ref="C23" r:id="rId22" tooltip="Send a mail to info@vitafoammalta.com" xr:uid="{00000000-0004-0000-1A00-000015000000}"/>
    <hyperlink ref="C24" r:id="rId23" tooltip="Send a mail to sales@sylviabazaar.com" xr:uid="{00000000-0004-0000-1A00-000016000000}"/>
    <hyperlink ref="C25" r:id="rId24" tooltip="Send a mail to sales@omajco.net" xr:uid="{00000000-0004-0000-1A00-000017000000}"/>
    <hyperlink ref="C27" r:id="rId25" tooltip="Send a mail to help@wellbeingbedding.com" xr:uid="{00000000-0004-0000-1A00-000018000000}"/>
    <hyperlink ref="C28" r:id="rId26" tooltip="Send a mail to info@ctmliving.com" xr:uid="{00000000-0004-0000-1A00-000019000000}"/>
    <hyperlink ref="C29" r:id="rId27" tooltip="Send a mail to info@pcs.com.mt" xr:uid="{00000000-0004-0000-1A00-00001A000000}"/>
    <hyperlink ref="C30" r:id="rId28" tooltip="Send a mail to sales@malta-design.com" xr:uid="{00000000-0004-0000-1A00-00001B000000}"/>
    <hyperlink ref="C31" r:id="rId29" tooltip="Send a mail to info@promaninteriors.com" xr:uid="{00000000-0004-0000-1A00-00001C000000}"/>
    <hyperlink ref="C32" r:id="rId30" tooltip="Send a mail to info@dari.mt" xr:uid="{00000000-0004-0000-1A00-00001D000000}"/>
    <hyperlink ref="C33" r:id="rId31" tooltip="Send a mail to info@fairdealfurniture.com.mt" xr:uid="{00000000-0004-0000-1A00-00001E000000}"/>
    <hyperlink ref="C34" r:id="rId32" tooltip="Send a mail to info@bdi.com.mt" xr:uid="{00000000-0004-0000-1A00-00001F000000}"/>
    <hyperlink ref="C35" r:id="rId33" tooltip="Send a mail to info@boconcept.com.mt" xr:uid="{00000000-0004-0000-1A00-000020000000}"/>
    <hyperlink ref="C36" r:id="rId34" tooltip="Send a mail to info@brands.com.mt" xr:uid="{00000000-0004-0000-1A00-000021000000}"/>
    <hyperlink ref="C37" r:id="rId35" tooltip="Send a mail to stephen@rliving.com.mt" xr:uid="{00000000-0004-0000-1A00-000022000000}"/>
    <hyperlink ref="C38" r:id="rId36" tooltip="Send a mail to info@kubekgroup.com" xr:uid="{00000000-0004-0000-1A00-000023000000}"/>
    <hyperlink ref="C39" r:id="rId37" tooltip="Send a mail to abelanorbertjoiners@gmail.com" xr:uid="{00000000-0004-0000-1A00-000024000000}"/>
    <hyperlink ref="C40" r:id="rId38" tooltip="Send a mail to info@antoniocaruso.it" xr:uid="{00000000-0004-0000-1A00-000025000000}"/>
    <hyperlink ref="C41" r:id="rId39" tooltip="Send a mail to bedandsofamalta@gmail.com" xr:uid="{00000000-0004-0000-1A00-000026000000}"/>
    <hyperlink ref="C42" r:id="rId40" tooltip="Send a mail to sales@casafini.com.mt" xr:uid="{00000000-0004-0000-1A00-000027000000}"/>
    <hyperlink ref="C43" r:id="rId41" tooltip="Send a mail to info@casconehome.com" xr:uid="{00000000-0004-0000-1A00-000028000000}"/>
    <hyperlink ref="C44" r:id="rId42" tooltip="Send a mail to cieffejoinery@fsh.com.mt" xr:uid="{00000000-0004-0000-1A00-000029000000}"/>
    <hyperlink ref="C45" r:id="rId43" tooltip="Send a mail to info@constructfurniture.com.mt" xr:uid="{00000000-0004-0000-1A00-00002A000000}"/>
    <hyperlink ref="C46" r:id="rId44" tooltip="Send a mail to sales@domal.mt" xr:uid="{00000000-0004-0000-1A00-00002B000000}"/>
    <hyperlink ref="C47" r:id="rId45" tooltip="Send a mail to rachel@erickuster.com" xr:uid="{00000000-0004-0000-1A00-00002C000000}"/>
    <hyperlink ref="C48" r:id="rId46" tooltip="Send a mail to gaspare@esteamt.com" xr:uid="{00000000-0004-0000-1A00-00002D000000}"/>
    <hyperlink ref="C49" r:id="rId47" tooltip="Send a mail to agius65@hotmail.com" xr:uid="{00000000-0004-0000-1A00-00002E000000}"/>
    <hyperlink ref="C50" r:id="rId48" tooltip="Send a mail to info@gozoarts.com.mt" xr:uid="{00000000-0004-0000-1A00-00002F000000}"/>
    <hyperlink ref="C51" r:id="rId49" tooltip="Send a mail to info@formltd.com" xr:uid="{00000000-0004-0000-1A00-000030000000}"/>
    <hyperlink ref="C52" r:id="rId50" tooltip="Send a mail to info@immaginecasamalta.com" xr:uid="{00000000-0004-0000-1A00-000031000000}"/>
    <hyperlink ref="C53" r:id="rId51" tooltip="Send a mail to info@jdsfurniture.com" xr:uid="{00000000-0004-0000-1A00-000032000000}"/>
    <hyperlink ref="C54" r:id="rId52" tooltip="Send a mail to jurgen@jtstrading.com" xr:uid="{00000000-0004-0000-1A00-000033000000}"/>
    <hyperlink ref="C55" r:id="rId53" tooltip="Send a mail to marvinfurniture@gmail.com" xr:uid="{00000000-0004-0000-1A00-000034000000}"/>
    <hyperlink ref="C56" r:id="rId54" tooltip="Send a mail to info@mucciomobili.it" xr:uid="{00000000-0004-0000-1A00-000035000000}"/>
    <hyperlink ref="C57" r:id="rId55" tooltip="Send a mail to info@onepercent.com.mt" xr:uid="{00000000-0004-0000-1A00-000036000000}"/>
    <hyperlink ref="C58" r:id="rId56" tooltip="Send a mail to realwoodworks1@gmail.com" xr:uid="{00000000-0004-0000-1A00-000037000000}"/>
    <hyperlink ref="C59" r:id="rId57" tooltip="Send a mail to info@rusticahome.com.mt" xr:uid="{00000000-0004-0000-1A00-000038000000}"/>
    <hyperlink ref="C60" r:id="rId58" tooltip="Send a mail to info@promaninteriors.com" xr:uid="{00000000-0004-0000-1A00-000039000000}"/>
    <hyperlink ref="C61" r:id="rId59" tooltip="Send a mail to sales@powerhousemalta.eu" xr:uid="{00000000-0004-0000-1A00-00003A000000}"/>
    <hyperlink ref="C62" r:id="rId60" tooltip="Send a mail to contactus@theatrium.com.mt" xr:uid="{00000000-0004-0000-1A00-00003B000000}"/>
    <hyperlink ref="C63" r:id="rId61" tooltip="Send a mail to mosta@homemate.com.mt" xr:uid="{00000000-0004-0000-1A00-00003C000000}"/>
    <hyperlink ref="C64" r:id="rId62" tooltip="Send a mail to jysk@jysk.com.mt" xr:uid="{00000000-0004-0000-1A00-00003D000000}"/>
    <hyperlink ref="C65" r:id="rId63" tooltip="Send a mail to info@okhome.com.mt" xr:uid="{00000000-0004-0000-1A00-00003E000000}"/>
    <hyperlink ref="C66" r:id="rId64" tooltip="Send a mail to sales@karrari.shop" xr:uid="{00000000-0004-0000-1A00-00003F000000}"/>
    <hyperlink ref="C67" r:id="rId65" tooltip="Send a mail to info@fino.com.mt" xr:uid="{00000000-0004-0000-1A00-000040000000}"/>
    <hyperlink ref="C69" r:id="rId66" tooltip="Send a mail to newlineliving@gmail.com" xr:uid="{00000000-0004-0000-1A00-000041000000}"/>
    <hyperlink ref="C70" r:id="rId67" tooltip="Send a mail to info@luxonas.com" xr:uid="{00000000-0004-0000-1A00-000042000000}"/>
    <hyperlink ref="C71" r:id="rId68" tooltip="Send a mail to info@ecasa.com.mt" xr:uid="{00000000-0004-0000-1A00-000043000000}"/>
    <hyperlink ref="C72" r:id="rId69" tooltip="Send a mail to restorer@glreclaim.com" xr:uid="{00000000-0004-0000-1A00-000044000000}"/>
    <hyperlink ref="C73" r:id="rId70" tooltip="Send a mail to sales@objects.mt" xr:uid="{00000000-0004-0000-1A00-000045000000}"/>
    <hyperlink ref="C74" r:id="rId71" tooltip="Send a mail to info@brands.com.mt" xr:uid="{00000000-0004-0000-1A00-000046000000}"/>
    <hyperlink ref="C75" r:id="rId72" tooltip="Send a mail to stephen@rliving.com.mt" xr:uid="{00000000-0004-0000-1A00-000047000000}"/>
    <hyperlink ref="C76" r:id="rId73" tooltip="Send a mail to info@kubekgroup.com" xr:uid="{00000000-0004-0000-1A00-000048000000}"/>
    <hyperlink ref="C77" r:id="rId74" tooltip="Send a mail to topdrawer@topdrawermalta.com" xr:uid="{00000000-0004-0000-1A00-000049000000}"/>
    <hyperlink ref="C78" r:id="rId75" tooltip="Send a mail to casaform@onvol.net" xr:uid="{00000000-0004-0000-1A00-00004A000000}"/>
    <hyperlink ref="C79" r:id="rId76" tooltip="Send a mail to sales@casafini.com.mt" xr:uid="{00000000-0004-0000-1A00-00004B000000}"/>
    <hyperlink ref="C80" r:id="rId77" tooltip="Send a mail to jasoakwalnut@yahoo.com" xr:uid="{00000000-0004-0000-1A00-00004C000000}"/>
    <hyperlink ref="C81" r:id="rId78" tooltip="Send a mail to cieffejoinery@fsh.com.mt" xr:uid="{00000000-0004-0000-1A00-00004D000000}"/>
    <hyperlink ref="C82" r:id="rId79" tooltip="Send a mail to danwoodworks@yahoo.co.uk" xr:uid="{00000000-0004-0000-1A00-00004E000000}"/>
    <hyperlink ref="C83" r:id="rId80" tooltip="Send a mail to sales@domal.mt" xr:uid="{00000000-0004-0000-1A00-00004F000000}"/>
    <hyperlink ref="C84" r:id="rId81" tooltip="Send a mail to info@ecasa.com.mt" xr:uid="{00000000-0004-0000-1A00-000050000000}"/>
    <hyperlink ref="C85" r:id="rId82" tooltip="Send a mail to rachel@erickuster.com" xr:uid="{00000000-0004-0000-1A00-000051000000}"/>
    <hyperlink ref="C86" r:id="rId83" tooltip="Send a mail to agius65@hotmail.com" xr:uid="{00000000-0004-0000-1A00-000052000000}"/>
    <hyperlink ref="C87" r:id="rId84" tooltip="Send a mail to info@farrugiagroup.com" xr:uid="{00000000-0004-0000-1A00-000053000000}"/>
    <hyperlink ref="C88" r:id="rId85" tooltip="Send a mail to info@ferraramalta.com" xr:uid="{00000000-0004-0000-1A00-000054000000}"/>
    <hyperlink ref="C89" r:id="rId86" tooltip="Send a mail to sales@flamant.com.mt" xr:uid="{00000000-0004-0000-1A00-000055000000}"/>
    <hyperlink ref="C90" r:id="rId87" tooltip="Send a mail to info@gozoarts.com.mt" xr:uid="{00000000-0004-0000-1A00-000056000000}"/>
    <hyperlink ref="C91" r:id="rId88" tooltip="Send a mail to info@grannysmithshop.com" xr:uid="{00000000-0004-0000-1A00-000057000000}"/>
    <hyperlink ref="C92" r:id="rId89" tooltip="Send a mail to info@jcrfurniture.com" xr:uid="{00000000-0004-0000-1A00-000058000000}"/>
    <hyperlink ref="C93" r:id="rId90" tooltip="Send a mail to info@jagiuswoodworks.com" xr:uid="{00000000-0004-0000-1A00-000059000000}"/>
    <hyperlink ref="C94" r:id="rId91" tooltip="Send a mail to info@jdsfurniture.com" xr:uid="{00000000-0004-0000-1A00-00005A000000}"/>
    <hyperlink ref="C95" r:id="rId92" tooltip="Send a mail to jysk@jysk.com.mt" xr:uid="{00000000-0004-0000-1A00-00005B000000}"/>
    <hyperlink ref="C96" r:id="rId93" tooltip="Send a mail to jurgen@jtstrading.com" xr:uid="{00000000-0004-0000-1A00-00005C000000}"/>
    <hyperlink ref="C97" r:id="rId94" tooltip="Send a mail to info@mucciomobili.it" xr:uid="{00000000-0004-0000-1A00-00005D000000}"/>
    <hyperlink ref="C98" r:id="rId95" tooltip="Send a mail to ragsandrichesbuyandsell@gmail.com" xr:uid="{00000000-0004-0000-1A00-00005E000000}"/>
    <hyperlink ref="C99" r:id="rId96" tooltip="Send a mail to seguna@onvol.net" xr:uid="{00000000-0004-0000-1A00-00005F000000}"/>
    <hyperlink ref="C100" r:id="rId97" tooltip="Send a mail to ronaldmarmara@gmail.com" xr:uid="{00000000-0004-0000-1A00-000060000000}"/>
    <hyperlink ref="C101" r:id="rId98" tooltip="Send a mail to info@spaces.com.mt" xr:uid="{00000000-0004-0000-1A00-000061000000}"/>
    <hyperlink ref="C102" r:id="rId99" tooltip="Send a mail to deals@shabbychicmalta.com" xr:uid="{00000000-0004-0000-1A00-000062000000}"/>
    <hyperlink ref="C103" r:id="rId100" tooltip="Send a mail to info@stylefurnituremalta.com" xr:uid="{00000000-0004-0000-1A00-000063000000}"/>
    <hyperlink ref="C104" r:id="rId101" tooltip="Send a mail to marketing@tal-lira.com" xr:uid="{00000000-0004-0000-1A00-000064000000}"/>
    <hyperlink ref="C105" r:id="rId102" tooltip="Send a mail to lcwoodcreations@gmail.com" xr:uid="{00000000-0004-0000-1A00-000065000000}"/>
    <hyperlink ref="C106" r:id="rId103" tooltip="Send a mail to help@mattresscollection.com.mt" xr:uid="{00000000-0004-0000-1A00-000066000000}"/>
    <hyperlink ref="C107" r:id="rId104" tooltip="Send a mail to info@bondsmalta.com" xr:uid="{00000000-0004-0000-1A00-000067000000}"/>
    <hyperlink ref="C108" r:id="rId105" tooltip="Send a mail to info@form.com.mt" xr:uid="{00000000-0004-0000-1A00-000068000000}"/>
    <hyperlink ref="C109" r:id="rId106" tooltip="Send a mail to eurotexmalta@gmail.com" xr:uid="{00000000-0004-0000-1A00-000069000000}"/>
    <hyperlink ref="C110" r:id="rId107" tooltip="Send a mail to info@dreamsmalta.com" xr:uid="{00000000-0004-0000-1A00-00006A000000}"/>
    <hyperlink ref="C111" r:id="rId108" tooltip="Send a mail to help@wellbeingbedding.com" xr:uid="{00000000-0004-0000-1A00-00006B000000}"/>
    <hyperlink ref="C112" r:id="rId109" tooltip="Send a mail to info@royaltybedding.com" xr:uid="{00000000-0004-0000-1A00-00006C000000}"/>
    <hyperlink ref="C113" r:id="rId110" tooltip="Send a mail to foam.leather@gmail.com" xr:uid="{00000000-0004-0000-1A00-00006D000000}"/>
    <hyperlink ref="C114" r:id="rId111" tooltip="Send a mail to sales@sylviabazaar.com" xr:uid="{00000000-0004-0000-1A00-00006E000000}"/>
    <hyperlink ref="C115" r:id="rId112" tooltip="Send a mail to info@vitafoammalta.com" xr:uid="{00000000-0004-0000-1A00-00006F000000}"/>
    <hyperlink ref="C116" r:id="rId113" tooltip="Send a mail to estevan@morfeus.com.mt" xr:uid="{00000000-0004-0000-1A00-000070000000}"/>
    <hyperlink ref="C117" r:id="rId114" tooltip="Send a mail to jysk@jysk.com.mt" xr:uid="{00000000-0004-0000-1A00-000071000000}"/>
    <hyperlink ref="C118" r:id="rId115" tooltip="Send a mail to sales@omajco.net" xr:uid="{00000000-0004-0000-1A00-000072000000}"/>
    <hyperlink ref="C119" r:id="rId116" tooltip="Send a mail to info@oxfordhouse.com.mt" xr:uid="{00000000-0004-0000-1A00-000073000000}"/>
    <hyperlink ref="E2" r:id="rId117" tooltip="Search 2, Industrial Estate_x000a_Mdina Road_x000a_Attard, ATD3000 on Google Maps" xr:uid="{00000000-0004-0000-1A00-000074000000}"/>
    <hyperlink ref="E3" r:id="rId118" tooltip="Search 260 Old Railway Track, Santa Venera SVR 9019 on Google Maps" xr:uid="{00000000-0004-0000-1A00-000075000000}"/>
    <hyperlink ref="E4" r:id="rId119" tooltip="Search 22/23 Triq hal mula Haz-zebbug ZBG on Google Maps" xr:uid="{00000000-0004-0000-1A00-000076000000}"/>
    <hyperlink ref="E5" r:id="rId120" tooltip="Search 836, 838 Triq il-Kbira San Guzepp, Hamrun, Malta HMR 1018 on Google Maps" xr:uid="{00000000-0004-0000-1A00-000077000000}"/>
    <hyperlink ref="E6" r:id="rId121" tooltip="Search Triq Hal Tarxien, Luqa, Malta LQA 1814 on Google Maps" xr:uid="{00000000-0004-0000-1A00-000078000000}"/>
    <hyperlink ref="E7" r:id="rId122" tooltip="Search City Pearl Shopping Arcades Triq Fortunato Mizzi, Victoria-Gozo, Gozo VCT 2571 on Google Maps" xr:uid="{00000000-0004-0000-1A00-000079000000}"/>
    <hyperlink ref="E8" r:id="rId123" tooltip="Search Triq il-Wied ta' I-Imsida, Msida, Malta MSD 9023 on Google Maps" xr:uid="{00000000-0004-0000-1A00-00007A000000}"/>
    <hyperlink ref="E9" r:id="rId124" tooltip="Search 13 Censu Bugeja, L-Iklin BZN 1170 on Google Maps" xr:uid="{00000000-0004-0000-1A00-00007B000000}"/>
    <hyperlink ref="E10" r:id="rId125" tooltip="Search Triq I-Imdina, Qormi, Malta QRM 9011 on Google Maps" xr:uid="{00000000-0004-0000-1A00-00007C000000}"/>
    <hyperlink ref="E11" r:id="rId126" tooltip="Search Triq il-Mosta, Lija, Malta LIJA 9012 on Google Maps" xr:uid="{00000000-0004-0000-1A00-00007D000000}"/>
    <hyperlink ref="E12" r:id="rId127" tooltip="Search Triq il-Wied Ta' L-Imsida, B'Kara, Malta BKR 9025 on Google Maps" xr:uid="{00000000-0004-0000-1A00-00007E000000}"/>
    <hyperlink ref="E13" r:id="rId128" tooltip="Search Mdina Road Zebbug, Malta on Google Maps" xr:uid="{00000000-0004-0000-1A00-00007F000000}"/>
    <hyperlink ref="E14" r:id="rId129" tooltip="Search Zone 5, Central Business District Triq il-Kummerc Qormi, CBD 5050 on Google Maps" xr:uid="{00000000-0004-0000-1A00-000080000000}"/>
    <hyperlink ref="E15" r:id="rId130" tooltip="Search 3, Triq il Dibjun, San Gwann, SGN 052, Malta on Google Maps" xr:uid="{00000000-0004-0000-1A00-000081000000}"/>
    <hyperlink ref="E16" r:id="rId131" tooltip="Search GB Building Triq il-Watar, Ta' Xbiex XBX1301 Malta on Google Maps" xr:uid="{00000000-0004-0000-1A00-000082000000}"/>
    <hyperlink ref="E17" r:id="rId132" tooltip="Search Triq San Pawl tal-Qliegha, MST9096 Mosta, Malta on Google Maps" xr:uid="{00000000-0004-0000-1A00-000083000000}"/>
    <hyperlink ref="E18" r:id="rId133" tooltip="Search Triq L-mdina, Zone 2, Central Business District, Birkirkara CBD 2010, Malta on Google Maps" xr:uid="{00000000-0004-0000-1A00-000084000000}"/>
    <hyperlink ref="E19" r:id="rId134" tooltip="Search Pantar Road, Lija, Malta on Google Maps" xr:uid="{00000000-0004-0000-1A00-000085000000}"/>
    <hyperlink ref="E20" r:id="rId135" tooltip="Search Giovanni Felice Street, Zone 3, Central Business District, Birkirkara CBD 3120 on Google Maps" xr:uid="{00000000-0004-0000-1A00-000086000000}"/>
    <hyperlink ref="E21" r:id="rId136" tooltip="Search Triq I-Imdina, Zone 4, Mriehel/Central Business District CBD 4010, Malta on Google Maps" xr:uid="{00000000-0004-0000-1A00-000087000000}"/>
    <hyperlink ref="E22" r:id="rId137" tooltip="Search Vjal 25 ta' Novembru, Tal-Barrani, Zejtun on Google Maps" xr:uid="{00000000-0004-0000-1A00-000088000000}"/>
    <hyperlink ref="E23" r:id="rId138" tooltip="Search Galeas, San Gwann on Google Maps" xr:uid="{00000000-0004-0000-1A00-000089000000}"/>
    <hyperlink ref="E24" r:id="rId139" tooltip="Search Triq A Caligari Zabbar Malta ZBR 2806 on Google Maps" xr:uid="{00000000-0004-0000-1A00-00008A000000}"/>
    <hyperlink ref="E25" r:id="rId140" tooltip="Search San Gwann Nexxar Road on Google Maps" xr:uid="{00000000-0004-0000-1A00-00008B000000}"/>
    <hyperlink ref="E26" r:id="rId141" tooltip="Search 233 Tower Road, Sliema SLM 1601 on Google Maps" xr:uid="{00000000-0004-0000-1A00-00008C000000}"/>
    <hyperlink ref="E27" r:id="rId142" tooltip="Search 5/6 Msida Valley Road Birkirkara BKR 9022 Malta on Google Maps" xr:uid="{00000000-0004-0000-1A00-00008D000000}"/>
    <hyperlink ref="E28" r:id="rId143" tooltip="Search 5/7 Triq Censu Bugeja, L-Iklin on Google Maps" xr:uid="{00000000-0004-0000-1A00-00008E000000}"/>
    <hyperlink ref="E29" r:id="rId144" tooltip="Search 31, Cross Road, Marsa MRS 1548, Malta on Google Maps" xr:uid="{00000000-0004-0000-1A00-00008F000000}"/>
    <hyperlink ref="E30" r:id="rId145" tooltip="Search Malta Design_x000a_33 Triq l-Oleandru ,_x000a_San Giljan, Malta on Google Maps" xr:uid="{00000000-0004-0000-1A00-000090000000}"/>
    <hyperlink ref="E31" r:id="rId146" tooltip="Search Proman Interiors,_x000a_115, Valley Road,_x000a_B'Kara. BKR 9022._x000a_Malta. on Google Maps" xr:uid="{00000000-0004-0000-1A00-000091000000}"/>
    <hyperlink ref="E32" r:id="rId147" tooltip="Search Triq tal-Balal, San Gwann, Malta SGN 9016 on Google Maps" xr:uid="{00000000-0004-0000-1A00-000092000000}"/>
    <hyperlink ref="E33" r:id="rId148" tooltip="Search Dawert I-Imriehel, Qormi, Malta QRM 9052 on Google Maps" xr:uid="{00000000-0004-0000-1A00-000093000000}"/>
    <hyperlink ref="E34" r:id="rId149" tooltip="Search HF 5A Qasam Industrijali, Hal Far, B'Bugia, Malta BBG 3000 on Google Maps" xr:uid="{00000000-0004-0000-1A00-000094000000}"/>
    <hyperlink ref="E35" r:id="rId150" tooltip="Search 59 Triq in-Nahal, Mellieha, Malta MLH 2166 on Google Maps" xr:uid="{00000000-0004-0000-1A00-000095000000}"/>
    <hyperlink ref="E36" r:id="rId151" tooltip="Search 119 Triq il-Kappillan Mifsud, Sta Venera, Malta on Google Maps" xr:uid="{00000000-0004-0000-1A00-000096000000}"/>
    <hyperlink ref="E37" r:id="rId152" tooltip="Search 57 Naxxar road, San Gwann sgn 9032, Malta on Google Maps" xr:uid="{00000000-0004-0000-1A00-000097000000}"/>
    <hyperlink ref="E38" r:id="rId153" tooltip="Search 146, Balzan Valley, Hal Balzan, Malta on Google Maps" xr:uid="{00000000-0004-0000-1A00-000098000000}"/>
    <hyperlink ref="E39" r:id="rId154" tooltip="Search Triq il-Wied Ta' L-Imsida, B'Kara, Malta BKR 9022 on Google Maps" xr:uid="{00000000-0004-0000-1A00-000099000000}"/>
    <hyperlink ref="E40" r:id="rId155" tooltip="Search Triq Hal Far, B'Budia, Malta on Google Maps" xr:uid="{00000000-0004-0000-1A00-00009A000000}"/>
    <hyperlink ref="E41" r:id="rId156" tooltip="Search 40 Qasam Industrijali, Luqa, Malta LQA 3000 on Google Maps" xr:uid="{00000000-0004-0000-1A00-00009B000000}"/>
    <hyperlink ref="E42" r:id="rId157" tooltip="Search 192 Triq in-Naxxar, B'Kara, Malta BKR 9044 on Google Maps" xr:uid="{00000000-0004-0000-1A00-00009C000000}"/>
    <hyperlink ref="E43" r:id="rId158" tooltip="Search Triq Wied Ghomor, San Giljan, Malta STJ 2040 on Google Maps" xr:uid="{00000000-0004-0000-1A00-00009D000000}"/>
    <hyperlink ref="E44" r:id="rId159" tooltip="Search Monpalau Building Triq it-Torri, Msida, Malta on Google Maps" xr:uid="{00000000-0004-0000-1A00-00009E000000}"/>
    <hyperlink ref="E45" r:id="rId160" tooltip="Search 69 Triq Hal Qormi, Hamrun, Malta HMR 2183 on Google Maps" xr:uid="{00000000-0004-0000-1A00-00009F000000}"/>
    <hyperlink ref="E46" r:id="rId161" tooltip="Search Triq Gorg Borg Olivier, Vicotria-Gozo, Gozo VCT 2515 on Google Maps" xr:uid="{00000000-0004-0000-1A00-0000A0000000}"/>
    <hyperlink ref="E47" r:id="rId162" tooltip="Search Triq il-Wied ta'lmsida, Msida, Malta MSD 9023 on Google Maps" xr:uid="{00000000-0004-0000-1A00-0000A1000000}"/>
    <hyperlink ref="E48" r:id="rId163" tooltip="Search Triq il-Wied Ta' L'lmsida, B'Kara, Malta BKR 3000 on Google Maps" xr:uid="{00000000-0004-0000-1A00-0000A2000000}"/>
    <hyperlink ref="E49" r:id="rId164" tooltip="Search Triq il-Kbira, Mellieha, Malta MLH 2317 on Google Maps" xr:uid="{00000000-0004-0000-1A00-0000A3000000}"/>
    <hyperlink ref="E50" r:id="rId165" tooltip="Search Zone 5 Triq ll-Kummerc Central Business District, Qormi, Malta on Google Maps" xr:uid="{00000000-0004-0000-1A00-0000A4000000}"/>
    <hyperlink ref="E51" r:id="rId166" tooltip="Search Triq il-Qoton, Sta Lucija, Malta SLC 1010 on Google Maps" xr:uid="{00000000-0004-0000-1A00-0000A5000000}"/>
    <hyperlink ref="E52" r:id="rId167" tooltip="Search 154 Triq il-Kappilan Mifsud, Sta Venera, Malta on Google Maps" xr:uid="{00000000-0004-0000-1A00-0000A6000000}"/>
    <hyperlink ref="E53" r:id="rId168" tooltip="Search Triq il-Wied ta' I-Imsida, Msida, Malta MSD 9022 on Google Maps" xr:uid="{00000000-0004-0000-1A00-0000A7000000}"/>
    <hyperlink ref="E54" r:id="rId169" tooltip="Search Binja San Guzepp Haddiem Triq Indri Psaila, Qormi Malta on Google Maps" xr:uid="{00000000-0004-0000-1A00-0000A8000000}"/>
    <hyperlink ref="E55" r:id="rId170" tooltip="Search 32 II-Moll tal-Hatab, Marsa, Malta MRS 1440 on Google Maps" xr:uid="{00000000-0004-0000-1A00-0000A9000000}"/>
    <hyperlink ref="E56" r:id="rId171" tooltip="Search Proman Interiors,_x000a_115, Valley Road,_x000a_B'Kara. BKR 9022._x000a_Malta. on Google Maps" xr:uid="{00000000-0004-0000-1A00-0000AA000000}"/>
    <hyperlink ref="E57" r:id="rId172" tooltip="Search 13 Censu Bugeja, L-Iklin BZN 1170 on Google Maps" xr:uid="{00000000-0004-0000-1A00-0000AB000000}"/>
    <hyperlink ref="E58" r:id="rId173" tooltip="Search Giovanni Felice Street, Zone 3, Central Business District, Birkirkara CBD 3120 on Google Maps" xr:uid="{00000000-0004-0000-1A00-0000AC000000}"/>
    <hyperlink ref="E59" r:id="rId174" tooltip="Search Vjal 25 ta' Novembru, Tal-Barrani, Zejtun on Google Maps" xr:uid="{00000000-0004-0000-1A00-0000AD000000}"/>
    <hyperlink ref="E60" r:id="rId175" tooltip="Search Triq il-Mosta, Lija, Malta LIJA 9012 on Google Maps" xr:uid="{00000000-0004-0000-1A00-0000AE000000}"/>
    <hyperlink ref="E61" r:id="rId176" tooltip="Search Pantar Road, Lija, Malta on Google Maps" xr:uid="{00000000-0004-0000-1A00-0000AF000000}"/>
    <hyperlink ref="E62" r:id="rId177" tooltip="Search 77 Commerce St, Birkirkara, CBD3010 on Google Maps" xr:uid="{00000000-0004-0000-1A00-0000B0000000}"/>
    <hyperlink ref="E63" r:id="rId178" tooltip="Search Triq I-Imdina, Zone 4, Mriehel/Central Business District CBD 4010, Malta on Google Maps" xr:uid="{00000000-0004-0000-1A00-0000B1000000}"/>
    <hyperlink ref="E64" r:id="rId179" tooltip="Search Triq L-Imdina, Zone 2, Central Business District, Birkirkara on Google Maps" xr:uid="{00000000-0004-0000-1A00-0000B2000000}"/>
    <hyperlink ref="E65" r:id="rId180" tooltip="Search Triq Papa Gwanni Pawlu ll, Victoria-Gozo, Gozo VCT 9046 on Google Maps" xr:uid="{00000000-0004-0000-1A00-0000B3000000}"/>
    <hyperlink ref="E66" r:id="rId181" tooltip="Search Triq L-Mdina, Haz-Zebbug, ZBG09018 on Google Maps" xr:uid="{00000000-0004-0000-1A00-0000B4000000}"/>
    <hyperlink ref="E67" r:id="rId182" tooltip="Search San Gwakkin Building Triq Gwakkin Central Business District, B'Kara, Malta CBD 4020 on Google Maps" xr:uid="{00000000-0004-0000-1A00-0000B5000000}"/>
    <hyperlink ref="E68" r:id="rId183" tooltip="Search Blk A No 7, Upper Level, Midland Mico Enterprise Park, Burmarrad Road, Naxxar on Google Maps" xr:uid="{00000000-0004-0000-1A00-0000B6000000}"/>
    <hyperlink ref="E69" r:id="rId184" tooltip="Search 25, Triq San Gorg, Naxxar, Malta on Google Maps" xr:uid="{00000000-0004-0000-1A00-0000B7000000}"/>
    <hyperlink ref="E70" r:id="rId185" tooltip="Search Triq tal-Balal, San Gwann, Malta SGN 9016 on Google Maps" xr:uid="{00000000-0004-0000-1A00-0000B8000000}"/>
    <hyperlink ref="E71" r:id="rId186" tooltip="Search Dawert I-Imriehel, Qormi, Malta QRM 9052 on Google Maps" xr:uid="{00000000-0004-0000-1A00-0000B9000000}"/>
    <hyperlink ref="E72" r:id="rId187" tooltip="Search HF 5A Qasam Industrijali, Hal Far, B'Bugia, Malta BBG 3000 on Google Maps" xr:uid="{00000000-0004-0000-1A00-0000BA000000}"/>
    <hyperlink ref="E73" r:id="rId188" tooltip="Search Triq il-Kappar, Mosta, Malta MST 4003 on Google Maps" xr:uid="{00000000-0004-0000-1A00-0000BB000000}"/>
    <hyperlink ref="E74" r:id="rId189" tooltip="Search T/G fi triq l-Imdina, Zebbug, Malta ZBG 5011 on Google Maps" xr:uid="{00000000-0004-0000-1A00-0000BC000000}"/>
    <hyperlink ref="E75" r:id="rId190" tooltip="Search 146, Balzan Valley, Hal Balzan, Malta on Google Maps" xr:uid="{00000000-0004-0000-1A00-0000BD000000}"/>
    <hyperlink ref="E76" r:id="rId191" tooltip="Search Triq I-Isqof Buhagiar, Paola, Malta PLA 1111 on Google Maps" xr:uid="{00000000-0004-0000-1A00-0000BE000000}"/>
    <hyperlink ref="E77" r:id="rId192" tooltip="Search Triq Hal Far, B'Budia, Malta on Google Maps" xr:uid="{00000000-0004-0000-1A00-0000BF000000}"/>
    <hyperlink ref="E78" r:id="rId193" tooltip="Search 86 Triq Valletta Hal Luqa, Malta LQA 1762 on Google Maps" xr:uid="{00000000-0004-0000-1A00-0000C0000000}"/>
    <hyperlink ref="E79" r:id="rId194" tooltip="Search 192 Triq in-Naxxar, B'Kara, Malta BKR 9044 on Google Maps" xr:uid="{00000000-0004-0000-1A00-0000C1000000}"/>
    <hyperlink ref="E80" r:id="rId195" tooltip="Search San Gwakkin Building Triq Gwakkin Central Business District, B'Kara, Malta CBD 4020 on Google Maps" xr:uid="{00000000-0004-0000-1A00-0000C2000000}"/>
    <hyperlink ref="E81" r:id="rId196" tooltip="Search Triq Wied Ghomor, San Giljan, Malta STJ 2040 on Google Maps" xr:uid="{00000000-0004-0000-1A00-0000C3000000}"/>
    <hyperlink ref="E82" r:id="rId197" tooltip="Search 69 Triq Hal Qormi, Hamrun, Malta HMR 2183 on Google Maps" xr:uid="{00000000-0004-0000-1A00-0000C4000000}"/>
    <hyperlink ref="E83" r:id="rId198" tooltip="Search 61 St Liberata Triq Santa Liberata, Kalkara, Malta KKR 1612 on Google Maps" xr:uid="{00000000-0004-0000-1A00-0000C5000000}"/>
    <hyperlink ref="E84" r:id="rId199" tooltip="Search Triq il-Wied, B'Kara, Malta on Google Maps" xr:uid="{00000000-0004-0000-1A00-0000C6000000}"/>
    <hyperlink ref="E85" r:id="rId200" tooltip="Search Pjazza Tigne' Tigne' Point, Slimea, Malta on Google Maps" xr:uid="{00000000-0004-0000-1A00-0000C7000000}"/>
    <hyperlink ref="E86" r:id="rId201" tooltip="Search Triq Gorg Borg Olivier, Victoria-Gozo, Gozo VCT 2515 on Google Maps" xr:uid="{00000000-0004-0000-1A00-0000C8000000}"/>
    <hyperlink ref="E87" r:id="rId202" tooltip="Search Triq San Pawl, Naxxar, Malta NXR 4016 on Google Maps" xr:uid="{00000000-0004-0000-1A00-0000C9000000}"/>
    <hyperlink ref="E88" r:id="rId203" tooltip="Search Triq il-Labour, Marsa, Malta MRS 9030 on Google Maps" xr:uid="{00000000-0004-0000-1A00-0000CA000000}"/>
    <hyperlink ref="E89" r:id="rId204" tooltip="Search 28 Qasam Industrijali, Luqa, Malta LQA 3000 on Google Maps" xr:uid="{00000000-0004-0000-1A00-0000CB000000}"/>
    <hyperlink ref="E90" r:id="rId205" tooltip="Search Triq il-Kbita, Mellieha, Malta on Google Maps" xr:uid="{00000000-0004-0000-1A00-0000CC000000}"/>
    <hyperlink ref="E91" r:id="rId206" tooltip="Search Triq il-Mosta, Lija, Malta LIJA 9012 on Google Maps" xr:uid="{00000000-0004-0000-1A00-0000CD000000}"/>
    <hyperlink ref="E92" r:id="rId207" tooltip="Search Zone 5 Triq ll-Kummerc Central Business District, Qormi, Malta on Google Maps" xr:uid="{00000000-0004-0000-1A00-0000CE000000}"/>
    <hyperlink ref="E93" r:id="rId208" tooltip="Search 154 Triq il-Kappillan Mifsud, Sta Venera, Malta on Google Maps" xr:uid="{00000000-0004-0000-1A00-0000CF000000}"/>
    <hyperlink ref="E94" r:id="rId209" tooltip="Search Flat 9, Harmony Court Triq tal-Gardiel, M'Skala, Malta MSK 3807 on Google Maps" xr:uid="{00000000-0004-0000-1A00-0000D0000000}"/>
    <hyperlink ref="E95" r:id="rId210" tooltip="Search 91 Triq il-Kbira San Guzepp, Hamrun, Malta HMR 1017 on Google Maps" xr:uid="{00000000-0004-0000-1A00-0000D1000000}"/>
    <hyperlink ref="E96" r:id="rId211" tooltip="Search 210 Triq il-Ferrovija, Sta Venera, Malta SVR 9019 on Google Maps" xr:uid="{00000000-0004-0000-1A00-0000D2000000}"/>
    <hyperlink ref="E97" r:id="rId212" tooltip="Search Triq il-Wied, B'Kara, Malta BKR 9021 on Google Maps" xr:uid="{00000000-0004-0000-1A00-0000D3000000}"/>
    <hyperlink ref="E98" r:id="rId213" tooltip="Search 17 Triq Ganu, B'Kara on Google Maps" xr:uid="{00000000-0004-0000-1A00-0000D4000000}"/>
    <hyperlink ref="E99" r:id="rId214" tooltip="Search Triq il-Ferrovija, Sta Venera, Malta SVR 9019 on Google Maps" xr:uid="{00000000-0004-0000-1A00-0000D5000000}"/>
    <hyperlink ref="E100" r:id="rId215" tooltip="Search Triq Ponosonby, Mosta, Malta MST 4039 on Google Maps" xr:uid="{00000000-0004-0000-1A00-0000D6000000}"/>
    <hyperlink ref="E101" r:id="rId216" tooltip="Search Triq il-Kungress Ewkaristiku on Google Maps" xr:uid="{00000000-0004-0000-1A00-0000D7000000}"/>
    <hyperlink ref="E102" r:id="rId217" tooltip="Search Mdina Road, Zebbug on Google Maps" xr:uid="{00000000-0004-0000-1A00-0000D8000000}"/>
    <hyperlink ref="E103" r:id="rId218" tooltip="Search Mdina Road, Attard on Google Maps" xr:uid="{00000000-0004-0000-1A00-0000D9000000}"/>
    <hyperlink ref="E104" r:id="rId219" tooltip="Search Triq il-Wied ta' (multiple) on Google Maps" xr:uid="{00000000-0004-0000-1A00-0000DA000000}"/>
    <hyperlink ref="E105" r:id="rId220" tooltip="Search 163 Triq il-Ferrovija, Santa Venera on Google Maps" xr:uid="{00000000-0004-0000-1A00-0000DB000000}"/>
    <hyperlink ref="E106" r:id="rId221" tooltip="Search Abate Rigord St, Ta' Xbiex on Google Maps" xr:uid="{00000000-0004-0000-1A00-0000DC000000}"/>
    <hyperlink ref="E107" r:id="rId222" tooltip="Search 5/6 Msida Valley Road, Birkirkara on Google Maps" xr:uid="{00000000-0004-0000-1A00-0000DD000000}"/>
    <hyperlink ref="E108" r:id="rId223" tooltip="Search Triq il-Kummerc, Qormi on Google Maps" xr:uid="{00000000-0004-0000-1A00-0000DE000000}"/>
    <hyperlink ref="E109" r:id="rId224" tooltip="Search 836/838 High Street, Hamrun on Google Maps" xr:uid="{00000000-0004-0000-1A00-0000DF000000}"/>
    <hyperlink ref="E110" r:id="rId225" tooltip="Search Triq A Caligari, Zabbar on Google Maps" xr:uid="{00000000-0004-0000-1A00-0000E0000000}"/>
    <hyperlink ref="E111" r:id="rId226" tooltip="Search Galeas, San Gwann on Google Maps" xr:uid="{00000000-0004-0000-1A00-0000E1000000}"/>
    <hyperlink ref="E112" r:id="rId227" tooltip="Search Triq San Pawl, Mosta on Google Maps" xr:uid="{00000000-0004-0000-1A00-0000E2000000}"/>
    <hyperlink ref="E113" r:id="rId228" tooltip="Search Lija / Qormi stores on Google Maps" xr:uid="{00000000-0004-0000-1A00-0000E3000000}"/>
    <hyperlink ref="E114" r:id="rId229" tooltip="Search San Gwann on Google Maps" xr:uid="{00000000-0004-0000-1A00-0000E4000000}"/>
    <hyperlink ref="F2" r:id="rId230" tooltip="Visit euroimjsm.com/" xr:uid="{00000000-0004-0000-1A00-0000E5000000}"/>
    <hyperlink ref="F3" r:id="rId231" tooltip="Visit styleinterni.com/" xr:uid="{00000000-0004-0000-1A00-0000E6000000}"/>
    <hyperlink ref="F4" r:id="rId232" tooltip="Visit homisticrooms.com/" xr:uid="{00000000-0004-0000-1A00-0000E7000000}"/>
    <hyperlink ref="F5" r:id="rId233" tooltip="Visit foamandleather.com" xr:uid="{00000000-0004-0000-1A00-0000E8000000}"/>
    <hyperlink ref="F6" r:id="rId234" tooltip="Visit cbrltd.com" xr:uid="{00000000-0004-0000-1A00-0000E9000000}"/>
    <hyperlink ref="F8" r:id="rId235" tooltip="Visit facebook.com/4mHome" xr:uid="{00000000-0004-0000-1A00-0000EA000000}"/>
    <hyperlink ref="F9" r:id="rId236" tooltip="Visit powerhousemalta.eu" xr:uid="{00000000-0004-0000-1A00-0000EB000000}"/>
    <hyperlink ref="F10" r:id="rId237" tooltip="Visit krea.com.mt" xr:uid="{00000000-0004-0000-1A00-0000EC000000}"/>
    <hyperlink ref="F11" r:id="rId238" tooltip="Visit jysk.com.mt" xr:uid="{00000000-0004-0000-1A00-0000ED000000}"/>
    <hyperlink ref="F12" r:id="rId239" tooltip="Visit dinofino.com" xr:uid="{00000000-0004-0000-1A00-0000EE000000}"/>
    <hyperlink ref="F13" r:id="rId240" tooltip="Visit mattresscollection.com.mt" xr:uid="{00000000-0004-0000-1A00-0000EF000000}"/>
    <hyperlink ref="F14" r:id="rId241" tooltip="Visit royaltybedding.com" xr:uid="{00000000-0004-0000-1A00-0000F0000000}"/>
    <hyperlink ref="F15" r:id="rId242" tooltip="Visit shaker.com.mt" xr:uid="{00000000-0004-0000-1A00-0000F1000000}"/>
    <hyperlink ref="F16" r:id="rId243" tooltip="Visit dreamsmalta.com" xr:uid="{00000000-0004-0000-1A00-0000F2000000}"/>
    <hyperlink ref="F17" r:id="rId244" tooltip="Visit morfeus.com.mt" xr:uid="{00000000-0004-0000-1A00-0000F3000000}"/>
    <hyperlink ref="F18" r:id="rId245" tooltip="Visit oxfordhouse.com.mt" xr:uid="{00000000-0004-0000-1A00-0000F4000000}"/>
    <hyperlink ref="F19" r:id="rId246" tooltip="Visit okhome.com.mt" xr:uid="{00000000-0004-0000-1A00-0000F5000000}"/>
    <hyperlink ref="F20" r:id="rId247" tooltip="Visit theatrium.com.mt" xr:uid="{00000000-0004-0000-1A00-0000F6000000}"/>
    <hyperlink ref="F21" r:id="rId248" tooltip="Visit fino.com.mt" xr:uid="{00000000-0004-0000-1A00-0000F7000000}"/>
    <hyperlink ref="F22" r:id="rId249" tooltip="Visit homemate.com.mt" xr:uid="{00000000-0004-0000-1A00-0000F8000000}"/>
    <hyperlink ref="F23" r:id="rId250" tooltip="Visit vitafoammalta.com" xr:uid="{00000000-0004-0000-1A00-0000F9000000}"/>
    <hyperlink ref="F24" r:id="rId251" tooltip="Visit sylviabazaar.com" xr:uid="{00000000-0004-0000-1A00-0000FA000000}"/>
    <hyperlink ref="F25" r:id="rId252" tooltip="Visit omajcobedding.com" xr:uid="{00000000-0004-0000-1A00-0000FB000000}"/>
    <hyperlink ref="F26" r:id="rId253" tooltip="Visit borisarcidiacono.com" xr:uid="{00000000-0004-0000-1A00-0000FC000000}"/>
    <hyperlink ref="F27" r:id="rId254" tooltip="Visit wellbeingbedding.com" xr:uid="{00000000-0004-0000-1A00-0000FD000000}"/>
    <hyperlink ref="F28" r:id="rId255" tooltip="Visit ctmliving.com" xr:uid="{00000000-0004-0000-1A00-0000FE000000}"/>
    <hyperlink ref="F29" r:id="rId256" tooltip="Visit pcs.com.mt" xr:uid="{00000000-0004-0000-1A00-0000FF000000}"/>
    <hyperlink ref="F30" r:id="rId257" tooltip="Visit malta-design.com" xr:uid="{00000000-0004-0000-1A00-000000010000}"/>
    <hyperlink ref="F31" r:id="rId258" tooltip="Visit promaninteriors.com/" xr:uid="{00000000-0004-0000-1A00-000001010000}"/>
    <hyperlink ref="F32" r:id="rId259" tooltip="Visit brands.com.mt" xr:uid="{00000000-0004-0000-1A00-000002010000}"/>
    <hyperlink ref="F33" r:id="rId260" tooltip="Visit rliving.com.mt" xr:uid="{00000000-0004-0000-1A00-000003010000}"/>
    <hyperlink ref="F34" r:id="rId261" tooltip="Visit kubekgroup.com" xr:uid="{00000000-0004-0000-1A00-000004010000}"/>
    <hyperlink ref="F35" r:id="rId262" tooltip="Visit facebook.com/people/Abela-Norbert-Joiners/100057636902110/" xr:uid="{00000000-0004-0000-1A00-000005010000}"/>
    <hyperlink ref="F36" r:id="rId263" tooltip="Visit facebook.com/photo/?fbid=518605750070651&amp;set=a.518605710070655" xr:uid="{00000000-0004-0000-1A00-000006010000}"/>
    <hyperlink ref="F37" r:id="rId264" tooltip="Visit bedsofa.mypos.site/en" xr:uid="{00000000-0004-0000-1A00-000007010000}"/>
    <hyperlink ref="F38" r:id="rId265" tooltip="Visit instagram.com/casafini_malta/?hl=en" xr:uid="{00000000-0004-0000-1A00-000008010000}"/>
    <hyperlink ref="F39" r:id="rId266" tooltip="Visit casconehome.com" xr:uid="{00000000-0004-0000-1A00-000009010000}"/>
    <hyperlink ref="F40" r:id="rId267" tooltip="Visit cieffeprojects.com.mt" xr:uid="{00000000-0004-0000-1A00-00000A010000}"/>
    <hyperlink ref="F41" r:id="rId268" tooltip="Visit constructfurniture.com.mt" xr:uid="{00000000-0004-0000-1A00-00000B010000}"/>
    <hyperlink ref="F42" r:id="rId269" tooltip="Visit domal.com.mt" xr:uid="{00000000-0004-0000-1A00-00000C010000}"/>
    <hyperlink ref="F43" r:id="rId270" tooltip="Visit erickuster.com" xr:uid="{00000000-0004-0000-1A00-00000D010000}"/>
    <hyperlink ref="F44" r:id="rId271" tooltip="Visit esteamt.com" xr:uid="{00000000-0004-0000-1A00-00000E010000}"/>
    <hyperlink ref="F46" r:id="rId272" tooltip="Visit gozoarts.com.mt" xr:uid="{00000000-0004-0000-1A00-00000F010000}"/>
    <hyperlink ref="F47" r:id="rId273" tooltip="Visit form.com.mt" xr:uid="{00000000-0004-0000-1A00-000010010000}"/>
    <hyperlink ref="F48" r:id="rId274" tooltip="Visit imaginecasamalta.com" xr:uid="{00000000-0004-0000-1A00-000011010000}"/>
    <hyperlink ref="F49" r:id="rId275" tooltip="Visit jdsfurniture.com" xr:uid="{00000000-0004-0000-1A00-000012010000}"/>
    <hyperlink ref="F50" r:id="rId276" tooltip="Visit jtstrading.com" xr:uid="{00000000-0004-0000-1A00-000013010000}"/>
    <hyperlink ref="F51" r:id="rId277" tooltip="Visit facebook.com/MarvinsWarehouse" xr:uid="{00000000-0004-0000-1A00-000014010000}"/>
    <hyperlink ref="F52" r:id="rId278" tooltip="Visit mucciomobili.it" xr:uid="{00000000-0004-0000-1A00-000015010000}"/>
    <hyperlink ref="F53" r:id="rId279" tooltip="Visit onepercent.com.mt" xr:uid="{00000000-0004-0000-1A00-000016010000}"/>
    <hyperlink ref="F54" r:id="rId280" tooltip="Visit facebook.com/people/Real-woodworks/100057415459586/" xr:uid="{00000000-0004-0000-1A00-000017010000}"/>
    <hyperlink ref="F55" r:id="rId281" tooltip="Visit rusticahome.com.mt" xr:uid="{00000000-0004-0000-1A00-000018010000}"/>
    <hyperlink ref="F56" r:id="rId282" tooltip="Visit promaninteriors.com/" xr:uid="{00000000-0004-0000-1A00-000019010000}"/>
    <hyperlink ref="F57" r:id="rId283" tooltip="Visit powerhousemalta.eu" xr:uid="{00000000-0004-0000-1A00-00001A010000}"/>
    <hyperlink ref="F58" r:id="rId284" tooltip="Visit theatrium.com.mt" xr:uid="{00000000-0004-0000-1A00-00001B010000}"/>
    <hyperlink ref="F59" r:id="rId285" tooltip="Visit homemate.com.mt" xr:uid="{00000000-0004-0000-1A00-00001C010000}"/>
    <hyperlink ref="F60" r:id="rId286" tooltip="Visit jysk.com.mt" xr:uid="{00000000-0004-0000-1A00-00001D010000}"/>
    <hyperlink ref="F61" r:id="rId287" tooltip="Visit okhome.com.mt" xr:uid="{00000000-0004-0000-1A00-00001E010000}"/>
    <hyperlink ref="F62" r:id="rId288" tooltip="Visit karrari.shop" xr:uid="{00000000-0004-0000-1A00-00001F010000}"/>
    <hyperlink ref="F63" r:id="rId289" tooltip="Visit fino.com.mt" xr:uid="{00000000-0004-0000-1A00-000020010000}"/>
    <hyperlink ref="F64" r:id="rId290" tooltip="Visit orienta.mt" xr:uid="{00000000-0004-0000-1A00-000021010000}"/>
    <hyperlink ref="F65" r:id="rId291" tooltip="Visit newline.com.mt" xr:uid="{00000000-0004-0000-1A00-000022010000}"/>
    <hyperlink ref="F66" r:id="rId292" tooltip="Visit luxonas.com" xr:uid="{00000000-0004-0000-1A00-000023010000}"/>
    <hyperlink ref="F67" r:id="rId293" tooltip="Visit ecasa.com.mt" xr:uid="{00000000-0004-0000-1A00-000024010000}"/>
    <hyperlink ref="F68" r:id="rId294" tooltip="Visit glreclaim.com" xr:uid="{00000000-0004-0000-1A00-000025010000}"/>
    <hyperlink ref="F69" r:id="rId295" tooltip="Visit objects.mt" xr:uid="{00000000-0004-0000-1A00-000026010000}"/>
    <hyperlink ref="F70" r:id="rId296" tooltip="Visit brands.com.mt" xr:uid="{00000000-0004-0000-1A00-000027010000}"/>
    <hyperlink ref="F71" r:id="rId297" tooltip="Visit rliving.com.mt" xr:uid="{00000000-0004-0000-1A00-000028010000}"/>
    <hyperlink ref="F72" r:id="rId298" tooltip="Visit kubekgroup.com" xr:uid="{00000000-0004-0000-1A00-000029010000}"/>
    <hyperlink ref="F73" r:id="rId299" tooltip="Visit facebook.com/people/Top-Drawer-Ltd/100057222588942/" xr:uid="{00000000-0004-0000-1A00-00002A010000}"/>
    <hyperlink ref="F74" r:id="rId300" tooltip="Visit casaformfurniture.com" xr:uid="{00000000-0004-0000-1A00-00002B010000}"/>
    <hyperlink ref="F75" r:id="rId301" tooltip="Visit instagram.com/casafini_malta/?hl=en" xr:uid="{00000000-0004-0000-1A00-00002C010000}"/>
    <hyperlink ref="F76" r:id="rId302" tooltip="Visit ciantarwoodworks.com" xr:uid="{00000000-0004-0000-1A00-00002D010000}"/>
    <hyperlink ref="F77" r:id="rId303" tooltip="Visit cieffeprojects.com.mt" xr:uid="{00000000-0004-0000-1A00-00002E010000}"/>
    <hyperlink ref="F78" r:id="rId304" tooltip="Visit danielwoodworksmalta.com" xr:uid="{00000000-0004-0000-1A00-00002F010000}"/>
    <hyperlink ref="F79" r:id="rId305" tooltip="Visit domal.com.mt" xr:uid="{00000000-0004-0000-1A00-000030010000}"/>
    <hyperlink ref="F80" r:id="rId306" tooltip="Visit ecasa.com.mt" xr:uid="{00000000-0004-0000-1A00-000031010000}"/>
    <hyperlink ref="F81" r:id="rId307" tooltip="Visit erickuster.com" xr:uid="{00000000-0004-0000-1A00-000032010000}"/>
    <hyperlink ref="F83" r:id="rId308" tooltip="Visit fg.com.mt" xr:uid="{00000000-0004-0000-1A00-000033010000}"/>
    <hyperlink ref="F84" r:id="rId309" tooltip="Visit ferraracasa.com.mt" xr:uid="{00000000-0004-0000-1A00-000034010000}"/>
    <hyperlink ref="F85" r:id="rId310" tooltip="Visit gozoarts.com.mt" xr:uid="{00000000-0004-0000-1A00-000035010000}"/>
    <hyperlink ref="F86" r:id="rId311" tooltip="Visit facebook.com/grannysmithfurnitureandinteriors" xr:uid="{00000000-0004-0000-1A00-000036010000}"/>
    <hyperlink ref="F87" r:id="rId312" tooltip="Visit jcrfurniture.com" xr:uid="{00000000-0004-0000-1A00-000037010000}"/>
    <hyperlink ref="F88" r:id="rId313" tooltip="Visit jagiuswoodworks.com" xr:uid="{00000000-0004-0000-1A00-000038010000}"/>
    <hyperlink ref="F89" r:id="rId314" tooltip="Visit jdsfurniture.com" xr:uid="{00000000-0004-0000-1A00-000039010000}"/>
    <hyperlink ref="F90" r:id="rId315" tooltip="Visit jysk.com.mt" xr:uid="{00000000-0004-0000-1A00-00003A010000}"/>
    <hyperlink ref="F91" r:id="rId316" tooltip="Visit jtstrading.com" xr:uid="{00000000-0004-0000-1A00-00003B010000}"/>
    <hyperlink ref="F92" r:id="rId317" tooltip="Visit mucciomobili.it" xr:uid="{00000000-0004-0000-1A00-00003C010000}"/>
    <hyperlink ref="F93" r:id="rId318" tooltip="Visit facebook.com/p/Rags-and-Riches-Buy-and-Sell-100041339592117/" xr:uid="{00000000-0004-0000-1A00-00003D010000}"/>
    <hyperlink ref="F94" r:id="rId319" tooltip="Visit lepseg.wix.com/richard-furniture" xr:uid="{00000000-0004-0000-1A00-00003E010000}"/>
    <hyperlink ref="F96" r:id="rId320" tooltip="Visit spaces.com.mt" xr:uid="{00000000-0004-0000-1A00-00003F010000}"/>
    <hyperlink ref="F97" r:id="rId321" tooltip="Visit shabbychic.world/" xr:uid="{00000000-0004-0000-1A00-000040010000}"/>
    <hyperlink ref="F98" r:id="rId322" tooltip="Visit stylefurnituremalta.com" xr:uid="{00000000-0004-0000-1A00-000041010000}"/>
    <hyperlink ref="F99" r:id="rId323" tooltip="Visit tal-lira.com" xr:uid="{00000000-0004-0000-1A00-000042010000}"/>
    <hyperlink ref="F100" r:id="rId324" tooltip="Visit woodcreationsmalta.com" xr:uid="{00000000-0004-0000-1A00-000043010000}"/>
    <hyperlink ref="F101" r:id="rId325" tooltip="Visit mattresscollection.com.mt" xr:uid="{00000000-0004-0000-1A00-000044010000}"/>
    <hyperlink ref="F102" r:id="rId326" tooltip="Visit bondsmalta.com" xr:uid="{00000000-0004-0000-1A00-000045010000}"/>
    <hyperlink ref="F103" r:id="rId327" tooltip="Visit form.com.mt" xr:uid="{00000000-0004-0000-1A00-000046010000}"/>
    <hyperlink ref="F104" r:id="rId328" tooltip="Visit eurotexmalta.com" xr:uid="{00000000-0004-0000-1A00-000047010000}"/>
    <hyperlink ref="F105" r:id="rId329" tooltip="Visit dreamsmalta.com" xr:uid="{00000000-0004-0000-1A00-000048010000}"/>
    <hyperlink ref="F106" r:id="rId330" tooltip="Visit wellbeingbedding.com" xr:uid="{00000000-0004-0000-1A00-000049010000}"/>
    <hyperlink ref="F107" r:id="rId331" tooltip="Visit royaltybedding.com" xr:uid="{00000000-0004-0000-1A00-00004A010000}"/>
    <hyperlink ref="F108" r:id="rId332" tooltip="Visit foamandleather.com" xr:uid="{00000000-0004-0000-1A00-00004B010000}"/>
    <hyperlink ref="F109" r:id="rId333" tooltip="Visit sylviabazaar.com" xr:uid="{00000000-0004-0000-1A00-00004C010000}"/>
    <hyperlink ref="F110" r:id="rId334" tooltip="Visit vitafoammalta.com" xr:uid="{00000000-0004-0000-1A00-00004D010000}"/>
    <hyperlink ref="F111" r:id="rId335" tooltip="Visit morfeus.com.mt" xr:uid="{00000000-0004-0000-1A00-00004E010000}"/>
    <hyperlink ref="F112" r:id="rId336" tooltip="Visit jysk.com.mt" xr:uid="{00000000-0004-0000-1A00-00004F010000}"/>
    <hyperlink ref="F113" r:id="rId337" tooltip="Visit omajcobedding.com" xr:uid="{00000000-0004-0000-1A00-000050010000}"/>
  </hyperlinks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7"/>
  <sheetViews>
    <sheetView workbookViewId="0"/>
  </sheetViews>
  <sheetFormatPr defaultRowHeight="14.4" x14ac:dyDescent="0.3"/>
  <cols>
    <col min="1" max="1" width="15.5546875" customWidth="1"/>
    <col min="2" max="2" width="36.109375" customWidth="1"/>
    <col min="3" max="3" width="48.6640625" customWidth="1"/>
    <col min="4" max="4" width="45.33203125" customWidth="1"/>
    <col min="5" max="5" width="76.33203125" customWidth="1"/>
    <col min="6" max="6" width="134.5546875" customWidth="1"/>
    <col min="7" max="7" width="19.44140625" customWidth="1"/>
  </cols>
  <sheetData>
    <row r="1" spans="1:7" ht="18" x14ac:dyDescent="0.35">
      <c r="A1" s="1" t="s">
        <v>583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  <c r="G1" s="1" t="s">
        <v>1779</v>
      </c>
    </row>
    <row r="2" spans="1:7" x14ac:dyDescent="0.3">
      <c r="A2" s="2" t="s">
        <v>0</v>
      </c>
      <c r="B2" s="2" t="s">
        <v>1587</v>
      </c>
      <c r="C2" s="3" t="s">
        <v>1671</v>
      </c>
      <c r="D2" s="2" t="str">
        <f>CONCATENATE(HYPERLINK("CALLTO:%2B356%202148%203614", "+356 2148 3614"))</f>
        <v>+356 2148 3614</v>
      </c>
      <c r="E2" s="3" t="s">
        <v>1970</v>
      </c>
      <c r="F2" s="3" t="s">
        <v>2042</v>
      </c>
      <c r="G2" s="2"/>
    </row>
    <row r="3" spans="1:7" x14ac:dyDescent="0.3">
      <c r="A3" s="4" t="s">
        <v>1854</v>
      </c>
      <c r="B3" s="4" t="s">
        <v>1523</v>
      </c>
      <c r="C3" s="5" t="s">
        <v>1609</v>
      </c>
      <c r="D3" s="4" t="str">
        <f>CONCATENATE(HYPERLINK("CALLTO:%2B356%202149%206473", "+356 2149 6473"))</f>
        <v>+356 2149 6473</v>
      </c>
      <c r="E3" s="5" t="s">
        <v>1688</v>
      </c>
      <c r="F3" s="5" t="s">
        <v>1781</v>
      </c>
      <c r="G3" s="4"/>
    </row>
    <row r="4" spans="1:7" x14ac:dyDescent="0.3">
      <c r="A4" s="2" t="s">
        <v>1854</v>
      </c>
      <c r="B4" s="2" t="s">
        <v>1866</v>
      </c>
      <c r="C4" s="3" t="s">
        <v>1924</v>
      </c>
      <c r="D4" s="2" t="str">
        <f>CONCATENATE(HYPERLINK("CALLTO:%2B356%209922%20960099406580", "+356 9922 960099406580"))</f>
        <v>+356 9922 960099406580</v>
      </c>
      <c r="E4" s="3" t="s">
        <v>1971</v>
      </c>
      <c r="F4" s="3" t="s">
        <v>2043</v>
      </c>
      <c r="G4" s="2"/>
    </row>
    <row r="5" spans="1:7" x14ac:dyDescent="0.3">
      <c r="A5" s="4" t="s">
        <v>1854</v>
      </c>
      <c r="B5" s="4" t="s">
        <v>686</v>
      </c>
      <c r="C5" s="5" t="s">
        <v>715</v>
      </c>
      <c r="D5" s="4" t="str">
        <f>CONCATENATE(HYPERLINK("CALLTO:%2B356%202145%201350", "+356 2145 1350"))</f>
        <v>+356 2145 1350</v>
      </c>
      <c r="E5" s="5" t="s">
        <v>1972</v>
      </c>
      <c r="F5" s="5" t="s">
        <v>2044</v>
      </c>
      <c r="G5" s="4"/>
    </row>
    <row r="6" spans="1:7" x14ac:dyDescent="0.3">
      <c r="A6" s="2" t="s">
        <v>1854</v>
      </c>
      <c r="B6" s="2" t="s">
        <v>1867</v>
      </c>
      <c r="C6" s="3" t="s">
        <v>1635</v>
      </c>
      <c r="D6" s="2" t="str">
        <f>CONCATENATE(HYPERLINK("CALLTO:%2B356%202728%202828", "+356 2728 2828"))</f>
        <v>+356 2728 2828</v>
      </c>
      <c r="E6" s="3" t="s">
        <v>1973</v>
      </c>
      <c r="F6" s="3" t="s">
        <v>2045</v>
      </c>
      <c r="G6" s="2"/>
    </row>
    <row r="7" spans="1:7" x14ac:dyDescent="0.3">
      <c r="A7" s="4" t="s">
        <v>1854</v>
      </c>
      <c r="B7" s="4" t="s">
        <v>1868</v>
      </c>
      <c r="C7" s="5" t="s">
        <v>1925</v>
      </c>
      <c r="D7" s="4" t="str">
        <f>CONCATENATE(HYPERLINK("CALLTO:%2B356%202141%207402", "+356 2141 7402"))</f>
        <v>+356 2141 7402</v>
      </c>
      <c r="E7" s="5" t="s">
        <v>1974</v>
      </c>
      <c r="F7" s="5" t="s">
        <v>2046</v>
      </c>
      <c r="G7" s="4"/>
    </row>
    <row r="8" spans="1:7" x14ac:dyDescent="0.3">
      <c r="A8" s="2" t="s">
        <v>1854</v>
      </c>
      <c r="B8" s="2" t="s">
        <v>1869</v>
      </c>
      <c r="C8" s="3" t="s">
        <v>1926</v>
      </c>
      <c r="D8" s="2" t="str">
        <f>CONCATENATE(HYPERLINK("CALLTO:%2B356%202722%20777177729292", "+356 2722 777177729292"))</f>
        <v>+356 2722 777177729292</v>
      </c>
      <c r="E8" s="3" t="s">
        <v>1976</v>
      </c>
      <c r="F8" s="3" t="s">
        <v>2047</v>
      </c>
      <c r="G8" s="2"/>
    </row>
    <row r="9" spans="1:7" x14ac:dyDescent="0.3">
      <c r="A9" s="4" t="s">
        <v>1854</v>
      </c>
      <c r="B9" s="4" t="s">
        <v>219</v>
      </c>
      <c r="C9" s="5" t="s">
        <v>229</v>
      </c>
      <c r="D9" s="4" t="str">
        <f>CONCATENATE(HYPERLINK("CALLTO:%2B356%207904%201733", "+356 7904 1733"))</f>
        <v>+356 7904 1733</v>
      </c>
      <c r="E9" s="5" t="s">
        <v>1975</v>
      </c>
      <c r="F9" s="5" t="s">
        <v>240</v>
      </c>
      <c r="G9" s="4"/>
    </row>
    <row r="10" spans="1:7" x14ac:dyDescent="0.3">
      <c r="A10" s="2" t="s">
        <v>1854</v>
      </c>
      <c r="B10" s="2" t="s">
        <v>1582</v>
      </c>
      <c r="C10" s="3" t="s">
        <v>1666</v>
      </c>
      <c r="D10" s="2" t="str">
        <f>CONCATENATE(HYPERLINK("CALLTO:%2B356%202141%200903", "+356 2141 0903"))</f>
        <v>+356 2141 0903</v>
      </c>
      <c r="E10" s="3" t="s">
        <v>1747</v>
      </c>
      <c r="F10" s="3" t="s">
        <v>1836</v>
      </c>
      <c r="G10" s="2"/>
    </row>
    <row r="11" spans="1:7" x14ac:dyDescent="0.3">
      <c r="A11" s="4" t="s">
        <v>1854</v>
      </c>
      <c r="B11" s="4" t="s">
        <v>1553</v>
      </c>
      <c r="C11" s="5" t="s">
        <v>1638</v>
      </c>
      <c r="D11" s="4" t="str">
        <f>CONCATENATE(HYPERLINK("CALLTO:%2B356%202095%209595", "+356 2095 9595"))</f>
        <v>+356 2095 9595</v>
      </c>
      <c r="E11" s="5" t="s">
        <v>1717</v>
      </c>
      <c r="F11" s="5" t="s">
        <v>1807</v>
      </c>
      <c r="G11" s="4"/>
    </row>
    <row r="12" spans="1:7" x14ac:dyDescent="0.3">
      <c r="A12" s="2" t="s">
        <v>1854</v>
      </c>
      <c r="B12" s="2" t="s">
        <v>1870</v>
      </c>
      <c r="C12" s="3" t="s">
        <v>1927</v>
      </c>
      <c r="D12" s="2" t="str">
        <f>CONCATENATE(HYPERLINK("CALLTO:%2B356%207744%20761021447604", "+356 7744 761021447604"))</f>
        <v>+356 7744 761021447604</v>
      </c>
      <c r="E12" s="3" t="s">
        <v>1977</v>
      </c>
      <c r="F12" s="3" t="s">
        <v>239</v>
      </c>
      <c r="G12" s="2"/>
    </row>
    <row r="13" spans="1:7" x14ac:dyDescent="0.3">
      <c r="A13" s="4" t="s">
        <v>1854</v>
      </c>
      <c r="B13" s="4" t="s">
        <v>1871</v>
      </c>
      <c r="C13" s="5" t="s">
        <v>1928</v>
      </c>
      <c r="D13" s="4" t="str">
        <f>CONCATENATE(HYPERLINK("CALLTO:%2B356%202144%203449", "+356 2144 3449"))</f>
        <v>+356 2144 3449</v>
      </c>
      <c r="E13" s="5" t="s">
        <v>1978</v>
      </c>
      <c r="F13" s="5" t="s">
        <v>2048</v>
      </c>
      <c r="G13" s="4"/>
    </row>
    <row r="14" spans="1:7" x14ac:dyDescent="0.3">
      <c r="A14" s="2" t="s">
        <v>1854</v>
      </c>
      <c r="B14" s="2" t="s">
        <v>1531</v>
      </c>
      <c r="C14" s="3" t="s">
        <v>1617</v>
      </c>
      <c r="D14" s="2" t="str">
        <f>CONCATENATE(HYPERLINK("CALLTO:%2B356%202124%200100", "+356 2124 0100"))</f>
        <v>+356 2124 0100</v>
      </c>
      <c r="E14" s="3" t="s">
        <v>1697</v>
      </c>
      <c r="F14" s="3" t="s">
        <v>1788</v>
      </c>
      <c r="G14" s="2"/>
    </row>
    <row r="15" spans="1:7" x14ac:dyDescent="0.3">
      <c r="A15" s="4" t="s">
        <v>1854</v>
      </c>
      <c r="B15" s="4" t="s">
        <v>1872</v>
      </c>
      <c r="C15" s="5" t="s">
        <v>864</v>
      </c>
      <c r="D15" s="4" t="str">
        <f>CONCATENATE(HYPERLINK("CALLTO:%2B356%202155%201234", "+356 2155 1234"))</f>
        <v>+356 2155 1234</v>
      </c>
      <c r="E15" s="5" t="s">
        <v>1340</v>
      </c>
      <c r="F15" s="5" t="s">
        <v>2049</v>
      </c>
      <c r="G15" s="4"/>
    </row>
    <row r="16" spans="1:7" x14ac:dyDescent="0.3">
      <c r="A16" s="2" t="s">
        <v>1854</v>
      </c>
      <c r="B16" s="2" t="s">
        <v>1873</v>
      </c>
      <c r="C16" s="3" t="s">
        <v>1929</v>
      </c>
      <c r="D16" s="2" t="str">
        <f>CONCATENATE(HYPERLINK("CALLTO:%2B356%202148%206511", "+356 2148 6511"))</f>
        <v>+356 2148 6511</v>
      </c>
      <c r="E16" s="3" t="s">
        <v>1979</v>
      </c>
      <c r="F16" s="3" t="s">
        <v>2050</v>
      </c>
      <c r="G16" s="2"/>
    </row>
    <row r="17" spans="1:7" x14ac:dyDescent="0.3">
      <c r="A17" s="4" t="s">
        <v>1854</v>
      </c>
      <c r="B17" s="4" t="s">
        <v>1874</v>
      </c>
      <c r="C17" s="5" t="s">
        <v>1654</v>
      </c>
      <c r="D17" s="4" t="str">
        <f>CONCATENATE(HYPERLINK("CALLTO:%2B356%202152%202390", "+356 2152 2390"))</f>
        <v>+356 2152 2390</v>
      </c>
      <c r="E17" s="5" t="s">
        <v>1980</v>
      </c>
      <c r="F17" s="5" t="s">
        <v>1823</v>
      </c>
      <c r="G17" s="4"/>
    </row>
    <row r="18" spans="1:7" x14ac:dyDescent="0.3">
      <c r="A18" s="2" t="s">
        <v>1854</v>
      </c>
      <c r="B18" s="2" t="s">
        <v>1530</v>
      </c>
      <c r="C18" s="3" t="s">
        <v>1616</v>
      </c>
      <c r="D18" s="2" t="str">
        <f>CONCATENATE(HYPERLINK("CALLTO:%2B356%202146%203501", "+356 2146 3501"))</f>
        <v>+356 2146 3501</v>
      </c>
      <c r="E18" s="3" t="s">
        <v>1695</v>
      </c>
      <c r="F18" s="3" t="s">
        <v>1787</v>
      </c>
      <c r="G18" s="2"/>
    </row>
    <row r="19" spans="1:7" x14ac:dyDescent="0.3">
      <c r="A19" s="4" t="s">
        <v>1854</v>
      </c>
      <c r="B19" s="4" t="s">
        <v>1555</v>
      </c>
      <c r="C19" s="5" t="s">
        <v>1640</v>
      </c>
      <c r="D19" s="4" t="str">
        <f>CONCATENATE(HYPERLINK("CALLTO:%2B356%202165%208358", "+356 2165 8358"))</f>
        <v>+356 2165 8358</v>
      </c>
      <c r="E19" s="5" t="s">
        <v>1719</v>
      </c>
      <c r="F19" s="5" t="s">
        <v>1809</v>
      </c>
      <c r="G19" s="4"/>
    </row>
    <row r="20" spans="1:7" x14ac:dyDescent="0.3">
      <c r="A20" s="2" t="s">
        <v>1854</v>
      </c>
      <c r="B20" s="2" t="s">
        <v>1875</v>
      </c>
      <c r="C20" s="2" t="s">
        <v>146</v>
      </c>
      <c r="D20" s="2" t="str">
        <f>CONCATENATE(HYPERLINK("CALLTO:%2B356%202156%204223", "+356 2156 4223"))</f>
        <v>+356 2156 4223</v>
      </c>
      <c r="E20" s="3" t="s">
        <v>1981</v>
      </c>
      <c r="F20" s="2" t="s">
        <v>146</v>
      </c>
      <c r="G20" s="2"/>
    </row>
    <row r="21" spans="1:7" x14ac:dyDescent="0.3">
      <c r="A21" s="4" t="s">
        <v>1854</v>
      </c>
      <c r="B21" s="4" t="s">
        <v>1876</v>
      </c>
      <c r="C21" s="5" t="s">
        <v>900</v>
      </c>
      <c r="D21" s="4" t="str">
        <f>CONCATENATE(HYPERLINK("CALLTO:%2B356%202144%207763", "+356 2144 7763"))</f>
        <v>+356 2144 7763</v>
      </c>
      <c r="E21" s="5" t="s">
        <v>1738</v>
      </c>
      <c r="F21" s="5" t="s">
        <v>941</v>
      </c>
      <c r="G21" s="4"/>
    </row>
    <row r="22" spans="1:7" x14ac:dyDescent="0.3">
      <c r="A22" s="2" t="s">
        <v>1854</v>
      </c>
      <c r="B22" s="2" t="s">
        <v>1877</v>
      </c>
      <c r="C22" s="3" t="s">
        <v>1930</v>
      </c>
      <c r="D22" s="2" t="str">
        <f>CONCATENATE(HYPERLINK("CALLTO:%2B356%202155%208450", "+356 2155 8450"))</f>
        <v>+356 2155 8450</v>
      </c>
      <c r="E22" s="3" t="s">
        <v>1982</v>
      </c>
      <c r="F22" s="3" t="s">
        <v>2051</v>
      </c>
      <c r="G22" s="2"/>
    </row>
    <row r="23" spans="1:7" x14ac:dyDescent="0.3">
      <c r="A23" s="4" t="s">
        <v>1854</v>
      </c>
      <c r="B23" s="4" t="s">
        <v>1878</v>
      </c>
      <c r="C23" s="5" t="s">
        <v>1931</v>
      </c>
      <c r="D23" s="4" t="str">
        <f>CONCATENATE(HYPERLINK("CALLTO:%2B356%202143%202913", "+356 2143 2913"))</f>
        <v>+356 2143 2913</v>
      </c>
      <c r="E23" s="5" t="s">
        <v>1983</v>
      </c>
      <c r="F23" s="5" t="s">
        <v>2052</v>
      </c>
      <c r="G23" s="4"/>
    </row>
    <row r="24" spans="1:7" x14ac:dyDescent="0.3">
      <c r="A24" s="2" t="s">
        <v>1854</v>
      </c>
      <c r="B24" s="2" t="s">
        <v>1536</v>
      </c>
      <c r="C24" s="3" t="s">
        <v>1622</v>
      </c>
      <c r="D24" s="2" t="str">
        <f>CONCATENATE(HYPERLINK("CALLTO:%2B356%202546%204000", "+356 2546 4000"))</f>
        <v>+356 2546 4000</v>
      </c>
      <c r="E24" s="3" t="s">
        <v>1984</v>
      </c>
      <c r="F24" s="3" t="s">
        <v>1794</v>
      </c>
      <c r="G24" s="2"/>
    </row>
    <row r="25" spans="1:7" x14ac:dyDescent="0.3">
      <c r="A25" s="4" t="s">
        <v>1854</v>
      </c>
      <c r="B25" s="4" t="s">
        <v>1879</v>
      </c>
      <c r="C25" s="5" t="s">
        <v>1932</v>
      </c>
      <c r="D25" s="4" t="str">
        <f>CONCATENATE(HYPERLINK("CALLTO:%2B356%207944%205674", "+356 7944 5674"))</f>
        <v>+356 7944 5674</v>
      </c>
      <c r="E25" s="5" t="s">
        <v>1748</v>
      </c>
      <c r="F25" s="5" t="s">
        <v>2053</v>
      </c>
      <c r="G25" s="4"/>
    </row>
    <row r="26" spans="1:7" x14ac:dyDescent="0.3">
      <c r="A26" s="2" t="s">
        <v>1854</v>
      </c>
      <c r="B26" s="2" t="s">
        <v>1583</v>
      </c>
      <c r="C26" s="3" t="s">
        <v>1667</v>
      </c>
      <c r="D26" s="2" t="str">
        <f>CONCATENATE(HYPERLINK("CALLTO:%2B356%202144%207266", "+356 2144 7266"))</f>
        <v>+356 2144 7266</v>
      </c>
      <c r="E26" s="3" t="s">
        <v>1985</v>
      </c>
      <c r="F26" s="3" t="s">
        <v>1837</v>
      </c>
      <c r="G26" s="2"/>
    </row>
    <row r="27" spans="1:7" x14ac:dyDescent="0.3">
      <c r="A27" s="4" t="s">
        <v>1855</v>
      </c>
      <c r="B27" s="4" t="s">
        <v>1880</v>
      </c>
      <c r="C27" s="5" t="s">
        <v>1668</v>
      </c>
      <c r="D27" s="4" t="str">
        <f>CONCATENATE(HYPERLINK("CALLTO:%2B356%202167%202432", "+356 2167 2432"))</f>
        <v>+356 2167 2432</v>
      </c>
      <c r="E27" s="5" t="s">
        <v>1986</v>
      </c>
      <c r="F27" s="5" t="s">
        <v>1838</v>
      </c>
      <c r="G27" s="4"/>
    </row>
    <row r="28" spans="1:7" x14ac:dyDescent="0.3">
      <c r="A28" s="2" t="s">
        <v>1855</v>
      </c>
      <c r="B28" s="2" t="s">
        <v>1585</v>
      </c>
      <c r="C28" s="3" t="s">
        <v>1668</v>
      </c>
      <c r="D28" s="2" t="str">
        <f>CONCATENATE(HYPERLINK("CALLTO:%2B356%202166%207106", "+356 2166 7106"))</f>
        <v>+356 2166 7106</v>
      </c>
      <c r="E28" s="3" t="s">
        <v>1696</v>
      </c>
      <c r="F28" s="3" t="s">
        <v>1839</v>
      </c>
      <c r="G28" s="2"/>
    </row>
    <row r="29" spans="1:7" x14ac:dyDescent="0.3">
      <c r="A29" s="4" t="s">
        <v>1855</v>
      </c>
      <c r="B29" s="4" t="s">
        <v>1217</v>
      </c>
      <c r="C29" s="5" t="s">
        <v>1293</v>
      </c>
      <c r="D29" s="4" t="str">
        <f>CONCATENATE(HYPERLINK("CALLTO:%2B356%202713%207364", "+356 2713 7364"))</f>
        <v>+356 2713 7364</v>
      </c>
      <c r="E29" s="5" t="s">
        <v>1761</v>
      </c>
      <c r="F29" s="5" t="s">
        <v>1447</v>
      </c>
      <c r="G29" s="4"/>
    </row>
    <row r="30" spans="1:7" x14ac:dyDescent="0.3">
      <c r="A30" s="2" t="s">
        <v>1855</v>
      </c>
      <c r="B30" s="2" t="s">
        <v>1593</v>
      </c>
      <c r="C30" s="3" t="s">
        <v>1677</v>
      </c>
      <c r="D30" s="2" t="str">
        <f>CONCATENATE(HYPERLINK("CALLTO:%2B356%202122%204103", "+356 2122 4103"))</f>
        <v>+356 2122 4103</v>
      </c>
      <c r="E30" s="3" t="s">
        <v>1987</v>
      </c>
      <c r="F30" s="3" t="s">
        <v>1846</v>
      </c>
      <c r="G30" s="2"/>
    </row>
    <row r="31" spans="1:7" x14ac:dyDescent="0.3">
      <c r="A31" s="4" t="s">
        <v>1855</v>
      </c>
      <c r="B31" s="4" t="s">
        <v>1575</v>
      </c>
      <c r="C31" s="5" t="s">
        <v>1660</v>
      </c>
      <c r="D31" s="4" t="str">
        <f>CONCATENATE(HYPERLINK("CALLTO:%2B356%202123%208520", "+356 2123 8520"))</f>
        <v>+356 2123 8520</v>
      </c>
      <c r="E31" s="5" t="s">
        <v>1763</v>
      </c>
      <c r="F31" s="5" t="s">
        <v>2054</v>
      </c>
      <c r="G31" s="4"/>
    </row>
    <row r="32" spans="1:7" x14ac:dyDescent="0.3">
      <c r="A32" s="2" t="s">
        <v>1855</v>
      </c>
      <c r="B32" s="2" t="s">
        <v>1595</v>
      </c>
      <c r="C32" s="3" t="s">
        <v>1679</v>
      </c>
      <c r="D32" s="2" t="str">
        <f>CONCATENATE(HYPERLINK("CALLTO:%2B356%202123%200982", "+356 2123 0982"))</f>
        <v>+356 2123 0982</v>
      </c>
      <c r="E32" s="3" t="s">
        <v>1718</v>
      </c>
      <c r="F32" s="3" t="s">
        <v>1847</v>
      </c>
      <c r="G32" s="2"/>
    </row>
    <row r="33" spans="1:7" x14ac:dyDescent="0.3">
      <c r="A33" s="4" t="s">
        <v>1855</v>
      </c>
      <c r="B33" s="4" t="s">
        <v>1554</v>
      </c>
      <c r="C33" s="5" t="s">
        <v>1639</v>
      </c>
      <c r="D33" s="4" t="str">
        <f>CONCATENATE(HYPERLINK("CALLTO:%2B356%202149%209699", "+356 2149 9699"))</f>
        <v>+356 2149 9699</v>
      </c>
      <c r="E33" s="5" t="s">
        <v>1988</v>
      </c>
      <c r="F33" s="5" t="s">
        <v>1808</v>
      </c>
      <c r="G33" s="4"/>
    </row>
    <row r="34" spans="1:7" x14ac:dyDescent="0.3">
      <c r="A34" s="2" t="s">
        <v>1855</v>
      </c>
      <c r="B34" s="2" t="s">
        <v>1879</v>
      </c>
      <c r="C34" s="3" t="s">
        <v>1932</v>
      </c>
      <c r="D34" s="2" t="str">
        <f>CONCATENATE(HYPERLINK("CALLTO:%2B356%207944%205674", "+356 7944 5674"))</f>
        <v>+356 7944 5674</v>
      </c>
      <c r="E34" s="3" t="s">
        <v>1972</v>
      </c>
      <c r="F34" s="3" t="s">
        <v>2053</v>
      </c>
      <c r="G34" s="2"/>
    </row>
    <row r="35" spans="1:7" x14ac:dyDescent="0.3">
      <c r="A35" s="4" t="s">
        <v>1855</v>
      </c>
      <c r="B35" s="4" t="s">
        <v>1548</v>
      </c>
      <c r="C35" s="5" t="s">
        <v>1633</v>
      </c>
      <c r="D35" s="4" t="str">
        <f>CONCATENATE(HYPERLINK("CALLTO:%2B356%202131%200334", "+356 2131 0334"), " / ", HYPERLINK("CALLTO:%2B356%209943%201232", "+356 9943 1232"))</f>
        <v>+356 2131 0334 / +356 9943 1232</v>
      </c>
      <c r="E35" s="5" t="s">
        <v>1973</v>
      </c>
      <c r="F35" s="5" t="s">
        <v>1806</v>
      </c>
      <c r="G35" s="4"/>
    </row>
    <row r="36" spans="1:7" x14ac:dyDescent="0.3">
      <c r="A36" s="2" t="s">
        <v>1855</v>
      </c>
      <c r="B36" s="2" t="s">
        <v>686</v>
      </c>
      <c r="C36" s="3" t="s">
        <v>715</v>
      </c>
      <c r="D36" s="2" t="str">
        <f>CONCATENATE(HYPERLINK("CALLTO:%2B356%202145%201350", "+356 2145 1350"))</f>
        <v>+356 2145 1350</v>
      </c>
      <c r="E36" s="3" t="s">
        <v>1717</v>
      </c>
      <c r="F36" s="3" t="s">
        <v>2044</v>
      </c>
      <c r="G36" s="2"/>
    </row>
    <row r="37" spans="1:7" x14ac:dyDescent="0.3">
      <c r="A37" s="4" t="s">
        <v>1856</v>
      </c>
      <c r="B37" s="4" t="s">
        <v>1867</v>
      </c>
      <c r="C37" s="5" t="s">
        <v>1635</v>
      </c>
      <c r="D37" s="4" t="str">
        <f>CONCATENATE(HYPERLINK("CALLTO:%2B356%202728%202828", "+356 2728 2828"))</f>
        <v>+356 2728 2828</v>
      </c>
      <c r="E37" s="5" t="s">
        <v>1975</v>
      </c>
      <c r="F37" s="5" t="s">
        <v>2045</v>
      </c>
      <c r="G37" s="4"/>
    </row>
    <row r="38" spans="1:7" x14ac:dyDescent="0.3">
      <c r="A38" s="2" t="s">
        <v>1856</v>
      </c>
      <c r="B38" s="2" t="s">
        <v>1553</v>
      </c>
      <c r="C38" s="3" t="s">
        <v>1638</v>
      </c>
      <c r="D38" s="2" t="str">
        <f>CONCATENATE(HYPERLINK("CALLTO:%2B356%202095%209595", "+356 2095 9595"))</f>
        <v>+356 2095 9595</v>
      </c>
      <c r="E38" s="3" t="s">
        <v>1747</v>
      </c>
      <c r="F38" s="3" t="s">
        <v>1807</v>
      </c>
      <c r="G38" s="2"/>
    </row>
    <row r="39" spans="1:7" x14ac:dyDescent="0.3">
      <c r="A39" s="4" t="s">
        <v>1856</v>
      </c>
      <c r="B39" s="4" t="s">
        <v>219</v>
      </c>
      <c r="C39" s="5" t="s">
        <v>229</v>
      </c>
      <c r="D39" s="4" t="str">
        <f>CONCATENATE(HYPERLINK("CALLTO:%2B356%207904%201733", "+356 7904 1733"))</f>
        <v>+356 7904 1733</v>
      </c>
      <c r="E39" s="5" t="s">
        <v>1977</v>
      </c>
      <c r="F39" s="5" t="s">
        <v>240</v>
      </c>
      <c r="G39" s="4"/>
    </row>
    <row r="40" spans="1:7" x14ac:dyDescent="0.3">
      <c r="A40" s="2" t="s">
        <v>1856</v>
      </c>
      <c r="B40" s="2" t="s">
        <v>1582</v>
      </c>
      <c r="C40" s="3" t="s">
        <v>1666</v>
      </c>
      <c r="D40" s="2" t="str">
        <f>CONCATENATE(HYPERLINK("CALLTO:%2B356%202141%200903", "+356 2141 0903"))</f>
        <v>+356 2141 0903</v>
      </c>
      <c r="E40" s="3" t="s">
        <v>1697</v>
      </c>
      <c r="F40" s="3" t="s">
        <v>1836</v>
      </c>
      <c r="G40" s="2"/>
    </row>
    <row r="41" spans="1:7" x14ac:dyDescent="0.3">
      <c r="A41" s="4" t="s">
        <v>1856</v>
      </c>
      <c r="B41" s="4" t="s">
        <v>1870</v>
      </c>
      <c r="C41" s="5" t="s">
        <v>1927</v>
      </c>
      <c r="D41" s="4" t="str">
        <f>CONCATENATE(HYPERLINK("CALLTO:%2B356%207744%20761021447604", "+356 7744 761021447604"))</f>
        <v>+356 7744 761021447604</v>
      </c>
      <c r="E41" s="5" t="s">
        <v>1979</v>
      </c>
      <c r="F41" s="5" t="s">
        <v>239</v>
      </c>
      <c r="G41" s="4"/>
    </row>
    <row r="42" spans="1:7" x14ac:dyDescent="0.3">
      <c r="A42" s="2" t="s">
        <v>1856</v>
      </c>
      <c r="B42" s="2" t="s">
        <v>1531</v>
      </c>
      <c r="C42" s="3" t="s">
        <v>1617</v>
      </c>
      <c r="D42" s="2" t="str">
        <f>CONCATENATE(HYPERLINK("CALLTO:%2B356%202124%200100", "+356 2124 0100"))</f>
        <v>+356 2124 0100</v>
      </c>
      <c r="E42" s="3" t="s">
        <v>1719</v>
      </c>
      <c r="F42" s="3" t="s">
        <v>1788</v>
      </c>
      <c r="G42" s="2"/>
    </row>
    <row r="43" spans="1:7" x14ac:dyDescent="0.3">
      <c r="A43" s="4" t="s">
        <v>1856</v>
      </c>
      <c r="B43" s="4" t="s">
        <v>1873</v>
      </c>
      <c r="C43" s="5" t="s">
        <v>1929</v>
      </c>
      <c r="D43" s="4" t="str">
        <f>CONCATENATE(HYPERLINK("CALLTO:%2B356%202148%206511", "+356 2148 6511"))</f>
        <v>+356 2148 6511</v>
      </c>
      <c r="E43" s="5" t="s">
        <v>1738</v>
      </c>
      <c r="F43" s="5" t="s">
        <v>2050</v>
      </c>
      <c r="G43" s="4"/>
    </row>
    <row r="44" spans="1:7" x14ac:dyDescent="0.3">
      <c r="A44" s="2" t="s">
        <v>1856</v>
      </c>
      <c r="B44" s="2" t="s">
        <v>1555</v>
      </c>
      <c r="C44" s="3" t="s">
        <v>1640</v>
      </c>
      <c r="D44" s="2" t="str">
        <f>CONCATENATE(HYPERLINK("CALLTO:%2B356%202165%208358", "+356 2165 8358"))</f>
        <v>+356 2165 8358</v>
      </c>
      <c r="E44" s="3" t="s">
        <v>1989</v>
      </c>
      <c r="F44" s="3" t="s">
        <v>1809</v>
      </c>
      <c r="G44" s="2"/>
    </row>
    <row r="45" spans="1:7" x14ac:dyDescent="0.3">
      <c r="A45" s="4" t="s">
        <v>1856</v>
      </c>
      <c r="B45" s="4" t="s">
        <v>1876</v>
      </c>
      <c r="C45" s="5" t="s">
        <v>900</v>
      </c>
      <c r="D45" s="4" t="str">
        <f>CONCATENATE(HYPERLINK("CALLTO:%2B356%202144%207763", "+356 2144 7763"))</f>
        <v>+356 2144 7763</v>
      </c>
      <c r="E45" s="5" t="s">
        <v>1990</v>
      </c>
      <c r="F45" s="5" t="s">
        <v>941</v>
      </c>
      <c r="G45" s="4"/>
    </row>
    <row r="46" spans="1:7" x14ac:dyDescent="0.3">
      <c r="A46" s="2" t="s">
        <v>1856</v>
      </c>
      <c r="B46" s="2" t="s">
        <v>1879</v>
      </c>
      <c r="C46" s="3" t="s">
        <v>1932</v>
      </c>
      <c r="D46" s="2" t="str">
        <f>CONCATENATE(HYPERLINK("CALLTO:%2B356%207944%205674", "+356 7944 5674"))</f>
        <v>+356 7944 5674</v>
      </c>
      <c r="E46" s="3" t="s">
        <v>1991</v>
      </c>
      <c r="F46" s="3" t="s">
        <v>2053</v>
      </c>
      <c r="G46" s="2"/>
    </row>
    <row r="47" spans="1:7" x14ac:dyDescent="0.3">
      <c r="A47" s="4" t="s">
        <v>1856</v>
      </c>
      <c r="B47" s="4" t="s">
        <v>1881</v>
      </c>
      <c r="C47" s="4" t="s">
        <v>1933</v>
      </c>
      <c r="D47" s="4" t="str">
        <f>CONCATENATE(HYPERLINK("CALLTO:%2B356%202144%208174", "+356 2144 8174"))</f>
        <v>+356 2144 8174</v>
      </c>
      <c r="E47" s="5" t="s">
        <v>1751</v>
      </c>
      <c r="F47" s="5" t="s">
        <v>2055</v>
      </c>
      <c r="G47" s="4"/>
    </row>
    <row r="48" spans="1:7" x14ac:dyDescent="0.3">
      <c r="A48" s="2" t="s">
        <v>1857</v>
      </c>
      <c r="B48" s="2" t="s">
        <v>1882</v>
      </c>
      <c r="C48" s="3" t="s">
        <v>1934</v>
      </c>
      <c r="D48" s="2" t="str">
        <f>CONCATENATE(HYPERLINK("CALLTO:%2B356%207959%201793", "+356 7959 1793"))</f>
        <v>+356 7959 1793</v>
      </c>
      <c r="E48" s="3" t="s">
        <v>1992</v>
      </c>
      <c r="F48" s="3" t="s">
        <v>2056</v>
      </c>
      <c r="G48" s="2"/>
    </row>
    <row r="49" spans="1:7" x14ac:dyDescent="0.3">
      <c r="A49" s="4" t="s">
        <v>1857</v>
      </c>
      <c r="B49" s="4" t="s">
        <v>1883</v>
      </c>
      <c r="C49" s="5" t="s">
        <v>1935</v>
      </c>
      <c r="D49" s="4" t="str">
        <f>CONCATENATE(HYPERLINK("CALLTO:%2B356%209945%204333", "+356 9945 4333"))</f>
        <v>+356 9945 4333</v>
      </c>
      <c r="E49" s="5" t="s">
        <v>1696</v>
      </c>
      <c r="F49" s="5" t="s">
        <v>2057</v>
      </c>
      <c r="G49" s="4"/>
    </row>
    <row r="50" spans="1:7" x14ac:dyDescent="0.3">
      <c r="A50" s="2" t="s">
        <v>1857</v>
      </c>
      <c r="B50" s="2" t="s">
        <v>1586</v>
      </c>
      <c r="C50" s="3" t="s">
        <v>1670</v>
      </c>
      <c r="D50" s="2" t="str">
        <f>CONCATENATE(HYPERLINK("CALLTO:%2B356%209940%208444", "+356 9940 8444"))</f>
        <v>+356 9940 8444</v>
      </c>
      <c r="E50" s="3" t="s">
        <v>1984</v>
      </c>
      <c r="F50" s="3" t="s">
        <v>1840</v>
      </c>
      <c r="G50" s="2"/>
    </row>
    <row r="51" spans="1:7" x14ac:dyDescent="0.3">
      <c r="A51" s="4" t="s">
        <v>1857</v>
      </c>
      <c r="B51" s="4" t="s">
        <v>1884</v>
      </c>
      <c r="C51" s="5" t="s">
        <v>1936</v>
      </c>
      <c r="D51" s="4" t="str">
        <f>CONCATENATE(HYPERLINK("CALLTO:%2B356%202124%202494", "+356 2124 2494"))</f>
        <v>+356 2124 2494</v>
      </c>
      <c r="E51" s="5" t="s">
        <v>1694</v>
      </c>
      <c r="F51" s="5" t="s">
        <v>2058</v>
      </c>
      <c r="G51" s="4"/>
    </row>
    <row r="52" spans="1:7" x14ac:dyDescent="0.3">
      <c r="A52" s="2" t="s">
        <v>1857</v>
      </c>
      <c r="B52" s="2" t="s">
        <v>1217</v>
      </c>
      <c r="C52" s="3" t="s">
        <v>1293</v>
      </c>
      <c r="D52" s="2" t="str">
        <f>CONCATENATE(HYPERLINK("CALLTO:%2B356%202713%207364", "+356 2713 7364"))</f>
        <v>+356 2713 7364</v>
      </c>
      <c r="E52" s="3" t="s">
        <v>1697</v>
      </c>
      <c r="F52" s="3" t="s">
        <v>1447</v>
      </c>
      <c r="G52" s="2"/>
    </row>
    <row r="53" spans="1:7" x14ac:dyDescent="0.3">
      <c r="A53" s="4" t="s">
        <v>1857</v>
      </c>
      <c r="B53" s="4" t="s">
        <v>1536</v>
      </c>
      <c r="C53" s="5" t="s">
        <v>1622</v>
      </c>
      <c r="D53" s="4" t="str">
        <f>CONCATENATE(HYPERLINK("CALLTO:%2B356%202546%204000", "+356 2546 4000"))</f>
        <v>+356 2546 4000</v>
      </c>
      <c r="E53" s="5" t="s">
        <v>1993</v>
      </c>
      <c r="F53" s="5" t="s">
        <v>1794</v>
      </c>
      <c r="G53" s="4"/>
    </row>
    <row r="54" spans="1:7" x14ac:dyDescent="0.3">
      <c r="A54" s="2" t="s">
        <v>1857</v>
      </c>
      <c r="B54" s="2" t="s">
        <v>1529</v>
      </c>
      <c r="C54" s="3" t="s">
        <v>1615</v>
      </c>
      <c r="D54" s="2" t="str">
        <f>CONCATENATE(HYPERLINK("CALLTO:%2B356%202742%204632", "+356 2742 4632"))</f>
        <v>+356 2742 4632</v>
      </c>
      <c r="E54" s="3" t="s">
        <v>1994</v>
      </c>
      <c r="F54" s="3" t="s">
        <v>1786</v>
      </c>
      <c r="G54" s="2"/>
    </row>
    <row r="55" spans="1:7" x14ac:dyDescent="0.3">
      <c r="A55" s="4" t="s">
        <v>1857</v>
      </c>
      <c r="B55" s="4" t="s">
        <v>1531</v>
      </c>
      <c r="C55" s="5" t="s">
        <v>1617</v>
      </c>
      <c r="D55" s="4" t="str">
        <f>CONCATENATE(HYPERLINK("CALLTO:%2B356%202124%200100", "+356 2124 0100"))</f>
        <v>+356 2124 0100</v>
      </c>
      <c r="E55" s="5" t="s">
        <v>1995</v>
      </c>
      <c r="F55" s="5" t="s">
        <v>1788</v>
      </c>
      <c r="G55" s="4"/>
    </row>
    <row r="56" spans="1:7" x14ac:dyDescent="0.3">
      <c r="A56" s="2" t="s">
        <v>1857</v>
      </c>
      <c r="B56" s="2" t="s">
        <v>1885</v>
      </c>
      <c r="C56" s="3" t="s">
        <v>1636</v>
      </c>
      <c r="D56" s="2" t="str">
        <f>CONCATENATE(HYPERLINK("CALLTO:%2B356%202149%20172721491722", "+356 2149 172721491722"))</f>
        <v>+356 2149 172721491722</v>
      </c>
      <c r="E56" s="3" t="s">
        <v>1996</v>
      </c>
      <c r="F56" s="3" t="s">
        <v>2059</v>
      </c>
      <c r="G56" s="2"/>
    </row>
    <row r="57" spans="1:7" x14ac:dyDescent="0.3">
      <c r="A57" s="4" t="s">
        <v>1857</v>
      </c>
      <c r="B57" s="4" t="s">
        <v>1886</v>
      </c>
      <c r="C57" s="5" t="s">
        <v>1937</v>
      </c>
      <c r="D57" s="4" t="str">
        <f>CONCATENATE(HYPERLINK("CALLTO:%2B356%202033%204532", "+356 2033 4532"))</f>
        <v>+356 2033 4532</v>
      </c>
      <c r="E57" s="5" t="s">
        <v>1997</v>
      </c>
      <c r="F57" s="5" t="s">
        <v>2060</v>
      </c>
      <c r="G57" s="4"/>
    </row>
    <row r="58" spans="1:7" x14ac:dyDescent="0.3">
      <c r="A58" s="2" t="s">
        <v>1857</v>
      </c>
      <c r="B58" s="2" t="s">
        <v>1887</v>
      </c>
      <c r="C58" s="3" t="s">
        <v>1938</v>
      </c>
      <c r="D58" s="2" t="str">
        <f>CONCATENATE(HYPERLINK("CALLTO:%2B356%202141%20782179999330", "+356 2141 782179999330"))</f>
        <v>+356 2141 782179999330</v>
      </c>
      <c r="E58" s="3" t="s">
        <v>1973</v>
      </c>
      <c r="F58" s="3" t="s">
        <v>2061</v>
      </c>
      <c r="G58" s="2"/>
    </row>
    <row r="59" spans="1:7" x14ac:dyDescent="0.3">
      <c r="A59" s="4" t="s">
        <v>1857</v>
      </c>
      <c r="B59" s="4" t="s">
        <v>1888</v>
      </c>
      <c r="C59" s="5" t="s">
        <v>1296</v>
      </c>
      <c r="D59" s="4" t="str">
        <f>CONCATENATE(HYPERLINK("CALLTO:%2B356%202549%203000", "+356 2549 3000"))</f>
        <v>+356 2549 3000</v>
      </c>
      <c r="E59" s="5" t="s">
        <v>1340</v>
      </c>
      <c r="F59" s="5" t="s">
        <v>2062</v>
      </c>
      <c r="G59" s="4"/>
    </row>
    <row r="60" spans="1:7" x14ac:dyDescent="0.3">
      <c r="A60" s="2" t="s">
        <v>1857</v>
      </c>
      <c r="B60" s="2" t="s">
        <v>1889</v>
      </c>
      <c r="C60" s="2" t="s">
        <v>1939</v>
      </c>
      <c r="D60" s="2" t="str">
        <f>CONCATENATE(HYPERLINK("CALLTO:%2B356%202144%204478", "+356 2144 4478"))</f>
        <v>+356 2144 4478</v>
      </c>
      <c r="E60" s="3" t="s">
        <v>1717</v>
      </c>
      <c r="F60" s="3" t="s">
        <v>2063</v>
      </c>
      <c r="G60" s="2"/>
    </row>
    <row r="61" spans="1:7" x14ac:dyDescent="0.3">
      <c r="A61" s="4" t="s">
        <v>1858</v>
      </c>
      <c r="B61" s="4" t="s">
        <v>1867</v>
      </c>
      <c r="C61" s="5" t="s">
        <v>1635</v>
      </c>
      <c r="D61" s="4" t="str">
        <f>CONCATENATE(HYPERLINK("CALLTO:%2B356%202728%202828", "+356 2728 2828"))</f>
        <v>+356 2728 2828</v>
      </c>
      <c r="E61" s="5" t="s">
        <v>1747</v>
      </c>
      <c r="F61" s="5" t="s">
        <v>2045</v>
      </c>
      <c r="G61" s="4"/>
    </row>
    <row r="62" spans="1:7" x14ac:dyDescent="0.3">
      <c r="A62" s="2" t="s">
        <v>1859</v>
      </c>
      <c r="B62" s="2" t="s">
        <v>1193</v>
      </c>
      <c r="C62" s="3" t="s">
        <v>1272</v>
      </c>
      <c r="D62" s="2" t="str">
        <f>CONCATENATE(HYPERLINK("CALLTO:%2B356%202156%203966", "+356 2156 3966"))</f>
        <v>+356 2156 3966</v>
      </c>
      <c r="E62" s="3" t="s">
        <v>1717</v>
      </c>
      <c r="F62" s="3" t="s">
        <v>1423</v>
      </c>
      <c r="G62" s="2"/>
    </row>
    <row r="63" spans="1:7" x14ac:dyDescent="0.3">
      <c r="A63" s="4" t="s">
        <v>1859</v>
      </c>
      <c r="B63" s="4" t="s">
        <v>1553</v>
      </c>
      <c r="C63" s="5" t="s">
        <v>1638</v>
      </c>
      <c r="D63" s="4" t="str">
        <f>CONCATENATE(HYPERLINK("CALLTO:%2B356%202095%209595", "+356 2095 9595"))</f>
        <v>+356 2095 9595</v>
      </c>
      <c r="E63" s="5" t="s">
        <v>1998</v>
      </c>
      <c r="F63" s="5" t="s">
        <v>1807</v>
      </c>
      <c r="G63" s="4"/>
    </row>
    <row r="64" spans="1:7" x14ac:dyDescent="0.3">
      <c r="A64" s="2" t="s">
        <v>1859</v>
      </c>
      <c r="B64" s="2" t="s">
        <v>1582</v>
      </c>
      <c r="C64" s="3" t="s">
        <v>1666</v>
      </c>
      <c r="D64" s="2" t="str">
        <f>CONCATENATE(HYPERLINK("CALLTO:%2B356%202141%200903", "+356 2141 0903"))</f>
        <v>+356 2141 0903</v>
      </c>
      <c r="E64" s="3" t="s">
        <v>1999</v>
      </c>
      <c r="F64" s="3" t="s">
        <v>1836</v>
      </c>
      <c r="G64" s="2"/>
    </row>
    <row r="65" spans="1:7" x14ac:dyDescent="0.3">
      <c r="A65" s="4" t="s">
        <v>1859</v>
      </c>
      <c r="B65" s="4" t="s">
        <v>1890</v>
      </c>
      <c r="C65" s="5" t="s">
        <v>1637</v>
      </c>
      <c r="D65" s="4" t="str">
        <f>CONCATENATE(HYPERLINK("CALLTO:%2B356%202137%20801120959595", "+356 2137 801120959595"))</f>
        <v>+356 2137 801120959595</v>
      </c>
      <c r="E65" s="5" t="s">
        <v>1718</v>
      </c>
      <c r="F65" s="5" t="s">
        <v>2064</v>
      </c>
      <c r="G65" s="4"/>
    </row>
    <row r="66" spans="1:7" x14ac:dyDescent="0.3">
      <c r="A66" s="2" t="s">
        <v>1859</v>
      </c>
      <c r="B66" s="2" t="s">
        <v>1891</v>
      </c>
      <c r="C66" s="3" t="s">
        <v>1940</v>
      </c>
      <c r="D66" s="2" t="str">
        <f>CONCATENATE(HYPERLINK("CALLTO:%2B356%202180%206878", "+356 2180 6878"))</f>
        <v>+356 2180 6878</v>
      </c>
      <c r="E66" s="3" t="s">
        <v>2000</v>
      </c>
      <c r="F66" s="3" t="s">
        <v>2065</v>
      </c>
      <c r="G66" s="2"/>
    </row>
    <row r="67" spans="1:7" x14ac:dyDescent="0.3">
      <c r="A67" s="4" t="s">
        <v>1859</v>
      </c>
      <c r="B67" s="4" t="s">
        <v>1547</v>
      </c>
      <c r="C67" s="5" t="s">
        <v>1632</v>
      </c>
      <c r="D67" s="4" t="str">
        <f>CONCATENATE(HYPERLINK("CALLTO:%2B356%207710%205385", "+356 7710 5385"))</f>
        <v>+356 7710 5385</v>
      </c>
      <c r="E67" s="5" t="s">
        <v>2001</v>
      </c>
      <c r="F67" s="5" t="s">
        <v>1805</v>
      </c>
      <c r="G67" s="4"/>
    </row>
    <row r="68" spans="1:7" x14ac:dyDescent="0.3">
      <c r="A68" s="2" t="s">
        <v>1859</v>
      </c>
      <c r="B68" s="2" t="s">
        <v>1554</v>
      </c>
      <c r="C68" s="3" t="s">
        <v>1639</v>
      </c>
      <c r="D68" s="2" t="str">
        <f>CONCATENATE(HYPERLINK("CALLTO:%2B356%202149%209699", "+356 2149 9699"))</f>
        <v>+356 2149 9699</v>
      </c>
      <c r="E68" s="3" t="s">
        <v>1748</v>
      </c>
      <c r="F68" s="3" t="s">
        <v>1808</v>
      </c>
      <c r="G68" s="2"/>
    </row>
    <row r="69" spans="1:7" x14ac:dyDescent="0.3">
      <c r="A69" s="4" t="s">
        <v>1859</v>
      </c>
      <c r="B69" s="4" t="s">
        <v>1892</v>
      </c>
      <c r="C69" s="5" t="s">
        <v>1941</v>
      </c>
      <c r="D69" s="4" t="str">
        <f>CONCATENATE(HYPERLINK("CALLTO:%2B356%209983%205390", "+356 9983 5390"))</f>
        <v>+356 9983 5390</v>
      </c>
      <c r="E69" s="5" t="s">
        <v>1724</v>
      </c>
      <c r="F69" s="5" t="s">
        <v>2066</v>
      </c>
      <c r="G69" s="4"/>
    </row>
    <row r="70" spans="1:7" x14ac:dyDescent="0.3">
      <c r="A70" s="2" t="s">
        <v>1859</v>
      </c>
      <c r="B70" s="2" t="s">
        <v>1893</v>
      </c>
      <c r="C70" s="3" t="s">
        <v>1942</v>
      </c>
      <c r="D70" s="2" t="str">
        <f>CONCATENATE(HYPERLINK("CALLTO:%2B356%207980%209576", "+356 7980 9576"))</f>
        <v>+356 7980 9576</v>
      </c>
      <c r="E70" s="3" t="s">
        <v>1749</v>
      </c>
      <c r="F70" s="2" t="s">
        <v>146</v>
      </c>
      <c r="G70" s="2"/>
    </row>
    <row r="71" spans="1:7" x14ac:dyDescent="0.3">
      <c r="A71" s="4" t="s">
        <v>1859</v>
      </c>
      <c r="B71" s="4" t="s">
        <v>1583</v>
      </c>
      <c r="C71" s="5" t="s">
        <v>1667</v>
      </c>
      <c r="D71" s="4" t="str">
        <f>CONCATENATE(HYPERLINK("CALLTO:%2B356%202144%207266", "+356 2144 7266"))</f>
        <v>+356 2144 7266</v>
      </c>
      <c r="E71" s="5" t="s">
        <v>1744</v>
      </c>
      <c r="F71" s="5" t="s">
        <v>1837</v>
      </c>
      <c r="G71" s="4"/>
    </row>
    <row r="72" spans="1:7" x14ac:dyDescent="0.3">
      <c r="A72" s="2" t="s">
        <v>1859</v>
      </c>
      <c r="B72" s="2" t="s">
        <v>1559</v>
      </c>
      <c r="C72" s="3" t="s">
        <v>1644</v>
      </c>
      <c r="D72" s="2" t="str">
        <f>CONCATENATE(HYPERLINK("CALLTO:%2B356%202755%205525", "+356 2755 5525"))</f>
        <v>+356 2755 5525</v>
      </c>
      <c r="E72" s="3" t="s">
        <v>1726</v>
      </c>
      <c r="F72" s="3" t="s">
        <v>1814</v>
      </c>
      <c r="G72" s="2"/>
    </row>
    <row r="73" spans="1:7" x14ac:dyDescent="0.3">
      <c r="A73" s="4" t="s">
        <v>1859</v>
      </c>
      <c r="B73" s="4" t="s">
        <v>1584</v>
      </c>
      <c r="C73" s="5" t="s">
        <v>1668</v>
      </c>
      <c r="D73" s="4" t="str">
        <f>CONCATENATE(HYPERLINK("CALLTO:%2B356%202167%202432", "+356 2167 2432"))</f>
        <v>+356 2167 2432</v>
      </c>
      <c r="E73" s="5" t="s">
        <v>2002</v>
      </c>
      <c r="F73" s="5" t="s">
        <v>1838</v>
      </c>
      <c r="G73" s="4"/>
    </row>
    <row r="74" spans="1:7" x14ac:dyDescent="0.3">
      <c r="A74" s="2" t="s">
        <v>1859</v>
      </c>
      <c r="B74" s="2" t="s">
        <v>1579</v>
      </c>
      <c r="C74" s="3" t="s">
        <v>1663</v>
      </c>
      <c r="D74" s="2" t="str">
        <f>CONCATENATE(HYPERLINK("CALLTO:%2B356%202152%204262", "+356 2152 4262"))</f>
        <v>+356 2152 4262</v>
      </c>
      <c r="E74" s="3" t="s">
        <v>1751</v>
      </c>
      <c r="F74" s="3" t="s">
        <v>1833</v>
      </c>
      <c r="G74" s="2"/>
    </row>
    <row r="75" spans="1:7" x14ac:dyDescent="0.3">
      <c r="A75" s="4" t="s">
        <v>1859</v>
      </c>
      <c r="B75" s="4" t="s">
        <v>1561</v>
      </c>
      <c r="C75" s="5" t="s">
        <v>1646</v>
      </c>
      <c r="D75" s="4" t="str">
        <f>CONCATENATE(HYPERLINK("CALLTO:%2B356%202122%200610", "+356 2122 0610"))</f>
        <v>+356 2122 0610</v>
      </c>
      <c r="E75" s="5" t="s">
        <v>1697</v>
      </c>
      <c r="F75" s="5" t="s">
        <v>1816</v>
      </c>
      <c r="G75" s="4"/>
    </row>
    <row r="76" spans="1:7" x14ac:dyDescent="0.3">
      <c r="A76" s="2" t="s">
        <v>1859</v>
      </c>
      <c r="B76" s="2" t="s">
        <v>1894</v>
      </c>
      <c r="C76" s="3" t="s">
        <v>1943</v>
      </c>
      <c r="D76" s="2" t="str">
        <f>CONCATENATE(HYPERLINK("CALLTO:%2B356%209993%201111", "+356 9993 1111"))</f>
        <v>+356 9993 1111</v>
      </c>
      <c r="E76" s="3" t="s">
        <v>1730</v>
      </c>
      <c r="F76" s="2" t="s">
        <v>146</v>
      </c>
      <c r="G76" s="2"/>
    </row>
    <row r="77" spans="1:7" x14ac:dyDescent="0.3">
      <c r="A77" s="4" t="s">
        <v>1859</v>
      </c>
      <c r="B77" s="4" t="s">
        <v>1586</v>
      </c>
      <c r="C77" s="5" t="s">
        <v>1670</v>
      </c>
      <c r="D77" s="4" t="str">
        <f>CONCATENATE(HYPERLINK("CALLTO:%2B356%209940%208444", "+356 9940 8444"))</f>
        <v>+356 9940 8444</v>
      </c>
      <c r="E77" s="5" t="s">
        <v>2003</v>
      </c>
      <c r="F77" s="5" t="s">
        <v>1840</v>
      </c>
      <c r="G77" s="4"/>
    </row>
    <row r="78" spans="1:7" x14ac:dyDescent="0.3">
      <c r="A78" s="2" t="s">
        <v>1859</v>
      </c>
      <c r="B78" s="2" t="s">
        <v>1531</v>
      </c>
      <c r="C78" s="3" t="s">
        <v>1617</v>
      </c>
      <c r="D78" s="2" t="str">
        <f>CONCATENATE(HYPERLINK("CALLTO:%2B356%202124%200100", "+356 2124 0100"))</f>
        <v>+356 2124 0100</v>
      </c>
      <c r="E78" s="3" t="s">
        <v>1732</v>
      </c>
      <c r="F78" s="3" t="s">
        <v>1788</v>
      </c>
      <c r="G78" s="2"/>
    </row>
    <row r="79" spans="1:7" x14ac:dyDescent="0.3">
      <c r="A79" s="4" t="s">
        <v>1859</v>
      </c>
      <c r="B79" s="4" t="s">
        <v>1565</v>
      </c>
      <c r="C79" s="5" t="s">
        <v>1650</v>
      </c>
      <c r="D79" s="4" t="str">
        <f>CONCATENATE(HYPERLINK("CALLTO:%2B356%202124%209763", "+356 2124 9763"))</f>
        <v>+356 2124 9763</v>
      </c>
      <c r="E79" s="5" t="s">
        <v>1734</v>
      </c>
      <c r="F79" s="4" t="s">
        <v>146</v>
      </c>
      <c r="G79" s="4"/>
    </row>
    <row r="80" spans="1:7" x14ac:dyDescent="0.3">
      <c r="A80" s="2" t="s">
        <v>1859</v>
      </c>
      <c r="B80" s="2" t="s">
        <v>1895</v>
      </c>
      <c r="C80" s="3" t="s">
        <v>1944</v>
      </c>
      <c r="D80" s="2" t="str">
        <f>CONCATENATE(HYPERLINK("CALLTO:%2B356%202147%200047", "+356 2147 0047"))</f>
        <v>+356 2147 0047</v>
      </c>
      <c r="E80" s="3" t="s">
        <v>1696</v>
      </c>
      <c r="F80" s="3" t="s">
        <v>2067</v>
      </c>
      <c r="G80" s="2"/>
    </row>
    <row r="81" spans="1:7" x14ac:dyDescent="0.3">
      <c r="A81" s="4" t="s">
        <v>1859</v>
      </c>
      <c r="B81" s="4" t="s">
        <v>1566</v>
      </c>
      <c r="C81" s="5" t="s">
        <v>1651</v>
      </c>
      <c r="D81" s="4" t="str">
        <f>CONCATENATE(HYPERLINK("CALLTO:%2B356%202156%203364", "+356 2156 3364"))</f>
        <v>+356 2156 3364</v>
      </c>
      <c r="E81" s="5" t="s">
        <v>2004</v>
      </c>
      <c r="F81" s="5" t="s">
        <v>1820</v>
      </c>
      <c r="G81" s="4"/>
    </row>
    <row r="82" spans="1:7" x14ac:dyDescent="0.3">
      <c r="A82" s="2" t="s">
        <v>1859</v>
      </c>
      <c r="B82" s="2" t="s">
        <v>1896</v>
      </c>
      <c r="C82" s="3" t="s">
        <v>1654</v>
      </c>
      <c r="D82" s="2" t="str">
        <f>CONCATENATE(HYPERLINK("CALLTO:%2B356%202152%202390", "+356 2152 2390"))</f>
        <v>+356 2152 2390</v>
      </c>
      <c r="E82" s="3" t="s">
        <v>1737</v>
      </c>
      <c r="F82" s="3" t="s">
        <v>1823</v>
      </c>
      <c r="G82" s="2"/>
    </row>
    <row r="83" spans="1:7" x14ac:dyDescent="0.3">
      <c r="A83" s="4" t="s">
        <v>1859</v>
      </c>
      <c r="B83" s="4" t="s">
        <v>1217</v>
      </c>
      <c r="C83" s="5" t="s">
        <v>1293</v>
      </c>
      <c r="D83" s="4" t="str">
        <f>CONCATENATE(HYPERLINK("CALLTO:%2B356%202713%207364", "+356 2713 7364"))</f>
        <v>+356 2713 7364</v>
      </c>
      <c r="E83" s="5" t="s">
        <v>1738</v>
      </c>
      <c r="F83" s="5" t="s">
        <v>1447</v>
      </c>
      <c r="G83" s="4"/>
    </row>
    <row r="84" spans="1:7" x14ac:dyDescent="0.3">
      <c r="A84" s="2" t="s">
        <v>1859</v>
      </c>
      <c r="B84" s="2" t="s">
        <v>1897</v>
      </c>
      <c r="C84" s="3" t="s">
        <v>1945</v>
      </c>
      <c r="D84" s="2" t="str">
        <f>CONCATENATE(HYPERLINK("CALLTO:%2B356%202122%202094", "+356 2122 2094"))</f>
        <v>+356 2122 2094</v>
      </c>
      <c r="E84" s="3" t="s">
        <v>2005</v>
      </c>
      <c r="F84" s="3" t="s">
        <v>2068</v>
      </c>
      <c r="G84" s="2"/>
    </row>
    <row r="85" spans="1:7" x14ac:dyDescent="0.3">
      <c r="A85" s="4" t="s">
        <v>1859</v>
      </c>
      <c r="B85" s="4" t="s">
        <v>1572</v>
      </c>
      <c r="C85" s="5" t="s">
        <v>1657</v>
      </c>
      <c r="D85" s="4" t="str">
        <f>CONCATENATE(HYPERLINK("CALLTO:%2B356%209964%203810", "+356 9964 3810"))</f>
        <v>+356 9964 3810</v>
      </c>
      <c r="E85" s="5" t="s">
        <v>2006</v>
      </c>
      <c r="F85" s="5" t="s">
        <v>1826</v>
      </c>
      <c r="G85" s="4"/>
    </row>
    <row r="86" spans="1:7" x14ac:dyDescent="0.3">
      <c r="A86" s="2" t="s">
        <v>1859</v>
      </c>
      <c r="B86" s="2" t="s">
        <v>1573</v>
      </c>
      <c r="C86" s="3" t="s">
        <v>1658</v>
      </c>
      <c r="D86" s="2" t="str">
        <f>CONCATENATE(HYPERLINK("CALLTO:%2B356%202546%205000", "+356 2546 5000"))</f>
        <v>+356 2546 5000</v>
      </c>
      <c r="E86" s="3" t="s">
        <v>1761</v>
      </c>
      <c r="F86" s="3" t="s">
        <v>1827</v>
      </c>
      <c r="G86" s="2"/>
    </row>
    <row r="87" spans="1:7" x14ac:dyDescent="0.3">
      <c r="A87" s="4" t="s">
        <v>1859</v>
      </c>
      <c r="B87" s="4" t="s">
        <v>1577</v>
      </c>
      <c r="C87" s="5" t="s">
        <v>1946</v>
      </c>
      <c r="D87" s="4" t="str">
        <f>CONCATENATE(HYPERLINK("CALLTO:%2B356%202144%205733", "+356 2144 5733"))</f>
        <v>+356 2144 5733</v>
      </c>
      <c r="E87" s="5" t="s">
        <v>1762</v>
      </c>
      <c r="F87" s="5" t="s">
        <v>2069</v>
      </c>
      <c r="G87" s="4"/>
    </row>
    <row r="88" spans="1:7" x14ac:dyDescent="0.3">
      <c r="A88" s="2" t="s">
        <v>1859</v>
      </c>
      <c r="B88" s="2" t="s">
        <v>1898</v>
      </c>
      <c r="C88" s="3" t="s">
        <v>1947</v>
      </c>
      <c r="D88" s="2" t="str">
        <f>CONCATENATE(HYPERLINK("CALLTO:%2B356%202166%202940", "+356 2166 2940"))</f>
        <v>+356 2166 2940</v>
      </c>
      <c r="E88" s="3" t="s">
        <v>1763</v>
      </c>
      <c r="F88" s="3" t="s">
        <v>2070</v>
      </c>
      <c r="G88" s="2"/>
    </row>
    <row r="89" spans="1:7" x14ac:dyDescent="0.3">
      <c r="A89" s="4" t="s">
        <v>1859</v>
      </c>
      <c r="B89" s="4" t="s">
        <v>1593</v>
      </c>
      <c r="C89" s="5" t="s">
        <v>1677</v>
      </c>
      <c r="D89" s="4" t="str">
        <f>CONCATENATE(HYPERLINK("CALLTO:%2B356%202122%204103", "+356 2122 4103"))</f>
        <v>+356 2122 4103</v>
      </c>
      <c r="E89" s="5" t="s">
        <v>1765</v>
      </c>
      <c r="F89" s="5" t="s">
        <v>1846</v>
      </c>
      <c r="G89" s="4"/>
    </row>
    <row r="90" spans="1:7" x14ac:dyDescent="0.3">
      <c r="A90" s="2" t="s">
        <v>1859</v>
      </c>
      <c r="B90" s="2" t="s">
        <v>1594</v>
      </c>
      <c r="C90" s="3" t="s">
        <v>1678</v>
      </c>
      <c r="D90" s="2" t="str">
        <f>CONCATENATE(HYPERLINK("CALLTO:%2B356%209942%205609", "+356 9942 5609"))</f>
        <v>+356 9942 5609</v>
      </c>
      <c r="E90" s="3" t="s">
        <v>1766</v>
      </c>
      <c r="F90" s="2" t="s">
        <v>146</v>
      </c>
      <c r="G90" s="2"/>
    </row>
    <row r="91" spans="1:7" x14ac:dyDescent="0.3">
      <c r="A91" s="4" t="s">
        <v>1859</v>
      </c>
      <c r="B91" s="4" t="s">
        <v>1595</v>
      </c>
      <c r="C91" s="5" t="s">
        <v>1679</v>
      </c>
      <c r="D91" s="4" t="str">
        <f>CONCATENATE(HYPERLINK("CALLTO:%2B356%202123%200982", "+356 2123 0982"))</f>
        <v>+356 2123 0982</v>
      </c>
      <c r="E91" s="5" t="s">
        <v>2007</v>
      </c>
      <c r="F91" s="5" t="s">
        <v>1847</v>
      </c>
      <c r="G91" s="4"/>
    </row>
    <row r="92" spans="1:7" x14ac:dyDescent="0.3">
      <c r="A92" s="2" t="s">
        <v>1859</v>
      </c>
      <c r="B92" s="2" t="s">
        <v>1597</v>
      </c>
      <c r="C92" s="3" t="s">
        <v>1681</v>
      </c>
      <c r="D92" s="2" t="str">
        <f>CONCATENATE(HYPERLINK("CALLTO:%2B356%202149%206473", "+356 2149 6473"))</f>
        <v>+356 2149 6473</v>
      </c>
      <c r="E92" s="3" t="s">
        <v>2008</v>
      </c>
      <c r="F92" s="3" t="s">
        <v>1849</v>
      </c>
      <c r="G92" s="2"/>
    </row>
    <row r="93" spans="1:7" x14ac:dyDescent="0.3">
      <c r="A93" s="4" t="s">
        <v>1859</v>
      </c>
      <c r="B93" s="4" t="s">
        <v>1598</v>
      </c>
      <c r="C93" s="5" t="s">
        <v>1682</v>
      </c>
      <c r="D93" s="4" t="str">
        <f>CONCATENATE(HYPERLINK("CALLTO:%2B356%202142%200226", "+356 2142 0226"))</f>
        <v>+356 2142 0226</v>
      </c>
      <c r="E93" s="5" t="s">
        <v>1738</v>
      </c>
      <c r="F93" s="5" t="s">
        <v>1850</v>
      </c>
      <c r="G93" s="4"/>
    </row>
    <row r="94" spans="1:7" x14ac:dyDescent="0.3">
      <c r="A94" s="2" t="s">
        <v>1859</v>
      </c>
      <c r="B94" s="2" t="s">
        <v>1899</v>
      </c>
      <c r="C94" s="3" t="s">
        <v>1948</v>
      </c>
      <c r="D94" s="2" t="str">
        <f>CONCATENATE(HYPERLINK("CALLTO:%2B356%209910%200356", "+356 9910 0356"))</f>
        <v>+356 9910 0356</v>
      </c>
      <c r="E94" s="3" t="s">
        <v>2009</v>
      </c>
      <c r="F94" s="3" t="s">
        <v>2071</v>
      </c>
      <c r="G94" s="2"/>
    </row>
    <row r="95" spans="1:7" x14ac:dyDescent="0.3">
      <c r="A95" s="4" t="s">
        <v>1859</v>
      </c>
      <c r="B95" s="4" t="s">
        <v>1879</v>
      </c>
      <c r="C95" s="5" t="s">
        <v>1932</v>
      </c>
      <c r="D95" s="4" t="str">
        <f>CONCATENATE(HYPERLINK("CALLTO:%2B356%207944%205674", "+356 7944 5674"))</f>
        <v>+356 7944 5674</v>
      </c>
      <c r="E95" s="5" t="s">
        <v>2010</v>
      </c>
      <c r="F95" s="5" t="s">
        <v>2053</v>
      </c>
      <c r="G95" s="4"/>
    </row>
    <row r="96" spans="1:7" x14ac:dyDescent="0.3">
      <c r="A96" s="2" t="s">
        <v>1859</v>
      </c>
      <c r="B96" s="2" t="s">
        <v>891</v>
      </c>
      <c r="C96" s="2" t="s">
        <v>1949</v>
      </c>
      <c r="D96" s="2" t="str">
        <f>CONCATENATE(HYPERLINK("CALLTO:%2B356%202167%207798", "+356 2167 7798"), " / ", HYPERLINK("CALLTO:%2B356%202122%205608", "+356 2122 5608"), " / ", HYPERLINK("CALLTO:%2B356%202124%200938", "+356 2124 0938"))</f>
        <v>+356 2167 7798 / +356 2122 5608 / +356 2124 0938</v>
      </c>
      <c r="E96" s="3" t="s">
        <v>2011</v>
      </c>
      <c r="F96" s="3" t="s">
        <v>954</v>
      </c>
      <c r="G96" s="2"/>
    </row>
    <row r="97" spans="1:7" x14ac:dyDescent="0.3">
      <c r="A97" s="4" t="s">
        <v>1860</v>
      </c>
      <c r="B97" s="4" t="s">
        <v>1876</v>
      </c>
      <c r="C97" s="5" t="s">
        <v>900</v>
      </c>
      <c r="D97" s="4" t="str">
        <f>CONCATENATE(HYPERLINK("CALLTO:%2B356%202144%207763", "+356 2144 7763"))</f>
        <v>+356 2144 7763</v>
      </c>
      <c r="E97" s="5" t="s">
        <v>2012</v>
      </c>
      <c r="F97" s="5" t="s">
        <v>941</v>
      </c>
      <c r="G97" s="4"/>
    </row>
    <row r="98" spans="1:7" x14ac:dyDescent="0.3">
      <c r="A98" s="2" t="s">
        <v>1860</v>
      </c>
      <c r="B98" s="2" t="s">
        <v>894</v>
      </c>
      <c r="C98" s="3" t="s">
        <v>911</v>
      </c>
      <c r="D98" s="2" t="str">
        <f>CONCATENATE(HYPERLINK("CALLTO:%2B356%202143%200569", "+356 2143 0569"), " / ", HYPERLINK("CALLTO:%2B356%207945%204867", "+356 7945 4867"))</f>
        <v>+356 2143 0569 / +356 7945 4867</v>
      </c>
      <c r="E98" s="3" t="s">
        <v>2013</v>
      </c>
      <c r="F98" s="3" t="s">
        <v>2072</v>
      </c>
      <c r="G98" s="2"/>
    </row>
    <row r="99" spans="1:7" x14ac:dyDescent="0.3">
      <c r="A99" s="4" t="s">
        <v>1860</v>
      </c>
      <c r="B99" s="4" t="s">
        <v>884</v>
      </c>
      <c r="C99" s="5" t="s">
        <v>903</v>
      </c>
      <c r="D99" s="4" t="str">
        <f>CONCATENATE(HYPERLINK("CALLTO:%2B356%202149%203285", "+356 2149 3285"))</f>
        <v>+356 2149 3285</v>
      </c>
      <c r="E99" s="5" t="s">
        <v>2014</v>
      </c>
      <c r="F99" s="5" t="s">
        <v>2073</v>
      </c>
      <c r="G99" s="4"/>
    </row>
    <row r="100" spans="1:7" x14ac:dyDescent="0.3">
      <c r="A100" s="2" t="s">
        <v>1860</v>
      </c>
      <c r="B100" s="2" t="s">
        <v>568</v>
      </c>
      <c r="C100" s="3" t="s">
        <v>580</v>
      </c>
      <c r="D100" s="2" t="str">
        <f>CONCATENATE(HYPERLINK("CALLTO:%2B356%202736%206601", "+356 2736 6601"))</f>
        <v>+356 2736 6601</v>
      </c>
      <c r="E100" s="3" t="s">
        <v>2015</v>
      </c>
      <c r="F100" s="3" t="s">
        <v>2074</v>
      </c>
      <c r="G100" s="2"/>
    </row>
    <row r="101" spans="1:7" x14ac:dyDescent="0.3">
      <c r="A101" s="4" t="s">
        <v>1860</v>
      </c>
      <c r="B101" s="4" t="s">
        <v>1900</v>
      </c>
      <c r="C101" s="5" t="s">
        <v>1950</v>
      </c>
      <c r="D101" s="4" t="str">
        <f>CONCATENATE(HYPERLINK("CALLTO:%2B356%202789%208230", "+356 2789 8230"))</f>
        <v>+356 2789 8230</v>
      </c>
      <c r="E101" s="5" t="s">
        <v>2016</v>
      </c>
      <c r="F101" s="5" t="s">
        <v>2075</v>
      </c>
      <c r="G101" s="4"/>
    </row>
    <row r="102" spans="1:7" x14ac:dyDescent="0.3">
      <c r="A102" s="2" t="s">
        <v>1860</v>
      </c>
      <c r="B102" s="2" t="s">
        <v>1901</v>
      </c>
      <c r="C102" s="3" t="s">
        <v>1951</v>
      </c>
      <c r="D102" s="2" t="str">
        <f>CONCATENATE(HYPERLINK("CALLTO:%2B356%202145%204379", "+356 2145 4379"))</f>
        <v>+356 2145 4379</v>
      </c>
      <c r="E102" s="3" t="s">
        <v>2017</v>
      </c>
      <c r="F102" s="3" t="s">
        <v>2076</v>
      </c>
      <c r="G102" s="2"/>
    </row>
    <row r="103" spans="1:7" x14ac:dyDescent="0.3">
      <c r="A103" s="4" t="s">
        <v>1860</v>
      </c>
      <c r="B103" s="4" t="s">
        <v>958</v>
      </c>
      <c r="C103" s="5" t="s">
        <v>1952</v>
      </c>
      <c r="D103" s="4" t="str">
        <f>CONCATENATE(HYPERLINK("CALLTO:%2B356%202123%207601", "+356 2123 7601"))</f>
        <v>+356 2123 7601</v>
      </c>
      <c r="E103" s="5" t="s">
        <v>2018</v>
      </c>
      <c r="F103" s="5" t="s">
        <v>2077</v>
      </c>
      <c r="G103" s="4"/>
    </row>
    <row r="104" spans="1:7" x14ac:dyDescent="0.3">
      <c r="A104" s="2" t="s">
        <v>1860</v>
      </c>
      <c r="B104" s="2" t="s">
        <v>1902</v>
      </c>
      <c r="C104" s="3" t="s">
        <v>1953</v>
      </c>
      <c r="D104" s="2" t="str">
        <f>CONCATENATE(HYPERLINK("CALLTO:%2B356%202180%200638", "+356 2180 0638"))</f>
        <v>+356 2180 0638</v>
      </c>
      <c r="E104" s="3" t="s">
        <v>2019</v>
      </c>
      <c r="F104" s="3" t="s">
        <v>2078</v>
      </c>
      <c r="G104" s="2"/>
    </row>
    <row r="105" spans="1:7" x14ac:dyDescent="0.3">
      <c r="A105" s="4" t="s">
        <v>1860</v>
      </c>
      <c r="B105" s="4" t="s">
        <v>563</v>
      </c>
      <c r="C105" s="5" t="s">
        <v>577</v>
      </c>
      <c r="D105" s="4" t="str">
        <f>CONCATENATE(HYPERLINK("CALLTO:%2B356%202334%202000", "+356 2334 2000"))</f>
        <v>+356 2334 2000</v>
      </c>
      <c r="E105" s="5" t="s">
        <v>2020</v>
      </c>
      <c r="F105" s="5" t="s">
        <v>940</v>
      </c>
      <c r="G105" s="4"/>
    </row>
    <row r="106" spans="1:7" x14ac:dyDescent="0.3">
      <c r="A106" s="2" t="s">
        <v>1860</v>
      </c>
      <c r="B106" s="2" t="s">
        <v>895</v>
      </c>
      <c r="C106" s="3" t="s">
        <v>912</v>
      </c>
      <c r="D106" s="2" t="str">
        <f>CONCATENATE(HYPERLINK("CALLTO:%2B356%202137%207181", "+356 2137 7181"))</f>
        <v>+356 2137 7181</v>
      </c>
      <c r="E106" s="3" t="s">
        <v>2021</v>
      </c>
      <c r="F106" s="3" t="s">
        <v>2079</v>
      </c>
      <c r="G106" s="2"/>
    </row>
    <row r="107" spans="1:7" x14ac:dyDescent="0.3">
      <c r="A107" s="4" t="s">
        <v>1860</v>
      </c>
      <c r="B107" s="4" t="s">
        <v>1903</v>
      </c>
      <c r="C107" s="5" t="s">
        <v>1954</v>
      </c>
      <c r="D107" s="4" t="str">
        <f>CONCATENATE(HYPERLINK("CALLTO:%2B356%202125%200980", "+356 2125 0980"))</f>
        <v>+356 2125 0980</v>
      </c>
      <c r="E107" s="5" t="s">
        <v>2022</v>
      </c>
      <c r="F107" s="5" t="s">
        <v>2080</v>
      </c>
      <c r="G107" s="4"/>
    </row>
    <row r="108" spans="1:7" x14ac:dyDescent="0.3">
      <c r="A108" s="2" t="s">
        <v>1860</v>
      </c>
      <c r="B108" s="2" t="s">
        <v>31</v>
      </c>
      <c r="C108" s="3" t="s">
        <v>57</v>
      </c>
      <c r="D108" s="2" t="str">
        <f>CONCATENATE(HYPERLINK("CALLTO:%2B356%202143%207403", "+356 2143 7403"))</f>
        <v>+356 2143 7403</v>
      </c>
      <c r="E108" s="3" t="s">
        <v>2023</v>
      </c>
      <c r="F108" s="3" t="s">
        <v>2081</v>
      </c>
      <c r="G108" s="2"/>
    </row>
    <row r="109" spans="1:7" x14ac:dyDescent="0.3">
      <c r="A109" s="4" t="s">
        <v>1860</v>
      </c>
      <c r="B109" s="4" t="s">
        <v>1904</v>
      </c>
      <c r="C109" s="5" t="s">
        <v>1955</v>
      </c>
      <c r="D109" s="4" t="str">
        <f>CONCATENATE(HYPERLINK("CALLTO:%2B356%202123%208356", "+356 2123 8356"))</f>
        <v>+356 2123 8356</v>
      </c>
      <c r="E109" s="5" t="s">
        <v>2024</v>
      </c>
      <c r="F109" s="5" t="s">
        <v>2082</v>
      </c>
      <c r="G109" s="4"/>
    </row>
    <row r="110" spans="1:7" x14ac:dyDescent="0.3">
      <c r="A110" s="2" t="s">
        <v>1860</v>
      </c>
      <c r="B110" s="2" t="s">
        <v>1905</v>
      </c>
      <c r="C110" s="3" t="s">
        <v>1956</v>
      </c>
      <c r="D110" s="2" t="str">
        <f>CONCATENATE(HYPERLINK("CALLTO:%2B356%202146%204646", "+356 2146 4646"))</f>
        <v>+356 2146 4646</v>
      </c>
      <c r="E110" s="3" t="s">
        <v>2025</v>
      </c>
      <c r="F110" s="2" t="s">
        <v>146</v>
      </c>
      <c r="G110" s="2"/>
    </row>
    <row r="111" spans="1:7" x14ac:dyDescent="0.3">
      <c r="A111" s="4" t="s">
        <v>1860</v>
      </c>
      <c r="B111" s="4" t="s">
        <v>1906</v>
      </c>
      <c r="C111" s="5" t="s">
        <v>1957</v>
      </c>
      <c r="D111" s="4" t="str">
        <f>CONCATENATE(HYPERLINK("CALLTO:%2B356%202166%204414", "+356 2166 4414"))</f>
        <v>+356 2166 4414</v>
      </c>
      <c r="E111" s="5" t="s">
        <v>2026</v>
      </c>
      <c r="F111" s="5" t="s">
        <v>2083</v>
      </c>
      <c r="G111" s="4"/>
    </row>
    <row r="112" spans="1:7" x14ac:dyDescent="0.3">
      <c r="A112" s="2" t="s">
        <v>1860</v>
      </c>
      <c r="B112" s="2" t="s">
        <v>1907</v>
      </c>
      <c r="C112" s="3" t="s">
        <v>1958</v>
      </c>
      <c r="D112" s="2" t="str">
        <f>CONCATENATE(HYPERLINK("CALLTO:%2B356%202279%204216", "+356 2279 4216"))</f>
        <v>+356 2279 4216</v>
      </c>
      <c r="E112" s="3" t="s">
        <v>2027</v>
      </c>
      <c r="F112" s="3" t="s">
        <v>938</v>
      </c>
      <c r="G112" s="2"/>
    </row>
    <row r="113" spans="1:7" x14ac:dyDescent="0.3">
      <c r="A113" s="4" t="s">
        <v>1860</v>
      </c>
      <c r="B113" s="4" t="s">
        <v>1908</v>
      </c>
      <c r="C113" s="5" t="s">
        <v>576</v>
      </c>
      <c r="D113" s="4" t="str">
        <f>CONCATENATE(HYPERLINK("CALLTO:%2B356%202343%206000", "+356 2343 6000"))</f>
        <v>+356 2343 6000</v>
      </c>
      <c r="E113" s="5" t="s">
        <v>2028</v>
      </c>
      <c r="F113" s="5" t="s">
        <v>2084</v>
      </c>
      <c r="G113" s="4"/>
    </row>
    <row r="114" spans="1:7" x14ac:dyDescent="0.3">
      <c r="A114" s="2" t="s">
        <v>1860</v>
      </c>
      <c r="B114" s="2" t="s">
        <v>1909</v>
      </c>
      <c r="C114" s="3" t="s">
        <v>914</v>
      </c>
      <c r="D114" s="2" t="str">
        <f>CONCATENATE(HYPERLINK("CALLTO:%2B356%202143%202863", "+356 2143 2863"))</f>
        <v>+356 2143 2863</v>
      </c>
      <c r="E114" s="3" t="s">
        <v>2029</v>
      </c>
      <c r="F114" s="3" t="s">
        <v>2085</v>
      </c>
      <c r="G114" s="2"/>
    </row>
    <row r="115" spans="1:7" x14ac:dyDescent="0.3">
      <c r="A115" s="4" t="s">
        <v>1860</v>
      </c>
      <c r="B115" s="4" t="s">
        <v>1910</v>
      </c>
      <c r="C115" s="5" t="s">
        <v>1959</v>
      </c>
      <c r="D115" s="4" t="str">
        <f>CONCATENATE(HYPERLINK("CALLTO:%2B356%202155%204062", "+356 2155 4062"))</f>
        <v>+356 2155 4062</v>
      </c>
      <c r="E115" s="5" t="s">
        <v>2015</v>
      </c>
      <c r="F115" s="5" t="s">
        <v>2086</v>
      </c>
      <c r="G115" s="4"/>
    </row>
    <row r="116" spans="1:7" x14ac:dyDescent="0.3">
      <c r="A116" s="2" t="s">
        <v>1860</v>
      </c>
      <c r="B116" s="2" t="s">
        <v>1911</v>
      </c>
      <c r="C116" s="3" t="s">
        <v>905</v>
      </c>
      <c r="D116" s="2" t="str">
        <f>CONCATENATE(HYPERLINK("CALLTO:%2B356%202343%206343", "+356 2343 6343"))</f>
        <v>+356 2343 6343</v>
      </c>
      <c r="E116" s="3" t="s">
        <v>2030</v>
      </c>
      <c r="F116" s="3" t="s">
        <v>946</v>
      </c>
      <c r="G116" s="2"/>
    </row>
    <row r="117" spans="1:7" x14ac:dyDescent="0.3">
      <c r="A117" s="4" t="s">
        <v>1860</v>
      </c>
      <c r="B117" s="4" t="s">
        <v>1912</v>
      </c>
      <c r="C117" s="5" t="s">
        <v>1960</v>
      </c>
      <c r="D117" s="4" t="str">
        <f>CONCATENATE(HYPERLINK("CALLTO:%2B356%202124%201307", "+356 2124 1307"))</f>
        <v>+356 2124 1307</v>
      </c>
      <c r="E117" s="5" t="s">
        <v>2031</v>
      </c>
      <c r="F117" s="5" t="s">
        <v>2087</v>
      </c>
      <c r="G117" s="4"/>
    </row>
    <row r="118" spans="1:7" x14ac:dyDescent="0.3">
      <c r="A118" s="2" t="s">
        <v>1860</v>
      </c>
      <c r="B118" s="2" t="s">
        <v>1913</v>
      </c>
      <c r="C118" s="3" t="s">
        <v>1622</v>
      </c>
      <c r="D118" s="2" t="str">
        <f>CONCATENATE(HYPERLINK("CALLTO:%2B356%202546%204000", "+356 2546 4000"))</f>
        <v>+356 2546 4000</v>
      </c>
      <c r="E118" s="3" t="s">
        <v>2008</v>
      </c>
      <c r="F118" s="3" t="s">
        <v>1794</v>
      </c>
      <c r="G118" s="2"/>
    </row>
    <row r="119" spans="1:7" x14ac:dyDescent="0.3">
      <c r="A119" s="4" t="s">
        <v>1860</v>
      </c>
      <c r="B119" s="4" t="s">
        <v>1902</v>
      </c>
      <c r="C119" s="5" t="s">
        <v>1953</v>
      </c>
      <c r="D119" s="4" t="str">
        <f>CONCATENATE(HYPERLINK("CALLTO:%2B356%202180%200638", "+356 2180 0638"))</f>
        <v>+356 2180 0638</v>
      </c>
      <c r="E119" s="5" t="s">
        <v>1738</v>
      </c>
      <c r="F119" s="5" t="s">
        <v>2078</v>
      </c>
      <c r="G119" s="4"/>
    </row>
    <row r="120" spans="1:7" x14ac:dyDescent="0.3">
      <c r="A120" s="2" t="s">
        <v>1860</v>
      </c>
      <c r="B120" s="2" t="s">
        <v>1914</v>
      </c>
      <c r="C120" s="3" t="s">
        <v>1961</v>
      </c>
      <c r="D120" s="2" t="str">
        <f>CONCATENATE(HYPERLINK("CALLTO:%2B356%202141%201197", "+356 2141 1197"))</f>
        <v>+356 2141 1197</v>
      </c>
      <c r="E120" s="3" t="s">
        <v>2009</v>
      </c>
      <c r="F120" s="2" t="s">
        <v>146</v>
      </c>
      <c r="G120" s="2"/>
    </row>
    <row r="121" spans="1:7" x14ac:dyDescent="0.3">
      <c r="A121" s="4" t="s">
        <v>1860</v>
      </c>
      <c r="B121" s="4" t="s">
        <v>567</v>
      </c>
      <c r="C121" s="5" t="s">
        <v>1962</v>
      </c>
      <c r="D121" s="4" t="str">
        <f>CONCATENATE(HYPERLINK("CALLTO:%2B356%202167%202663", "+356 2167 2663"))</f>
        <v>+356 2167 2663</v>
      </c>
      <c r="E121" s="5" t="s">
        <v>2010</v>
      </c>
      <c r="F121" s="5" t="s">
        <v>2088</v>
      </c>
      <c r="G121" s="4"/>
    </row>
    <row r="122" spans="1:7" x14ac:dyDescent="0.3">
      <c r="A122" s="2" t="s">
        <v>1860</v>
      </c>
      <c r="B122" s="2" t="s">
        <v>891</v>
      </c>
      <c r="C122" s="2" t="s">
        <v>1949</v>
      </c>
      <c r="D122" s="2" t="str">
        <f>CONCATENATE(HYPERLINK("CALLTO:%2B356%202167%207798", "+356 2167 7798"), " / ", HYPERLINK("CALLTO:%2B356%202122%205608", "+356 2122 5608"), " / ", HYPERLINK("CALLTO:%2B356%202124%200938", "+356 2124 0938"))</f>
        <v>+356 2167 7798 / +356 2122 5608 / +356 2124 0938</v>
      </c>
      <c r="E122" s="3" t="s">
        <v>2011</v>
      </c>
      <c r="F122" s="3" t="s">
        <v>954</v>
      </c>
      <c r="G122" s="2"/>
    </row>
    <row r="123" spans="1:7" x14ac:dyDescent="0.3">
      <c r="A123" s="4" t="s">
        <v>1861</v>
      </c>
      <c r="B123" s="4" t="s">
        <v>1876</v>
      </c>
      <c r="C123" s="5" t="s">
        <v>900</v>
      </c>
      <c r="D123" s="4" t="str">
        <f>CONCATENATE(HYPERLINK("CALLTO:%2B356%202144%207763", "+356 2144 7763"))</f>
        <v>+356 2144 7763</v>
      </c>
      <c r="E123" s="5" t="s">
        <v>2017</v>
      </c>
      <c r="F123" s="5" t="s">
        <v>941</v>
      </c>
      <c r="G123" s="4"/>
    </row>
    <row r="124" spans="1:7" x14ac:dyDescent="0.3">
      <c r="A124" s="2" t="s">
        <v>1861</v>
      </c>
      <c r="B124" s="2" t="s">
        <v>894</v>
      </c>
      <c r="C124" s="3" t="s">
        <v>911</v>
      </c>
      <c r="D124" s="2" t="str">
        <f>CONCATENATE(HYPERLINK("CALLTO:%2B356%202143%200569", "+356 2143 0569"), " / ", HYPERLINK("CALLTO:%2B356%207945%204867", "+356 7945 4867"))</f>
        <v>+356 2143 0569 / +356 7945 4867</v>
      </c>
      <c r="E124" s="3" t="s">
        <v>2019</v>
      </c>
      <c r="F124" s="3" t="s">
        <v>2072</v>
      </c>
      <c r="G124" s="2"/>
    </row>
    <row r="125" spans="1:7" x14ac:dyDescent="0.3">
      <c r="A125" s="4" t="s">
        <v>1861</v>
      </c>
      <c r="B125" s="4" t="s">
        <v>884</v>
      </c>
      <c r="C125" s="5" t="s">
        <v>903</v>
      </c>
      <c r="D125" s="4" t="str">
        <f>CONCATENATE(HYPERLINK("CALLTO:%2B356%202149%203285", "+356 2149 3285"))</f>
        <v>+356 2149 3285</v>
      </c>
      <c r="E125" s="5" t="s">
        <v>2020</v>
      </c>
      <c r="F125" s="5" t="s">
        <v>2073</v>
      </c>
      <c r="G125" s="4"/>
    </row>
    <row r="126" spans="1:7" x14ac:dyDescent="0.3">
      <c r="A126" s="2" t="s">
        <v>1861</v>
      </c>
      <c r="B126" s="2" t="s">
        <v>568</v>
      </c>
      <c r="C126" s="3" t="s">
        <v>580</v>
      </c>
      <c r="D126" s="2" t="str">
        <f>CONCATENATE(HYPERLINK("CALLTO:%2B356%202736%206601", "+356 2736 6601"))</f>
        <v>+356 2736 6601</v>
      </c>
      <c r="E126" s="3" t="s">
        <v>2024</v>
      </c>
      <c r="F126" s="3" t="s">
        <v>2074</v>
      </c>
      <c r="G126" s="2"/>
    </row>
    <row r="127" spans="1:7" x14ac:dyDescent="0.3">
      <c r="A127" s="4" t="s">
        <v>1861</v>
      </c>
      <c r="B127" s="4" t="s">
        <v>895</v>
      </c>
      <c r="C127" s="5" t="s">
        <v>912</v>
      </c>
      <c r="D127" s="4" t="str">
        <f>CONCATENATE(HYPERLINK("CALLTO:%2B356%202137%207181", "+356 2137 7181"))</f>
        <v>+356 2137 7181</v>
      </c>
      <c r="E127" s="5" t="s">
        <v>2025</v>
      </c>
      <c r="F127" s="5" t="s">
        <v>2079</v>
      </c>
      <c r="G127" s="4"/>
    </row>
    <row r="128" spans="1:7" x14ac:dyDescent="0.3">
      <c r="A128" s="2" t="s">
        <v>1861</v>
      </c>
      <c r="B128" s="2" t="s">
        <v>31</v>
      </c>
      <c r="C128" s="3" t="s">
        <v>57</v>
      </c>
      <c r="D128" s="2" t="str">
        <f>CONCATENATE(HYPERLINK("CALLTO:%2B356%202143%207403", "+356 2143 7403"))</f>
        <v>+356 2143 7403</v>
      </c>
      <c r="E128" s="3" t="s">
        <v>2027</v>
      </c>
      <c r="F128" s="3" t="s">
        <v>2081</v>
      </c>
      <c r="G128" s="2"/>
    </row>
    <row r="129" spans="1:7" x14ac:dyDescent="0.3">
      <c r="A129" s="4" t="s">
        <v>1861</v>
      </c>
      <c r="B129" s="4" t="s">
        <v>1904</v>
      </c>
      <c r="C129" s="5" t="s">
        <v>1955</v>
      </c>
      <c r="D129" s="4" t="str">
        <f>CONCATENATE(HYPERLINK("CALLTO:%2B356%202123%208356", "+356 2123 8356"))</f>
        <v>+356 2123 8356</v>
      </c>
      <c r="E129" s="5" t="s">
        <v>2028</v>
      </c>
      <c r="F129" s="5" t="s">
        <v>2082</v>
      </c>
      <c r="G129" s="4"/>
    </row>
    <row r="130" spans="1:7" x14ac:dyDescent="0.3">
      <c r="A130" s="2" t="s">
        <v>1861</v>
      </c>
      <c r="B130" s="2" t="s">
        <v>1908</v>
      </c>
      <c r="C130" s="3" t="s">
        <v>576</v>
      </c>
      <c r="D130" s="2" t="str">
        <f>CONCATENATE(HYPERLINK("CALLTO:%2B356%202343%206000", "+356 2343 6000"))</f>
        <v>+356 2343 6000</v>
      </c>
      <c r="E130" s="3" t="s">
        <v>2032</v>
      </c>
      <c r="F130" s="3" t="s">
        <v>2089</v>
      </c>
      <c r="G130" s="2"/>
    </row>
    <row r="131" spans="1:7" x14ac:dyDescent="0.3">
      <c r="A131" s="4" t="s">
        <v>1861</v>
      </c>
      <c r="B131" s="4" t="s">
        <v>1909</v>
      </c>
      <c r="C131" s="5" t="s">
        <v>914</v>
      </c>
      <c r="D131" s="4" t="str">
        <f>CONCATENATE(HYPERLINK("CALLTO:%2B356%202143%202863", "+356 2143 2863"))</f>
        <v>+356 2143 2863</v>
      </c>
      <c r="E131" s="5" t="s">
        <v>2015</v>
      </c>
      <c r="F131" s="5" t="s">
        <v>2085</v>
      </c>
      <c r="G131" s="4"/>
    </row>
    <row r="132" spans="1:7" x14ac:dyDescent="0.3">
      <c r="A132" s="2" t="s">
        <v>1861</v>
      </c>
      <c r="B132" s="2" t="s">
        <v>1911</v>
      </c>
      <c r="C132" s="3" t="s">
        <v>905</v>
      </c>
      <c r="D132" s="2" t="str">
        <f>CONCATENATE(HYPERLINK("CALLTO:%2B356%202343%206343", "+356 2343 6343"))</f>
        <v>+356 2343 6343</v>
      </c>
      <c r="E132" s="3" t="s">
        <v>2030</v>
      </c>
      <c r="F132" s="3" t="s">
        <v>946</v>
      </c>
      <c r="G132" s="2"/>
    </row>
    <row r="133" spans="1:7" x14ac:dyDescent="0.3">
      <c r="A133" s="4" t="s">
        <v>1861</v>
      </c>
      <c r="B133" s="4" t="s">
        <v>1912</v>
      </c>
      <c r="C133" s="5" t="s">
        <v>1960</v>
      </c>
      <c r="D133" s="4" t="str">
        <f>CONCATENATE(HYPERLINK("CALLTO:%2B356%202124%201307", "+356 2124 1307"))</f>
        <v>+356 2124 1307</v>
      </c>
      <c r="E133" s="5" t="s">
        <v>2008</v>
      </c>
      <c r="F133" s="5" t="s">
        <v>2087</v>
      </c>
      <c r="G133" s="4"/>
    </row>
    <row r="134" spans="1:7" x14ac:dyDescent="0.3">
      <c r="A134" s="2" t="s">
        <v>1861</v>
      </c>
      <c r="B134" s="2" t="s">
        <v>886</v>
      </c>
      <c r="C134" s="3" t="s">
        <v>904</v>
      </c>
      <c r="D134" s="2" t="str">
        <f>CONCATENATE(HYPERLINK("CALLTO:%2B356%202166%204949", "+356 2166 4949"))</f>
        <v>+356 2166 4949</v>
      </c>
      <c r="E134" s="3" t="s">
        <v>1738</v>
      </c>
      <c r="F134" s="3" t="s">
        <v>2090</v>
      </c>
      <c r="G134" s="2"/>
    </row>
    <row r="135" spans="1:7" x14ac:dyDescent="0.3">
      <c r="A135" s="4" t="s">
        <v>1861</v>
      </c>
      <c r="B135" s="4" t="s">
        <v>1902</v>
      </c>
      <c r="C135" s="5" t="s">
        <v>1953</v>
      </c>
      <c r="D135" s="4" t="str">
        <f>CONCATENATE(HYPERLINK("CALLTO:%2B356%202180%200638", "+356 2180 0638"))</f>
        <v>+356 2180 0638</v>
      </c>
      <c r="E135" s="5" t="s">
        <v>2009</v>
      </c>
      <c r="F135" s="5" t="s">
        <v>2078</v>
      </c>
      <c r="G135" s="4"/>
    </row>
    <row r="136" spans="1:7" x14ac:dyDescent="0.3">
      <c r="A136" s="2" t="s">
        <v>1861</v>
      </c>
      <c r="B136" s="2" t="s">
        <v>1914</v>
      </c>
      <c r="C136" s="3" t="s">
        <v>1961</v>
      </c>
      <c r="D136" s="2" t="str">
        <f>CONCATENATE(HYPERLINK("CALLTO:%2B356%202141%201197", "+356 2141 1197"))</f>
        <v>+356 2141 1197</v>
      </c>
      <c r="E136" s="3" t="s">
        <v>2010</v>
      </c>
      <c r="F136" s="2" t="s">
        <v>146</v>
      </c>
      <c r="G136" s="2"/>
    </row>
    <row r="137" spans="1:7" x14ac:dyDescent="0.3">
      <c r="A137" s="4" t="s">
        <v>1861</v>
      </c>
      <c r="B137" s="4" t="s">
        <v>891</v>
      </c>
      <c r="C137" s="4" t="s">
        <v>1949</v>
      </c>
      <c r="D137" s="4" t="str">
        <f>CONCATENATE(HYPERLINK("CALLTO:%2B356%202167%207798", "+356 2167 7798"), " / ", HYPERLINK("CALLTO:%2B356%202122%205608", "+356 2122 5608"), " / ", HYPERLINK("CALLTO:%2B356%202124%200938", "+356 2124 0938"))</f>
        <v>+356 2167 7798 / +356 2122 5608 / +356 2124 0938</v>
      </c>
      <c r="E137" s="5" t="s">
        <v>2011</v>
      </c>
      <c r="F137" s="5" t="s">
        <v>954</v>
      </c>
      <c r="G137" s="4"/>
    </row>
    <row r="138" spans="1:7" x14ac:dyDescent="0.3">
      <c r="A138" s="2" t="s">
        <v>1862</v>
      </c>
      <c r="B138" s="2" t="s">
        <v>1876</v>
      </c>
      <c r="C138" s="3" t="s">
        <v>900</v>
      </c>
      <c r="D138" s="2" t="str">
        <f>CONCATENATE(HYPERLINK("CALLTO:%2B356%202144%207763", "+356 2144 7763"))</f>
        <v>+356 2144 7763</v>
      </c>
      <c r="E138" s="3" t="s">
        <v>2017</v>
      </c>
      <c r="F138" s="3" t="s">
        <v>941</v>
      </c>
      <c r="G138" s="2"/>
    </row>
    <row r="139" spans="1:7" x14ac:dyDescent="0.3">
      <c r="A139" s="4" t="s">
        <v>1862</v>
      </c>
      <c r="B139" s="4" t="s">
        <v>894</v>
      </c>
      <c r="C139" s="5" t="s">
        <v>911</v>
      </c>
      <c r="D139" s="4" t="str">
        <f>CONCATENATE(HYPERLINK("CALLTO:%2B356%202143%200569", "+356 2143 0569"), " / ", HYPERLINK("CALLTO:%2B356%207945%204867", "+356 7945 4867"))</f>
        <v>+356 2143 0569 / +356 7945 4867</v>
      </c>
      <c r="E139" s="5" t="s">
        <v>2012</v>
      </c>
      <c r="F139" s="5" t="s">
        <v>2072</v>
      </c>
      <c r="G139" s="4"/>
    </row>
    <row r="140" spans="1:7" x14ac:dyDescent="0.3">
      <c r="A140" s="2" t="s">
        <v>1862</v>
      </c>
      <c r="B140" s="2" t="s">
        <v>884</v>
      </c>
      <c r="C140" s="3" t="s">
        <v>903</v>
      </c>
      <c r="D140" s="2" t="str">
        <f>CONCATENATE(HYPERLINK("CALLTO:%2B356%202149%203285", "+356 2149 3285"))</f>
        <v>+356 2149 3285</v>
      </c>
      <c r="E140" s="3" t="s">
        <v>2013</v>
      </c>
      <c r="F140" s="3" t="s">
        <v>2073</v>
      </c>
      <c r="G140" s="2"/>
    </row>
    <row r="141" spans="1:7" x14ac:dyDescent="0.3">
      <c r="A141" s="4" t="s">
        <v>1862</v>
      </c>
      <c r="B141" s="4" t="s">
        <v>568</v>
      </c>
      <c r="C141" s="5" t="s">
        <v>580</v>
      </c>
      <c r="D141" s="4" t="str">
        <f>CONCATENATE(HYPERLINK("CALLTO:%2B356%202736%206601", "+356 2736 6601"))</f>
        <v>+356 2736 6601</v>
      </c>
      <c r="E141" s="5" t="s">
        <v>2018</v>
      </c>
      <c r="F141" s="5" t="s">
        <v>2074</v>
      </c>
      <c r="G141" s="4"/>
    </row>
    <row r="142" spans="1:7" x14ac:dyDescent="0.3">
      <c r="A142" s="2" t="s">
        <v>1862</v>
      </c>
      <c r="B142" s="2" t="s">
        <v>895</v>
      </c>
      <c r="C142" s="3" t="s">
        <v>912</v>
      </c>
      <c r="D142" s="2" t="str">
        <f>CONCATENATE(HYPERLINK("CALLTO:%2B356%202137%207181", "+356 2137 7181"))</f>
        <v>+356 2137 7181</v>
      </c>
      <c r="E142" s="3" t="s">
        <v>2019</v>
      </c>
      <c r="F142" s="3" t="s">
        <v>2079</v>
      </c>
      <c r="G142" s="2"/>
    </row>
    <row r="143" spans="1:7" x14ac:dyDescent="0.3">
      <c r="A143" s="4" t="s">
        <v>1862</v>
      </c>
      <c r="B143" s="4" t="s">
        <v>1900</v>
      </c>
      <c r="C143" s="5" t="s">
        <v>1950</v>
      </c>
      <c r="D143" s="4" t="str">
        <f>CONCATENATE(HYPERLINK("CALLTO:%2B356%202789%208230", "+356 2789 8230"))</f>
        <v>+356 2789 8230</v>
      </c>
      <c r="E143" s="5" t="s">
        <v>2020</v>
      </c>
      <c r="F143" s="5" t="s">
        <v>2075</v>
      </c>
      <c r="G143" s="4"/>
    </row>
    <row r="144" spans="1:7" x14ac:dyDescent="0.3">
      <c r="A144" s="2" t="s">
        <v>1862</v>
      </c>
      <c r="B144" s="2" t="s">
        <v>1901</v>
      </c>
      <c r="C144" s="3" t="s">
        <v>1951</v>
      </c>
      <c r="D144" s="2" t="str">
        <f>CONCATENATE(HYPERLINK("CALLTO:%2B356%202145%204379", "+356 2145 4379"))</f>
        <v>+356 2145 4379</v>
      </c>
      <c r="E144" s="3" t="s">
        <v>2022</v>
      </c>
      <c r="F144" s="3" t="s">
        <v>2076</v>
      </c>
      <c r="G144" s="2"/>
    </row>
    <row r="145" spans="1:7" x14ac:dyDescent="0.3">
      <c r="A145" s="4" t="s">
        <v>1862</v>
      </c>
      <c r="B145" s="4" t="s">
        <v>1903</v>
      </c>
      <c r="C145" s="5" t="s">
        <v>1954</v>
      </c>
      <c r="D145" s="4" t="str">
        <f>CONCATENATE(HYPERLINK("CALLTO:%2B356%202125%200980", "+356 2125 0980"))</f>
        <v>+356 2125 0980</v>
      </c>
      <c r="E145" s="5" t="s">
        <v>2033</v>
      </c>
      <c r="F145" s="5" t="s">
        <v>2080</v>
      </c>
      <c r="G145" s="4"/>
    </row>
    <row r="146" spans="1:7" x14ac:dyDescent="0.3">
      <c r="A146" s="2" t="s">
        <v>1862</v>
      </c>
      <c r="B146" s="2" t="s">
        <v>31</v>
      </c>
      <c r="C146" s="3" t="s">
        <v>57</v>
      </c>
      <c r="D146" s="2" t="str">
        <f>CONCATENATE(HYPERLINK("CALLTO:%2B356%202143%207403", "+356 2143 7403"))</f>
        <v>+356 2143 7403</v>
      </c>
      <c r="E146" s="3" t="s">
        <v>2023</v>
      </c>
      <c r="F146" s="3" t="s">
        <v>2081</v>
      </c>
      <c r="G146" s="2"/>
    </row>
    <row r="147" spans="1:7" x14ac:dyDescent="0.3">
      <c r="A147" s="4" t="s">
        <v>1862</v>
      </c>
      <c r="B147" s="4" t="s">
        <v>1904</v>
      </c>
      <c r="C147" s="5" t="s">
        <v>1955</v>
      </c>
      <c r="D147" s="4" t="str">
        <f>CONCATENATE(HYPERLINK("CALLTO:%2B356%202123%208356", "+356 2123 8356"))</f>
        <v>+356 2123 8356</v>
      </c>
      <c r="E147" s="5" t="s">
        <v>2024</v>
      </c>
      <c r="F147" s="5" t="s">
        <v>2082</v>
      </c>
      <c r="G147" s="4"/>
    </row>
    <row r="148" spans="1:7" x14ac:dyDescent="0.3">
      <c r="A148" s="2" t="s">
        <v>1862</v>
      </c>
      <c r="B148" s="2" t="s">
        <v>1906</v>
      </c>
      <c r="C148" s="3" t="s">
        <v>1957</v>
      </c>
      <c r="D148" s="2" t="str">
        <f>CONCATENATE(HYPERLINK("CALLTO:%2B356%202166%204414", "+356 2166 4414"))</f>
        <v>+356 2166 4414</v>
      </c>
      <c r="E148" s="3" t="s">
        <v>2025</v>
      </c>
      <c r="F148" s="3" t="s">
        <v>2083</v>
      </c>
      <c r="G148" s="2"/>
    </row>
    <row r="149" spans="1:7" x14ac:dyDescent="0.3">
      <c r="A149" s="4" t="s">
        <v>1862</v>
      </c>
      <c r="B149" s="4" t="s">
        <v>1915</v>
      </c>
      <c r="C149" s="5" t="s">
        <v>1963</v>
      </c>
      <c r="D149" s="4" t="str">
        <f>CONCATENATE(HYPERLINK("CALLTO:%2B356%202155%200437", "+356 2155 0437"))</f>
        <v>+356 2155 0437</v>
      </c>
      <c r="E149" s="5" t="s">
        <v>2027</v>
      </c>
      <c r="F149" s="5" t="s">
        <v>2091</v>
      </c>
      <c r="G149" s="4"/>
    </row>
    <row r="150" spans="1:7" x14ac:dyDescent="0.3">
      <c r="A150" s="2" t="s">
        <v>1862</v>
      </c>
      <c r="B150" s="2" t="s">
        <v>1907</v>
      </c>
      <c r="C150" s="3" t="s">
        <v>1958</v>
      </c>
      <c r="D150" s="2" t="str">
        <f>CONCATENATE(HYPERLINK("CALLTO:%2B356%202279%204216", "+356 2279 4216"))</f>
        <v>+356 2279 4216</v>
      </c>
      <c r="E150" s="3" t="s">
        <v>2028</v>
      </c>
      <c r="F150" s="3" t="s">
        <v>938</v>
      </c>
      <c r="G150" s="2"/>
    </row>
    <row r="151" spans="1:7" x14ac:dyDescent="0.3">
      <c r="A151" s="4" t="s">
        <v>1862</v>
      </c>
      <c r="B151" s="4" t="s">
        <v>1908</v>
      </c>
      <c r="C151" s="5" t="s">
        <v>576</v>
      </c>
      <c r="D151" s="4" t="str">
        <f>CONCATENATE(HYPERLINK("CALLTO:%2B356%202343%206000", "+356 2343 6000"))</f>
        <v>+356 2343 6000</v>
      </c>
      <c r="E151" s="5" t="s">
        <v>2032</v>
      </c>
      <c r="F151" s="5" t="s">
        <v>2089</v>
      </c>
      <c r="G151" s="4"/>
    </row>
    <row r="152" spans="1:7" x14ac:dyDescent="0.3">
      <c r="A152" s="2" t="s">
        <v>1862</v>
      </c>
      <c r="B152" s="2" t="s">
        <v>1909</v>
      </c>
      <c r="C152" s="3" t="s">
        <v>914</v>
      </c>
      <c r="D152" s="2" t="str">
        <f>CONCATENATE(HYPERLINK("CALLTO:%2B356%202143%202863", "+356 2143 2863"))</f>
        <v>+356 2143 2863</v>
      </c>
      <c r="E152" s="3" t="s">
        <v>2015</v>
      </c>
      <c r="F152" s="3" t="s">
        <v>2085</v>
      </c>
      <c r="G152" s="2"/>
    </row>
    <row r="153" spans="1:7" x14ac:dyDescent="0.3">
      <c r="A153" s="4" t="s">
        <v>1862</v>
      </c>
      <c r="B153" s="4" t="s">
        <v>1911</v>
      </c>
      <c r="C153" s="5" t="s">
        <v>905</v>
      </c>
      <c r="D153" s="4" t="str">
        <f>CONCATENATE(HYPERLINK("CALLTO:%2B356%202343%206343", "+356 2343 6343"))</f>
        <v>+356 2343 6343</v>
      </c>
      <c r="E153" s="5" t="s">
        <v>2030</v>
      </c>
      <c r="F153" s="5" t="s">
        <v>946</v>
      </c>
      <c r="G153" s="4"/>
    </row>
    <row r="154" spans="1:7" x14ac:dyDescent="0.3">
      <c r="A154" s="2" t="s">
        <v>1862</v>
      </c>
      <c r="B154" s="2" t="s">
        <v>1912</v>
      </c>
      <c r="C154" s="3" t="s">
        <v>1960</v>
      </c>
      <c r="D154" s="2" t="str">
        <f>CONCATENATE(HYPERLINK("CALLTO:%2B356%202124%201307", "+356 2124 1307"))</f>
        <v>+356 2124 1307</v>
      </c>
      <c r="E154" s="3" t="s">
        <v>2016</v>
      </c>
      <c r="F154" s="3" t="s">
        <v>2087</v>
      </c>
      <c r="G154" s="2"/>
    </row>
    <row r="155" spans="1:7" x14ac:dyDescent="0.3">
      <c r="A155" s="4" t="s">
        <v>1862</v>
      </c>
      <c r="B155" s="4" t="s">
        <v>886</v>
      </c>
      <c r="C155" s="5" t="s">
        <v>904</v>
      </c>
      <c r="D155" s="4" t="str">
        <f>CONCATENATE(HYPERLINK("CALLTO:%2B356%202166%204949", "+356 2166 4949"))</f>
        <v>+356 2166 4949</v>
      </c>
      <c r="E155" s="5" t="s">
        <v>2033</v>
      </c>
      <c r="F155" s="5" t="s">
        <v>2090</v>
      </c>
      <c r="G155" s="4"/>
    </row>
    <row r="156" spans="1:7" x14ac:dyDescent="0.3">
      <c r="A156" s="2" t="s">
        <v>1862</v>
      </c>
      <c r="B156" s="2" t="s">
        <v>1902</v>
      </c>
      <c r="C156" s="3" t="s">
        <v>1953</v>
      </c>
      <c r="D156" s="2" t="str">
        <f>CONCATENATE(HYPERLINK("CALLTO:%2B356%202180%200638", "+356 2180 0638"))</f>
        <v>+356 2180 0638</v>
      </c>
      <c r="E156" s="3" t="s">
        <v>2008</v>
      </c>
      <c r="F156" s="3" t="s">
        <v>2078</v>
      </c>
      <c r="G156" s="2"/>
    </row>
    <row r="157" spans="1:7" x14ac:dyDescent="0.3">
      <c r="A157" s="4" t="s">
        <v>1862</v>
      </c>
      <c r="B157" s="4" t="s">
        <v>1914</v>
      </c>
      <c r="C157" s="5" t="s">
        <v>1961</v>
      </c>
      <c r="D157" s="4" t="str">
        <f>CONCATENATE(HYPERLINK("CALLTO:%2B356%202141%201197", "+356 2141 1197"))</f>
        <v>+356 2141 1197</v>
      </c>
      <c r="E157" s="5" t="s">
        <v>1738</v>
      </c>
      <c r="F157" s="4" t="s">
        <v>146</v>
      </c>
      <c r="G157" s="4"/>
    </row>
    <row r="158" spans="1:7" x14ac:dyDescent="0.3">
      <c r="A158" s="2" t="s">
        <v>1862</v>
      </c>
      <c r="B158" s="2" t="s">
        <v>563</v>
      </c>
      <c r="C158" s="3" t="s">
        <v>577</v>
      </c>
      <c r="D158" s="2" t="str">
        <f>CONCATENATE(HYPERLINK("CALLTO:%2B356%202334%202000", "+356 2334 2000"))</f>
        <v>+356 2334 2000</v>
      </c>
      <c r="E158" s="3" t="s">
        <v>2009</v>
      </c>
      <c r="F158" s="3" t="s">
        <v>940</v>
      </c>
      <c r="G158" s="2"/>
    </row>
    <row r="159" spans="1:7" x14ac:dyDescent="0.3">
      <c r="A159" s="4" t="s">
        <v>1862</v>
      </c>
      <c r="B159" s="4" t="s">
        <v>1916</v>
      </c>
      <c r="C159" s="5" t="s">
        <v>1964</v>
      </c>
      <c r="D159" s="4" t="str">
        <f>CONCATENATE(HYPERLINK("CALLTO:%2B356%202155%203611", "+356 2155 3611"))</f>
        <v>+356 2155 3611</v>
      </c>
      <c r="E159" s="5" t="s">
        <v>2010</v>
      </c>
      <c r="F159" s="5" t="s">
        <v>2092</v>
      </c>
      <c r="G159" s="4"/>
    </row>
    <row r="160" spans="1:7" x14ac:dyDescent="0.3">
      <c r="A160" s="2" t="s">
        <v>1862</v>
      </c>
      <c r="B160" s="2" t="s">
        <v>891</v>
      </c>
      <c r="C160" s="2" t="s">
        <v>1949</v>
      </c>
      <c r="D160" s="2" t="str">
        <f>CONCATENATE(HYPERLINK("CALLTO:%2B356%202167%207798", "+356 2167 7798"), " / ", HYPERLINK("CALLTO:%2B356%202122%205608", "+356 2122 5608"), " / ", HYPERLINK("CALLTO:%2B356%202124%200938", "+356 2124 0938"))</f>
        <v>+356 2167 7798 / +356 2122 5608 / +356 2124 0938</v>
      </c>
      <c r="E160" s="3" t="s">
        <v>2011</v>
      </c>
      <c r="F160" s="3" t="s">
        <v>954</v>
      </c>
      <c r="G160" s="2"/>
    </row>
    <row r="161" spans="1:7" x14ac:dyDescent="0.3">
      <c r="A161" s="4" t="s">
        <v>1863</v>
      </c>
      <c r="B161" s="4" t="s">
        <v>1876</v>
      </c>
      <c r="C161" s="5" t="s">
        <v>900</v>
      </c>
      <c r="D161" s="4" t="str">
        <f>CONCATENATE(HYPERLINK("CALLTO:%2B356%202144%207763", "+356 2144 7763"))</f>
        <v>+356 2144 7763</v>
      </c>
      <c r="E161" s="5" t="s">
        <v>2017</v>
      </c>
      <c r="F161" s="5" t="s">
        <v>941</v>
      </c>
      <c r="G161" s="4"/>
    </row>
    <row r="162" spans="1:7" x14ac:dyDescent="0.3">
      <c r="A162" s="2" t="s">
        <v>1863</v>
      </c>
      <c r="B162" s="2" t="s">
        <v>894</v>
      </c>
      <c r="C162" s="3" t="s">
        <v>911</v>
      </c>
      <c r="D162" s="2" t="str">
        <f>CONCATENATE(HYPERLINK("CALLTO:%2B356%202143%200569", "+356 2143 0569"), " / ", HYPERLINK("CALLTO:%2B356%207945%204867", "+356 7945 4867"))</f>
        <v>+356 2143 0569 / +356 7945 4867</v>
      </c>
      <c r="E162" s="3" t="s">
        <v>2012</v>
      </c>
      <c r="F162" s="3" t="s">
        <v>2072</v>
      </c>
      <c r="G162" s="2"/>
    </row>
    <row r="163" spans="1:7" x14ac:dyDescent="0.3">
      <c r="A163" s="4" t="s">
        <v>1863</v>
      </c>
      <c r="B163" s="4" t="s">
        <v>884</v>
      </c>
      <c r="C163" s="5" t="s">
        <v>903</v>
      </c>
      <c r="D163" s="4" t="str">
        <f>CONCATENATE(HYPERLINK("CALLTO:%2B356%202149%203285", "+356 2149 3285"))</f>
        <v>+356 2149 3285</v>
      </c>
      <c r="E163" s="5" t="s">
        <v>2018</v>
      </c>
      <c r="F163" s="5" t="s">
        <v>2073</v>
      </c>
      <c r="G163" s="4"/>
    </row>
    <row r="164" spans="1:7" x14ac:dyDescent="0.3">
      <c r="A164" s="2" t="s">
        <v>1863</v>
      </c>
      <c r="B164" s="2" t="s">
        <v>568</v>
      </c>
      <c r="C164" s="3" t="s">
        <v>580</v>
      </c>
      <c r="D164" s="2" t="str">
        <f>CONCATENATE(HYPERLINK("CALLTO:%2B356%202736%206601", "+356 2736 6601"))</f>
        <v>+356 2736 6601</v>
      </c>
      <c r="E164" s="3" t="s">
        <v>2020</v>
      </c>
      <c r="F164" s="3" t="s">
        <v>2074</v>
      </c>
      <c r="G164" s="2"/>
    </row>
    <row r="165" spans="1:7" x14ac:dyDescent="0.3">
      <c r="A165" s="4" t="s">
        <v>1863</v>
      </c>
      <c r="B165" s="4" t="s">
        <v>895</v>
      </c>
      <c r="C165" s="5" t="s">
        <v>912</v>
      </c>
      <c r="D165" s="4" t="str">
        <f>CONCATENATE(HYPERLINK("CALLTO:%2B356%202137%207181", "+356 2137 7181"))</f>
        <v>+356 2137 7181</v>
      </c>
      <c r="E165" s="5" t="s">
        <v>2022</v>
      </c>
      <c r="F165" s="5" t="s">
        <v>2079</v>
      </c>
      <c r="G165" s="4"/>
    </row>
    <row r="166" spans="1:7" x14ac:dyDescent="0.3">
      <c r="A166" s="2" t="s">
        <v>1863</v>
      </c>
      <c r="B166" s="2" t="s">
        <v>1900</v>
      </c>
      <c r="C166" s="3" t="s">
        <v>1950</v>
      </c>
      <c r="D166" s="2" t="str">
        <f>CONCATENATE(HYPERLINK("CALLTO:%2B356%202789%208230", "+356 2789 8230"))</f>
        <v>+356 2789 8230</v>
      </c>
      <c r="E166" s="3" t="s">
        <v>2033</v>
      </c>
      <c r="F166" s="3" t="s">
        <v>2075</v>
      </c>
      <c r="G166" s="2"/>
    </row>
    <row r="167" spans="1:7" x14ac:dyDescent="0.3">
      <c r="A167" s="4" t="s">
        <v>1863</v>
      </c>
      <c r="B167" s="4" t="s">
        <v>1903</v>
      </c>
      <c r="C167" s="5" t="s">
        <v>1954</v>
      </c>
      <c r="D167" s="4" t="str">
        <f>CONCATENATE(HYPERLINK("CALLTO:%2B356%202125%200980", "+356 2125 0980"))</f>
        <v>+356 2125 0980</v>
      </c>
      <c r="E167" s="5" t="s">
        <v>2023</v>
      </c>
      <c r="F167" s="5" t="s">
        <v>2080</v>
      </c>
      <c r="G167" s="4"/>
    </row>
    <row r="168" spans="1:7" x14ac:dyDescent="0.3">
      <c r="A168" s="2" t="s">
        <v>1863</v>
      </c>
      <c r="B168" s="2" t="s">
        <v>1904</v>
      </c>
      <c r="C168" s="3" t="s">
        <v>1955</v>
      </c>
      <c r="D168" s="2" t="str">
        <f>CONCATENATE(HYPERLINK("CALLTO:%2B356%202123%208356", "+356 2123 8356"))</f>
        <v>+356 2123 8356</v>
      </c>
      <c r="E168" s="3" t="s">
        <v>2025</v>
      </c>
      <c r="F168" s="3" t="s">
        <v>2082</v>
      </c>
      <c r="G168" s="2"/>
    </row>
    <row r="169" spans="1:7" x14ac:dyDescent="0.3">
      <c r="A169" s="4" t="s">
        <v>1863</v>
      </c>
      <c r="B169" s="4" t="s">
        <v>1906</v>
      </c>
      <c r="C169" s="5" t="s">
        <v>1957</v>
      </c>
      <c r="D169" s="4" t="str">
        <f>CONCATENATE(HYPERLINK("CALLTO:%2B356%202166%204414", "+356 2166 4414"))</f>
        <v>+356 2166 4414</v>
      </c>
      <c r="E169" s="5" t="s">
        <v>2026</v>
      </c>
      <c r="F169" s="5" t="s">
        <v>2083</v>
      </c>
      <c r="G169" s="4"/>
    </row>
    <row r="170" spans="1:7" x14ac:dyDescent="0.3">
      <c r="A170" s="2" t="s">
        <v>1863</v>
      </c>
      <c r="B170" s="2" t="s">
        <v>1915</v>
      </c>
      <c r="C170" s="3" t="s">
        <v>1963</v>
      </c>
      <c r="D170" s="2" t="str">
        <f>CONCATENATE(HYPERLINK("CALLTO:%2B356%202155%200437", "+356 2155 0437"))</f>
        <v>+356 2155 0437</v>
      </c>
      <c r="E170" s="3" t="s">
        <v>2027</v>
      </c>
      <c r="F170" s="3" t="s">
        <v>2091</v>
      </c>
      <c r="G170" s="2"/>
    </row>
    <row r="171" spans="1:7" x14ac:dyDescent="0.3">
      <c r="A171" s="4" t="s">
        <v>1863</v>
      </c>
      <c r="B171" s="4" t="s">
        <v>1907</v>
      </c>
      <c r="C171" s="5" t="s">
        <v>1958</v>
      </c>
      <c r="D171" s="4" t="str">
        <f>CONCATENATE(HYPERLINK("CALLTO:%2B356%202279%204216", "+356 2279 4216"))</f>
        <v>+356 2279 4216</v>
      </c>
      <c r="E171" s="5" t="s">
        <v>2028</v>
      </c>
      <c r="F171" s="5" t="s">
        <v>938</v>
      </c>
      <c r="G171" s="4"/>
    </row>
    <row r="172" spans="1:7" x14ac:dyDescent="0.3">
      <c r="A172" s="2" t="s">
        <v>1863</v>
      </c>
      <c r="B172" s="2" t="s">
        <v>1909</v>
      </c>
      <c r="C172" s="3" t="s">
        <v>914</v>
      </c>
      <c r="D172" s="2" t="str">
        <f>CONCATENATE(HYPERLINK("CALLTO:%2B356%202143%202863", "+356 2143 2863"))</f>
        <v>+356 2143 2863</v>
      </c>
      <c r="E172" s="3" t="s">
        <v>2034</v>
      </c>
      <c r="F172" s="3" t="s">
        <v>2085</v>
      </c>
      <c r="G172" s="2"/>
    </row>
    <row r="173" spans="1:7" x14ac:dyDescent="0.3">
      <c r="A173" s="4" t="s">
        <v>1863</v>
      </c>
      <c r="B173" s="4" t="s">
        <v>1910</v>
      </c>
      <c r="C173" s="5" t="s">
        <v>1959</v>
      </c>
      <c r="D173" s="4" t="str">
        <f>CONCATENATE(HYPERLINK("CALLTO:%2B356%202155%204062", "+356 2155 4062"))</f>
        <v>+356 2155 4062</v>
      </c>
      <c r="E173" s="5" t="s">
        <v>2015</v>
      </c>
      <c r="F173" s="5" t="s">
        <v>2086</v>
      </c>
      <c r="G173" s="4"/>
    </row>
    <row r="174" spans="1:7" x14ac:dyDescent="0.3">
      <c r="A174" s="2" t="s">
        <v>1863</v>
      </c>
      <c r="B174" s="2" t="s">
        <v>1911</v>
      </c>
      <c r="C174" s="3" t="s">
        <v>905</v>
      </c>
      <c r="D174" s="2" t="str">
        <f>CONCATENATE(HYPERLINK("CALLTO:%2B356%202343%206343", "+356 2343 6343"))</f>
        <v>+356 2343 6343</v>
      </c>
      <c r="E174" s="3" t="s">
        <v>2030</v>
      </c>
      <c r="F174" s="3" t="s">
        <v>946</v>
      </c>
      <c r="G174" s="2"/>
    </row>
    <row r="175" spans="1:7" x14ac:dyDescent="0.3">
      <c r="A175" s="4" t="s">
        <v>1863</v>
      </c>
      <c r="B175" s="4" t="s">
        <v>1912</v>
      </c>
      <c r="C175" s="5" t="s">
        <v>1960</v>
      </c>
      <c r="D175" s="4" t="str">
        <f>CONCATENATE(HYPERLINK("CALLTO:%2B356%202124%201307", "+356 2124 1307"))</f>
        <v>+356 2124 1307</v>
      </c>
      <c r="E175" s="5" t="s">
        <v>2035</v>
      </c>
      <c r="F175" s="5" t="s">
        <v>2087</v>
      </c>
      <c r="G175" s="4"/>
    </row>
    <row r="176" spans="1:7" x14ac:dyDescent="0.3">
      <c r="A176" s="2" t="s">
        <v>1863</v>
      </c>
      <c r="B176" s="2" t="s">
        <v>1917</v>
      </c>
      <c r="C176" s="3" t="s">
        <v>1965</v>
      </c>
      <c r="D176" s="2" t="str">
        <f>CONCATENATE(HYPERLINK("CALLTO:%2B356%202156%204000", "+356 2156 4000"))</f>
        <v>+356 2156 4000</v>
      </c>
      <c r="E176" s="3" t="s">
        <v>2036</v>
      </c>
      <c r="F176" s="3" t="s">
        <v>2093</v>
      </c>
      <c r="G176" s="2"/>
    </row>
    <row r="177" spans="1:7" x14ac:dyDescent="0.3">
      <c r="A177" s="4" t="s">
        <v>1863</v>
      </c>
      <c r="B177" s="4" t="s">
        <v>1902</v>
      </c>
      <c r="C177" s="5" t="s">
        <v>1953</v>
      </c>
      <c r="D177" s="4" t="str">
        <f>CONCATENATE(HYPERLINK("CALLTO:%2B356%202180%200638", "+356 2180 0638"))</f>
        <v>+356 2180 0638</v>
      </c>
      <c r="E177" s="5" t="s">
        <v>2037</v>
      </c>
      <c r="F177" s="5" t="s">
        <v>2078</v>
      </c>
      <c r="G177" s="4"/>
    </row>
    <row r="178" spans="1:7" x14ac:dyDescent="0.3">
      <c r="A178" s="2" t="s">
        <v>1863</v>
      </c>
      <c r="B178" s="2" t="s">
        <v>1914</v>
      </c>
      <c r="C178" s="3" t="s">
        <v>1961</v>
      </c>
      <c r="D178" s="2" t="str">
        <f>CONCATENATE(HYPERLINK("CALLTO:%2B356%202141%201197", "+356 2141 1197"))</f>
        <v>+356 2141 1197</v>
      </c>
      <c r="E178" s="3" t="s">
        <v>2038</v>
      </c>
      <c r="F178" s="2" t="s">
        <v>146</v>
      </c>
      <c r="G178" s="2"/>
    </row>
    <row r="179" spans="1:7" x14ac:dyDescent="0.3">
      <c r="A179" s="4" t="s">
        <v>1863</v>
      </c>
      <c r="B179" s="4" t="s">
        <v>1071</v>
      </c>
      <c r="C179" s="5" t="s">
        <v>1078</v>
      </c>
      <c r="D179" s="4" t="str">
        <f>CONCATENATE(HYPERLINK("CALLTO:%2B356%207938%207690", "+356 7938 7690"), " / ", HYPERLINK("CALLTO:%2B356%202138%207686", "+356 2138 7686"))</f>
        <v>+356 7938 7690 / +356 2138 7686</v>
      </c>
      <c r="E179" s="5" t="s">
        <v>2039</v>
      </c>
      <c r="F179" s="5" t="s">
        <v>2094</v>
      </c>
      <c r="G179" s="4"/>
    </row>
    <row r="180" spans="1:7" x14ac:dyDescent="0.3">
      <c r="A180" s="2" t="s">
        <v>1864</v>
      </c>
      <c r="B180" s="2" t="s">
        <v>1918</v>
      </c>
      <c r="C180" s="3" t="s">
        <v>1635</v>
      </c>
      <c r="D180" s="2" t="str">
        <f>CONCATENATE(HYPERLINK("CALLTO:%2B356%202728%202828", "+356 2728 2828"))</f>
        <v>+356 2728 2828</v>
      </c>
      <c r="E180" s="3" t="s">
        <v>2040</v>
      </c>
      <c r="F180" s="3" t="s">
        <v>2095</v>
      </c>
      <c r="G180" s="2"/>
    </row>
    <row r="181" spans="1:7" x14ac:dyDescent="0.3">
      <c r="A181" s="4" t="s">
        <v>1865</v>
      </c>
      <c r="B181" s="4" t="s">
        <v>1919</v>
      </c>
      <c r="C181" s="5" t="s">
        <v>1966</v>
      </c>
      <c r="D181" s="4" t="str">
        <f>CONCATENATE(HYPERLINK("CALLTO:%2B356%202278%202000", "+356 2278 2000"))</f>
        <v>+356 2278 2000</v>
      </c>
      <c r="E181" s="4"/>
      <c r="F181" s="5" t="s">
        <v>2096</v>
      </c>
      <c r="G181" s="4"/>
    </row>
    <row r="182" spans="1:7" x14ac:dyDescent="0.3">
      <c r="A182" s="2" t="s">
        <v>1865</v>
      </c>
      <c r="B182" s="2" t="s">
        <v>1538</v>
      </c>
      <c r="C182" s="3" t="s">
        <v>1624</v>
      </c>
      <c r="D182" s="2" t="str">
        <f>CONCATENATE(HYPERLINK("CALLTO:%2B356%202549%205000", "+356 2549 5000"))</f>
        <v>+356 2549 5000</v>
      </c>
      <c r="E182" s="2"/>
      <c r="F182" s="3" t="s">
        <v>2097</v>
      </c>
      <c r="G182" s="2"/>
    </row>
    <row r="183" spans="1:7" x14ac:dyDescent="0.3">
      <c r="A183" s="4" t="s">
        <v>1865</v>
      </c>
      <c r="B183" s="4" t="s">
        <v>1920</v>
      </c>
      <c r="C183" s="5" t="s">
        <v>1967</v>
      </c>
      <c r="D183" s="4" t="str">
        <f>CONCATENATE(HYPERLINK("CALLTO:%2B356%202144%206000", "+356 2144 6000"))</f>
        <v>+356 2144 6000</v>
      </c>
      <c r="E183" s="4"/>
      <c r="F183" s="5" t="s">
        <v>2098</v>
      </c>
      <c r="G183" s="4"/>
    </row>
    <row r="184" spans="1:7" x14ac:dyDescent="0.3">
      <c r="A184" s="2" t="s">
        <v>1865</v>
      </c>
      <c r="B184" s="2" t="s">
        <v>1921</v>
      </c>
      <c r="C184" s="3" t="s">
        <v>1296</v>
      </c>
      <c r="D184" s="2" t="str">
        <f>CONCATENATE(HYPERLINK("CALLTO:%2B356%202549%203000", "+356 2549 3000"))</f>
        <v>+356 2549 3000</v>
      </c>
      <c r="E184" s="2"/>
      <c r="F184" s="3" t="s">
        <v>2062</v>
      </c>
      <c r="G184" s="2"/>
    </row>
    <row r="185" spans="1:7" x14ac:dyDescent="0.3">
      <c r="A185" s="4" t="s">
        <v>1865</v>
      </c>
      <c r="B185" s="4" t="s">
        <v>1922</v>
      </c>
      <c r="C185" s="5" t="s">
        <v>1968</v>
      </c>
      <c r="D185" s="4" t="str">
        <f>CONCATENATE(HYPERLINK("CALLTO:%2B356%202546%205000", "+356 2546 5000"))</f>
        <v>+356 2546 5000</v>
      </c>
      <c r="E185" s="4"/>
      <c r="F185" s="5" t="s">
        <v>2099</v>
      </c>
      <c r="G185" s="4"/>
    </row>
    <row r="186" spans="1:7" x14ac:dyDescent="0.3">
      <c r="A186" s="2" t="s">
        <v>1865</v>
      </c>
      <c r="B186" s="2" t="s">
        <v>1923</v>
      </c>
      <c r="C186" s="3" t="s">
        <v>1969</v>
      </c>
      <c r="D186" s="2" t="str">
        <f>CONCATENATE(HYPERLINK("CALLTO:%2B356%202147%202882", "+356 2147 2882"))</f>
        <v>+356 2147 2882</v>
      </c>
      <c r="E186" s="2"/>
      <c r="F186" s="3" t="s">
        <v>2100</v>
      </c>
      <c r="G186" s="2"/>
    </row>
    <row r="187" spans="1:7" x14ac:dyDescent="0.3">
      <c r="A187" s="4" t="s">
        <v>1865</v>
      </c>
      <c r="B187" s="4"/>
      <c r="C187" s="4"/>
      <c r="D187" s="4"/>
      <c r="E187" s="4"/>
      <c r="F187" s="4"/>
      <c r="G187" s="4"/>
    </row>
  </sheetData>
  <hyperlinks>
    <hyperlink ref="C2" r:id="rId1" tooltip="Send a mail to info@ferraramalta.com" xr:uid="{00000000-0004-0000-1B00-000000000000}"/>
    <hyperlink ref="C3" r:id="rId2" tooltip="Send a mail to info@styleinterni.com" xr:uid="{00000000-0004-0000-1B00-000001000000}"/>
    <hyperlink ref="C4" r:id="rId3" tooltip="Send a mail to info@sghendowoodworks.com" xr:uid="{00000000-0004-0000-1B00-000002000000}"/>
    <hyperlink ref="C5" r:id="rId4" tooltip="Send a mail to info@desanamarbles.com" xr:uid="{00000000-0004-0000-1B00-000003000000}"/>
    <hyperlink ref="C6" r:id="rId5" tooltip="Send a mail to info@fairdealfurniture.com.mt" xr:uid="{00000000-0004-0000-1B00-000004000000}"/>
    <hyperlink ref="C7" r:id="rId6" tooltip="Send a mail to artathomeltd@gmail.com" xr:uid="{00000000-0004-0000-1B00-000005000000}"/>
    <hyperlink ref="C8" r:id="rId7" tooltip="Send a mail to arnold@lowcostfurniture.com.mt" xr:uid="{00000000-0004-0000-1B00-000006000000}"/>
    <hyperlink ref="C9" r:id="rId8" tooltip="Send a mail to fran@fvcarpentry.com" xr:uid="{00000000-0004-0000-1B00-000007000000}"/>
    <hyperlink ref="C10" r:id="rId9" tooltip="Send a mail to topdrawer@topdrawermalta.com" xr:uid="{00000000-0004-0000-1B00-000008000000}"/>
    <hyperlink ref="C11" r:id="rId10" tooltip="Send a mail to info@brands.com.mt" xr:uid="{00000000-0004-0000-1B00-000009000000}"/>
    <hyperlink ref="C12" r:id="rId11" tooltip="Send a mail to igor@domestica.com.mt" xr:uid="{00000000-0004-0000-1B00-00000A000000}"/>
    <hyperlink ref="C13" r:id="rId12" tooltip="Send a mail to info@core.com.mt" xr:uid="{00000000-0004-0000-1B00-00000B000000}"/>
    <hyperlink ref="C14" r:id="rId13" tooltip="Send a mail to info@dinofino.com" xr:uid="{00000000-0004-0000-1B00-00000C000000}"/>
    <hyperlink ref="C15" r:id="rId14" tooltip="Send a mail to info@distincthomes.com.mt" xr:uid="{00000000-0004-0000-1B00-00000D000000}"/>
    <hyperlink ref="C16" r:id="rId15" tooltip="Send a mail to sales@grixtimobili.com" xr:uid="{00000000-0004-0000-1B00-00000E000000}"/>
    <hyperlink ref="C17" r:id="rId16" tooltip="Send a mail to info@jdsfurniture.com" xr:uid="{00000000-0004-0000-1B00-00000F000000}"/>
    <hyperlink ref="C18" r:id="rId17" tooltip="Send a mail to info@krea.com.mt" xr:uid="{00000000-0004-0000-1B00-000010000000}"/>
    <hyperlink ref="C19" r:id="rId18" tooltip="Send a mail to info@kubekgroup.com" xr:uid="{00000000-0004-0000-1B00-000011000000}"/>
    <hyperlink ref="C21" r:id="rId19" tooltip="Send a mail to info@petroni.com.mt" xr:uid="{00000000-0004-0000-1B00-000012000000}"/>
    <hyperlink ref="C22" r:id="rId20" tooltip="Send a mail to snfgrima@maltanet.net" xr:uid="{00000000-0004-0000-1B00-000013000000}"/>
    <hyperlink ref="C23" r:id="rId21" tooltip="Send a mail to bjorn@wellmadewoodworks.com.mt" xr:uid="{00000000-0004-0000-1B00-000014000000}"/>
    <hyperlink ref="C24" r:id="rId22" tooltip="Send a mail to info@oxfordhouse.com.mt" xr:uid="{00000000-0004-0000-1B00-000015000000}"/>
    <hyperlink ref="C25" r:id="rId23" tooltip="Send a mail to info@treedfurniture.com" xr:uid="{00000000-0004-0000-1B00-000016000000}"/>
    <hyperlink ref="C26" r:id="rId24" tooltip="Send a mail to casaform@onvol.net" xr:uid="{00000000-0004-0000-1B00-000017000000}"/>
    <hyperlink ref="C27" r:id="rId25" tooltip="Send a mail to jasoakwalnut@yahoo.com" xr:uid="{00000000-0004-0000-1B00-000018000000}"/>
    <hyperlink ref="C28" r:id="rId26" tooltip="Send a mail to jasoakwalnut@yahoo.com" xr:uid="{00000000-0004-0000-1B00-000019000000}"/>
    <hyperlink ref="C29" r:id="rId27" tooltip="Send a mail to jysk@jysk.com.mt" xr:uid="{00000000-0004-0000-1B00-00001A000000}"/>
    <hyperlink ref="C30" r:id="rId28" tooltip="Send a mail to seguna@onvol.net" xr:uid="{00000000-0004-0000-1B00-00001B000000}"/>
    <hyperlink ref="C31" r:id="rId29" tooltip="Send a mail to info@rusticahome.com.mt" xr:uid="{00000000-0004-0000-1B00-00001C000000}"/>
    <hyperlink ref="C32" r:id="rId30" tooltip="Send a mail to info@spaces.com.mt" xr:uid="{00000000-0004-0000-1B00-00001D000000}"/>
    <hyperlink ref="C33" r:id="rId31" tooltip="Send a mail to stephen@rliving.com.mt" xr:uid="{00000000-0004-0000-1B00-00001E000000}"/>
    <hyperlink ref="C34" r:id="rId32" tooltip="Send a mail to info@treedfurniture.com" xr:uid="{00000000-0004-0000-1B00-00001F000000}"/>
    <hyperlink ref="C35" r:id="rId33" tooltip="Send a mail to info@promaninteriors.com" xr:uid="{00000000-0004-0000-1B00-000020000000}"/>
    <hyperlink ref="C36" r:id="rId34" tooltip="Send a mail to info@desanamarbles.com" xr:uid="{00000000-0004-0000-1B00-000021000000}"/>
    <hyperlink ref="C37" r:id="rId35" tooltip="Send a mail to info@fairdealfurniture.com.mt" xr:uid="{00000000-0004-0000-1B00-000022000000}"/>
    <hyperlink ref="C38" r:id="rId36" tooltip="Send a mail to info@brands.com.mt" xr:uid="{00000000-0004-0000-1B00-000023000000}"/>
    <hyperlink ref="C39" r:id="rId37" tooltip="Send a mail to fran@fvcarpentry.com" xr:uid="{00000000-0004-0000-1B00-000024000000}"/>
    <hyperlink ref="C40" r:id="rId38" tooltip="Send a mail to topdrawer@topdrawermalta.com" xr:uid="{00000000-0004-0000-1B00-000025000000}"/>
    <hyperlink ref="C41" r:id="rId39" tooltip="Send a mail to igor@domestica.com.mt" xr:uid="{00000000-0004-0000-1B00-000026000000}"/>
    <hyperlink ref="C42" r:id="rId40" tooltip="Send a mail to info@dinofino.com" xr:uid="{00000000-0004-0000-1B00-000027000000}"/>
    <hyperlink ref="C43" r:id="rId41" tooltip="Send a mail to sales@grixtimobili.com" xr:uid="{00000000-0004-0000-1B00-000028000000}"/>
    <hyperlink ref="C44" r:id="rId42" tooltip="Send a mail to info@kubekgroup.com" xr:uid="{00000000-0004-0000-1B00-000029000000}"/>
    <hyperlink ref="C45" r:id="rId43" tooltip="Send a mail to info@petroni.com.mt" xr:uid="{00000000-0004-0000-1B00-00002A000000}"/>
    <hyperlink ref="C46" r:id="rId44" tooltip="Send a mail to info@treedfurniture.com" xr:uid="{00000000-0004-0000-1B00-00002B000000}"/>
    <hyperlink ref="C48" r:id="rId45" tooltip="Send a mail to mchire4@gmail.com" xr:uid="{00000000-0004-0000-1B00-00002C000000}"/>
    <hyperlink ref="C49" r:id="rId46" tooltip="Send a mail to silviochairs@gmail.com" xr:uid="{00000000-0004-0000-1B00-00002D000000}"/>
    <hyperlink ref="C50" r:id="rId47" tooltip="Send a mail to info@farrugiagroup.com" xr:uid="{00000000-0004-0000-1B00-00002E000000}"/>
    <hyperlink ref="C51" r:id="rId48" tooltip="Send a mail to office.mfcoltd@gmail.com" xr:uid="{00000000-0004-0000-1B00-00002F000000}"/>
    <hyperlink ref="C52" r:id="rId49" tooltip="Send a mail to jysk@jysk.com.mt" xr:uid="{00000000-0004-0000-1B00-000030000000}"/>
    <hyperlink ref="C53" r:id="rId50" tooltip="Send a mail to info@oxfordhouse.com.mt" xr:uid="{00000000-0004-0000-1B00-000031000000}"/>
    <hyperlink ref="C54" r:id="rId51" tooltip="Send a mail to sales@powerhousemalta.eu" xr:uid="{00000000-0004-0000-1B00-000032000000}"/>
    <hyperlink ref="C55" r:id="rId52" tooltip="Send a mail to info@dinofino.com" xr:uid="{00000000-0004-0000-1B00-000033000000}"/>
    <hyperlink ref="C56" r:id="rId53" tooltip="Send a mail to info@bdi.com.mt" xr:uid="{00000000-0004-0000-1B00-000034000000}"/>
    <hyperlink ref="C57" r:id="rId54" tooltip="Send a mail to sales@maltashopper.com" xr:uid="{00000000-0004-0000-1B00-000035000000}"/>
    <hyperlink ref="C58" r:id="rId55" tooltip="Send a mail to info@abra.com.mt" xr:uid="{00000000-0004-0000-1B00-000036000000}"/>
    <hyperlink ref="C59" r:id="rId56" tooltip="Send a mail to info@fino.com.mt" xr:uid="{00000000-0004-0000-1B00-000037000000}"/>
    <hyperlink ref="C61" r:id="rId57" tooltip="Send a mail to info@fairdealfurniture.com.mt" xr:uid="{00000000-0004-0000-1B00-000038000000}"/>
    <hyperlink ref="C62" r:id="rId58" tooltip="Send a mail to newlineliving@gmail.com" xr:uid="{00000000-0004-0000-1B00-000039000000}"/>
    <hyperlink ref="C63" r:id="rId59" tooltip="Send a mail to info@brands.com.mt" xr:uid="{00000000-0004-0000-1B00-00003A000000}"/>
    <hyperlink ref="C64" r:id="rId60" tooltip="Send a mail to topdrawer@topdrawermalta.com" xr:uid="{00000000-0004-0000-1B00-00003B000000}"/>
    <hyperlink ref="C65" r:id="rId61" tooltip="Send a mail to info@boconcept.com.mt" xr:uid="{00000000-0004-0000-1B00-00003C000000}"/>
    <hyperlink ref="C66" r:id="rId62" tooltip="Send a mail to info@indexmalta.com" xr:uid="{00000000-0004-0000-1B00-00003D000000}"/>
    <hyperlink ref="C67" r:id="rId63" tooltip="Send a mail to sales@malta-design.com" xr:uid="{00000000-0004-0000-1B00-00003E000000}"/>
    <hyperlink ref="C68" r:id="rId64" tooltip="Send a mail to stephen@rliving.com.mt" xr:uid="{00000000-0004-0000-1B00-00003F000000}"/>
    <hyperlink ref="C69" r:id="rId65" tooltip="Send a mail to fava@maltanet.net" xr:uid="{00000000-0004-0000-1B00-000040000000}"/>
    <hyperlink ref="C70" r:id="rId66" tooltip="Send a mail to acf1@melita.com" xr:uid="{00000000-0004-0000-1B00-000041000000}"/>
    <hyperlink ref="C71" r:id="rId67" tooltip="Send a mail to casaform@onvol.net" xr:uid="{00000000-0004-0000-1B00-000042000000}"/>
    <hyperlink ref="C72" r:id="rId68" tooltip="Send a mail to info@casconehome.com" xr:uid="{00000000-0004-0000-1B00-000043000000}"/>
    <hyperlink ref="C73" r:id="rId69" tooltip="Send a mail to jasoakwalnut@yahoo.com" xr:uid="{00000000-0004-0000-1B00-000044000000}"/>
    <hyperlink ref="C74" r:id="rId70" tooltip="Send a mail to info@ecasa.com.mt" xr:uid="{00000000-0004-0000-1B00-000045000000}"/>
    <hyperlink ref="C75" r:id="rId71" tooltip="Send a mail to info@constructfurniture.com.mt" xr:uid="{00000000-0004-0000-1B00-000046000000}"/>
    <hyperlink ref="C76" r:id="rId72" tooltip="Send a mail to epack@onvol.net" xr:uid="{00000000-0004-0000-1B00-000047000000}"/>
    <hyperlink ref="C77" r:id="rId73" tooltip="Send a mail to info@farrugiagroup.com" xr:uid="{00000000-0004-0000-1B00-000048000000}"/>
    <hyperlink ref="C78" r:id="rId74" tooltip="Send a mail to info@dinofino.com" xr:uid="{00000000-0004-0000-1B00-000049000000}"/>
    <hyperlink ref="C79" r:id="rId75" tooltip="Send a mail to agius65@hotmail.com" xr:uid="{00000000-0004-0000-1B00-00004A000000}"/>
    <hyperlink ref="C80" r:id="rId76" tooltip="Send a mail to sales@fxb.com.mt" xr:uid="{00000000-0004-0000-1B00-00004B000000}"/>
    <hyperlink ref="C81" r:id="rId77" tooltip="Send a mail to info@gozoarts.com.mt" xr:uid="{00000000-0004-0000-1B00-00004C000000}"/>
    <hyperlink ref="C82" r:id="rId78" tooltip="Send a mail to info@jdsfurniture.com" xr:uid="{00000000-0004-0000-1B00-00004D000000}"/>
    <hyperlink ref="C83" r:id="rId79" tooltip="Send a mail to jysk@jysk.com.mt" xr:uid="{00000000-0004-0000-1B00-00004E000000}"/>
    <hyperlink ref="C84" r:id="rId80" tooltip="Send a mail to info@mobiliapenza.com" xr:uid="{00000000-0004-0000-1B00-00004F000000}"/>
    <hyperlink ref="C85" r:id="rId81" tooltip="Send a mail to info@mucciomobili.it" xr:uid="{00000000-0004-0000-1B00-000050000000}"/>
    <hyperlink ref="C86" r:id="rId82" tooltip="Send a mail to info@onepercent.com.mt" xr:uid="{00000000-0004-0000-1B00-000051000000}"/>
    <hyperlink ref="C87" r:id="rId83" tooltip="Send a mail to info@orienta.com.mt" xr:uid="{00000000-0004-0000-1B00-000052000000}"/>
    <hyperlink ref="C88" r:id="rId84" tooltip="Send a mail to info@queensfurniture.com" xr:uid="{00000000-0004-0000-1B00-000053000000}"/>
    <hyperlink ref="C89" r:id="rId85" tooltip="Send a mail to seguna@onvol.net" xr:uid="{00000000-0004-0000-1B00-000054000000}"/>
    <hyperlink ref="C90" r:id="rId86" tooltip="Send a mail to ronaldmarmara@gmail.com" xr:uid="{00000000-0004-0000-1B00-000055000000}"/>
    <hyperlink ref="C91" r:id="rId87" tooltip="Send a mail to info@spaces.com.mt" xr:uid="{00000000-0004-0000-1B00-000056000000}"/>
    <hyperlink ref="C92" r:id="rId88" tooltip="Send a mail to info@stylefurnituremalta.com" xr:uid="{00000000-0004-0000-1B00-000057000000}"/>
    <hyperlink ref="C93" r:id="rId89" tooltip="Send a mail to marketing@tal-lira.com" xr:uid="{00000000-0004-0000-1B00-000058000000}"/>
    <hyperlink ref="C94" r:id="rId90" tooltip="Send a mail to info@tornelli.net" xr:uid="{00000000-0004-0000-1B00-000059000000}"/>
    <hyperlink ref="C95" r:id="rId91" tooltip="Send a mail to info@treedfurniture.com" xr:uid="{00000000-0004-0000-1B00-00005A000000}"/>
    <hyperlink ref="C97" r:id="rId92" tooltip="Send a mail to info@petroni.com.mt" xr:uid="{00000000-0004-0000-1B00-00005B000000}"/>
    <hyperlink ref="C98" r:id="rId93" tooltip="Send a mail to info@soundsmart.com.mt" xr:uid="{00000000-0004-0000-1B00-00005C000000}"/>
    <hyperlink ref="C99" r:id="rId94" tooltip="Send a mail to info@kcl.com.mt" xr:uid="{00000000-0004-0000-1B00-00005D000000}"/>
    <hyperlink ref="C100" r:id="rId95" tooltip="Send a mail to tabletsandmoreelectronics@yahoo.com" xr:uid="{00000000-0004-0000-1B00-00005E000000}"/>
    <hyperlink ref="C101" r:id="rId96" tooltip="Send a mail to camrugun@hotmail.com" xr:uid="{00000000-0004-0000-1B00-00005F000000}"/>
    <hyperlink ref="C102" r:id="rId97" tooltip="Send a mail to tagulinu@onvol.net" xr:uid="{00000000-0004-0000-1B00-000060000000}"/>
    <hyperlink ref="C103" r:id="rId98" tooltip="Send a mail to etv@etvhomeline.com" xr:uid="{00000000-0004-0000-1B00-000061000000}"/>
    <hyperlink ref="C104" r:id="rId99" tooltip="Send a mail to rightdealcosp@onvol.net" xr:uid="{00000000-0004-0000-1B00-000062000000}"/>
    <hyperlink ref="C105" r:id="rId100" tooltip="Send a mail to info@topchoice.com.mt" xr:uid="{00000000-0004-0000-1B00-000063000000}"/>
    <hyperlink ref="C106" r:id="rId101" tooltip="Send a mail to futurahomeappliances@gmail.com" xr:uid="{00000000-0004-0000-1B00-000064000000}"/>
    <hyperlink ref="C107" r:id="rId102" tooltip="Send a mail to sales@jjscerri.com" xr:uid="{00000000-0004-0000-1B00-000065000000}"/>
    <hyperlink ref="C108" r:id="rId103" tooltip="Send a mail to dpcomfortek@gmail.com" xr:uid="{00000000-0004-0000-1B00-000066000000}"/>
    <hyperlink ref="C109" r:id="rId104" tooltip="Send a mail to consigliohomeappliances@gmail.com" xr:uid="{00000000-0004-0000-1B00-000067000000}"/>
    <hyperlink ref="C110" r:id="rId105" tooltip="Send a mail to bakerspoint1@gmail.com" xr:uid="{00000000-0004-0000-1B00-000068000000}"/>
    <hyperlink ref="C111" r:id="rId106" tooltip="Send a mail to cutajarhifivideocentre@outlook.com" xr:uid="{00000000-0004-0000-1B00-000069000000}"/>
    <hyperlink ref="C112" r:id="rId107" tooltip="Send a mail to sales@flamingo.com.mt" xr:uid="{00000000-0004-0000-1B00-00006A000000}"/>
    <hyperlink ref="C113" r:id="rId108" tooltip="Send a mail to info@forestals.com" xr:uid="{00000000-0004-0000-1B00-00006B000000}"/>
    <hyperlink ref="C114" r:id="rId109" tooltip="Send a mail to freddies@onvol.net" xr:uid="{00000000-0004-0000-1B00-00006C000000}"/>
    <hyperlink ref="C115" r:id="rId110" tooltip="Send a mail to gdatrade@waldonet.net.mt" xr:uid="{00000000-0004-0000-1B00-00006D000000}"/>
    <hyperlink ref="C116" r:id="rId111" tooltip="Send a mail to info@hotpointmalta.com" xr:uid="{00000000-0004-0000-1B00-00006E000000}"/>
    <hyperlink ref="C117" r:id="rId112" tooltip="Send a mail to showroom@itc-malta.com" xr:uid="{00000000-0004-0000-1B00-00006F000000}"/>
    <hyperlink ref="C118" r:id="rId113" tooltip="Send a mail to info@oxfordhouse.com.mt" xr:uid="{00000000-0004-0000-1B00-000070000000}"/>
    <hyperlink ref="C119" r:id="rId114" tooltip="Send a mail to rightdealcosp@onvol.net" xr:uid="{00000000-0004-0000-1B00-000071000000}"/>
    <hyperlink ref="C120" r:id="rId115" tooltip="Send a mail to rotunda@maltanet.net" xr:uid="{00000000-0004-0000-1B00-000072000000}"/>
    <hyperlink ref="C121" r:id="rId116" tooltip="Send a mail to info@ultimate.com.mt" xr:uid="{00000000-0004-0000-1B00-000073000000}"/>
    <hyperlink ref="C123" r:id="rId117" tooltip="Send a mail to info@petroni.com.mt" xr:uid="{00000000-0004-0000-1B00-000074000000}"/>
    <hyperlink ref="C124" r:id="rId118" tooltip="Send a mail to info@soundsmart.com.mt" xr:uid="{00000000-0004-0000-1B00-000075000000}"/>
    <hyperlink ref="C125" r:id="rId119" tooltip="Send a mail to info@kcl.com.mt" xr:uid="{00000000-0004-0000-1B00-000076000000}"/>
    <hyperlink ref="C126" r:id="rId120" tooltip="Send a mail to tabletsandmoreelectronics@yahoo.com" xr:uid="{00000000-0004-0000-1B00-000077000000}"/>
    <hyperlink ref="C127" r:id="rId121" tooltip="Send a mail to futurahomeappliances@gmail.com" xr:uid="{00000000-0004-0000-1B00-000078000000}"/>
    <hyperlink ref="C128" r:id="rId122" tooltip="Send a mail to dpcomfortek@gmail.com" xr:uid="{00000000-0004-0000-1B00-000079000000}"/>
    <hyperlink ref="C129" r:id="rId123" tooltip="Send a mail to consigliohomeappliances@gmail.com" xr:uid="{00000000-0004-0000-1B00-00007A000000}"/>
    <hyperlink ref="C130" r:id="rId124" tooltip="Send a mail to info@forestals.com" xr:uid="{00000000-0004-0000-1B00-00007B000000}"/>
    <hyperlink ref="C131" r:id="rId125" tooltip="Send a mail to freddies@onvol.net" xr:uid="{00000000-0004-0000-1B00-00007C000000}"/>
    <hyperlink ref="C132" r:id="rId126" tooltip="Send a mail to info@hotpointmalta.com" xr:uid="{00000000-0004-0000-1B00-00007D000000}"/>
    <hyperlink ref="C133" r:id="rId127" tooltip="Send a mail to showroom@itc-malta.com" xr:uid="{00000000-0004-0000-1B00-00007E000000}"/>
    <hyperlink ref="C134" r:id="rId128" tooltip="Send a mail to info@jshousehold.com" xr:uid="{00000000-0004-0000-1B00-00007F000000}"/>
    <hyperlink ref="C135" r:id="rId129" tooltip="Send a mail to rightdealcosp@onvol.net" xr:uid="{00000000-0004-0000-1B00-000080000000}"/>
    <hyperlink ref="C136" r:id="rId130" tooltip="Send a mail to rotunda@maltanet.net" xr:uid="{00000000-0004-0000-1B00-000081000000}"/>
    <hyperlink ref="C138" r:id="rId131" tooltip="Send a mail to info@petroni.com.mt" xr:uid="{00000000-0004-0000-1B00-000082000000}"/>
    <hyperlink ref="C139" r:id="rId132" tooltip="Send a mail to info@soundsmart.com.mt" xr:uid="{00000000-0004-0000-1B00-000083000000}"/>
    <hyperlink ref="C140" r:id="rId133" tooltip="Send a mail to info@kcl.com.mt" xr:uid="{00000000-0004-0000-1B00-000084000000}"/>
    <hyperlink ref="C141" r:id="rId134" tooltip="Send a mail to tabletsandmoreelectronics@yahoo.com" xr:uid="{00000000-0004-0000-1B00-000085000000}"/>
    <hyperlink ref="C142" r:id="rId135" tooltip="Send a mail to futurahomeappliances@gmail.com" xr:uid="{00000000-0004-0000-1B00-000086000000}"/>
    <hyperlink ref="C143" r:id="rId136" tooltip="Send a mail to camrugun@hotmail.com" xr:uid="{00000000-0004-0000-1B00-000087000000}"/>
    <hyperlink ref="C144" r:id="rId137" tooltip="Send a mail to tagulinu@onvol.net" xr:uid="{00000000-0004-0000-1B00-000088000000}"/>
    <hyperlink ref="C145" r:id="rId138" tooltip="Send a mail to sales@jjscerri.com" xr:uid="{00000000-0004-0000-1B00-000089000000}"/>
    <hyperlink ref="C146" r:id="rId139" tooltip="Send a mail to dpcomfortek@gmail.com" xr:uid="{00000000-0004-0000-1B00-00008A000000}"/>
    <hyperlink ref="C147" r:id="rId140" tooltip="Send a mail to consigliohomeappliances@gmail.com" xr:uid="{00000000-0004-0000-1B00-00008B000000}"/>
    <hyperlink ref="C148" r:id="rId141" tooltip="Send a mail to cutajarhifivideocentre@outlook.com" xr:uid="{00000000-0004-0000-1B00-00008C000000}"/>
    <hyperlink ref="C149" r:id="rId142" tooltip="Send a mail to info@divine.com.mt" xr:uid="{00000000-0004-0000-1B00-00008D000000}"/>
    <hyperlink ref="C150" r:id="rId143" tooltip="Send a mail to sales@flamingo.com.mt" xr:uid="{00000000-0004-0000-1B00-00008E000000}"/>
    <hyperlink ref="C151" r:id="rId144" tooltip="Send a mail to info@forestals.com" xr:uid="{00000000-0004-0000-1B00-00008F000000}"/>
    <hyperlink ref="C152" r:id="rId145" tooltip="Send a mail to freddies@onvol.net" xr:uid="{00000000-0004-0000-1B00-000090000000}"/>
    <hyperlink ref="C153" r:id="rId146" tooltip="Send a mail to info@hotpointmalta.com" xr:uid="{00000000-0004-0000-1B00-000091000000}"/>
    <hyperlink ref="C154" r:id="rId147" tooltip="Send a mail to showroom@itc-malta.com" xr:uid="{00000000-0004-0000-1B00-000092000000}"/>
    <hyperlink ref="C155" r:id="rId148" tooltip="Send a mail to info@jshousehold.com" xr:uid="{00000000-0004-0000-1B00-000093000000}"/>
    <hyperlink ref="C156" r:id="rId149" tooltip="Send a mail to rightdealcosp@onvol.net" xr:uid="{00000000-0004-0000-1B00-000094000000}"/>
    <hyperlink ref="C157" r:id="rId150" tooltip="Send a mail to rotunda@maltanet.net" xr:uid="{00000000-0004-0000-1B00-000095000000}"/>
    <hyperlink ref="C158" r:id="rId151" tooltip="Send a mail to info@topchoice.com.mt" xr:uid="{00000000-0004-0000-1B00-000096000000}"/>
    <hyperlink ref="C159" r:id="rId152" tooltip="Send a mail to x.treme@onvol.net" xr:uid="{00000000-0004-0000-1B00-000097000000}"/>
    <hyperlink ref="C161" r:id="rId153" tooltip="Send a mail to info@petroni.com.mt" xr:uid="{00000000-0004-0000-1B00-000098000000}"/>
    <hyperlink ref="C162" r:id="rId154" tooltip="Send a mail to info@soundsmart.com.mt" xr:uid="{00000000-0004-0000-1B00-000099000000}"/>
    <hyperlink ref="C163" r:id="rId155" tooltip="Send a mail to info@kcl.com.mt" xr:uid="{00000000-0004-0000-1B00-00009A000000}"/>
    <hyperlink ref="C164" r:id="rId156" tooltip="Send a mail to tabletsandmoreelectronics@yahoo.com" xr:uid="{00000000-0004-0000-1B00-00009B000000}"/>
    <hyperlink ref="C165" r:id="rId157" tooltip="Send a mail to futurahomeappliances@gmail.com" xr:uid="{00000000-0004-0000-1B00-00009C000000}"/>
    <hyperlink ref="C166" r:id="rId158" tooltip="Send a mail to camrugun@hotmail.com" xr:uid="{00000000-0004-0000-1B00-00009D000000}"/>
    <hyperlink ref="C167" r:id="rId159" tooltip="Send a mail to sales@jjscerri.com" xr:uid="{00000000-0004-0000-1B00-00009E000000}"/>
    <hyperlink ref="C168" r:id="rId160" tooltip="Send a mail to consigliohomeappliances@gmail.com" xr:uid="{00000000-0004-0000-1B00-00009F000000}"/>
    <hyperlink ref="C169" r:id="rId161" tooltip="Send a mail to cutajarhifivideocentre@outlook.com" xr:uid="{00000000-0004-0000-1B00-0000A0000000}"/>
    <hyperlink ref="C170" r:id="rId162" tooltip="Send a mail to info@divine.com.mt" xr:uid="{00000000-0004-0000-1B00-0000A1000000}"/>
    <hyperlink ref="C171" r:id="rId163" tooltip="Send a mail to sales@flamingo.com.mt" xr:uid="{00000000-0004-0000-1B00-0000A2000000}"/>
    <hyperlink ref="C172" r:id="rId164" tooltip="Send a mail to freddies@onvol.net" xr:uid="{00000000-0004-0000-1B00-0000A3000000}"/>
    <hyperlink ref="C173" r:id="rId165" tooltip="Send a mail to gdatrade@waldonet.net.mt" xr:uid="{00000000-0004-0000-1B00-0000A4000000}"/>
    <hyperlink ref="C174" r:id="rId166" tooltip="Send a mail to info@hotpointmalta.com" xr:uid="{00000000-0004-0000-1B00-0000A5000000}"/>
    <hyperlink ref="C175" r:id="rId167" tooltip="Send a mail to showroom@itc-malta.com" xr:uid="{00000000-0004-0000-1B00-0000A6000000}"/>
    <hyperlink ref="C176" r:id="rId168" tooltip="Send a mail to refcold@maltanet.net" xr:uid="{00000000-0004-0000-1B00-0000A7000000}"/>
    <hyperlink ref="C177" r:id="rId169" tooltip="Send a mail to rightdealcosp@onvol.net" xr:uid="{00000000-0004-0000-1B00-0000A8000000}"/>
    <hyperlink ref="C178" r:id="rId170" tooltip="Send a mail to rotunda@maltanet.net" xr:uid="{00000000-0004-0000-1B00-0000A9000000}"/>
    <hyperlink ref="C179" r:id="rId171" tooltip="Send a mail to sales@shaker.com.mt" xr:uid="{00000000-0004-0000-1B00-0000AA000000}"/>
    <hyperlink ref="C180" r:id="rId172" tooltip="Send a mail to info@fairdealfurniture.com.mt" xr:uid="{00000000-0004-0000-1B00-0000AB000000}"/>
    <hyperlink ref="C181" r:id="rId173" tooltip="Send a mail to info@joinwellfxb.com" xr:uid="{00000000-0004-0000-1B00-0000AC000000}"/>
    <hyperlink ref="C182" r:id="rId174" tooltip="Send a mail to contactus@theatrium.com.mt" xr:uid="{00000000-0004-0000-1B00-0000AD000000}"/>
    <hyperlink ref="C183" r:id="rId175" tooltip="Send a mail to infodesk@form.com.mt" xr:uid="{00000000-0004-0000-1B00-0000AE000000}"/>
    <hyperlink ref="C184" r:id="rId176" tooltip="Send a mail to info@fino.com.mt" xr:uid="{00000000-0004-0000-1B00-0000AF000000}"/>
    <hyperlink ref="C185" r:id="rId177" tooltip="Send a mail to info@scavolini.mt" xr:uid="{00000000-0004-0000-1B00-0000B0000000}"/>
    <hyperlink ref="C186" r:id="rId178" tooltip="Send a mail to info@carmelodelia.com" xr:uid="{00000000-0004-0000-1B00-0000B1000000}"/>
    <hyperlink ref="E2" r:id="rId179" tooltip="Search Ferraracasa Warehouse_x000a_Triq is-Salib ta l-Mriehel_x000a_CBD3020 Birkirkara_x000a_Malta on Google Maps" xr:uid="{00000000-0004-0000-1B00-0000B2000000}"/>
    <hyperlink ref="E3" r:id="rId180" tooltip="Search 260 Old Railway Track, Santa Venera SVR 9019 on Google Maps" xr:uid="{00000000-0004-0000-1B00-0000B3000000}"/>
    <hyperlink ref="E4" r:id="rId181" tooltip="Search Triq Mastru Gorg Cachia Tal-Handaq, Qormi, Malta WRM 4000 on Google Maps" xr:uid="{00000000-0004-0000-1B00-0000B4000000}"/>
    <hyperlink ref="E5" r:id="rId182" tooltip="Search Triq il-Buskett, Dingli, Malta DGL 2709 on Google Maps" xr:uid="{00000000-0004-0000-1B00-0000B5000000}"/>
    <hyperlink ref="E6" r:id="rId183" tooltip="Search Triq I-Imdina, Zebbug, Malta ZBG 4351 on Google Maps" xr:uid="{00000000-0004-0000-1B00-0000B6000000}"/>
    <hyperlink ref="E7" r:id="rId184" tooltip="Search Triq I-Imdina, Attard, Malta ATD 9037 on Google Maps" xr:uid="{00000000-0004-0000-1B00-0000B7000000}"/>
    <hyperlink ref="E8" r:id="rId185" tooltip="Search Triq I-Imdina, Zebbug, Malta on Google Maps" xr:uid="{00000000-0004-0000-1B00-0000B8000000}"/>
    <hyperlink ref="E9" r:id="rId186" tooltip="Search 42 Triq ix-Xwieni Albert Town, Marsa, Malta on Google Maps" xr:uid="{00000000-0004-0000-1B00-0000B9000000}"/>
    <hyperlink ref="E10" r:id="rId187" tooltip="Search Triq il-Kappar, Mosta, Malta MST 4003 on Google Maps" xr:uid="{00000000-0004-0000-1B00-0000BA000000}"/>
    <hyperlink ref="E11" r:id="rId188" tooltip="Search Triq tal-Balal, San Gwann, Malta SGN 9016 on Google Maps" xr:uid="{00000000-0004-0000-1B00-0000BB000000}"/>
    <hyperlink ref="E12" r:id="rId189" tooltip="Search Triq il-Wied ta' I-Imsida, Msida, Malta MSD 9091 on Google Maps" xr:uid="{00000000-0004-0000-1B00-0000BC000000}"/>
    <hyperlink ref="E13" r:id="rId190" tooltip="Search Triq Mannarino, B'Kara, Malta BKR 9085 on Google Maps" xr:uid="{00000000-0004-0000-1B00-0000BD000000}"/>
    <hyperlink ref="E14" r:id="rId191" tooltip="Search Triq il-Wied Ta' L-Imsida, B'Kara, Malta BKR 9025 on Google Maps" xr:uid="{00000000-0004-0000-1B00-0000BE000000}"/>
    <hyperlink ref="E15" r:id="rId192" tooltip="Search Triq Papa Gwanni Pawlu ll, Victoria-Gozo, Gozo VCT 9046 on Google Maps" xr:uid="{00000000-0004-0000-1B00-0000BF000000}"/>
    <hyperlink ref="E16" r:id="rId193" tooltip="Search 1 Triq il-Kanun, Qormi, Malta QRM 9036 on Google Maps" xr:uid="{00000000-0004-0000-1B00-0000C0000000}"/>
    <hyperlink ref="E17" r:id="rId194" tooltip="Search A 23 Triq Giuseppe Garibaldi, Marsa, Malta MRS 9082 on Google Maps" xr:uid="{00000000-0004-0000-1B00-0000C1000000}"/>
    <hyperlink ref="E18" r:id="rId195" tooltip="Search Triq I-Imdina, Qormi, Malta QRM 9011 on Google Maps" xr:uid="{00000000-0004-0000-1B00-0000C2000000}"/>
    <hyperlink ref="E19" r:id="rId196" tooltip="Search HF 5A Qasam Industrijali, Hal Far, B'Bugia, Malta BBG 3000 on Google Maps" xr:uid="{00000000-0004-0000-1B00-0000C3000000}"/>
    <hyperlink ref="E20" r:id="rId197" tooltip="Search 135 Triq il-Kuncizzjoni, Qala-Gozo, Gozo QLA 1701 on Google Maps" xr:uid="{00000000-0004-0000-1B00-0000C4000000}"/>
    <hyperlink ref="E21" r:id="rId198" tooltip="Search Triq il-Wied ta' I-Imsida, Msida, Malta MSD 9022 on Google Maps" xr:uid="{00000000-0004-0000-1B00-0000C5000000}"/>
    <hyperlink ref="E22" r:id="rId199" tooltip="Search G G X 0053 Qasam Industrijali, Xewkija-Gozo, Gozo XWK 3000 on Google Maps" xr:uid="{00000000-0004-0000-1B00-0000C6000000}"/>
    <hyperlink ref="E23" r:id="rId200" tooltip="Search Triq Valletta Mosta Technopark, Mosta, Malta MST 3000 on Google Maps" xr:uid="{00000000-0004-0000-1B00-0000C7000000}"/>
    <hyperlink ref="E24" r:id="rId201" tooltip="Search Triq L-Imdina, Zone 2, Central Business District, Birkirkara CBD 2010, Malta on Google Maps" xr:uid="{00000000-0004-0000-1B00-0000C8000000}"/>
    <hyperlink ref="E25" r:id="rId202" tooltip="Search T/G fi triq l-Imdina, Zebbug, Malta ZBG 5011 on Google Maps" xr:uid="{00000000-0004-0000-1B00-0000C9000000}"/>
    <hyperlink ref="E26" r:id="rId203" tooltip="Search Triq l-Isqof Buhagiar, Paola, Malta PLA 1111 on Google Maps" xr:uid="{00000000-0004-0000-1B00-0000CA000000}"/>
    <hyperlink ref="E27" r:id="rId204" tooltip="Search 86 Triq Vallettaa, Luqa, Malta LQA 1762 on Google Maps" xr:uid="{00000000-0004-0000-1B00-0000CB000000}"/>
    <hyperlink ref="E28" r:id="rId205" tooltip="Search Triq il-Mosta, Lija, Malta LIJA 9012 on Google Maps" xr:uid="{00000000-0004-0000-1B00-0000CC000000}"/>
    <hyperlink ref="E29" r:id="rId206" tooltip="Search 91 Triq il-Kbira San Guzepp, Hamrun, Malta HMR 1017 on Google Maps" xr:uid="{00000000-0004-0000-1B00-0000CD000000}"/>
    <hyperlink ref="E30" r:id="rId207" tooltip="Search 32 ll-Moll tal-Hatab, Marsa, Malta MRS 1440 on Google Maps" xr:uid="{00000000-0004-0000-1B00-0000CE000000}"/>
    <hyperlink ref="E31" r:id="rId208" tooltip="Search Triq il-Wied, B'Kara, Malta BKR 9021 on Google Maps" xr:uid="{00000000-0004-0000-1B00-0000CF000000}"/>
    <hyperlink ref="E32" r:id="rId209" tooltip="Search Dawert I-Imriehel, Qormi, Malta QRM 9052 on Google Maps" xr:uid="{00000000-0004-0000-1B00-0000D0000000}"/>
    <hyperlink ref="E33" r:id="rId210" tooltip="Search Proman Interiors,_x000a_115, Valley Road,_x000a_B'Kara. BKR 9022._x000a_Malta on Google Maps" xr:uid="{00000000-0004-0000-1B00-0000D1000000}"/>
    <hyperlink ref="E34" r:id="rId211" tooltip="Search Triq il-Buskett, Dingli, Malta DGL 2709 on Google Maps" xr:uid="{00000000-0004-0000-1B00-0000D2000000}"/>
    <hyperlink ref="E35" r:id="rId212" tooltip="Search Triq I-Imdina, Zebbug, Malta ZBG 4351 on Google Maps" xr:uid="{00000000-0004-0000-1B00-0000D3000000}"/>
    <hyperlink ref="E36" r:id="rId213" tooltip="Search Triq tal-Balal, San Gwann, Malta SGN 9016 on Google Maps" xr:uid="{00000000-0004-0000-1B00-0000D4000000}"/>
    <hyperlink ref="E37" r:id="rId214" tooltip="Search 42 Triq ix-Xwieni Albert Town, Marsa, Malta on Google Maps" xr:uid="{00000000-0004-0000-1B00-0000D5000000}"/>
    <hyperlink ref="E38" r:id="rId215" tooltip="Search Triq il-Kappar, Mosta, Malta MST 4003 on Google Maps" xr:uid="{00000000-0004-0000-1B00-0000D6000000}"/>
    <hyperlink ref="E39" r:id="rId216" tooltip="Search Triq il-Wied ta' I-Imsida, Msida, Malta MSD 9091 on Google Maps" xr:uid="{00000000-0004-0000-1B00-0000D7000000}"/>
    <hyperlink ref="E40" r:id="rId217" tooltip="Search Triq il-Wied Ta' L-Imsida, B'Kara, Malta BKR 9025 on Google Maps" xr:uid="{00000000-0004-0000-1B00-0000D8000000}"/>
    <hyperlink ref="E41" r:id="rId218" tooltip="Search 1 Triq il-Kanun, Qormi, Malta QRM 9036 on Google Maps" xr:uid="{00000000-0004-0000-1B00-0000D9000000}"/>
    <hyperlink ref="E42" r:id="rId219" tooltip="Search HF 5A Qasam Industrijali, Hal Far, B'Bugia, Malta BBG 3000 on Google Maps" xr:uid="{00000000-0004-0000-1B00-0000DA000000}"/>
    <hyperlink ref="E43" r:id="rId220" tooltip="Search Triq il-Wied ta' I-Imsida, Msida, Malta MSD 9022 on Google Maps" xr:uid="{00000000-0004-0000-1B00-0000DB000000}"/>
    <hyperlink ref="E44" r:id="rId221" tooltip="Search Factory M 10, Zone 4 Triq ll-Furnara Central Business District on Google Maps" xr:uid="{00000000-0004-0000-1B00-0000DC000000}"/>
    <hyperlink ref="E45" r:id="rId222" tooltip="Search Casa Santa Rita Triq Santa Marta, Victoria-Gozo, Gozo VCT 2552 on Google Maps" xr:uid="{00000000-0004-0000-1B00-0000DD000000}"/>
    <hyperlink ref="E46" r:id="rId223" tooltip="Search 25 Triq il-Kataniz, Zebbug, Malta ZBG 2831 on Google Maps" xr:uid="{00000000-0004-0000-1B00-0000DE000000}"/>
    <hyperlink ref="E47" r:id="rId224" tooltip="Search 61 St Liberata Triq Santa Liberata, Kalkara, Malta KKR 1612 on Google Maps" xr:uid="{00000000-0004-0000-1B00-0000DF000000}"/>
    <hyperlink ref="E48" r:id="rId225" tooltip="Search 184, 186 Triq Qormi, Marsa, Malta MRS 9044 on Google Maps" xr:uid="{00000000-0004-0000-1B00-0000E0000000}"/>
    <hyperlink ref="E49" r:id="rId226" tooltip="Search Triq il-Mosta, Lija, Malta LIJA 9012 on Google Maps" xr:uid="{00000000-0004-0000-1B00-0000E1000000}"/>
    <hyperlink ref="E50" r:id="rId227" tooltip="Search Triq L-Imdina, Zone 2, Central Business District, Birkirkara CBD 2010, Malta on Google Maps" xr:uid="{00000000-0004-0000-1B00-0000E2000000}"/>
    <hyperlink ref="E51" r:id="rId228" tooltip="Search 13 Censu Bugeja, L-Iklin BZN 1170 on Google Maps" xr:uid="{00000000-0004-0000-1B00-0000E3000000}"/>
    <hyperlink ref="E52" r:id="rId229" tooltip="Search Triq il-Wied Ta' L-Imsida, B'Kara, Malta BKR 9025 on Google Maps" xr:uid="{00000000-0004-0000-1B00-0000E4000000}"/>
    <hyperlink ref="E53" r:id="rId230" tooltip="Search 1, Triq Pietru Felici, Qormi, Malta on Google Maps" xr:uid="{00000000-0004-0000-1B00-0000E5000000}"/>
    <hyperlink ref="E54" r:id="rId231" tooltip="Search 162 Cannon Road, Santa Venera, SVR 9034, Malta on Google Maps" xr:uid="{00000000-0004-0000-1B00-0000E6000000}"/>
    <hyperlink ref="E55" r:id="rId232" tooltip="Search ABRA, Triq L-Imdina ATTARD, ATD 9037 on Google Maps" xr:uid="{00000000-0004-0000-1B00-0000E7000000}"/>
    <hyperlink ref="E56" r:id="rId233" tooltip="Search Fino Buildings,_x000a_Triq l-Imdina, Zone 4,_x000a_Mriehel/Central Business District_x000a_CBD 4010, Malta on Google Maps" xr:uid="{00000000-0004-0000-1B00-0000E8000000}"/>
    <hyperlink ref="E57" r:id="rId234" tooltip="Search Triq I-Isof Labini, B'Kara, Malta BKR 1275 on Google Maps" xr:uid="{00000000-0004-0000-1B00-0000E9000000}"/>
    <hyperlink ref="E58" r:id="rId235" tooltip="Search Triq I-Imdina, Zebbug, Malta ZBG 4351 on Google Maps" xr:uid="{00000000-0004-0000-1B00-0000EA000000}"/>
    <hyperlink ref="E59" r:id="rId236" tooltip="Search Triq Papa Gwanni Pawlu ll, Victoria-Gozo, Gozo VCT 9046 on Google Maps" xr:uid="{00000000-0004-0000-1B00-0000EB000000}"/>
    <hyperlink ref="E60" r:id="rId237" tooltip="Search Triq tal-Balal, San Gwann, Malta SGN 9016 on Google Maps" xr:uid="{00000000-0004-0000-1B00-0000EC000000}"/>
    <hyperlink ref="E61" r:id="rId238" tooltip="Search Triq il-Kappar, Mosta, Malta MST 4003 on Google Maps" xr:uid="{00000000-0004-0000-1B00-0000ED000000}"/>
    <hyperlink ref="E62" r:id="rId239" tooltip="Search Triq tal-Balal, San Gwann, Malta SGN 9016 on Google Maps" xr:uid="{00000000-0004-0000-1B00-0000EE000000}"/>
    <hyperlink ref="E63" r:id="rId240" tooltip="Search Tip Top Bldgs Triq Haz-Zabbar on Google Maps" xr:uid="{00000000-0004-0000-1B00-0000EF000000}"/>
    <hyperlink ref="E64" r:id="rId241" tooltip="Search 33 Triq l-Oleandru, San Giljan, Malta on Google Maps" xr:uid="{00000000-0004-0000-1B00-0000F0000000}"/>
    <hyperlink ref="E65" r:id="rId242" tooltip="Search Dawert I-Imriehel, Qormi, Malta QRM 9052 on Google Maps" xr:uid="{00000000-0004-0000-1B00-0000F1000000}"/>
    <hyperlink ref="E66" r:id="rId243" tooltip="Search KW 17b Qasam Industrijali, Kordin, Paola, Malta PLA 3000 on Google Maps" xr:uid="{00000000-0004-0000-1B00-0000F2000000}"/>
    <hyperlink ref="E67" r:id="rId244" tooltip="Search 117 Dalli Yard Triq Hal Tarxien, Gudja, Malta on Google Maps" xr:uid="{00000000-0004-0000-1B00-0000F3000000}"/>
    <hyperlink ref="E68" r:id="rId245" tooltip="Search T/G fi triq l-Imdina, Zebbug, Malta ZBG 5011 on Google Maps" xr:uid="{00000000-0004-0000-1B00-0000F4000000}"/>
    <hyperlink ref="E69" r:id="rId246" tooltip="Search Triq il-Wied Ta' L-Imsida, B'Kara, Malta BKR 9022 on Google Maps" xr:uid="{00000000-0004-0000-1B00-0000F5000000}"/>
    <hyperlink ref="E70" r:id="rId247" tooltip="Search Triq I-Isqof Buhagiar, Paola, Malta PLA 1111 on Google Maps" xr:uid="{00000000-0004-0000-1B00-0000F6000000}"/>
    <hyperlink ref="E71" r:id="rId248" tooltip="Search San Gwakkin Building Triq Gwakkin Central Business District, B'Kara, Malta CBD 4020 on Google Maps" xr:uid="{00000000-0004-0000-1B00-0000F7000000}"/>
    <hyperlink ref="E72" r:id="rId249" tooltip="Search 40 Qasam Industrijali, Luqa, Malta LQA 3000 on Google Maps" xr:uid="{00000000-0004-0000-1B00-0000F8000000}"/>
    <hyperlink ref="E73" r:id="rId250" tooltip="Search Triq il-Pitkali, Attard, Malta on Google Maps" xr:uid="{00000000-0004-0000-1B00-0000F9000000}"/>
    <hyperlink ref="E74" r:id="rId251" tooltip="Search 61 St Liberata Triq Santa Liberata, Kalkara, Malta KKR 1612 on Google Maps" xr:uid="{00000000-0004-0000-1B00-0000FA000000}"/>
    <hyperlink ref="E75" r:id="rId252" tooltip="Search Triq il-Wied Ta' L-Imsida, B'Kara, Malta BKR 9025 on Google Maps" xr:uid="{00000000-0004-0000-1B00-0000FB000000}"/>
    <hyperlink ref="E76" r:id="rId253" tooltip="Search 69 Triq Hal Qormi, Hamrun, Malta HMR 2183 on Google Maps" xr:uid="{00000000-0004-0000-1B00-0000FC000000}"/>
    <hyperlink ref="E77" r:id="rId254" tooltip="Search 346 Triq I-Imdina, Qormi, Malta QRM 9014 on Google Maps" xr:uid="{00000000-0004-0000-1B00-0000FD000000}"/>
    <hyperlink ref="E78" r:id="rId255" tooltip="Search Triq Gorg Borg Olivier, Vicotria-Gozo, Gozo VCT 2515 on Google Maps" xr:uid="{00000000-0004-0000-1B00-0000FE000000}"/>
    <hyperlink ref="E79" r:id="rId256" tooltip="Search Triq il-Kbira, Mellieha, Malta MLH 2317 on Google Maps" xr:uid="{00000000-0004-0000-1B00-0000FF000000}"/>
    <hyperlink ref="E80" r:id="rId257" tooltip="Search Triq il-Mosta, Lija, Malta LIJA 9012 on Google Maps" xr:uid="{00000000-0004-0000-1B00-000000010000}"/>
    <hyperlink ref="E81" r:id="rId258" tooltip="Search Qasam Industrijali, Luqa Malta LQA 3000 on Google Maps" xr:uid="{00000000-0004-0000-1B00-000001010000}"/>
    <hyperlink ref="E82" r:id="rId259" tooltip="Search 154 Triq il-Kappilan Mifsud, Sta Venera, Malta on Google Maps" xr:uid="{00000000-0004-0000-1B00-000002010000}"/>
    <hyperlink ref="E83" r:id="rId260" tooltip="Search Triq il-Wied ta' I-Imsida, Msida, Malta MSD 9022 on Google Maps" xr:uid="{00000000-0004-0000-1B00-000003010000}"/>
    <hyperlink ref="E84" r:id="rId261" tooltip="Search Qasam Industrijali Ta' Qali, Attard, Malta ATD 4000 on Google Maps" xr:uid="{00000000-0004-0000-1B00-000004010000}"/>
    <hyperlink ref="E85" r:id="rId262" tooltip="Search Kw 19D Qasam Industrijali, Kordin, Paola, Malta PLA 3000 on Google Maps" xr:uid="{00000000-0004-0000-1B00-000005010000}"/>
    <hyperlink ref="E86" r:id="rId263" tooltip="Search 91 Triq il-Kbira San Guzepp, Hamrun, Malta HMR 1017 on Google Maps" xr:uid="{00000000-0004-0000-1B00-000006010000}"/>
    <hyperlink ref="E87" r:id="rId264" tooltip="Search 210 Triq il-Ferrovija, Sta Venera, Malta SVR 9019 on Google Maps" xr:uid="{00000000-0004-0000-1B00-000007010000}"/>
    <hyperlink ref="E88" r:id="rId265" tooltip="Search Triq il-Wied, B'Kara, Malta BKR 9021 on Google Maps" xr:uid="{00000000-0004-0000-1B00-000008010000}"/>
    <hyperlink ref="E89" r:id="rId266" tooltip="Search Triq il-Ferrovija, Sta Venera, Malta SVR 9019 on Google Maps" xr:uid="{00000000-0004-0000-1B00-000009010000}"/>
    <hyperlink ref="E90" r:id="rId267" tooltip="Search Triq Ponosonby, Mosta, Malta MST 4039 on Google Maps" xr:uid="{00000000-0004-0000-1B00-00000A010000}"/>
    <hyperlink ref="E91" r:id="rId268" tooltip="Search 197 Triq I-Imdina, Qormi, Malta QRM 9012 on Google Maps" xr:uid="{00000000-0004-0000-1B00-00000B010000}"/>
    <hyperlink ref="E92" r:id="rId269" tooltip="Search BLB 021 Qasam Industrijali, Bulebel, Zejtun, Malta ZTN 3000 on Google Maps" xr:uid="{00000000-0004-0000-1B00-00000C010000}"/>
    <hyperlink ref="E93" r:id="rId270" tooltip="Search Triq il-Wied ta' I-Imsida, Msida, Malta MSD 9022 on Google Maps" xr:uid="{00000000-0004-0000-1B00-00000D010000}"/>
    <hyperlink ref="E94" r:id="rId271" tooltip="Search Triq il-Kostituzzjoni, Mosta, Malta MST 9050 on Google Maps" xr:uid="{00000000-0004-0000-1B00-00000E010000}"/>
    <hyperlink ref="E95" r:id="rId272" tooltip="Search 22, Triq Sant' Elija, B'Kara, Malta BKR 2064 on Google Maps" xr:uid="{00000000-0004-0000-1B00-00000F010000}"/>
    <hyperlink ref="E96" r:id="rId273" tooltip="Search 12 Triq il-Hammieri, Qormi, Malta on Google Maps" xr:uid="{00000000-0004-0000-1B00-000010010000}"/>
    <hyperlink ref="E97" r:id="rId274" tooltip="Search 18 Wesghat il-Knisja tan-Nattivita, Bormla, Malta BML 1650 on Google Maps" xr:uid="{00000000-0004-0000-1B00-000011010000}"/>
    <hyperlink ref="E98" r:id="rId275" tooltip="Search 10 Misrah I' Isle Adam, Rabat, Malta RBT 1169 on Google Maps" xr:uid="{00000000-0004-0000-1B00-000012010000}"/>
    <hyperlink ref="E99" r:id="rId276" tooltip="Search Triq San Tumas, Luqa, Malta LQA 9031 on Google Maps" xr:uid="{00000000-0004-0000-1B00-000013010000}"/>
    <hyperlink ref="E100" r:id="rId277" tooltip="Search Misrah Gavino Gulia, Bormla on Google Maps" xr:uid="{00000000-0004-0000-1B00-000014010000}"/>
    <hyperlink ref="E101" r:id="rId278" tooltip="Search 280 Triq il-Kbira San Guzepp, Hamrun on Google Maps" xr:uid="{00000000-0004-0000-1B00-000015010000}"/>
    <hyperlink ref="E102" r:id="rId279" tooltip="Search 220 Triq in-Naxxar, San Gwann, Malta SGN 9030 on Google Maps" xr:uid="{00000000-0004-0000-1B00-000016010000}"/>
    <hyperlink ref="E103" r:id="rId280" tooltip="Search Triq il-Kappillan Mifsud, Sta Venera on Google Maps" xr:uid="{00000000-0004-0000-1B00-000017010000}"/>
    <hyperlink ref="E104" r:id="rId281" tooltip="Search Vjal I-Infiprndenza, Mosta on Google Maps" xr:uid="{00000000-0004-0000-1B00-000018010000}"/>
    <hyperlink ref="E105" r:id="rId282" tooltip="Search Triq Valetta, Mosta, Malta on Google Maps" xr:uid="{00000000-0004-0000-1B00-000019010000}"/>
    <hyperlink ref="E106" r:id="rId283" tooltip="Search Triq it-Tabib Nikol Zammit, Siggiewi, Malta SHW 3075 on Google Maps" xr:uid="{00000000-0004-0000-1B00-00001A010000}"/>
    <hyperlink ref="E107" r:id="rId284" tooltip="Search 91 Triq is-Santwarju, Zabbar on Google Maps" xr:uid="{00000000-0004-0000-1B00-00001B010000}"/>
    <hyperlink ref="E108" r:id="rId285" tooltip="Search Zone 5 Triq ll-Kanun Central Business District, Qormi, Malta CBD 5060 on Google Maps" xr:uid="{00000000-0004-0000-1B00-00001C010000}"/>
    <hyperlink ref="E109" r:id="rId286" tooltip="Search Zone 3 Triq L-Intornjatur Central Business District, B'Kara, Malta CBD 3050 on Google Maps" xr:uid="{00000000-0004-0000-1B00-00001D010000}"/>
    <hyperlink ref="E110" r:id="rId287" tooltip="Search Triq il-Kungress Ewkaristiku, Mosta on Google Maps" xr:uid="{00000000-0004-0000-1B00-00001E010000}"/>
    <hyperlink ref="E111" r:id="rId288" tooltip="Search 146 Triq Sant' Orsla Victoria-Gozo on Google Maps" xr:uid="{00000000-0004-0000-1B00-00001F010000}"/>
    <hyperlink ref="E112" r:id="rId289" tooltip="Search Triq il-Wied, B'Kara on Google Maps" xr:uid="{00000000-0004-0000-1B00-000020010000}"/>
    <hyperlink ref="E113" r:id="rId290" tooltip="Search Triq Nazzjonali Blata L-Blajda, Hamrun, Malta HMR 9012 on Google Maps" xr:uid="{00000000-0004-0000-1B00-000021010000}"/>
    <hyperlink ref="E114" r:id="rId291" tooltip="Search Zone 2 Triq L-Imdina Central Business District, B'Kara, Malta CBD 2010 on Google Maps" xr:uid="{00000000-0004-0000-1B00-000022010000}"/>
    <hyperlink ref="E115" r:id="rId292" tooltip="Search Misrah Gavino Gulia, Bormla on Google Maps" xr:uid="{00000000-0004-0000-1B00-000023010000}"/>
    <hyperlink ref="E116" r:id="rId293" tooltip="Search 7, 9 Rotunda Dept Stores Triq il-Kungress Ewkaristiku, Mosta on Google Maps" xr:uid="{00000000-0004-0000-1B00-000024010000}"/>
    <hyperlink ref="E117" r:id="rId294" tooltip="Search Triq Salvu Busuttil, San Gwann on Google Maps" xr:uid="{00000000-0004-0000-1B00-000025010000}"/>
    <hyperlink ref="E118" r:id="rId295" tooltip="Search BLB 021 Qasam Industrijali, Bulebel, Zejtun, Malta ZTN 3000 on Google Maps" xr:uid="{00000000-0004-0000-1B00-000026010000}"/>
    <hyperlink ref="E119" r:id="rId296" tooltip="Search Triq il-Wied ta' I-Imsida, Msida, Malta MSD 9022 on Google Maps" xr:uid="{00000000-0004-0000-1B00-000027010000}"/>
    <hyperlink ref="E120" r:id="rId297" tooltip="Search Triq il-Kostituzzjoni, Mosta, Malta MST 9050 on Google Maps" xr:uid="{00000000-0004-0000-1B00-000028010000}"/>
    <hyperlink ref="E121" r:id="rId298" tooltip="Search 22, Triq Sant' Elija, B'Kara, Malta BKR 2064 on Google Maps" xr:uid="{00000000-0004-0000-1B00-000029010000}"/>
    <hyperlink ref="E122" r:id="rId299" tooltip="Search 12 Triq il-Hammieri, Qormi, Malta on Google Maps" xr:uid="{00000000-0004-0000-1B00-00002A010000}"/>
    <hyperlink ref="E123" r:id="rId300" tooltip="Search 220 Triq in-Naxxar, San Gwann, Malta SGN 9030 on Google Maps" xr:uid="{00000000-0004-0000-1B00-00002B010000}"/>
    <hyperlink ref="E124" r:id="rId301" tooltip="Search Vjal I-Infiprndenza, Mosta on Google Maps" xr:uid="{00000000-0004-0000-1B00-00002C010000}"/>
    <hyperlink ref="E125" r:id="rId302" tooltip="Search Triq Valetta, Mosta, Malta on Google Maps" xr:uid="{00000000-0004-0000-1B00-00002D010000}"/>
    <hyperlink ref="E126" r:id="rId303" tooltip="Search Zone 3 Triq L-Intornjatur Central Business District, B'Kara, Malta CBD 3050 on Google Maps" xr:uid="{00000000-0004-0000-1B00-00002E010000}"/>
    <hyperlink ref="E127" r:id="rId304" tooltip="Search Triq il-Kungress Ewkaristiku, Mosta on Google Maps" xr:uid="{00000000-0004-0000-1B00-00002F010000}"/>
    <hyperlink ref="E128" r:id="rId305" tooltip="Search Triq il-Wied, B'Kara on Google Maps" xr:uid="{00000000-0004-0000-1B00-000030010000}"/>
    <hyperlink ref="E129" r:id="rId306" tooltip="Search Triq Nazzjonali Blata L-Blajda, Hamrun, Malta HMR 9012 on Google Maps" xr:uid="{00000000-0004-0000-1B00-000031010000}"/>
    <hyperlink ref="E130" r:id="rId307" tooltip="Search 71 Triq il-Buqexrem, Fgura on Google Maps" xr:uid="{00000000-0004-0000-1B00-000032010000}"/>
    <hyperlink ref="E131" r:id="rId308" tooltip="Search Misrah Gavino Gulia, Bormla on Google Maps" xr:uid="{00000000-0004-0000-1B00-000033010000}"/>
    <hyperlink ref="E132" r:id="rId309" tooltip="Search 7, 9 Rotunda Dept Stores Triq il-Kungress Ewkaristiku, Mosta on Google Maps" xr:uid="{00000000-0004-0000-1B00-000034010000}"/>
    <hyperlink ref="E133" r:id="rId310" tooltip="Search BLB 021 Qasam Industrijali, Bulebel, Zejtun, Malta ZTN 3000 on Google Maps" xr:uid="{00000000-0004-0000-1B00-000035010000}"/>
    <hyperlink ref="E134" r:id="rId311" tooltip="Search Triq il-Wied ta' I-Imsida, Msida, Malta MSD 9022 on Google Maps" xr:uid="{00000000-0004-0000-1B00-000036010000}"/>
    <hyperlink ref="E135" r:id="rId312" tooltip="Search Triq il-Kostituzzjoni, Mosta, Malta MST 9050 on Google Maps" xr:uid="{00000000-0004-0000-1B00-000037010000}"/>
    <hyperlink ref="E136" r:id="rId313" tooltip="Search 22, Triq Sant' Elija, B'Kara, Malta BKR 2064 on Google Maps" xr:uid="{00000000-0004-0000-1B00-000038010000}"/>
    <hyperlink ref="E137" r:id="rId314" tooltip="Search 12 Triq il-Hammieri, Qormi, Malta on Google Maps" xr:uid="{00000000-0004-0000-1B00-000039010000}"/>
    <hyperlink ref="E138" r:id="rId315" tooltip="Search 220 Triq in-Naxxar, San Gwann, Malta SGN 9030 on Google Maps" xr:uid="{00000000-0004-0000-1B00-00003A010000}"/>
    <hyperlink ref="E139" r:id="rId316" tooltip="Search 18 Wesghat il-Knisja tan-Nattivita, Bormla, Malta BML 1650 on Google Maps" xr:uid="{00000000-0004-0000-1B00-00003B010000}"/>
    <hyperlink ref="E140" r:id="rId317" tooltip="Search 10 Misrah I' Isle Adam, Rabat, Malta RBT 1169 on Google Maps" xr:uid="{00000000-0004-0000-1B00-00003C010000}"/>
    <hyperlink ref="E141" r:id="rId318" tooltip="Search Triq il-Kappillan Mifsud, Sta Venera on Google Maps" xr:uid="{00000000-0004-0000-1B00-00003D010000}"/>
    <hyperlink ref="E142" r:id="rId319" tooltip="Search Vjal I-Infiprndenza, Mosta on Google Maps" xr:uid="{00000000-0004-0000-1B00-00003E010000}"/>
    <hyperlink ref="E143" r:id="rId320" tooltip="Search Triq Valetta, Mosta, Malta on Google Maps" xr:uid="{00000000-0004-0000-1B00-00003F010000}"/>
    <hyperlink ref="E144" r:id="rId321" tooltip="Search 91 Triq is-Santwarju, Zabbar on Google Maps" xr:uid="{00000000-0004-0000-1B00-000040010000}"/>
    <hyperlink ref="E145" r:id="rId322" tooltip="Search Triq Gorg Borg Olivier, Victoria-Gozo, Gozo VCT 2514 on Google Maps" xr:uid="{00000000-0004-0000-1B00-000041010000}"/>
    <hyperlink ref="E146" r:id="rId323" tooltip="Search Zone 5 Triq ll-Kanun Central Business District, Qormi, Malta CBD 5060 on Google Maps" xr:uid="{00000000-0004-0000-1B00-000042010000}"/>
    <hyperlink ref="E147" r:id="rId324" tooltip="Search Zone 3 Triq L-Intornjatur Central Business District, B'Kara, Malta CBD 3050 on Google Maps" xr:uid="{00000000-0004-0000-1B00-000043010000}"/>
    <hyperlink ref="E148" r:id="rId325" tooltip="Search Triq il-Kungress Ewkaristiku, Mosta on Google Maps" xr:uid="{00000000-0004-0000-1B00-000044010000}"/>
    <hyperlink ref="E149" r:id="rId326" tooltip="Search Triq il-Wied, B'Kara on Google Maps" xr:uid="{00000000-0004-0000-1B00-000045010000}"/>
    <hyperlink ref="E150" r:id="rId327" tooltip="Search Triq Nazzjonali Blata L-Blajda, Hamrun, Malta HMR 9012 on Google Maps" xr:uid="{00000000-0004-0000-1B00-000046010000}"/>
    <hyperlink ref="E151" r:id="rId328" tooltip="Search 71 Triq il-Buqexrem, Fgura on Google Maps" xr:uid="{00000000-0004-0000-1B00-000047010000}"/>
    <hyperlink ref="E152" r:id="rId329" tooltip="Search Misrah Gavino Gulia, Bormla on Google Maps" xr:uid="{00000000-0004-0000-1B00-000048010000}"/>
    <hyperlink ref="E153" r:id="rId330" tooltip="Search 7, 9 Rotunda Dept Stores Triq il-Kungress Ewkaristiku, Mosta on Google Maps" xr:uid="{00000000-0004-0000-1B00-000049010000}"/>
    <hyperlink ref="E154" r:id="rId331" tooltip="Search 280 Triq il-Kbira San Guzepp, Hamrun on Google Maps" xr:uid="{00000000-0004-0000-1B00-00004A010000}"/>
    <hyperlink ref="E155" r:id="rId332" tooltip="Search Triq Gorg Borg Olivier, Victoria-Gozo, Gozo VCT 2514 on Google Maps" xr:uid="{00000000-0004-0000-1B00-00004B010000}"/>
    <hyperlink ref="E156" r:id="rId333" tooltip="Search BLB 021 Qasam Industrijali, Bulebel, Zejtun, Malta ZTN 3000 on Google Maps" xr:uid="{00000000-0004-0000-1B00-00004C010000}"/>
    <hyperlink ref="E157" r:id="rId334" tooltip="Search Triq il-Wied ta' I-Imsida, Msida, Malta MSD 9022 on Google Maps" xr:uid="{00000000-0004-0000-1B00-00004D010000}"/>
    <hyperlink ref="E158" r:id="rId335" tooltip="Search Triq il-Kostituzzjoni, Mosta, Malta MST 9050 on Google Maps" xr:uid="{00000000-0004-0000-1B00-00004E010000}"/>
    <hyperlink ref="E159" r:id="rId336" tooltip="Search 22, Triq Sant' Elija, B'Kara, Malta BKR 2064 on Google Maps" xr:uid="{00000000-0004-0000-1B00-00004F010000}"/>
    <hyperlink ref="E160" r:id="rId337" tooltip="Search 12 Triq il-Hammieri, Qormi, Malta on Google Maps" xr:uid="{00000000-0004-0000-1B00-000050010000}"/>
    <hyperlink ref="E161" r:id="rId338" tooltip="Search 220 Triq in-Naxxar, San Gwann, Malta SGN 9030 on Google Maps" xr:uid="{00000000-0004-0000-1B00-000051010000}"/>
    <hyperlink ref="E162" r:id="rId339" tooltip="Search 18 Wesghat il-Knisja tan-Nattivita, Bormla, Malta BML 1650 on Google Maps" xr:uid="{00000000-0004-0000-1B00-000052010000}"/>
    <hyperlink ref="E163" r:id="rId340" tooltip="Search Triq il-Kappillan Mifsud, Sta Venera on Google Maps" xr:uid="{00000000-0004-0000-1B00-000053010000}"/>
    <hyperlink ref="E164" r:id="rId341" tooltip="Search Triq Valetta, Mosta, Malta on Google Maps" xr:uid="{00000000-0004-0000-1B00-000054010000}"/>
    <hyperlink ref="E165" r:id="rId342" tooltip="Search 91 Triq is-Santwarju, Zabbar on Google Maps" xr:uid="{00000000-0004-0000-1B00-000055010000}"/>
    <hyperlink ref="E166" r:id="rId343" tooltip="Search Triq Gorg Borg Olivier, Victoria-Gozo, Gozo VCT 2514 on Google Maps" xr:uid="{00000000-0004-0000-1B00-000056010000}"/>
    <hyperlink ref="E167" r:id="rId344" tooltip="Search Zone 5 Triq ll-Kanun Central Business District, Qormi, Malta CBD 5060 on Google Maps" xr:uid="{00000000-0004-0000-1B00-000057010000}"/>
    <hyperlink ref="E168" r:id="rId345" tooltip="Search Triq il-Kungress Ewkaristiku, Mosta on Google Maps" xr:uid="{00000000-0004-0000-1B00-000058010000}"/>
    <hyperlink ref="E169" r:id="rId346" tooltip="Search 146 Triq Sant' Orsla Victoria-Gozo on Google Maps" xr:uid="{00000000-0004-0000-1B00-000059010000}"/>
    <hyperlink ref="E170" r:id="rId347" tooltip="Search Triq il-Wied, B'Kara on Google Maps" xr:uid="{00000000-0004-0000-1B00-00005A010000}"/>
    <hyperlink ref="E171" r:id="rId348" tooltip="Search Triq Nazzjonali Blata L-Blajda, Hamrun, Malta HMR 9012 on Google Maps" xr:uid="{00000000-0004-0000-1B00-00005B010000}"/>
    <hyperlink ref="E172" r:id="rId349" tooltip="Search Triq Fortunato Mizzi, Victoria-Gozo on Google Maps" xr:uid="{00000000-0004-0000-1B00-00005C010000}"/>
    <hyperlink ref="E173" r:id="rId350" tooltip="Search Misrah Gavino Gulia, Bormla on Google Maps" xr:uid="{00000000-0004-0000-1B00-00005D010000}"/>
    <hyperlink ref="E174" r:id="rId351" tooltip="Search 7, 9 Rotunda Dept Stores Triq il-Kungress Ewkaristiku, Mosta on Google Maps" xr:uid="{00000000-0004-0000-1B00-00005E010000}"/>
    <hyperlink ref="E175" r:id="rId352" tooltip="Search 3, Triq il Gibjun, San Gwann, SGN 052, Malta on Google Maps" xr:uid="{00000000-0004-0000-1B00-00005F010000}"/>
    <hyperlink ref="E176" r:id="rId353" tooltip="Search Fairdeal Furniture Malta LTD_x000a_Mdina Road_x000a_Zebbug, Malta on Google Maps" xr:uid="{00000000-0004-0000-1B00-000060010000}"/>
    <hyperlink ref="E177" r:id="rId354" tooltip="Search JoinwellFXB,_x000a_Triq il-Mithna, Central Business District,_x000a_Qormi, CBD 5090 on Google Maps" xr:uid="{00000000-0004-0000-1B00-000061010000}"/>
    <hyperlink ref="E178" r:id="rId355" tooltip="Search Triq Il-Wied Ta’ L-Imsida, L-Imsida on Google Maps" xr:uid="{00000000-0004-0000-1B00-000062010000}"/>
    <hyperlink ref="E179" r:id="rId356" tooltip="Search Birkirkara by-pass, Birkirkara, Malta, BKR 9037_x000a_Links on Google Maps" xr:uid="{00000000-0004-0000-1B00-000063010000}"/>
    <hyperlink ref="E180" r:id="rId357" tooltip="Search Valley Road, Birkirkara on Google Maps" xr:uid="{00000000-0004-0000-1B00-000064010000}"/>
    <hyperlink ref="F2" r:id="rId358" tooltip="Visit ferraramalta.com/" xr:uid="{00000000-0004-0000-1B00-000065010000}"/>
    <hyperlink ref="F3" r:id="rId359" tooltip="Visit styleinterni.com/" xr:uid="{00000000-0004-0000-1B00-000066010000}"/>
    <hyperlink ref="F4" r:id="rId360" tooltip="Visit sghendo.com" xr:uid="{00000000-0004-0000-1B00-000067010000}"/>
    <hyperlink ref="F5" r:id="rId361" tooltip="Visit desanamarbles.com" xr:uid="{00000000-0004-0000-1B00-000068010000}"/>
    <hyperlink ref="F6" r:id="rId362" tooltip="Visit fairdealfurniture.com.mt" xr:uid="{00000000-0004-0000-1B00-000069010000}"/>
    <hyperlink ref="F7" r:id="rId363" tooltip="Visit artathomemalta.com" xr:uid="{00000000-0004-0000-1B00-00006A010000}"/>
    <hyperlink ref="F8" r:id="rId364" tooltip="Visit lowcostfurniture.com.mt" xr:uid="{00000000-0004-0000-1B00-00006B010000}"/>
    <hyperlink ref="F9" r:id="rId365" tooltip="Visit fvcarpentry.com" xr:uid="{00000000-0004-0000-1B00-00006C010000}"/>
    <hyperlink ref="F10" r:id="rId366" tooltip="Visit facebook.com/people/Top-Drawer-Ltd/100057222588942/" xr:uid="{00000000-0004-0000-1B00-00006D010000}"/>
    <hyperlink ref="F11" r:id="rId367" tooltip="Visit brands.com.mt" xr:uid="{00000000-0004-0000-1B00-00006E010000}"/>
    <hyperlink ref="F12" r:id="rId368" tooltip="Visit domestica.com.mt" xr:uid="{00000000-0004-0000-1B00-00006F010000}"/>
    <hyperlink ref="F13" r:id="rId369" tooltip="Visit core.com.mt" xr:uid="{00000000-0004-0000-1B00-000070010000}"/>
    <hyperlink ref="F14" r:id="rId370" tooltip="Visit dinofino.com" xr:uid="{00000000-0004-0000-1B00-000071010000}"/>
    <hyperlink ref="F15" r:id="rId371" tooltip="Visit distincthomes.com.mt" xr:uid="{00000000-0004-0000-1B00-000072010000}"/>
    <hyperlink ref="F16" r:id="rId372" tooltip="Visit grixtimobili.com" xr:uid="{00000000-0004-0000-1B00-000073010000}"/>
    <hyperlink ref="F17" r:id="rId373" tooltip="Visit jdsfurniture.com" xr:uid="{00000000-0004-0000-1B00-000074010000}"/>
    <hyperlink ref="F18" r:id="rId374" tooltip="Visit krea.com.mt" xr:uid="{00000000-0004-0000-1B00-000075010000}"/>
    <hyperlink ref="F19" r:id="rId375" tooltip="Visit kubekgroup.com" xr:uid="{00000000-0004-0000-1B00-000076010000}"/>
    <hyperlink ref="F21" r:id="rId376" tooltip="Visit petroni.com.mt" xr:uid="{00000000-0004-0000-1B00-000077010000}"/>
    <hyperlink ref="F22" r:id="rId377" tooltip="Visit sgwoodworks.com" xr:uid="{00000000-0004-0000-1B00-000078010000}"/>
    <hyperlink ref="F23" r:id="rId378" tooltip="Visit wellmadewoodworks.com.mt" xr:uid="{00000000-0004-0000-1B00-000079010000}"/>
    <hyperlink ref="F24" r:id="rId379" tooltip="Visit oxfordhouse.com.mt" xr:uid="{00000000-0004-0000-1B00-00007A010000}"/>
    <hyperlink ref="F25" r:id="rId380" tooltip="Visit facebook.com/treedfurnituremalta?locale=nn_NO" xr:uid="{00000000-0004-0000-1B00-00007B010000}"/>
    <hyperlink ref="F26" r:id="rId381" tooltip="Visit casaformfurniture.com" xr:uid="{00000000-0004-0000-1B00-00007C010000}"/>
    <hyperlink ref="F27" r:id="rId382" tooltip="Visit ciantarwoodworks.com" xr:uid="{00000000-0004-0000-1B00-00007D010000}"/>
    <hyperlink ref="F28" r:id="rId383" tooltip="Visit danielwoodworksmalta.com" xr:uid="{00000000-0004-0000-1B00-00007E010000}"/>
    <hyperlink ref="F29" r:id="rId384" tooltip="Visit jysk.com.mt" xr:uid="{00000000-0004-0000-1B00-00007F010000}"/>
    <hyperlink ref="F30" r:id="rId385" tooltip="Visit lepseg.wix.com/richard-furniture" xr:uid="{00000000-0004-0000-1B00-000080010000}"/>
    <hyperlink ref="F31" r:id="rId386" tooltip="Visit rusticahome.com.mt/site/" xr:uid="{00000000-0004-0000-1B00-000081010000}"/>
    <hyperlink ref="F32" r:id="rId387" tooltip="Visit spaces.com.mt" xr:uid="{00000000-0004-0000-1B00-000082010000}"/>
    <hyperlink ref="F33" r:id="rId388" tooltip="Visit rliving.com.mt" xr:uid="{00000000-0004-0000-1B00-000083010000}"/>
    <hyperlink ref="F34" r:id="rId389" tooltip="Visit facebook.com/treedfurnituremalta?locale=nn_NO" xr:uid="{00000000-0004-0000-1B00-000084010000}"/>
    <hyperlink ref="F35" r:id="rId390" tooltip="Visit promaninteriors.com/" xr:uid="{00000000-0004-0000-1B00-000085010000}"/>
    <hyperlink ref="F36" r:id="rId391" tooltip="Visit desanamarbles.com" xr:uid="{00000000-0004-0000-1B00-000086010000}"/>
    <hyperlink ref="F37" r:id="rId392" tooltip="Visit fairdealfurniture.com.mt" xr:uid="{00000000-0004-0000-1B00-000087010000}"/>
    <hyperlink ref="F38" r:id="rId393" tooltip="Visit brands.com.mt" xr:uid="{00000000-0004-0000-1B00-000088010000}"/>
    <hyperlink ref="F39" r:id="rId394" tooltip="Visit fvcarpentry.com" xr:uid="{00000000-0004-0000-1B00-000089010000}"/>
    <hyperlink ref="F40" r:id="rId395" tooltip="Visit facebook.com/people/Top-Drawer-Ltd/100057222588942/" xr:uid="{00000000-0004-0000-1B00-00008A010000}"/>
    <hyperlink ref="F41" r:id="rId396" tooltip="Visit domestica.com.mt" xr:uid="{00000000-0004-0000-1B00-00008B010000}"/>
    <hyperlink ref="F42" r:id="rId397" tooltip="Visit dinofino.com" xr:uid="{00000000-0004-0000-1B00-00008C010000}"/>
    <hyperlink ref="F43" r:id="rId398" tooltip="Visit grixtimobili.com" xr:uid="{00000000-0004-0000-1B00-00008D010000}"/>
    <hyperlink ref="F44" r:id="rId399" tooltip="Visit kubekgroup.com" xr:uid="{00000000-0004-0000-1B00-00008E010000}"/>
    <hyperlink ref="F45" r:id="rId400" tooltip="Visit petroni.com.mt" xr:uid="{00000000-0004-0000-1B00-00008F010000}"/>
    <hyperlink ref="F46" r:id="rId401" tooltip="Visit facebook.com/treedfurnituremalta?locale=nn_NO" xr:uid="{00000000-0004-0000-1B00-000090010000}"/>
    <hyperlink ref="F47" r:id="rId402" tooltip="Visit renovamalta.com" xr:uid="{00000000-0004-0000-1B00-000091010000}"/>
    <hyperlink ref="F48" r:id="rId403" tooltip="Visit merciecaeventsuppliers.com" xr:uid="{00000000-0004-0000-1B00-000092010000}"/>
    <hyperlink ref="F49" r:id="rId404" tooltip="Visit silvioschairs.com" xr:uid="{00000000-0004-0000-1B00-000093010000}"/>
    <hyperlink ref="F50" r:id="rId405" tooltip="Visit fg.com.mt" xr:uid="{00000000-0004-0000-1B00-000094010000}"/>
    <hyperlink ref="F51" r:id="rId406" tooltip="Visit facebook.com/mfcompanyltd" xr:uid="{00000000-0004-0000-1B00-000095010000}"/>
    <hyperlink ref="F52" r:id="rId407" tooltip="Visit jysk.com.mt" xr:uid="{00000000-0004-0000-1B00-000096010000}"/>
    <hyperlink ref="F53" r:id="rId408" tooltip="Visit oxfordhouse.com.mt" xr:uid="{00000000-0004-0000-1B00-000097010000}"/>
    <hyperlink ref="F54" r:id="rId409" tooltip="Visit powerhousemalta.eu" xr:uid="{00000000-0004-0000-1B00-000098010000}"/>
    <hyperlink ref="F55" r:id="rId410" tooltip="Visit dinofino.com" xr:uid="{00000000-0004-0000-1B00-000099010000}"/>
    <hyperlink ref="F56" r:id="rId411" tooltip="Visit homesbybdi.com" xr:uid="{00000000-0004-0000-1B00-00009A010000}"/>
    <hyperlink ref="F57" r:id="rId412" tooltip="Visit maltashopper.com" xr:uid="{00000000-0004-0000-1B00-00009B010000}"/>
    <hyperlink ref="F58" r:id="rId413" tooltip="Visit abra.com.mt" xr:uid="{00000000-0004-0000-1B00-00009C010000}"/>
    <hyperlink ref="F59" r:id="rId414" tooltip="Visit fino.com.mt/" xr:uid="{00000000-0004-0000-1B00-00009D010000}"/>
    <hyperlink ref="F60" r:id="rId415" tooltip="Visit patroleamalta.com" xr:uid="{00000000-0004-0000-1B00-00009E010000}"/>
    <hyperlink ref="F61" r:id="rId416" tooltip="Visit fairdealfurniture.com.mt" xr:uid="{00000000-0004-0000-1B00-00009F010000}"/>
    <hyperlink ref="F62" r:id="rId417" tooltip="Visit newline.com.mt" xr:uid="{00000000-0004-0000-1B00-0000A0010000}"/>
    <hyperlink ref="F63" r:id="rId418" tooltip="Visit brands.com.mt" xr:uid="{00000000-0004-0000-1B00-0000A1010000}"/>
    <hyperlink ref="F64" r:id="rId419" tooltip="Visit facebook.com/people/Top-Drawer-Ltd/100057222588942/" xr:uid="{00000000-0004-0000-1B00-0000A2010000}"/>
    <hyperlink ref="F65" r:id="rId420" tooltip="Visit boconcept.com/en-mt/" xr:uid="{00000000-0004-0000-1B00-0000A3010000}"/>
    <hyperlink ref="F66" r:id="rId421" tooltip="Visit indexmalta.com" xr:uid="{00000000-0004-0000-1B00-0000A4010000}"/>
    <hyperlink ref="F67" r:id="rId422" tooltip="Visit malta-design.com" xr:uid="{00000000-0004-0000-1B00-0000A5010000}"/>
    <hyperlink ref="F68" r:id="rId423" tooltip="Visit rliving.com.mt" xr:uid="{00000000-0004-0000-1B00-0000A6010000}"/>
    <hyperlink ref="F69" r:id="rId424" tooltip="Visit facebook.com/woodworksfava/" xr:uid="{00000000-0004-0000-1B00-0000A7010000}"/>
    <hyperlink ref="F71" r:id="rId425" tooltip="Visit casaformfurniture.com" xr:uid="{00000000-0004-0000-1B00-0000A8010000}"/>
    <hyperlink ref="F72" r:id="rId426" tooltip="Visit casconehome.com" xr:uid="{00000000-0004-0000-1B00-0000A9010000}"/>
    <hyperlink ref="F73" r:id="rId427" tooltip="Visit ciantarwoodworks.com" xr:uid="{00000000-0004-0000-1B00-0000AA010000}"/>
    <hyperlink ref="F74" r:id="rId428" tooltip="Visit ecasa.com.mt" xr:uid="{00000000-0004-0000-1B00-0000AB010000}"/>
    <hyperlink ref="F75" r:id="rId429" tooltip="Visit constructfurniture.com.mt" xr:uid="{00000000-0004-0000-1B00-0000AC010000}"/>
    <hyperlink ref="F77" r:id="rId430" tooltip="Visit fg.com.mt" xr:uid="{00000000-0004-0000-1B00-0000AD010000}"/>
    <hyperlink ref="F78" r:id="rId431" tooltip="Visit dinofino.com" xr:uid="{00000000-0004-0000-1B00-0000AE010000}"/>
    <hyperlink ref="F80" r:id="rId432" tooltip="Visit fxb.com.mt" xr:uid="{00000000-0004-0000-1B00-0000AF010000}"/>
    <hyperlink ref="F81" r:id="rId433" tooltip="Visit gozoarts.com.mt" xr:uid="{00000000-0004-0000-1B00-0000B0010000}"/>
    <hyperlink ref="F82" r:id="rId434" tooltip="Visit jdsfurniture.com" xr:uid="{00000000-0004-0000-1B00-0000B1010000}"/>
    <hyperlink ref="F83" r:id="rId435" tooltip="Visit jysk.com.mt" xr:uid="{00000000-0004-0000-1B00-0000B2010000}"/>
    <hyperlink ref="F84" r:id="rId436" tooltip="Visit mobiliapenza.com" xr:uid="{00000000-0004-0000-1B00-0000B3010000}"/>
    <hyperlink ref="F85" r:id="rId437" tooltip="Visit mucciomobili.it" xr:uid="{00000000-0004-0000-1B00-0000B4010000}"/>
    <hyperlink ref="F86" r:id="rId438" tooltip="Visit onepercent.com.mt" xr:uid="{00000000-0004-0000-1B00-0000B5010000}"/>
    <hyperlink ref="F87" r:id="rId439" tooltip="Visit facebook.com/Orienta.mt/" xr:uid="{00000000-0004-0000-1B00-0000B6010000}"/>
    <hyperlink ref="F88" r:id="rId440" tooltip="Visit facebook.com/queensfurnitureltd/" xr:uid="{00000000-0004-0000-1B00-0000B7010000}"/>
    <hyperlink ref="F89" r:id="rId441" tooltip="Visit lepseg.wix.com/richard-furniture" xr:uid="{00000000-0004-0000-1B00-0000B8010000}"/>
    <hyperlink ref="F91" r:id="rId442" tooltip="Visit spaces.com.mt" xr:uid="{00000000-0004-0000-1B00-0000B9010000}"/>
    <hyperlink ref="F92" r:id="rId443" tooltip="Visit stylefurnituremalta.com" xr:uid="{00000000-0004-0000-1B00-0000BA010000}"/>
    <hyperlink ref="F93" r:id="rId444" tooltip="Visit tal-lira.com" xr:uid="{00000000-0004-0000-1B00-0000BB010000}"/>
    <hyperlink ref="F94" r:id="rId445" tooltip="Visit tornelloarredamenti.it" xr:uid="{00000000-0004-0000-1B00-0000BC010000}"/>
    <hyperlink ref="F95" r:id="rId446" tooltip="Visit facebook.com/treedfurnituremalta?locale=nn_NO" xr:uid="{00000000-0004-0000-1B00-0000BD010000}"/>
    <hyperlink ref="F96" r:id="rId447" tooltip="Visit venturamalta.com" xr:uid="{00000000-0004-0000-1B00-0000BE010000}"/>
    <hyperlink ref="F97" r:id="rId448" tooltip="Visit petroni.com.mt" xr:uid="{00000000-0004-0000-1B00-0000BF010000}"/>
    <hyperlink ref="F98" r:id="rId449" tooltip="Visit soundsmart.com.mt" xr:uid="{00000000-0004-0000-1B00-0000C0010000}"/>
    <hyperlink ref="F99" r:id="rId450" tooltip="Visit kcl.com.mt" xr:uid="{00000000-0004-0000-1B00-0000C1010000}"/>
    <hyperlink ref="F100" r:id="rId451" tooltip="Visit tabletsandmoreelectronics.com" xr:uid="{00000000-0004-0000-1B00-0000C2010000}"/>
    <hyperlink ref="F101" r:id="rId452" tooltip="Visit facebook.com/akkwist" xr:uid="{00000000-0004-0000-1B00-0000C3010000}"/>
    <hyperlink ref="F102" r:id="rId453" tooltip="Visit facebook.com/TaGulinu/info?tab=page%5Cuinfo" xr:uid="{00000000-0004-0000-1B00-0000C4010000}"/>
    <hyperlink ref="F103" r:id="rId454" tooltip="Visit triplealuqa.com" xr:uid="{00000000-0004-0000-1B00-0000C5010000}"/>
    <hyperlink ref="F104" r:id="rId455" tooltip="Visit rightdealmalta.com" xr:uid="{00000000-0004-0000-1B00-0000C6010000}"/>
    <hyperlink ref="F105" r:id="rId456" tooltip="Visit topchoice.com.mt" xr:uid="{00000000-0004-0000-1B00-0000C7010000}"/>
    <hyperlink ref="F106" r:id="rId457" tooltip="Visit facebook.com/futurahomeappliances/" xr:uid="{00000000-0004-0000-1B00-0000C8010000}"/>
    <hyperlink ref="F107" r:id="rId458" tooltip="Visit centrocasalinga.com" xr:uid="{00000000-0004-0000-1B00-0000C9010000}"/>
    <hyperlink ref="F108" r:id="rId459" tooltip="Visit fb.com/ComfortekMalta" xr:uid="{00000000-0004-0000-1B00-0000CA010000}"/>
    <hyperlink ref="F109" r:id="rId460" tooltip="Visit consiglio.com.mt" xr:uid="{00000000-0004-0000-1B00-0000CB010000}"/>
    <hyperlink ref="F111" r:id="rId461" tooltip="Visit cutajarhifi.com" xr:uid="{00000000-0004-0000-1B00-0000CC010000}"/>
    <hyperlink ref="F112" r:id="rId462" tooltip="Visit flamingo.com.mt" xr:uid="{00000000-0004-0000-1B00-0000CD010000}"/>
    <hyperlink ref="F113" r:id="rId463" tooltip="Visit forestalsgroup.com" xr:uid="{00000000-0004-0000-1B00-0000CE010000}"/>
    <hyperlink ref="F114" r:id="rId464" tooltip="Visit facebook.com/people/Freddies-Household/100063498252557/?utm_source=Yellow&amp;utm_medium=Yellow-Website&amp;utm_campaign=Landing-Page#" xr:uid="{00000000-0004-0000-1B00-0000CF010000}"/>
    <hyperlink ref="F115" r:id="rId465" tooltip="Visit gda.com.mt" xr:uid="{00000000-0004-0000-1B00-0000D0010000}"/>
    <hyperlink ref="F116" r:id="rId466" tooltip="Visit hotpointmalta.com" xr:uid="{00000000-0004-0000-1B00-0000D1010000}"/>
    <hyperlink ref="F117" r:id="rId467" tooltip="Visit itc-malta.com" xr:uid="{00000000-0004-0000-1B00-0000D2010000}"/>
    <hyperlink ref="F118" r:id="rId468" tooltip="Visit oxfordhouse.com.mt" xr:uid="{00000000-0004-0000-1B00-0000D3010000}"/>
    <hyperlink ref="F119" r:id="rId469" tooltip="Visit rightdealmalta.com" xr:uid="{00000000-0004-0000-1B00-0000D4010000}"/>
    <hyperlink ref="F121" r:id="rId470" tooltip="Visit ultimate.com.mt" xr:uid="{00000000-0004-0000-1B00-0000D5010000}"/>
    <hyperlink ref="F122" r:id="rId471" tooltip="Visit venturamalta.com" xr:uid="{00000000-0004-0000-1B00-0000D6010000}"/>
    <hyperlink ref="F123" r:id="rId472" tooltip="Visit petroni.com.mt" xr:uid="{00000000-0004-0000-1B00-0000D7010000}"/>
    <hyperlink ref="F124" r:id="rId473" tooltip="Visit soundsmart.com.mt" xr:uid="{00000000-0004-0000-1B00-0000D8010000}"/>
    <hyperlink ref="F125" r:id="rId474" tooltip="Visit kcl.com.mt" xr:uid="{00000000-0004-0000-1B00-0000D9010000}"/>
    <hyperlink ref="F126" r:id="rId475" tooltip="Visit tabletsandmoreelectronics.com" xr:uid="{00000000-0004-0000-1B00-0000DA010000}"/>
    <hyperlink ref="F127" r:id="rId476" tooltip="Visit facebook.com/futurahomeappliances/" xr:uid="{00000000-0004-0000-1B00-0000DB010000}"/>
    <hyperlink ref="F128" r:id="rId477" tooltip="Visit fb.com/ComfortekMalta" xr:uid="{00000000-0004-0000-1B00-0000DC010000}"/>
    <hyperlink ref="F129" r:id="rId478" tooltip="Visit consiglio.com.mt" xr:uid="{00000000-0004-0000-1B00-0000DD010000}"/>
    <hyperlink ref="F130" r:id="rId479" tooltip="Visit foresaksgroup.com" xr:uid="{00000000-0004-0000-1B00-0000DE010000}"/>
    <hyperlink ref="F131" r:id="rId480" tooltip="Visit facebook.com/people/Freddies-Household/100063498252557/?utm_source=Yellow&amp;utm_medium=Yellow-Website&amp;utm_campaign=Landing-Page#" xr:uid="{00000000-0004-0000-1B00-0000DF010000}"/>
    <hyperlink ref="F132" r:id="rId481" tooltip="Visit hotpointmalta.com" xr:uid="{00000000-0004-0000-1B00-0000E0010000}"/>
    <hyperlink ref="F133" r:id="rId482" tooltip="Visit itc-malta.com" xr:uid="{00000000-0004-0000-1B00-0000E1010000}"/>
    <hyperlink ref="F134" r:id="rId483" tooltip="Visit facebook.com/p/JS-Household-100063545924453/" xr:uid="{00000000-0004-0000-1B00-0000E2010000}"/>
    <hyperlink ref="F135" r:id="rId484" tooltip="Visit rightdealmalta.com" xr:uid="{00000000-0004-0000-1B00-0000E3010000}"/>
    <hyperlink ref="F137" r:id="rId485" tooltip="Visit venturamalta.com" xr:uid="{00000000-0004-0000-1B00-0000E4010000}"/>
    <hyperlink ref="F138" r:id="rId486" tooltip="Visit petroni.com.mt" xr:uid="{00000000-0004-0000-1B00-0000E5010000}"/>
    <hyperlink ref="F139" r:id="rId487" tooltip="Visit soundsmart.com.mt" xr:uid="{00000000-0004-0000-1B00-0000E6010000}"/>
    <hyperlink ref="F140" r:id="rId488" tooltip="Visit kcl.com.mt" xr:uid="{00000000-0004-0000-1B00-0000E7010000}"/>
    <hyperlink ref="F141" r:id="rId489" tooltip="Visit tabletsandmoreelectronics.com" xr:uid="{00000000-0004-0000-1B00-0000E8010000}"/>
    <hyperlink ref="F142" r:id="rId490" tooltip="Visit facebook.com/futurahomeappliances/" xr:uid="{00000000-0004-0000-1B00-0000E9010000}"/>
    <hyperlink ref="F143" r:id="rId491" tooltip="Visit facebook.com/akkwist" xr:uid="{00000000-0004-0000-1B00-0000EA010000}"/>
    <hyperlink ref="F144" r:id="rId492" tooltip="Visit facebook.com/TaGulinu/info?tab=page%5Cuinfo" xr:uid="{00000000-0004-0000-1B00-0000EB010000}"/>
    <hyperlink ref="F145" r:id="rId493" tooltip="Visit centrocasalinga.com" xr:uid="{00000000-0004-0000-1B00-0000EC010000}"/>
    <hyperlink ref="F146" r:id="rId494" tooltip="Visit fb.com/ComfortekMalta" xr:uid="{00000000-0004-0000-1B00-0000ED010000}"/>
    <hyperlink ref="F147" r:id="rId495" tooltip="Visit consiglio.com.mt" xr:uid="{00000000-0004-0000-1B00-0000EE010000}"/>
    <hyperlink ref="F148" r:id="rId496" tooltip="Visit cutajarhifi.com" xr:uid="{00000000-0004-0000-1B00-0000EF010000}"/>
    <hyperlink ref="F149" r:id="rId497" tooltip="Visit divine.com.mt" xr:uid="{00000000-0004-0000-1B00-0000F0010000}"/>
    <hyperlink ref="F150" r:id="rId498" tooltip="Visit flamingo.com.mt" xr:uid="{00000000-0004-0000-1B00-0000F1010000}"/>
    <hyperlink ref="F151" r:id="rId499" tooltip="Visit foresaksgroup.com" xr:uid="{00000000-0004-0000-1B00-0000F2010000}"/>
    <hyperlink ref="F152" r:id="rId500" tooltip="Visit facebook.com/people/Freddies-Household/100063498252557/?utm_source=Yellow&amp;utm_medium=Yellow-Website&amp;utm_campaign=Landing-Page#" xr:uid="{00000000-0004-0000-1B00-0000F3010000}"/>
    <hyperlink ref="F153" r:id="rId501" tooltip="Visit hotpointmalta.com" xr:uid="{00000000-0004-0000-1B00-0000F4010000}"/>
    <hyperlink ref="F154" r:id="rId502" tooltip="Visit itc-malta.com" xr:uid="{00000000-0004-0000-1B00-0000F5010000}"/>
    <hyperlink ref="F155" r:id="rId503" tooltip="Visit facebook.com/p/JS-Household-100063545924453/" xr:uid="{00000000-0004-0000-1B00-0000F6010000}"/>
    <hyperlink ref="F156" r:id="rId504" tooltip="Visit rightdealmalta.com" xr:uid="{00000000-0004-0000-1B00-0000F7010000}"/>
    <hyperlink ref="F158" r:id="rId505" tooltip="Visit topchoice.com.mt" xr:uid="{00000000-0004-0000-1B00-0000F8010000}"/>
    <hyperlink ref="F159" r:id="rId506" tooltip="Visit xtmalta.com" xr:uid="{00000000-0004-0000-1B00-0000F9010000}"/>
    <hyperlink ref="F160" r:id="rId507" tooltip="Visit venturamalta.com" xr:uid="{00000000-0004-0000-1B00-0000FA010000}"/>
    <hyperlink ref="F161" r:id="rId508" tooltip="Visit petroni.com.mt" xr:uid="{00000000-0004-0000-1B00-0000FB010000}"/>
    <hyperlink ref="F162" r:id="rId509" tooltip="Visit soundsmart.com.mt" xr:uid="{00000000-0004-0000-1B00-0000FC010000}"/>
    <hyperlink ref="F163" r:id="rId510" tooltip="Visit kcl.com.mt" xr:uid="{00000000-0004-0000-1B00-0000FD010000}"/>
    <hyperlink ref="F164" r:id="rId511" tooltip="Visit tabletsandmoreelectronics.com" xr:uid="{00000000-0004-0000-1B00-0000FE010000}"/>
    <hyperlink ref="F165" r:id="rId512" tooltip="Visit facebook.com/futurahomeappliances/" xr:uid="{00000000-0004-0000-1B00-0000FF010000}"/>
    <hyperlink ref="F166" r:id="rId513" tooltip="Visit facebook.com/akkwist" xr:uid="{00000000-0004-0000-1B00-000000020000}"/>
    <hyperlink ref="F167" r:id="rId514" tooltip="Visit centrocasalinga.com" xr:uid="{00000000-0004-0000-1B00-000001020000}"/>
    <hyperlink ref="F168" r:id="rId515" tooltip="Visit consiglio.com.mt" xr:uid="{00000000-0004-0000-1B00-000002020000}"/>
    <hyperlink ref="F169" r:id="rId516" tooltip="Visit cutajarhifi.com" xr:uid="{00000000-0004-0000-1B00-000003020000}"/>
    <hyperlink ref="F170" r:id="rId517" tooltip="Visit divine.com.mt" xr:uid="{00000000-0004-0000-1B00-000004020000}"/>
    <hyperlink ref="F171" r:id="rId518" tooltip="Visit flamingo.com.mt" xr:uid="{00000000-0004-0000-1B00-000005020000}"/>
    <hyperlink ref="F172" r:id="rId519" tooltip="Visit facebook.com/people/Freddies-Household/100063498252557/?utm_source=Yellow&amp;utm_medium=Yellow-Website&amp;utm_campaign=Landing-Page#" xr:uid="{00000000-0004-0000-1B00-000006020000}"/>
    <hyperlink ref="F173" r:id="rId520" tooltip="Visit gda.com.mt" xr:uid="{00000000-0004-0000-1B00-000007020000}"/>
    <hyperlink ref="F174" r:id="rId521" tooltip="Visit hotpointmalta.com" xr:uid="{00000000-0004-0000-1B00-000008020000}"/>
    <hyperlink ref="F175" r:id="rId522" tooltip="Visit itc-malta.com" xr:uid="{00000000-0004-0000-1B00-000009020000}"/>
    <hyperlink ref="F176" r:id="rId523" tooltip="Visit refcold.com.mt" xr:uid="{00000000-0004-0000-1B00-00000A020000}"/>
    <hyperlink ref="F177" r:id="rId524" tooltip="Visit rightdealmalta.com" xr:uid="{00000000-0004-0000-1B00-00000B020000}"/>
    <hyperlink ref="F179" r:id="rId525" tooltip="Visit shaker.com.mt/" xr:uid="{00000000-0004-0000-1B00-00000C020000}"/>
    <hyperlink ref="F180" r:id="rId526" tooltip="Visit fairdealfurniture.com.mt/contact-us/" xr:uid="{00000000-0004-0000-1B00-00000D020000}"/>
    <hyperlink ref="F181" r:id="rId527" tooltip="Visit joinwell.com.mt/contact-us/" xr:uid="{00000000-0004-0000-1B00-00000E020000}"/>
    <hyperlink ref="F182" r:id="rId528" tooltip="Visit theatrium.com.mt/contact-us" xr:uid="{00000000-0004-0000-1B00-00000F020000}"/>
    <hyperlink ref="F183" r:id="rId529" tooltip="Visit form.com.mt/contact-us/" xr:uid="{00000000-0004-0000-1B00-000010020000}"/>
    <hyperlink ref="F184" r:id="rId530" tooltip="Visit fino.com.mt/" xr:uid="{00000000-0004-0000-1B00-000011020000}"/>
    <hyperlink ref="F185" r:id="rId531" tooltip="Visit scavolini.mt/" xr:uid="{00000000-0004-0000-1B00-000012020000}"/>
    <hyperlink ref="F186" r:id="rId532" tooltip="Visit carmelodelia.com/contact" xr:uid="{00000000-0004-0000-1B00-000013020000}"/>
  </hyperlink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7"/>
  <sheetViews>
    <sheetView workbookViewId="0"/>
  </sheetViews>
  <sheetFormatPr defaultRowHeight="14.4" x14ac:dyDescent="0.3"/>
  <cols>
    <col min="1" max="1" width="16.5546875" customWidth="1"/>
    <col min="2" max="2" width="20.44140625" customWidth="1"/>
    <col min="3" max="3" width="33" customWidth="1"/>
    <col min="4" max="4" width="18.6640625" customWidth="1"/>
    <col min="5" max="5" width="53.44140625" customWidth="1"/>
    <col min="6" max="6" width="85.441406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526</v>
      </c>
      <c r="F1" s="1" t="s">
        <v>532</v>
      </c>
    </row>
    <row r="2" spans="1:6" x14ac:dyDescent="0.3">
      <c r="A2" s="2" t="s">
        <v>2101</v>
      </c>
      <c r="B2" s="2" t="s">
        <v>2104</v>
      </c>
      <c r="C2" s="3" t="s">
        <v>2116</v>
      </c>
      <c r="D2" s="2" t="str">
        <f>CONCATENATE(HYPERLINK("CALLTO:%2B356%207942%201666", "+356 7942 1666"))</f>
        <v>+356 7942 1666</v>
      </c>
      <c r="E2" s="3" t="s">
        <v>2125</v>
      </c>
      <c r="F2" s="3" t="s">
        <v>2132</v>
      </c>
    </row>
    <row r="3" spans="1:6" x14ac:dyDescent="0.3">
      <c r="A3" s="4" t="s">
        <v>2101</v>
      </c>
      <c r="B3" s="4" t="s">
        <v>2105</v>
      </c>
      <c r="C3" s="5" t="s">
        <v>2117</v>
      </c>
      <c r="D3" s="4" t="str">
        <f>CONCATENATE(HYPERLINK("CALLTO:%2B356%209997%205737", "+356 9997 5737"))</f>
        <v>+356 9997 5737</v>
      </c>
      <c r="E3" s="5" t="s">
        <v>2126</v>
      </c>
      <c r="F3" s="5" t="s">
        <v>2133</v>
      </c>
    </row>
    <row r="4" spans="1:6" x14ac:dyDescent="0.3">
      <c r="A4" s="2" t="s">
        <v>2101</v>
      </c>
      <c r="B4" s="2" t="s">
        <v>2106</v>
      </c>
      <c r="C4" s="3" t="s">
        <v>865</v>
      </c>
      <c r="D4" s="2" t="str">
        <f>CONCATENATE(HYPERLINK("CALLTO:%2B356%207724%204377", "+356 7724 4377"))</f>
        <v>+356 7724 4377</v>
      </c>
      <c r="E4" s="3" t="s">
        <v>2127</v>
      </c>
      <c r="F4" s="3" t="s">
        <v>2134</v>
      </c>
    </row>
    <row r="5" spans="1:6" x14ac:dyDescent="0.3">
      <c r="A5" s="4" t="s">
        <v>2101</v>
      </c>
      <c r="B5" s="4" t="s">
        <v>2107</v>
      </c>
      <c r="C5" s="5" t="s">
        <v>2118</v>
      </c>
      <c r="D5" s="4" t="str">
        <f>CONCATENATE(HYPERLINK("CALLTO:%2B356%207903%200403", "+356 7903 0403"))</f>
        <v>+356 7903 0403</v>
      </c>
      <c r="E5" s="5" t="s">
        <v>2128</v>
      </c>
      <c r="F5" s="5" t="s">
        <v>2135</v>
      </c>
    </row>
    <row r="6" spans="1:6" x14ac:dyDescent="0.3">
      <c r="A6" s="2" t="s">
        <v>2101</v>
      </c>
      <c r="B6" s="2" t="s">
        <v>2108</v>
      </c>
      <c r="C6" s="3" t="s">
        <v>1505</v>
      </c>
      <c r="D6" s="2" t="str">
        <f>CONCATENATE(HYPERLINK("CALLTO:%2B356%209949%209925", "+356 9949 9925"))</f>
        <v>+356 9949 9925</v>
      </c>
      <c r="E6" s="3" t="s">
        <v>2130</v>
      </c>
      <c r="F6" s="3" t="s">
        <v>2136</v>
      </c>
    </row>
    <row r="7" spans="1:6" x14ac:dyDescent="0.3">
      <c r="A7" s="4" t="s">
        <v>2102</v>
      </c>
      <c r="B7" s="4" t="s">
        <v>1209</v>
      </c>
      <c r="C7" s="5" t="s">
        <v>1515</v>
      </c>
      <c r="D7" s="4" t="str">
        <f>CONCATENATE(HYPERLINK("CALLTO:%2B356%202034%201569", "+356 2034 1569"))</f>
        <v>+356 2034 1569</v>
      </c>
      <c r="E7" s="5" t="s">
        <v>2129</v>
      </c>
      <c r="F7" s="5" t="s">
        <v>2137</v>
      </c>
    </row>
    <row r="8" spans="1:6" x14ac:dyDescent="0.3">
      <c r="A8" s="2" t="s">
        <v>2102</v>
      </c>
      <c r="B8" s="2" t="s">
        <v>2109</v>
      </c>
      <c r="C8" s="3" t="s">
        <v>791</v>
      </c>
      <c r="D8" s="2" t="str">
        <f>CONCATENATE(HYPERLINK("CALLTO:%2B356%207950%208457", "+356 7950 8457"))</f>
        <v>+356 7950 8457</v>
      </c>
      <c r="E8" s="2"/>
      <c r="F8" s="3" t="s">
        <v>2138</v>
      </c>
    </row>
    <row r="9" spans="1:6" x14ac:dyDescent="0.3">
      <c r="A9" s="4" t="s">
        <v>2102</v>
      </c>
      <c r="B9" s="4" t="s">
        <v>1110</v>
      </c>
      <c r="C9" s="5" t="s">
        <v>2119</v>
      </c>
      <c r="D9" s="4" t="str">
        <f>CONCATENATE(HYPERLINK("CALLTO:%2B356%202149%201111", "+356 2149 1111"))</f>
        <v>+356 2149 1111</v>
      </c>
      <c r="E9" s="4"/>
      <c r="F9" s="5" t="s">
        <v>2139</v>
      </c>
    </row>
    <row r="10" spans="1:6" x14ac:dyDescent="0.3">
      <c r="A10" s="2" t="s">
        <v>2102</v>
      </c>
      <c r="B10" s="2" t="s">
        <v>2110</v>
      </c>
      <c r="C10" s="3" t="s">
        <v>2120</v>
      </c>
      <c r="D10" s="2" t="str">
        <f>CONCATENATE(HYPERLINK("CALLTO:%2B356%207989%205238", "+356 7989 5238"))</f>
        <v>+356 7989 5238</v>
      </c>
      <c r="E10" s="2"/>
      <c r="F10" s="3" t="s">
        <v>2140</v>
      </c>
    </row>
    <row r="11" spans="1:6" x14ac:dyDescent="0.3">
      <c r="A11" s="4" t="s">
        <v>2101</v>
      </c>
      <c r="B11" s="4" t="s">
        <v>2111</v>
      </c>
      <c r="C11" s="5" t="s">
        <v>2121</v>
      </c>
      <c r="D11" s="4" t="str">
        <f>CONCATENATE(HYPERLINK("CALLTO:%2B356%207955%207968", "+356 7955 7968"))</f>
        <v>+356 7955 7968</v>
      </c>
      <c r="E11" s="4"/>
      <c r="F11" s="5" t="s">
        <v>2141</v>
      </c>
    </row>
    <row r="12" spans="1:6" x14ac:dyDescent="0.3">
      <c r="A12" s="2" t="s">
        <v>2102</v>
      </c>
      <c r="B12" s="2" t="s">
        <v>2112</v>
      </c>
      <c r="C12" s="3" t="s">
        <v>574</v>
      </c>
      <c r="D12" s="2" t="str">
        <f>CONCATENATE(HYPERLINK("CALLTO:%2B356%207979%202083", "+356 7979 2083"))</f>
        <v>+356 7979 2083</v>
      </c>
      <c r="E12" s="2"/>
      <c r="F12" s="3" t="s">
        <v>2142</v>
      </c>
    </row>
    <row r="13" spans="1:6" x14ac:dyDescent="0.3">
      <c r="A13" s="4" t="s">
        <v>2102</v>
      </c>
      <c r="B13" s="4" t="s">
        <v>955</v>
      </c>
      <c r="C13" s="5" t="s">
        <v>2122</v>
      </c>
      <c r="D13" s="4" t="str">
        <f>CONCATENATE(HYPERLINK("CALLTO:%2B356%202326%202000", "+356 2326 2000"))</f>
        <v>+356 2326 2000</v>
      </c>
      <c r="E13" s="4"/>
      <c r="F13" s="5" t="s">
        <v>2143</v>
      </c>
    </row>
    <row r="14" spans="1:6" x14ac:dyDescent="0.3">
      <c r="A14" s="2" t="s">
        <v>2102</v>
      </c>
      <c r="B14" s="2" t="s">
        <v>2113</v>
      </c>
      <c r="C14" s="3" t="s">
        <v>2123</v>
      </c>
      <c r="D14" s="2" t="str">
        <f>CONCATENATE(HYPERLINK("CALLTO:%2B356%202180%205486", "+356 2180 5486"))</f>
        <v>+356 2180 5486</v>
      </c>
      <c r="E14" s="2"/>
      <c r="F14" s="3" t="s">
        <v>2144</v>
      </c>
    </row>
    <row r="15" spans="1:6" x14ac:dyDescent="0.3">
      <c r="A15" s="4" t="s">
        <v>2103</v>
      </c>
      <c r="B15" s="4" t="s">
        <v>2114</v>
      </c>
      <c r="C15" s="5" t="s">
        <v>2124</v>
      </c>
      <c r="D15" s="4" t="str">
        <f>CONCATENATE(HYPERLINK("CALLTO:%2B356%202146%200195", "+356 2146 0195"))</f>
        <v>+356 2146 0195</v>
      </c>
      <c r="E15" s="4"/>
      <c r="F15" s="5" t="s">
        <v>2145</v>
      </c>
    </row>
    <row r="16" spans="1:6" x14ac:dyDescent="0.3">
      <c r="A16" s="2" t="s">
        <v>2101</v>
      </c>
      <c r="B16" s="2" t="s">
        <v>2115</v>
      </c>
      <c r="C16" s="3" t="s">
        <v>1624</v>
      </c>
      <c r="D16" s="2" t="str">
        <f>CONCATENATE(HYPERLINK("CALLTO:%2B356%207903%201199", "+356 7903 1199"))</f>
        <v>+356 7903 1199</v>
      </c>
      <c r="E16" s="2"/>
      <c r="F16" s="3" t="s">
        <v>2146</v>
      </c>
    </row>
    <row r="17" spans="1:6" x14ac:dyDescent="0.3">
      <c r="A17" s="4" t="s">
        <v>2101</v>
      </c>
      <c r="B17" s="4" t="s">
        <v>1538</v>
      </c>
      <c r="C17" s="4"/>
      <c r="D17" s="4"/>
      <c r="E17" s="4"/>
      <c r="F17" s="5" t="s">
        <v>2147</v>
      </c>
    </row>
  </sheetData>
  <hyperlinks>
    <hyperlink ref="C2" r:id="rId1" tooltip="Send a mail to info@nineyards.com.mt" xr:uid="{00000000-0004-0000-1C00-000000000000}"/>
    <hyperlink ref="C3" r:id="rId2" tooltip="Send a mail to info@megahome.mt" xr:uid="{00000000-0004-0000-1C00-000001000000}"/>
    <hyperlink ref="C4" r:id="rId3" tooltip="Send a mail to info@bfmarbles.com" xr:uid="{00000000-0004-0000-1C00-000002000000}"/>
    <hyperlink ref="C5" r:id="rId4" tooltip="Send a mail to info@vicalinteriors.com" xr:uid="{00000000-0004-0000-1C00-000003000000}"/>
    <hyperlink ref="C6" r:id="rId5" tooltip="Send a mail to sales@maltadiy.com" xr:uid="{00000000-0004-0000-1C00-000004000000}"/>
    <hyperlink ref="C7" r:id="rId6" tooltip="Send a mail to info@bigmatmalta.com" xr:uid="{00000000-0004-0000-1C00-000005000000}"/>
    <hyperlink ref="C8" r:id="rId7" tooltip="Send a mail to info@devalier.com.mt" xr:uid="{00000000-0004-0000-1C00-000006000000}"/>
    <hyperlink ref="C9" r:id="rId8" tooltip="Send a mail to info@aptc.com.mt" xr:uid="{00000000-0004-0000-1C00-000007000000}"/>
    <hyperlink ref="C10" r:id="rId9" tooltip="Send a mail to sales@panelshubmalta.com" xr:uid="{00000000-0004-0000-1C00-000008000000}"/>
    <hyperlink ref="C11" r:id="rId10" tooltip="Send a mail to info@aphomes.com.mt" xr:uid="{00000000-0004-0000-1C00-000009000000}"/>
    <hyperlink ref="C12" r:id="rId11" tooltip="Send a mail to customercare@homemate.com.mt" xr:uid="{00000000-0004-0000-1C00-00000A000000}"/>
    <hyperlink ref="C13" r:id="rId12" tooltip="Send a mail to info@rsgroup.com.mt" xr:uid="{00000000-0004-0000-1C00-00000B000000}"/>
    <hyperlink ref="C14" r:id="rId13" tooltip="Send a mail to sales@multitrademalta.com" xr:uid="{00000000-0004-0000-1C00-00000C000000}"/>
    <hyperlink ref="C15" r:id="rId14" tooltip="Send a mail to info@ksprojects.mt" xr:uid="{00000000-0004-0000-1C00-00000D000000}"/>
    <hyperlink ref="C16" r:id="rId15" tooltip="Send a mail to contactus@theatrium.com.mt" xr:uid="{00000000-0004-0000-1C00-00000E000000}"/>
    <hyperlink ref="E2" r:id="rId16" tooltip="Search No.1, Triq Daniel Sammut, Lija, c/w Triq l-Gherusija, Balzan on Google Maps" xr:uid="{00000000-0004-0000-1C00-00000F000000}"/>
    <hyperlink ref="E3" r:id="rId17" tooltip="Search Triq Il-Vitorja, Ħal Qormi QRM 2504 on Google Maps" xr:uid="{00000000-0004-0000-1C00-000010000000}"/>
    <hyperlink ref="E4" r:id="rId18" tooltip="Search 40, Balzan Valley Road, Balzan BZN 1407 - Malta on Google Maps" xr:uid="{00000000-0004-0000-1C00-000011000000}"/>
    <hyperlink ref="E5" r:id="rId19" tooltip="Search 84, Qormi Road, Hamrun on Google Maps" xr:uid="{00000000-0004-0000-1C00-000012000000}"/>
    <hyperlink ref="E6" r:id="rId20" tooltip="Search Industrial Zone, ATD 4000 Ta' Qali on Google Maps" xr:uid="{00000000-0004-0000-1C00-000013000000}"/>
    <hyperlink ref="E7" r:id="rId21" tooltip="Search Mdina Road,_x000a_Zebbug, Malta,_x000a_ZBG 9019 on Google Maps" xr:uid="{00000000-0004-0000-1C00-000014000000}"/>
    <hyperlink ref="F2" r:id="rId22" tooltip="Visit nineyards.com.mt/" xr:uid="{00000000-0004-0000-1C00-000015000000}"/>
    <hyperlink ref="F3" r:id="rId23" tooltip="Visit megahome.mt/product/3d-wall-panels/" xr:uid="{00000000-0004-0000-1C00-000016000000}"/>
    <hyperlink ref="F4" r:id="rId24" tooltip="Visit bfmarbles.com/#" xr:uid="{00000000-0004-0000-1C00-000017000000}"/>
    <hyperlink ref="F5" r:id="rId25" tooltip="Visit facebook.com/profile.php?id=61561349402968" xr:uid="{00000000-0004-0000-1C00-000018000000}"/>
    <hyperlink ref="F6" r:id="rId26" tooltip="Visit vicalinteriors.com/" xr:uid="{00000000-0004-0000-1C00-000019000000}"/>
    <hyperlink ref="F7" r:id="rId27" tooltip="Visit maltadiy.com/product-category/floors-walls/walls/3d-wall-panels/?utm_source=chatgpt.com" xr:uid="{00000000-0004-0000-1C00-00001A000000}"/>
    <hyperlink ref="F8" r:id="rId28" tooltip="Visit bigmatmalta.com/collections/wall-panels?utm_source=chatgpt.com" xr:uid="{00000000-0004-0000-1C00-00001B000000}"/>
    <hyperlink ref="F9" r:id="rId29" tooltip="Visit dv.mt/showroom-category/3d-panels/" xr:uid="{00000000-0004-0000-1C00-00001C000000}"/>
    <hyperlink ref="F10" r:id="rId30" tooltip="Visit gypsumworksmalta.com/store/c14/Panels" xr:uid="{00000000-0004-0000-1C00-00001D000000}"/>
    <hyperlink ref="F11" r:id="rId31" tooltip="Visit panelshubmalta.com/flexible-panels/" xr:uid="{00000000-0004-0000-1C00-00001E000000}"/>
    <hyperlink ref="F12" r:id="rId32" location="/" tooltip="Visit aphomesmalta.com/store/c3/PVC_panels.html#/" xr:uid="{00000000-0004-0000-1C00-00001F000000}"/>
    <hyperlink ref="F13" r:id="rId33" tooltip="Visit homemate.com.mt/product-category/feature-wall-planks" xr:uid="{00000000-0004-0000-1C00-000020000000}"/>
    <hyperlink ref="F14" r:id="rId34" location="3dwalls" tooltip="Visit evolve.com.mt/products/wall-decor-malta/#3dwalls" xr:uid="{00000000-0004-0000-1C00-000021000000}"/>
    <hyperlink ref="F15" r:id="rId35" tooltip="Visit multitrademalta.com/product-tag/corrugated-sheet/?utm_source=chatgpt.com" xr:uid="{00000000-0004-0000-1C00-000022000000}"/>
    <hyperlink ref="F16" r:id="rId36" tooltip="Visit facebook.com/profile.php?id=100091956755959" xr:uid="{00000000-0004-0000-1C00-000023000000}"/>
    <hyperlink ref="F17" r:id="rId37" tooltip="Visit theatrium.com.mt/search-site-results?nostock=0&amp;search=panel" xr:uid="{00000000-0004-0000-1C00-000024000000}"/>
  </hyperlinks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7"/>
  <sheetViews>
    <sheetView workbookViewId="0"/>
  </sheetViews>
  <sheetFormatPr defaultRowHeight="14.4" x14ac:dyDescent="0.3"/>
  <cols>
    <col min="1" max="1" width="18.88671875" customWidth="1"/>
    <col min="2" max="2" width="26" customWidth="1"/>
    <col min="3" max="3" width="28.5546875" customWidth="1"/>
    <col min="4" max="4" width="18.6640625" customWidth="1"/>
    <col min="5" max="5" width="79.44140625" customWidth="1"/>
    <col min="6" max="6" width="128.44140625" customWidth="1"/>
    <col min="7" max="7" width="24.6640625" customWidth="1"/>
    <col min="8" max="8" width="15.33203125" customWidth="1"/>
  </cols>
  <sheetData>
    <row r="1" spans="1:8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526</v>
      </c>
      <c r="F1" s="1" t="s">
        <v>532</v>
      </c>
      <c r="G1" s="1" t="s">
        <v>866</v>
      </c>
      <c r="H1" s="1" t="s">
        <v>2188</v>
      </c>
    </row>
    <row r="2" spans="1:8" x14ac:dyDescent="0.3">
      <c r="A2" s="2" t="s">
        <v>2131</v>
      </c>
      <c r="B2" s="2" t="s">
        <v>1112</v>
      </c>
      <c r="C2" s="3" t="s">
        <v>1126</v>
      </c>
      <c r="D2" s="2" t="str">
        <f>CONCATENATE(HYPERLINK("CALLTO:%2B356%202133%204716", "+356 2133 4716"))</f>
        <v>+356 2133 4716</v>
      </c>
      <c r="E2" s="3" t="s">
        <v>2164</v>
      </c>
      <c r="F2" s="3" t="s">
        <v>1156</v>
      </c>
      <c r="G2" s="2" t="s">
        <v>2171</v>
      </c>
      <c r="H2" s="2" t="s">
        <v>2189</v>
      </c>
    </row>
    <row r="3" spans="1:8" x14ac:dyDescent="0.3">
      <c r="A3" s="4" t="s">
        <v>2131</v>
      </c>
      <c r="B3" s="4" t="s">
        <v>1110</v>
      </c>
      <c r="C3" s="5" t="s">
        <v>791</v>
      </c>
      <c r="D3" s="4" t="str">
        <f>CONCATENATE(HYPERLINK("CALLTO:%2B356%202149%201111", "+356 2149 1111"))</f>
        <v>+356 2149 1111</v>
      </c>
      <c r="E3" s="5" t="s">
        <v>1139</v>
      </c>
      <c r="F3" s="5" t="s">
        <v>2172</v>
      </c>
      <c r="G3" s="4" t="s">
        <v>2185</v>
      </c>
      <c r="H3" s="4" t="s">
        <v>2190</v>
      </c>
    </row>
    <row r="4" spans="1:8" x14ac:dyDescent="0.3">
      <c r="A4" s="2" t="s">
        <v>2131</v>
      </c>
      <c r="B4" s="2" t="s">
        <v>1547</v>
      </c>
      <c r="C4" s="3" t="s">
        <v>1632</v>
      </c>
      <c r="D4" s="2" t="str">
        <f>CONCATENATE(HYPERLINK("CALLTO:%2B356%207710%205385", "+356 7710 5385"))</f>
        <v>+356 7710 5385</v>
      </c>
      <c r="E4" s="3" t="s">
        <v>1715</v>
      </c>
      <c r="F4" s="3" t="s">
        <v>1805</v>
      </c>
      <c r="G4" s="2" t="s">
        <v>2186</v>
      </c>
      <c r="H4" s="2" t="s">
        <v>2191</v>
      </c>
    </row>
    <row r="5" spans="1:8" x14ac:dyDescent="0.3">
      <c r="A5" s="4" t="s">
        <v>2131</v>
      </c>
      <c r="B5" s="4" t="s">
        <v>2151</v>
      </c>
      <c r="C5" s="5" t="s">
        <v>1638</v>
      </c>
      <c r="D5" s="4" t="str">
        <f>CONCATENATE(HYPERLINK("CALLTO:%2B356%202095%209595", "+356 2095 9595"))</f>
        <v>+356 2095 9595</v>
      </c>
      <c r="E5" s="5" t="s">
        <v>2165</v>
      </c>
      <c r="F5" s="5" t="s">
        <v>2173</v>
      </c>
      <c r="G5" s="4" t="s">
        <v>2186</v>
      </c>
      <c r="H5" s="4" t="s">
        <v>2192</v>
      </c>
    </row>
    <row r="6" spans="1:8" x14ac:dyDescent="0.3">
      <c r="A6" s="2" t="s">
        <v>2131</v>
      </c>
      <c r="B6" s="2" t="s">
        <v>2152</v>
      </c>
      <c r="C6" s="3" t="s">
        <v>1505</v>
      </c>
      <c r="D6" s="2" t="str">
        <f>CONCATENATE(HYPERLINK("CALLTO:%2B356%202034%201569", "+356 2034 1569"))</f>
        <v>+356 2034 1569</v>
      </c>
      <c r="E6" s="3" t="s">
        <v>2166</v>
      </c>
      <c r="F6" s="3" t="s">
        <v>2174</v>
      </c>
      <c r="G6" s="2" t="s">
        <v>2185</v>
      </c>
      <c r="H6" s="2" t="s">
        <v>2193</v>
      </c>
    </row>
    <row r="7" spans="1:8" x14ac:dyDescent="0.3">
      <c r="A7" s="4" t="s">
        <v>2131</v>
      </c>
      <c r="B7" s="4" t="s">
        <v>2153</v>
      </c>
      <c r="C7" s="5" t="s">
        <v>1671</v>
      </c>
      <c r="D7" s="4" t="str">
        <f>CONCATENATE(HYPERLINK("CALLTO:%2B356%202148%203614", "+356 2148 3614"))</f>
        <v>+356 2148 3614</v>
      </c>
      <c r="E7" s="5" t="s">
        <v>1970</v>
      </c>
      <c r="F7" s="5" t="s">
        <v>2042</v>
      </c>
      <c r="G7" s="4" t="s">
        <v>2186</v>
      </c>
      <c r="H7" s="4" t="s">
        <v>2194</v>
      </c>
    </row>
    <row r="8" spans="1:8" x14ac:dyDescent="0.3">
      <c r="A8" s="2" t="s">
        <v>2131</v>
      </c>
      <c r="B8" s="2" t="s">
        <v>2154</v>
      </c>
      <c r="C8" s="3" t="s">
        <v>2160</v>
      </c>
      <c r="D8" s="2" t="str">
        <f>CONCATENATE(HYPERLINK("CALLTO:%2B356%202133%204401", "+356 2133 4401"))</f>
        <v>+356 2133 4401</v>
      </c>
      <c r="E8" s="3" t="s">
        <v>2167</v>
      </c>
      <c r="F8" s="3" t="s">
        <v>2175</v>
      </c>
      <c r="G8" s="2" t="s">
        <v>2187</v>
      </c>
      <c r="H8" s="2" t="s">
        <v>2195</v>
      </c>
    </row>
    <row r="9" spans="1:8" x14ac:dyDescent="0.3">
      <c r="A9" s="4" t="s">
        <v>2131</v>
      </c>
      <c r="B9" s="4" t="s">
        <v>2155</v>
      </c>
      <c r="C9" s="5" t="s">
        <v>2161</v>
      </c>
      <c r="D9" s="4" t="str">
        <f>CONCATENATE(HYPERLINK("CALLTO:%2B356%202133%204145", "+356 2133 4145"))</f>
        <v>+356 2133 4145</v>
      </c>
      <c r="E9" s="5" t="s">
        <v>2168</v>
      </c>
      <c r="F9" s="5" t="s">
        <v>2176</v>
      </c>
      <c r="G9" s="4"/>
      <c r="H9" s="4"/>
    </row>
    <row r="10" spans="1:8" x14ac:dyDescent="0.3">
      <c r="A10" s="2" t="s">
        <v>2131</v>
      </c>
      <c r="B10" s="2" t="s">
        <v>2156</v>
      </c>
      <c r="C10" s="3" t="s">
        <v>2162</v>
      </c>
      <c r="D10" s="2" t="str">
        <f>CONCATENATE(HYPERLINK("CALLTO:%2B356%202277%203000", "+356 2277 3000"))</f>
        <v>+356 2277 3000</v>
      </c>
      <c r="E10" s="3" t="s">
        <v>1341</v>
      </c>
      <c r="F10" s="3" t="s">
        <v>2177</v>
      </c>
      <c r="G10" s="2"/>
      <c r="H10" s="2"/>
    </row>
    <row r="11" spans="1:8" x14ac:dyDescent="0.3">
      <c r="A11" s="4" t="s">
        <v>2148</v>
      </c>
      <c r="B11" s="4" t="s">
        <v>2157</v>
      </c>
      <c r="C11" s="5" t="s">
        <v>2163</v>
      </c>
      <c r="D11" s="4" t="str">
        <f>CONCATENATE(HYPERLINK("CALLTO:%2B356%202149%202149", "+356 2149 2149"))</f>
        <v>+356 2149 2149</v>
      </c>
      <c r="E11" s="5" t="s">
        <v>2169</v>
      </c>
      <c r="F11" s="5" t="s">
        <v>2178</v>
      </c>
      <c r="G11" s="4"/>
      <c r="H11" s="4"/>
    </row>
    <row r="12" spans="1:8" x14ac:dyDescent="0.3">
      <c r="A12" s="2" t="s">
        <v>2149</v>
      </c>
      <c r="B12" s="2" t="s">
        <v>2158</v>
      </c>
      <c r="C12" s="3" t="s">
        <v>1624</v>
      </c>
      <c r="D12" s="2" t="str">
        <f>CONCATENATE(HYPERLINK("CALLTO:%2B356%202549%205000", "+356 2549 5000"))</f>
        <v>+356 2549 5000</v>
      </c>
      <c r="E12" s="3" t="s">
        <v>2170</v>
      </c>
      <c r="F12" s="3" t="s">
        <v>2179</v>
      </c>
      <c r="G12" s="2"/>
      <c r="H12" s="2"/>
    </row>
    <row r="13" spans="1:8" x14ac:dyDescent="0.3">
      <c r="A13" s="4" t="s">
        <v>2148</v>
      </c>
      <c r="B13" s="4" t="s">
        <v>1538</v>
      </c>
      <c r="C13" s="4"/>
      <c r="D13" s="4"/>
      <c r="E13" s="4"/>
      <c r="F13" s="5" t="s">
        <v>2180</v>
      </c>
      <c r="G13" s="4"/>
      <c r="H13" s="4"/>
    </row>
    <row r="14" spans="1:8" x14ac:dyDescent="0.3">
      <c r="A14" s="2" t="s">
        <v>2150</v>
      </c>
      <c r="B14" s="2" t="s">
        <v>1538</v>
      </c>
      <c r="C14" s="2"/>
      <c r="D14" s="2"/>
      <c r="E14" s="2"/>
      <c r="F14" s="3" t="s">
        <v>2181</v>
      </c>
      <c r="G14" s="2"/>
      <c r="H14" s="2"/>
    </row>
    <row r="15" spans="1:8" x14ac:dyDescent="0.3">
      <c r="A15" s="4" t="s">
        <v>2148</v>
      </c>
      <c r="B15" s="4" t="s">
        <v>1538</v>
      </c>
      <c r="C15" s="4"/>
      <c r="D15" s="4"/>
      <c r="E15" s="4"/>
      <c r="F15" s="5" t="s">
        <v>2182</v>
      </c>
      <c r="G15" s="4"/>
      <c r="H15" s="4"/>
    </row>
    <row r="16" spans="1:8" x14ac:dyDescent="0.3">
      <c r="A16" s="2" t="s">
        <v>2150</v>
      </c>
      <c r="B16" s="2" t="s">
        <v>2159</v>
      </c>
      <c r="C16" s="2"/>
      <c r="D16" s="2"/>
      <c r="E16" s="2"/>
      <c r="F16" s="3" t="s">
        <v>2183</v>
      </c>
      <c r="G16" s="2"/>
      <c r="H16" s="2"/>
    </row>
    <row r="17" spans="1:8" x14ac:dyDescent="0.3">
      <c r="A17" s="4" t="s">
        <v>2148</v>
      </c>
      <c r="B17" s="4"/>
      <c r="C17" s="4"/>
      <c r="D17" s="4"/>
      <c r="E17" s="4"/>
      <c r="F17" s="5" t="s">
        <v>2184</v>
      </c>
      <c r="G17" s="4"/>
      <c r="H17" s="4"/>
    </row>
  </sheetData>
  <hyperlinks>
    <hyperlink ref="C2" r:id="rId1" tooltip="Send a mail to info@ramilenemalta.com" xr:uid="{00000000-0004-0000-1D00-000000000000}"/>
    <hyperlink ref="C3" r:id="rId2" tooltip="Send a mail to info@devalier.com.mt" xr:uid="{00000000-0004-0000-1D00-000001000000}"/>
    <hyperlink ref="C4" r:id="rId3" tooltip="Send a mail to sales@malta-design.com" xr:uid="{00000000-0004-0000-1D00-000002000000}"/>
    <hyperlink ref="C5" r:id="rId4" tooltip="Send a mail to info@brands.com.mt" xr:uid="{00000000-0004-0000-1D00-000003000000}"/>
    <hyperlink ref="C6" r:id="rId5" tooltip="Send a mail to sales@maltadiy.com" xr:uid="{00000000-0004-0000-1D00-000004000000}"/>
    <hyperlink ref="C7" r:id="rId6" tooltip="Send a mail to info@ferraramalta.com" xr:uid="{00000000-0004-0000-1D00-000005000000}"/>
    <hyperlink ref="C8" r:id="rId7" tooltip="Send a mail to info@officelinemalta.com" xr:uid="{00000000-0004-0000-1D00-000006000000}"/>
    <hyperlink ref="C9" r:id="rId8" tooltip="Send a mail to info@linkprojects.com.mt" xr:uid="{00000000-0004-0000-1D00-000007000000}"/>
    <hyperlink ref="C10" r:id="rId9" tooltip="Send a mail to info@vivendo.mt" xr:uid="{00000000-0004-0000-1D00-000008000000}"/>
    <hyperlink ref="C11" r:id="rId10" tooltip="Send a mail to info@satariano.com" xr:uid="{00000000-0004-0000-1D00-000009000000}"/>
    <hyperlink ref="C12" r:id="rId11" tooltip="Send a mail to contactus@theatrium.com.mt" xr:uid="{00000000-0004-0000-1D00-00000A000000}"/>
    <hyperlink ref="E2" r:id="rId12" tooltip="Search Ramilene Office Supplies Ltd_x000a_50/51 Ramilene Building_x000a_Triq it-Torri, Swatar – B’Kara_x000a_BKR 4011, Malta on Google Maps" xr:uid="{00000000-0004-0000-1D00-00000B000000}"/>
    <hyperlink ref="E3" r:id="rId13" tooltip="Search The Old Factory, San Gwakkin str, Mriehel,Central Business District Birkirkara CBD, 3030 on Google Maps" xr:uid="{00000000-0004-0000-1D00-00000C000000}"/>
    <hyperlink ref="E4" r:id="rId14" tooltip="Search Malta Design_x000a_33 Triq l-Oleandru ,_x000a_San Giljan, Malta on Google Maps" xr:uid="{00000000-0004-0000-1D00-00000D000000}"/>
    <hyperlink ref="E5" r:id="rId15" tooltip="Search Triq tal-Balal, San Gwann, Malta on Google Maps" xr:uid="{00000000-0004-0000-1D00-00000E000000}"/>
    <hyperlink ref="E6" r:id="rId16" tooltip="Search Baldacchino Building B, Triq Il-Belt Valletta, Zurrieq on Google Maps" xr:uid="{00000000-0004-0000-1D00-00000F000000}"/>
    <hyperlink ref="E7" r:id="rId17" tooltip="Search Ferraracasa Warehouse_x000a_Triq is-Salib ta l-Mriehel_x000a_CBD3020 Birkirkara_x000a_Malta on Google Maps" xr:uid="{00000000-0004-0000-1D00-000010000000}"/>
    <hyperlink ref="E8" r:id="rId18" tooltip="Search Anthony Valletta Street, Swatar on Google Maps" xr:uid="{00000000-0004-0000-1D00-000011000000}"/>
    <hyperlink ref="E9" r:id="rId19" tooltip="Search 70, Ta' Xbiex Seafront , Msida, Malta on Google Maps" xr:uid="{00000000-0004-0000-1D00-000012000000}"/>
    <hyperlink ref="E10" r:id="rId20" tooltip="Search Mdina Road, Qormi, QRM 9011, Malta on Google Maps" xr:uid="{00000000-0004-0000-1D00-000013000000}"/>
    <hyperlink ref="E11" r:id="rId21" tooltip="Search 122, Valley Road Birkirkara, BKR 9024 on Google Maps" xr:uid="{00000000-0004-0000-1D00-000014000000}"/>
    <hyperlink ref="E12" r:id="rId22" tooltip="Search Central Business District, Giovanni Felice Street - Zone 3, Birkirkara CBD 3120, Malta on Google Maps" xr:uid="{00000000-0004-0000-1D00-000015000000}"/>
    <hyperlink ref="F2" r:id="rId23" tooltip="Visit ramilenemalta.com/" xr:uid="{00000000-0004-0000-1D00-000016000000}"/>
    <hyperlink ref="F3" r:id="rId24" tooltip="Visit dv.mt" xr:uid="{00000000-0004-0000-1D00-000017000000}"/>
    <hyperlink ref="F4" r:id="rId25" tooltip="Visit malta-design.com" xr:uid="{00000000-0004-0000-1D00-000018000000}"/>
    <hyperlink ref="F5" r:id="rId26" tooltip="Visit brands.com.mt/" xr:uid="{00000000-0004-0000-1D00-000019000000}"/>
    <hyperlink ref="F6" r:id="rId27" tooltip="Visit maltadiy.com/product-category/lights-and-tech/lights/" xr:uid="{00000000-0004-0000-1D00-00001A000000}"/>
    <hyperlink ref="F7" r:id="rId28" tooltip="Visit ferraramalta.com/" xr:uid="{00000000-0004-0000-1D00-00001B000000}"/>
    <hyperlink ref="F8" r:id="rId29" tooltip="Visit officelinemalta.com/" xr:uid="{00000000-0004-0000-1D00-00001C000000}"/>
    <hyperlink ref="F9" r:id="rId30" tooltip="Visit linkprojects.com.mt/" xr:uid="{00000000-0004-0000-1D00-00001D000000}"/>
    <hyperlink ref="F10" r:id="rId31" tooltip="Visit vivendo.mt/" xr:uid="{00000000-0004-0000-1D00-00001E000000}"/>
    <hyperlink ref="F11" r:id="rId32" tooltip="Visit ikea.com/it/it/p/mariedamm-tavolo-grigio-scuro-50441510/" xr:uid="{00000000-0004-0000-1D00-00001F000000}"/>
    <hyperlink ref="F12" r:id="rId33" tooltip="Visit satariano.com/products/room/tables/" xr:uid="{00000000-0004-0000-1D00-000020000000}"/>
    <hyperlink ref="F13" r:id="rId34" tooltip="Visit megastore.com.mt/en_MT/p/MITTZON-Conference-table%2C-round-walnut-veneerblack%2C-120x75-cm/2145800" xr:uid="{00000000-0004-0000-1D00-000021000000}"/>
    <hyperlink ref="F14" r:id="rId35" tooltip="Visit theatrium.com.mt/dining/dining-tables/atmosphera-ostras-dining-table-diameter-120cm-glass/Item?c=528741" xr:uid="{00000000-0004-0000-1D00-000022000000}"/>
    <hyperlink ref="F15" r:id="rId36" tooltip="Visit theatrium.com.mt/dining/dining-tables/roxby-dining-table-black-oak-105cm/Item?c=267474" xr:uid="{00000000-0004-0000-1D00-000023000000}"/>
    <hyperlink ref="F16" r:id="rId37" tooltip="Visit theatrium.com.mt/dining/dining-tables/heaven-round-dining-table-with-clear-tempered-glass-top-and-thick-black-metal-legs/Item?c=512388" xr:uid="{00000000-0004-0000-1D00-000024000000}"/>
    <hyperlink ref="F17" r:id="rId38" tooltip="Visit megastore.com.mt/en_MT/p/VIHALS-Table%2C-whitewhite%2C-107-cm/2237008" xr:uid="{00000000-0004-0000-1D00-000025000000}"/>
  </hyperlinks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0"/>
  <sheetViews>
    <sheetView workbookViewId="0"/>
  </sheetViews>
  <sheetFormatPr defaultRowHeight="14.4" x14ac:dyDescent="0.3"/>
  <cols>
    <col min="1" max="1" width="11.109375" customWidth="1"/>
    <col min="2" max="2" width="13.44140625" customWidth="1"/>
    <col min="3" max="3" width="31.6640625" customWidth="1"/>
    <col min="4" max="4" width="7.6640625" customWidth="1"/>
    <col min="5" max="5" width="140.6640625" customWidth="1"/>
  </cols>
  <sheetData>
    <row r="1" spans="1:5" ht="18" x14ac:dyDescent="0.35">
      <c r="A1" s="1" t="s">
        <v>2196</v>
      </c>
      <c r="B1" s="1" t="s">
        <v>2198</v>
      </c>
      <c r="C1" s="1" t="s">
        <v>2201</v>
      </c>
      <c r="D1" s="1" t="s">
        <v>2188</v>
      </c>
      <c r="E1" s="1" t="s">
        <v>2216</v>
      </c>
    </row>
    <row r="2" spans="1:5" x14ac:dyDescent="0.3">
      <c r="A2" s="2" t="s">
        <v>1538</v>
      </c>
      <c r="B2" s="2" t="s">
        <v>2199</v>
      </c>
      <c r="C2" s="2" t="s">
        <v>2202</v>
      </c>
      <c r="D2" s="2" t="s">
        <v>2192</v>
      </c>
      <c r="E2" s="2" t="s">
        <v>2217</v>
      </c>
    </row>
    <row r="3" spans="1:5" x14ac:dyDescent="0.3">
      <c r="A3" s="4" t="s">
        <v>1538</v>
      </c>
      <c r="B3" s="4" t="s">
        <v>2199</v>
      </c>
      <c r="C3" s="4" t="s">
        <v>2202</v>
      </c>
      <c r="D3" s="4" t="s">
        <v>2210</v>
      </c>
      <c r="E3" s="4" t="s">
        <v>2218</v>
      </c>
    </row>
    <row r="4" spans="1:5" x14ac:dyDescent="0.3">
      <c r="A4" s="2" t="s">
        <v>1538</v>
      </c>
      <c r="B4" s="2" t="s">
        <v>2199</v>
      </c>
      <c r="C4" s="2" t="s">
        <v>2203</v>
      </c>
      <c r="D4" s="2" t="s">
        <v>2193</v>
      </c>
      <c r="E4" s="2" t="s">
        <v>2219</v>
      </c>
    </row>
    <row r="5" spans="1:5" x14ac:dyDescent="0.3">
      <c r="A5" s="4" t="s">
        <v>2159</v>
      </c>
      <c r="B5" s="4" t="s">
        <v>2199</v>
      </c>
      <c r="C5" s="4" t="s">
        <v>2204</v>
      </c>
      <c r="D5" s="4" t="s">
        <v>2195</v>
      </c>
      <c r="E5" s="4" t="s">
        <v>2220</v>
      </c>
    </row>
    <row r="6" spans="1:5" x14ac:dyDescent="0.3">
      <c r="A6" s="2" t="s">
        <v>2159</v>
      </c>
      <c r="B6" s="2" t="s">
        <v>2199</v>
      </c>
      <c r="C6" s="2" t="s">
        <v>2205</v>
      </c>
      <c r="D6" s="2" t="s">
        <v>2211</v>
      </c>
      <c r="E6" s="2" t="s">
        <v>2221</v>
      </c>
    </row>
    <row r="7" spans="1:5" x14ac:dyDescent="0.3">
      <c r="A7" s="4" t="s">
        <v>1538</v>
      </c>
      <c r="B7" s="4" t="s">
        <v>2199</v>
      </c>
      <c r="C7" s="4" t="s">
        <v>2206</v>
      </c>
      <c r="D7" s="4" t="s">
        <v>2212</v>
      </c>
      <c r="E7" s="4" t="s">
        <v>2222</v>
      </c>
    </row>
    <row r="8" spans="1:5" x14ac:dyDescent="0.3">
      <c r="A8" s="2" t="s">
        <v>1538</v>
      </c>
      <c r="B8" s="2" t="s">
        <v>2200</v>
      </c>
      <c r="C8" s="2" t="s">
        <v>2207</v>
      </c>
      <c r="D8" s="2" t="s">
        <v>2213</v>
      </c>
      <c r="E8" s="2" t="s">
        <v>2223</v>
      </c>
    </row>
    <row r="9" spans="1:5" x14ac:dyDescent="0.3">
      <c r="A9" s="4" t="s">
        <v>1537</v>
      </c>
      <c r="B9" s="4" t="s">
        <v>2200</v>
      </c>
      <c r="C9" s="4" t="s">
        <v>2208</v>
      </c>
      <c r="D9" s="4" t="s">
        <v>2214</v>
      </c>
      <c r="E9" s="4" t="s">
        <v>2224</v>
      </c>
    </row>
    <row r="10" spans="1:5" x14ac:dyDescent="0.3">
      <c r="A10" s="2" t="s">
        <v>2197</v>
      </c>
      <c r="B10" s="2" t="s">
        <v>2199</v>
      </c>
      <c r="C10" s="2" t="s">
        <v>2209</v>
      </c>
      <c r="D10" s="2" t="s">
        <v>2215</v>
      </c>
      <c r="E10" s="2" t="s">
        <v>2225</v>
      </c>
    </row>
  </sheetData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4"/>
  <sheetViews>
    <sheetView workbookViewId="0"/>
  </sheetViews>
  <sheetFormatPr defaultRowHeight="14.4" x14ac:dyDescent="0.3"/>
  <cols>
    <col min="1" max="1" width="11.6640625" customWidth="1"/>
    <col min="2" max="2" width="21.44140625" customWidth="1"/>
    <col min="3" max="3" width="33" customWidth="1"/>
    <col min="4" max="4" width="18.6640625" customWidth="1"/>
    <col min="5" max="5" width="85.5546875" customWidth="1"/>
    <col min="6" max="6" width="50.88671875" customWidth="1"/>
    <col min="7" max="7" width="40.44140625" customWidth="1"/>
  </cols>
  <sheetData>
    <row r="1" spans="1:7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526</v>
      </c>
      <c r="F1" s="1" t="s">
        <v>532</v>
      </c>
      <c r="G1" s="1" t="s">
        <v>866</v>
      </c>
    </row>
    <row r="2" spans="1:7" x14ac:dyDescent="0.3">
      <c r="A2" s="2" t="s">
        <v>2226</v>
      </c>
      <c r="B2" s="2" t="s">
        <v>1547</v>
      </c>
      <c r="C2" s="3" t="s">
        <v>1632</v>
      </c>
      <c r="D2" s="2" t="str">
        <f>CONCATENATE(HYPERLINK("CALLTO:%2B356%207710%205385", "+356 7710 5385"))</f>
        <v>+356 7710 5385</v>
      </c>
      <c r="E2" s="3" t="s">
        <v>1715</v>
      </c>
      <c r="F2" s="3" t="s">
        <v>1805</v>
      </c>
      <c r="G2" s="2" t="s">
        <v>2310</v>
      </c>
    </row>
    <row r="3" spans="1:7" x14ac:dyDescent="0.3">
      <c r="A3" s="4" t="s">
        <v>2226</v>
      </c>
      <c r="B3" s="4" t="s">
        <v>1919</v>
      </c>
      <c r="C3" s="5" t="s">
        <v>2246</v>
      </c>
      <c r="D3" s="4" t="str">
        <f>CONCATENATE(HYPERLINK("CALLTO:%2B356%202278%202000", "+356 2278 2000"))</f>
        <v>+356 2278 2000</v>
      </c>
      <c r="E3" s="5" t="s">
        <v>2037</v>
      </c>
      <c r="F3" s="5" t="s">
        <v>2280</v>
      </c>
      <c r="G3" s="4"/>
    </row>
    <row r="4" spans="1:7" x14ac:dyDescent="0.3">
      <c r="A4" s="2" t="s">
        <v>2226</v>
      </c>
      <c r="B4" s="2" t="s">
        <v>2151</v>
      </c>
      <c r="C4" s="3" t="s">
        <v>1638</v>
      </c>
      <c r="D4" s="2" t="str">
        <f>CONCATENATE(HYPERLINK("CALLTO:%2B356%202095%209595", "+356 2095 9595"))</f>
        <v>+356 2095 9595</v>
      </c>
      <c r="E4" s="3" t="s">
        <v>2165</v>
      </c>
      <c r="F4" s="3" t="s">
        <v>2173</v>
      </c>
      <c r="G4" s="2"/>
    </row>
    <row r="5" spans="1:7" x14ac:dyDescent="0.3">
      <c r="A5" s="4" t="s">
        <v>2226</v>
      </c>
      <c r="B5" s="4" t="s">
        <v>1548</v>
      </c>
      <c r="C5" s="5" t="s">
        <v>1633</v>
      </c>
      <c r="D5" s="4" t="str">
        <f>CONCATENATE(HYPERLINK("CALLTO:%2B356%202131%200334", "+356 2131 0334"))</f>
        <v>+356 2131 0334</v>
      </c>
      <c r="E5" s="5" t="s">
        <v>1716</v>
      </c>
      <c r="F5" s="5" t="s">
        <v>1806</v>
      </c>
      <c r="G5" s="4"/>
    </row>
    <row r="6" spans="1:7" x14ac:dyDescent="0.3">
      <c r="A6" s="2" t="s">
        <v>2226</v>
      </c>
      <c r="B6" s="2" t="s">
        <v>1888</v>
      </c>
      <c r="C6" s="3" t="s">
        <v>1296</v>
      </c>
      <c r="D6" s="2" t="str">
        <f>CONCATENATE(HYPERLINK("CALLTO:%2B356%202549%203000", "+356 2549 3000"))</f>
        <v>+356 2549 3000</v>
      </c>
      <c r="E6" s="3" t="s">
        <v>1996</v>
      </c>
      <c r="F6" s="3" t="s">
        <v>2062</v>
      </c>
      <c r="G6" s="2"/>
    </row>
    <row r="7" spans="1:7" x14ac:dyDescent="0.3">
      <c r="A7" s="4" t="s">
        <v>2226</v>
      </c>
      <c r="B7" s="4" t="s">
        <v>2227</v>
      </c>
      <c r="C7" s="5" t="s">
        <v>1615</v>
      </c>
      <c r="D7" s="4" t="str">
        <f>CONCATENATE(HYPERLINK("CALLTO:%2B356%202742%204632", "+356 2742 4632"))</f>
        <v>+356 2742 4632</v>
      </c>
      <c r="E7" s="5" t="s">
        <v>2254</v>
      </c>
      <c r="F7" s="5" t="s">
        <v>2281</v>
      </c>
      <c r="G7" s="4"/>
    </row>
    <row r="8" spans="1:7" x14ac:dyDescent="0.3">
      <c r="A8" s="2" t="s">
        <v>2226</v>
      </c>
      <c r="B8" s="2" t="s">
        <v>1550</v>
      </c>
      <c r="C8" s="3" t="s">
        <v>1635</v>
      </c>
      <c r="D8" s="2" t="str">
        <f>CONCATENATE(HYPERLINK("CALLTO:%2B356%202728%202828", "+356 2728 2828"))</f>
        <v>+356 2728 2828</v>
      </c>
      <c r="E8" s="3" t="s">
        <v>2036</v>
      </c>
      <c r="F8" s="3" t="s">
        <v>2282</v>
      </c>
      <c r="G8" s="2"/>
    </row>
    <row r="9" spans="1:7" x14ac:dyDescent="0.3">
      <c r="A9" s="4" t="s">
        <v>2226</v>
      </c>
      <c r="B9" s="4" t="s">
        <v>2228</v>
      </c>
      <c r="C9" s="5" t="s">
        <v>228</v>
      </c>
      <c r="D9" s="4" t="str">
        <f>CONCATENATE(HYPERLINK("CALLTO:%2B356%202144%207604", "+356 2144 7604"))</f>
        <v>+356 2144 7604</v>
      </c>
      <c r="E9" s="5" t="s">
        <v>2255</v>
      </c>
      <c r="F9" s="5" t="s">
        <v>2283</v>
      </c>
      <c r="G9" s="4"/>
    </row>
    <row r="10" spans="1:7" x14ac:dyDescent="0.3">
      <c r="A10" s="2" t="s">
        <v>2226</v>
      </c>
      <c r="B10" s="2" t="s">
        <v>2229</v>
      </c>
      <c r="C10" s="3" t="s">
        <v>1658</v>
      </c>
      <c r="D10" s="2" t="str">
        <f>CONCATENATE(HYPERLINK("CALLTO:%2B356%202546%205000", "+356 2546 5000"))</f>
        <v>+356 2546 5000</v>
      </c>
      <c r="E10" s="3" t="s">
        <v>2256</v>
      </c>
      <c r="F10" s="3" t="s">
        <v>2284</v>
      </c>
      <c r="G10" s="2"/>
    </row>
    <row r="11" spans="1:7" x14ac:dyDescent="0.3">
      <c r="A11" s="4" t="s">
        <v>2226</v>
      </c>
      <c r="B11" s="4" t="s">
        <v>1872</v>
      </c>
      <c r="C11" s="5" t="s">
        <v>864</v>
      </c>
      <c r="D11" s="4" t="str">
        <f>CONCATENATE(HYPERLINK("CALLTO:%2B356%202155%201234", "+356 2155 1234"))</f>
        <v>+356 2155 1234</v>
      </c>
      <c r="E11" s="5" t="s">
        <v>1769</v>
      </c>
      <c r="F11" s="5" t="s">
        <v>2285</v>
      </c>
      <c r="G11" s="4"/>
    </row>
    <row r="12" spans="1:7" x14ac:dyDescent="0.3">
      <c r="A12" s="2" t="s">
        <v>2226</v>
      </c>
      <c r="B12" s="2" t="s">
        <v>1891</v>
      </c>
      <c r="C12" s="3" t="s">
        <v>1940</v>
      </c>
      <c r="D12" s="2" t="str">
        <f>CONCATENATE(HYPERLINK("CALLTO:%2B356%202180%206878", "+356 2180 6878"))</f>
        <v>+356 2180 6878</v>
      </c>
      <c r="E12" s="3" t="s">
        <v>2257</v>
      </c>
      <c r="F12" s="3" t="s">
        <v>2286</v>
      </c>
      <c r="G12" s="2"/>
    </row>
    <row r="13" spans="1:7" x14ac:dyDescent="0.3">
      <c r="A13" s="4" t="s">
        <v>2226</v>
      </c>
      <c r="B13" s="4" t="s">
        <v>1537</v>
      </c>
      <c r="C13" s="5" t="s">
        <v>1623</v>
      </c>
      <c r="D13" s="4" t="str">
        <f>CONCATENATE(HYPERLINK("CALLTO:%2B356%202143%204747", "+356 2143 4747"))</f>
        <v>+356 2143 4747</v>
      </c>
      <c r="E13" s="5" t="s">
        <v>2259</v>
      </c>
      <c r="F13" s="5" t="s">
        <v>2287</v>
      </c>
      <c r="G13" s="4"/>
    </row>
    <row r="14" spans="1:7" x14ac:dyDescent="0.3">
      <c r="A14" s="2" t="s">
        <v>2226</v>
      </c>
      <c r="B14" s="2" t="s">
        <v>1538</v>
      </c>
      <c r="C14" s="3" t="s">
        <v>1624</v>
      </c>
      <c r="D14" s="2" t="str">
        <f>CONCATENATE(HYPERLINK("CALLTO:%2B356%202549%205000", "+356 2549 5000"))</f>
        <v>+356 2549 5000</v>
      </c>
      <c r="E14" s="3" t="s">
        <v>2258</v>
      </c>
      <c r="F14" s="3" t="s">
        <v>2288</v>
      </c>
      <c r="G14" s="2"/>
    </row>
    <row r="15" spans="1:7" x14ac:dyDescent="0.3">
      <c r="A15" s="4" t="s">
        <v>2226</v>
      </c>
      <c r="B15" s="4" t="s">
        <v>955</v>
      </c>
      <c r="C15" s="5" t="s">
        <v>574</v>
      </c>
      <c r="D15" s="4" t="str">
        <f>CONCATENATE(HYPERLINK("CALLTO:%2B356%202326%202000", "+356 2326 2000"))</f>
        <v>+356 2326 2000</v>
      </c>
      <c r="E15" s="5" t="s">
        <v>2260</v>
      </c>
      <c r="F15" s="5" t="s">
        <v>2289</v>
      </c>
      <c r="G15" s="4"/>
    </row>
    <row r="16" spans="1:7" x14ac:dyDescent="0.3">
      <c r="A16" s="2" t="s">
        <v>2226</v>
      </c>
      <c r="B16" s="2" t="s">
        <v>2230</v>
      </c>
      <c r="C16" s="3" t="s">
        <v>1967</v>
      </c>
      <c r="D16" s="2" t="str">
        <f>CONCATENATE(HYPERLINK("CALLTO:%2B356%202144%206000", "+356 2144 6000"))</f>
        <v>+356 2144 6000</v>
      </c>
      <c r="E16" s="3" t="s">
        <v>2261</v>
      </c>
      <c r="F16" s="3" t="s">
        <v>2290</v>
      </c>
      <c r="G16" s="2"/>
    </row>
    <row r="17" spans="1:7" x14ac:dyDescent="0.3">
      <c r="A17" s="4" t="s">
        <v>2226</v>
      </c>
      <c r="B17" s="4" t="s">
        <v>1536</v>
      </c>
      <c r="C17" s="5" t="s">
        <v>2247</v>
      </c>
      <c r="D17" s="4" t="str">
        <f>CONCATENATE(HYPERLINK("CALLTO:%2B356%202546%204543", "+356 2546 4543"))</f>
        <v>+356 2546 4543</v>
      </c>
      <c r="E17" s="5" t="s">
        <v>2262</v>
      </c>
      <c r="F17" s="5" t="s">
        <v>2291</v>
      </c>
      <c r="G17" s="4"/>
    </row>
    <row r="18" spans="1:7" x14ac:dyDescent="0.3">
      <c r="A18" s="2" t="s">
        <v>2226</v>
      </c>
      <c r="B18" s="2" t="s">
        <v>1217</v>
      </c>
      <c r="C18" s="3" t="s">
        <v>1293</v>
      </c>
      <c r="D18" s="2" t="str">
        <f>CONCATENATE(HYPERLINK("CALLTO:%2B356%202713%207364", "+356 2713 7364"))</f>
        <v>+356 2713 7364</v>
      </c>
      <c r="E18" s="3" t="s">
        <v>2263</v>
      </c>
      <c r="F18" s="3" t="s">
        <v>2292</v>
      </c>
      <c r="G18" s="2"/>
    </row>
    <row r="19" spans="1:7" x14ac:dyDescent="0.3">
      <c r="A19" s="4" t="s">
        <v>2226</v>
      </c>
      <c r="B19" s="4" t="s">
        <v>1551</v>
      </c>
      <c r="C19" s="5" t="s">
        <v>1636</v>
      </c>
      <c r="D19" s="4" t="str">
        <f>CONCATENATE(HYPERLINK("CALLTO:%2B356%202149%201727", "+356 2149 1727"))</f>
        <v>+356 2149 1727</v>
      </c>
      <c r="E19" s="5" t="s">
        <v>2264</v>
      </c>
      <c r="F19" s="5" t="s">
        <v>2293</v>
      </c>
      <c r="G19" s="4"/>
    </row>
    <row r="20" spans="1:7" x14ac:dyDescent="0.3">
      <c r="A20" s="2" t="s">
        <v>2226</v>
      </c>
      <c r="B20" s="2" t="s">
        <v>2231</v>
      </c>
      <c r="C20" s="3" t="s">
        <v>1634</v>
      </c>
      <c r="D20" s="2" t="str">
        <f>CONCATENATE(HYPERLINK("CALLTO:%2B356%202189%200459", "+356 2189 0459"))</f>
        <v>+356 2189 0459</v>
      </c>
      <c r="E20" s="3" t="s">
        <v>2266</v>
      </c>
      <c r="F20" s="3" t="s">
        <v>2294</v>
      </c>
      <c r="G20" s="2"/>
    </row>
    <row r="21" spans="1:7" x14ac:dyDescent="0.3">
      <c r="A21" s="4" t="s">
        <v>2226</v>
      </c>
      <c r="B21" s="4" t="s">
        <v>2232</v>
      </c>
      <c r="C21" s="5" t="s">
        <v>2163</v>
      </c>
      <c r="D21" s="4" t="str">
        <f>CONCATENATE(HYPERLINK("CALLTO:%2B356%202149%202149", "+356 2149 2149"))</f>
        <v>+356 2149 2149</v>
      </c>
      <c r="E21" s="5" t="s">
        <v>2265</v>
      </c>
      <c r="F21" s="5" t="s">
        <v>2295</v>
      </c>
      <c r="G21" s="4"/>
    </row>
    <row r="22" spans="1:7" x14ac:dyDescent="0.3">
      <c r="A22" s="2" t="s">
        <v>2226</v>
      </c>
      <c r="B22" s="2" t="s">
        <v>1576</v>
      </c>
      <c r="C22" s="3" t="s">
        <v>1661</v>
      </c>
      <c r="D22" s="2" t="str">
        <f>CONCATENATE(HYPERLINK("CALLTO:%2B356%202799%205000", "+356 2799 5000"))</f>
        <v>+356 2799 5000</v>
      </c>
      <c r="E22" s="3" t="s">
        <v>2267</v>
      </c>
      <c r="F22" s="3" t="s">
        <v>2296</v>
      </c>
      <c r="G22" s="2"/>
    </row>
    <row r="23" spans="1:7" x14ac:dyDescent="0.3">
      <c r="A23" s="4" t="s">
        <v>2226</v>
      </c>
      <c r="B23" s="4" t="s">
        <v>2233</v>
      </c>
      <c r="C23" s="5" t="s">
        <v>1617</v>
      </c>
      <c r="D23" s="4" t="str">
        <f>CONCATENATE(HYPERLINK("CALLTO:%2B356%202124%200100", "+356 2124 0100"))</f>
        <v>+356 2124 0100</v>
      </c>
      <c r="E23" s="5" t="s">
        <v>2268</v>
      </c>
      <c r="F23" s="5" t="s">
        <v>2297</v>
      </c>
      <c r="G23" s="4"/>
    </row>
    <row r="24" spans="1:7" x14ac:dyDescent="0.3">
      <c r="A24" s="2" t="s">
        <v>2226</v>
      </c>
      <c r="B24" s="2" t="s">
        <v>2234</v>
      </c>
      <c r="C24" s="3" t="s">
        <v>2248</v>
      </c>
      <c r="D24" s="2" t="str">
        <f>CONCATENATE(HYPERLINK("CALLTO:%2B356%209914%208891", "+356 9914 8891"))</f>
        <v>+356 9914 8891</v>
      </c>
      <c r="E24" s="3" t="s">
        <v>2269</v>
      </c>
      <c r="F24" s="3" t="s">
        <v>2298</v>
      </c>
      <c r="G24" s="2"/>
    </row>
    <row r="25" spans="1:7" x14ac:dyDescent="0.3">
      <c r="A25" s="4" t="s">
        <v>2226</v>
      </c>
      <c r="B25" s="4" t="s">
        <v>2235</v>
      </c>
      <c r="C25" s="5" t="s">
        <v>1684</v>
      </c>
      <c r="D25" s="4" t="str">
        <f>CONCATENATE(HYPERLINK("CALLTO:%2B356%202143%206407", "+356 2143 6407"))</f>
        <v>+356 2143 6407</v>
      </c>
      <c r="E25" s="5" t="s">
        <v>2270</v>
      </c>
      <c r="F25" s="5" t="s">
        <v>2299</v>
      </c>
      <c r="G25" s="4"/>
    </row>
    <row r="26" spans="1:7" x14ac:dyDescent="0.3">
      <c r="A26" s="2" t="s">
        <v>2226</v>
      </c>
      <c r="B26" s="2" t="s">
        <v>2236</v>
      </c>
      <c r="C26" s="3" t="s">
        <v>1653</v>
      </c>
      <c r="D26" s="2" t="str">
        <f>CONCATENATE(HYPERLINK("CALLTO:%2B356%202144%200862", "+356 2144 0862"))</f>
        <v>+356 2144 0862</v>
      </c>
      <c r="E26" s="3" t="s">
        <v>1970</v>
      </c>
      <c r="F26" s="3" t="s">
        <v>2300</v>
      </c>
      <c r="G26" s="2"/>
    </row>
    <row r="27" spans="1:7" x14ac:dyDescent="0.3">
      <c r="A27" s="4" t="s">
        <v>2226</v>
      </c>
      <c r="B27" s="4" t="s">
        <v>2237</v>
      </c>
      <c r="C27" s="5" t="s">
        <v>1671</v>
      </c>
      <c r="D27" s="4" t="str">
        <f>CONCATENATE(HYPERLINK("CALLTO:%2B356%202148%203614", "+356 2148 3614"))</f>
        <v>+356 2148 3614</v>
      </c>
      <c r="E27" s="5" t="s">
        <v>2271</v>
      </c>
      <c r="F27" s="5" t="s">
        <v>2042</v>
      </c>
      <c r="G27" s="4"/>
    </row>
    <row r="28" spans="1:7" x14ac:dyDescent="0.3">
      <c r="A28" s="2" t="s">
        <v>2226</v>
      </c>
      <c r="B28" s="2" t="s">
        <v>2238</v>
      </c>
      <c r="C28" s="3" t="s">
        <v>1646</v>
      </c>
      <c r="D28" s="2" t="str">
        <f>CONCATENATE(HYPERLINK("CALLTO:%2B356%202122%200310", "+356 2122 0310"))</f>
        <v>+356 2122 0310</v>
      </c>
      <c r="E28" s="3" t="s">
        <v>2272</v>
      </c>
      <c r="F28" s="3" t="s">
        <v>2301</v>
      </c>
      <c r="G28" s="2"/>
    </row>
    <row r="29" spans="1:7" x14ac:dyDescent="0.3">
      <c r="A29" s="4" t="s">
        <v>2226</v>
      </c>
      <c r="B29" s="4" t="s">
        <v>2239</v>
      </c>
      <c r="C29" s="5" t="s">
        <v>1937</v>
      </c>
      <c r="D29" s="4" t="str">
        <f>CONCATENATE(HYPERLINK("CALLTO:%2B356%202033%204532", "+356 2033 4532"))</f>
        <v>+356 2033 4532</v>
      </c>
      <c r="E29" s="5" t="s">
        <v>2273</v>
      </c>
      <c r="F29" s="5" t="s">
        <v>2302</v>
      </c>
      <c r="G29" s="4"/>
    </row>
    <row r="30" spans="1:7" x14ac:dyDescent="0.3">
      <c r="A30" s="2" t="s">
        <v>2226</v>
      </c>
      <c r="B30" s="2" t="s">
        <v>1577</v>
      </c>
      <c r="C30" s="3" t="s">
        <v>1946</v>
      </c>
      <c r="D30" s="2" t="str">
        <f>CONCATENATE(HYPERLINK("CALLTO:%2B356%202144%205733", "+356 2144 5733"))</f>
        <v>+356 2144 5733</v>
      </c>
      <c r="E30" s="3" t="s">
        <v>2274</v>
      </c>
      <c r="F30" s="3" t="s">
        <v>2303</v>
      </c>
      <c r="G30" s="2"/>
    </row>
    <row r="31" spans="1:7" x14ac:dyDescent="0.3">
      <c r="A31" s="4" t="s">
        <v>2226</v>
      </c>
      <c r="B31" s="4" t="s">
        <v>2240</v>
      </c>
      <c r="C31" s="5" t="s">
        <v>2249</v>
      </c>
      <c r="D31" s="4" t="str">
        <f>CONCATENATE(HYPERLINK("CALLTO:%2B356%202748%202536", "+356 2748 2536"))</f>
        <v>+356 2748 2536</v>
      </c>
      <c r="E31" s="5" t="s">
        <v>2275</v>
      </c>
      <c r="F31" s="5" t="s">
        <v>2304</v>
      </c>
      <c r="G31" s="4"/>
    </row>
    <row r="32" spans="1:7" x14ac:dyDescent="0.3">
      <c r="A32" s="2" t="s">
        <v>2226</v>
      </c>
      <c r="B32" s="2" t="s">
        <v>1585</v>
      </c>
      <c r="C32" s="3" t="s">
        <v>1669</v>
      </c>
      <c r="D32" s="2" t="str">
        <f>CONCATENATE(HYPERLINK("CALLTO:%2B356%207940%207622", "+356 7940 7622"))</f>
        <v>+356 7940 7622</v>
      </c>
      <c r="E32" s="3" t="s">
        <v>2166</v>
      </c>
      <c r="F32" s="3" t="s">
        <v>2305</v>
      </c>
      <c r="G32" s="2"/>
    </row>
    <row r="33" spans="1:7" x14ac:dyDescent="0.3">
      <c r="A33" s="4" t="s">
        <v>2226</v>
      </c>
      <c r="B33" s="4" t="s">
        <v>2152</v>
      </c>
      <c r="C33" s="5" t="s">
        <v>1505</v>
      </c>
      <c r="D33" s="4" t="str">
        <f>CONCATENATE(HYPERLINK("CALLTO:%2B356%202034%201569", "+356 2034 1569"))</f>
        <v>+356 2034 1569</v>
      </c>
      <c r="E33" s="5" t="s">
        <v>1689</v>
      </c>
      <c r="F33" s="5" t="s">
        <v>2174</v>
      </c>
      <c r="G33" s="4"/>
    </row>
    <row r="34" spans="1:7" x14ac:dyDescent="0.3">
      <c r="A34" s="2" t="s">
        <v>2226</v>
      </c>
      <c r="B34" s="2" t="s">
        <v>1524</v>
      </c>
      <c r="C34" s="3" t="s">
        <v>1610</v>
      </c>
      <c r="D34" s="2" t="str">
        <f>CONCATENATE(HYPERLINK("CALLTO:%2B356%207904%209970", "+356 7904 9970"))</f>
        <v>+356 7904 9970</v>
      </c>
      <c r="E34" s="3" t="s">
        <v>1688</v>
      </c>
      <c r="F34" s="3" t="s">
        <v>1782</v>
      </c>
      <c r="G34" s="2"/>
    </row>
    <row r="35" spans="1:7" x14ac:dyDescent="0.3">
      <c r="A35" s="4" t="s">
        <v>2226</v>
      </c>
      <c r="B35" s="4" t="s">
        <v>1523</v>
      </c>
      <c r="C35" s="5" t="s">
        <v>1609</v>
      </c>
      <c r="D35" s="4" t="str">
        <f>CONCATENATE(HYPERLINK("CALLTO:%2B356%202149%206473", "+356 2149 6473"))</f>
        <v>+356 2149 6473</v>
      </c>
      <c r="E35" s="5" t="s">
        <v>2276</v>
      </c>
      <c r="F35" s="5" t="s">
        <v>1781</v>
      </c>
      <c r="G35" s="4"/>
    </row>
    <row r="36" spans="1:7" x14ac:dyDescent="0.3">
      <c r="A36" s="2" t="s">
        <v>2226</v>
      </c>
      <c r="B36" s="2" t="s">
        <v>2241</v>
      </c>
      <c r="C36" s="3" t="s">
        <v>2250</v>
      </c>
      <c r="D36" s="2" t="str">
        <f>CONCATENATE(HYPERLINK("CALLTO:%2B356%207797%202449", "+356 7797 2449"))</f>
        <v>+356 7797 2449</v>
      </c>
      <c r="E36" s="3" t="s">
        <v>2277</v>
      </c>
      <c r="F36" s="3" t="s">
        <v>2306</v>
      </c>
      <c r="G36" s="2"/>
    </row>
    <row r="37" spans="1:7" x14ac:dyDescent="0.3">
      <c r="A37" s="4" t="s">
        <v>2226</v>
      </c>
      <c r="B37" s="4" t="s">
        <v>2242</v>
      </c>
      <c r="C37" s="5" t="s">
        <v>2251</v>
      </c>
      <c r="D37" s="4" t="str">
        <f>CONCATENATE(HYPERLINK("CALLTO:%2B356%202766%201083", "+356 2766 1083"))</f>
        <v>+356 2766 1083</v>
      </c>
      <c r="E37" s="5" t="s">
        <v>1687</v>
      </c>
      <c r="F37" s="5" t="s">
        <v>2307</v>
      </c>
      <c r="G37" s="4"/>
    </row>
    <row r="38" spans="1:7" x14ac:dyDescent="0.3">
      <c r="A38" s="2" t="s">
        <v>2226</v>
      </c>
      <c r="B38" s="2" t="s">
        <v>1522</v>
      </c>
      <c r="C38" s="3" t="s">
        <v>1608</v>
      </c>
      <c r="D38" s="2" t="str">
        <f>CONCATENATE(HYPERLINK("CALLTO:%2B356%202141%205553", "+356 2141 5553"))</f>
        <v>+356 2141 5553</v>
      </c>
      <c r="E38" s="3" t="s">
        <v>1743</v>
      </c>
      <c r="F38" s="3" t="s">
        <v>1780</v>
      </c>
      <c r="G38" s="2"/>
    </row>
    <row r="39" spans="1:7" x14ac:dyDescent="0.3">
      <c r="A39" s="4" t="s">
        <v>2226</v>
      </c>
      <c r="B39" s="4" t="s">
        <v>1578</v>
      </c>
      <c r="C39" s="5" t="s">
        <v>1662</v>
      </c>
      <c r="D39" s="4" t="str">
        <f>CONCATENATE(HYPERLINK("CALLTO:%2B356%202145%201718", "+356 2145 1718"))</f>
        <v>+356 2145 1718</v>
      </c>
      <c r="E39" s="5" t="s">
        <v>2278</v>
      </c>
      <c r="F39" s="5" t="s">
        <v>2308</v>
      </c>
      <c r="G39" s="4"/>
    </row>
    <row r="40" spans="1:7" x14ac:dyDescent="0.3">
      <c r="A40" s="2" t="s">
        <v>2226</v>
      </c>
      <c r="B40" s="2" t="s">
        <v>2243</v>
      </c>
      <c r="C40" s="3" t="s">
        <v>2252</v>
      </c>
      <c r="D40" s="2" t="str">
        <f>CONCATENATE(HYPERLINK("CALLTO:%2B356%202788%203788", "+356 2788 3788"))</f>
        <v>+356 2788 3788</v>
      </c>
      <c r="E40" s="2"/>
      <c r="F40" s="3" t="s">
        <v>2309</v>
      </c>
      <c r="G40" s="2"/>
    </row>
    <row r="41" spans="1:7" x14ac:dyDescent="0.3">
      <c r="A41" s="4" t="s">
        <v>2226</v>
      </c>
      <c r="B41" s="4" t="s">
        <v>1890</v>
      </c>
      <c r="C41" s="5" t="s">
        <v>1637</v>
      </c>
      <c r="D41" s="4"/>
      <c r="E41" s="4"/>
      <c r="F41" s="5" t="s">
        <v>2064</v>
      </c>
      <c r="G41" s="4"/>
    </row>
    <row r="42" spans="1:7" x14ac:dyDescent="0.3">
      <c r="A42" s="2" t="s">
        <v>2226</v>
      </c>
      <c r="B42" s="2" t="s">
        <v>2244</v>
      </c>
      <c r="C42" s="3" t="s">
        <v>2253</v>
      </c>
      <c r="D42" s="2"/>
      <c r="E42" s="2"/>
      <c r="F42" s="2"/>
      <c r="G42" s="2"/>
    </row>
    <row r="43" spans="1:7" x14ac:dyDescent="0.3">
      <c r="A43" s="4" t="s">
        <v>2226</v>
      </c>
      <c r="B43" s="4" t="s">
        <v>2245</v>
      </c>
      <c r="C43" s="5" t="s">
        <v>231</v>
      </c>
      <c r="D43" s="4"/>
      <c r="E43" s="4"/>
      <c r="F43" s="4"/>
      <c r="G43" s="4"/>
    </row>
    <row r="44" spans="1:7" x14ac:dyDescent="0.3">
      <c r="A44" s="2" t="s">
        <v>2226</v>
      </c>
      <c r="B44" s="2" t="s">
        <v>1193</v>
      </c>
      <c r="C44" s="3" t="s">
        <v>1272</v>
      </c>
      <c r="D44" s="2"/>
      <c r="E44" s="2"/>
      <c r="F44" s="2"/>
      <c r="G44" s="2"/>
    </row>
  </sheetData>
  <hyperlinks>
    <hyperlink ref="C2" r:id="rId1" tooltip="Send a mail to sales@malta-design.com" xr:uid="{00000000-0004-0000-1F00-000000000000}"/>
    <hyperlink ref="C3" r:id="rId2" tooltip="Send a mail to info@joinwell.com.mt" xr:uid="{00000000-0004-0000-1F00-000001000000}"/>
    <hyperlink ref="C4" r:id="rId3" tooltip="Send a mail to info@brands.com.mt" xr:uid="{00000000-0004-0000-1F00-000002000000}"/>
    <hyperlink ref="C5" r:id="rId4" tooltip="Send a mail to info@promaninteriors.com" xr:uid="{00000000-0004-0000-1F00-000003000000}"/>
    <hyperlink ref="C6" r:id="rId5" tooltip="Send a mail to info@fino.com.mt" xr:uid="{00000000-0004-0000-1F00-000004000000}"/>
    <hyperlink ref="C7" r:id="rId6" tooltip="Send a mail to sales@powerhousemalta.eu" xr:uid="{00000000-0004-0000-1F00-000005000000}"/>
    <hyperlink ref="C8" r:id="rId7" tooltip="Send a mail to info@fairdealfurniture.com.mt" xr:uid="{00000000-0004-0000-1F00-000006000000}"/>
    <hyperlink ref="C9" r:id="rId8" tooltip="Send a mail to info@domestica.com.mt" xr:uid="{00000000-0004-0000-1F00-000007000000}"/>
    <hyperlink ref="C10" r:id="rId9" tooltip="Send a mail to info@onepercent.com.mt" xr:uid="{00000000-0004-0000-1F00-000008000000}"/>
    <hyperlink ref="C11" r:id="rId10" tooltip="Send a mail to info@distincthomes.com.mt" xr:uid="{00000000-0004-0000-1F00-000009000000}"/>
    <hyperlink ref="C12" r:id="rId11" tooltip="Send a mail to info@indexmalta.com" xr:uid="{00000000-0004-0000-1F00-00000A000000}"/>
    <hyperlink ref="C13" r:id="rId12" tooltip="Send a mail to info@okhome.com.mt" xr:uid="{00000000-0004-0000-1F00-00000B000000}"/>
    <hyperlink ref="C14" r:id="rId13" tooltip="Send a mail to contactus@theatrium.com.mt" xr:uid="{00000000-0004-0000-1F00-00000C000000}"/>
    <hyperlink ref="C15" r:id="rId14" tooltip="Send a mail to customercare@homemate.com.mt" xr:uid="{00000000-0004-0000-1F00-00000D000000}"/>
    <hyperlink ref="C16" r:id="rId15" tooltip="Send a mail to infodesk@form.com.mt" xr:uid="{00000000-0004-0000-1F00-00000E000000}"/>
    <hyperlink ref="C17" r:id="rId16" tooltip="Send a mail to service@oxfordhouse.com.mt" xr:uid="{00000000-0004-0000-1F00-00000F000000}"/>
    <hyperlink ref="C18" r:id="rId17" tooltip="Send a mail to jysk@jysk.com.mt" xr:uid="{00000000-0004-0000-1F00-000010000000}"/>
    <hyperlink ref="C19" r:id="rId18" tooltip="Send a mail to info@bdi.com.mt" xr:uid="{00000000-0004-0000-1F00-000011000000}"/>
    <hyperlink ref="C20" r:id="rId19" tooltip="Send a mail to info@dari.mt" xr:uid="{00000000-0004-0000-1F00-000012000000}"/>
    <hyperlink ref="C21" r:id="rId20" tooltip="Send a mail to info@satariano.com" xr:uid="{00000000-0004-0000-1F00-000013000000}"/>
    <hyperlink ref="C22" r:id="rId21" tooltip="Send a mail to sales@karrari.shop" xr:uid="{00000000-0004-0000-1F00-000014000000}"/>
    <hyperlink ref="C23" r:id="rId22" tooltip="Send a mail to info@dinofino.com" xr:uid="{00000000-0004-0000-1F00-000015000000}"/>
    <hyperlink ref="C24" r:id="rId23" tooltip="Send a mail to info@borgegroup.com" xr:uid="{00000000-0004-0000-1F00-000016000000}"/>
    <hyperlink ref="C25" r:id="rId24" tooltip="Send a mail to info@bondsmalta.com" xr:uid="{00000000-0004-0000-1F00-000017000000}"/>
    <hyperlink ref="C26" r:id="rId25" tooltip="Send a mail to info@immaginecasamalta.com" xr:uid="{00000000-0004-0000-1F00-000018000000}"/>
    <hyperlink ref="C27" r:id="rId26" tooltip="Send a mail to info@ferraramalta.com" xr:uid="{00000000-0004-0000-1F00-000019000000}"/>
    <hyperlink ref="C28" r:id="rId27" tooltip="Send a mail to info@constructfurniture.com.mt" xr:uid="{00000000-0004-0000-1F00-00001A000000}"/>
    <hyperlink ref="C29" r:id="rId28" tooltip="Send a mail to sales@maltashopper.com" xr:uid="{00000000-0004-0000-1F00-00001B000000}"/>
    <hyperlink ref="C30" r:id="rId29" tooltip="Send a mail to info@orienta.com.mt" xr:uid="{00000000-0004-0000-1F00-00001C000000}"/>
    <hyperlink ref="C31" r:id="rId30" tooltip="Send a mail to info@azeta.com.mt" xr:uid="{00000000-0004-0000-1F00-00001D000000}"/>
    <hyperlink ref="C32" r:id="rId31" tooltip="Send a mail to danwoodworks@yahoo.co.uk" xr:uid="{00000000-0004-0000-1F00-00001E000000}"/>
    <hyperlink ref="C33" r:id="rId32" tooltip="Send a mail to sales@maltadiy.com" xr:uid="{00000000-0004-0000-1F00-00001F000000}"/>
    <hyperlink ref="C34" r:id="rId33" tooltip="Send a mail to homistic@yahoo.com" xr:uid="{00000000-0004-0000-1F00-000020000000}"/>
    <hyperlink ref="C35" r:id="rId34" tooltip="Send a mail to info@styleinterni.com" xr:uid="{00000000-0004-0000-1F00-000021000000}"/>
    <hyperlink ref="C36" r:id="rId35" tooltip="Send a mail to info@arkomalta.com" xr:uid="{00000000-0004-0000-1F00-000022000000}"/>
    <hyperlink ref="C37" r:id="rId36" tooltip="Send a mail to info@luksfurniture.com" xr:uid="{00000000-0004-0000-1F00-000023000000}"/>
    <hyperlink ref="C38" r:id="rId37" tooltip="Send a mail to sales@euroimjsm.com" xr:uid="{00000000-0004-0000-1F00-000024000000}"/>
    <hyperlink ref="C39" r:id="rId38" tooltip="Send a mail to info@luxonas.com" xr:uid="{00000000-0004-0000-1F00-000025000000}"/>
    <hyperlink ref="C40" r:id="rId39" tooltip="Send a mail to sales@lingonberries.eu" xr:uid="{00000000-0004-0000-1F00-000026000000}"/>
    <hyperlink ref="C41" r:id="rId40" tooltip="Send a mail to info@boconcept.com.mt" xr:uid="{00000000-0004-0000-1F00-000027000000}"/>
    <hyperlink ref="C42" r:id="rId41" tooltip="Send a mail to info@loft.com.mt" xr:uid="{00000000-0004-0000-1F00-000028000000}"/>
    <hyperlink ref="C43" r:id="rId42" tooltip="Send a mail to pdgl1969@gmail.com" xr:uid="{00000000-0004-0000-1F00-000029000000}"/>
    <hyperlink ref="C44" r:id="rId43" tooltip="Send a mail to newlineliving@gmail.com" xr:uid="{00000000-0004-0000-1F00-00002A000000}"/>
    <hyperlink ref="E2" r:id="rId44" tooltip="Search Malta Design_x000a_33 Triq l-Oleandru ,_x000a_San Giljan, Malta on Google Maps" xr:uid="{00000000-0004-0000-1F00-00002B000000}"/>
    <hyperlink ref="E3" r:id="rId45" tooltip="Search JoinwellFXB,_x000a_Triq il-Mithna, Central Business District,_x000a_Qormi, CBD 5090 on Google Maps" xr:uid="{00000000-0004-0000-1F00-00002C000000}"/>
    <hyperlink ref="E4" r:id="rId46" tooltip="Search Triq tal-Balal, San Gwann, Malta on Google Maps" xr:uid="{00000000-0004-0000-1F00-00002D000000}"/>
    <hyperlink ref="E5" r:id="rId47" tooltip="Search Proman Interiors,_x000a_115, Valley Road,_x000a_B'Kara. BKR 9022._x000a_Malta. on Google Maps" xr:uid="{00000000-0004-0000-1F00-00002E000000}"/>
    <hyperlink ref="E6" r:id="rId48" tooltip="Search Fino Buildings,_x000a_Triq l-Imdina, Zone 4,_x000a_Mriehel/Central Business District_x000a_CBD 4010, Malta on Google Maps" xr:uid="{00000000-0004-0000-1F00-00002F000000}"/>
    <hyperlink ref="E7" r:id="rId49" tooltip="Search Power House, 13,_x000a_Censu Bugeja Street,_x000a_Birkirkara, Malta on Google Maps" xr:uid="{00000000-0004-0000-1F00-000030000000}"/>
    <hyperlink ref="E8" r:id="rId50" tooltip="Search Fairdeal Furniture Malta LTD_x000a_Mdina Road_x000a_Zebbug, Malta on Google Maps" xr:uid="{00000000-0004-0000-1F00-000031000000}"/>
    <hyperlink ref="E9" r:id="rId51" tooltip="Search Domestica Complex, Level 1, Valley Road_x000a_Msida, MSD 9091, Malta on Google Maps" xr:uid="{00000000-0004-0000-1F00-000032000000}"/>
    <hyperlink ref="E10" r:id="rId52" tooltip="Search Valley Road_x000a_Msida MSD 9022 on Google Maps" xr:uid="{00000000-0004-0000-1F00-000033000000}"/>
    <hyperlink ref="E11" r:id="rId53" tooltip="Search Mdina Road, Attard on Google Maps" xr:uid="{00000000-0004-0000-1F00-000034000000}"/>
    <hyperlink ref="E12" r:id="rId54" tooltip="Search 159, Tip Top Buildings,_x000a_St Thomas Street, Fgura,  FGR1605 on Google Maps" xr:uid="{00000000-0004-0000-1F00-000035000000}"/>
    <hyperlink ref="E13" r:id="rId55" tooltip="Search OK Home, Pantar Road,_x000a_Lija, Malta on Google Maps" xr:uid="{00000000-0004-0000-1F00-000036000000}"/>
    <hyperlink ref="E14" r:id="rId56" tooltip="Search The Atrium, Giovanni Felice Street, Zone 3, Central Business District, Birkirkara CBD 3120 on Google Maps" xr:uid="{00000000-0004-0000-1F00-000037000000}"/>
    <hyperlink ref="E15" r:id="rId57" tooltip="Search Homemate Mriehel on Google Maps" xr:uid="{00000000-0004-0000-1F00-000038000000}"/>
    <hyperlink ref="E16" r:id="rId58" tooltip="Search Triq il-Wied Ta' L-Imsida, L-Imsida on Google Maps" xr:uid="{00000000-0004-0000-1F00-000039000000}"/>
    <hyperlink ref="E17" r:id="rId59" tooltip="Search Triq L-Imdina,_x000a_Zone 2, Central Business District,_x000a_Birkirkara CBD 2010, Malta on Google Maps" xr:uid="{00000000-0004-0000-1F00-00003A000000}"/>
    <hyperlink ref="E18" r:id="rId60" tooltip="Search Triq-Il Mosta, Lija, Malta on Google Maps" xr:uid="{00000000-0004-0000-1F00-00003B000000}"/>
    <hyperlink ref="E19" r:id="rId61" tooltip="Search BDI, 1, Triq Pietru Felici, Qormi, Malta on Google Maps" xr:uid="{00000000-0004-0000-1F00-00003C000000}"/>
    <hyperlink ref="E20" r:id="rId62" tooltip="Search Industrial Estate_x000a_Ħandaq Qormi,_x000a_QRM 4000, Malta on Google Maps" xr:uid="{00000000-0004-0000-1F00-00003D000000}"/>
    <hyperlink ref="E21" r:id="rId63" tooltip="Search 122, Msida Valley Road B’kara BKR 9024 on Google Maps" xr:uid="{00000000-0004-0000-1F00-00003E000000}"/>
    <hyperlink ref="E22" r:id="rId64" tooltip="Search Karrari (Showroom), Avenue 77, Commerce Street, Central Business District, , Birkirkara, Malta on Google Maps" xr:uid="{00000000-0004-0000-1F00-00003F000000}"/>
    <hyperlink ref="E23" r:id="rId65" tooltip="Search Dino Fino Home + Contract, Msida, Valley Road, Birkirkara, Birkirkara, Malta on Google Maps" xr:uid="{00000000-0004-0000-1F00-000040000000}"/>
    <hyperlink ref="E24" r:id="rId66" tooltip="Search Bond’s Limited Mdina Road, Attard, ATD 9039 on Google Maps" xr:uid="{00000000-0004-0000-1F00-000041000000}"/>
    <hyperlink ref="E25" r:id="rId67" tooltip="Search Valley Road, Birkirkara, Malta. on Google Maps" xr:uid="{00000000-0004-0000-1F00-000042000000}"/>
    <hyperlink ref="E26" r:id="rId68" tooltip="Search Ferraracasa Warehouse_x000a_Triq is-Salib ta l-Mriehel_x000a_CBD3020 Birkirkara_x000a_Malta on Google Maps" xr:uid="{00000000-0004-0000-1F00-000043000000}"/>
    <hyperlink ref="E27" r:id="rId69" tooltip="Search 40, Industrial Estate, Luqa_x000a_LQA 3000, Malta on Google Maps" xr:uid="{00000000-0004-0000-1F00-000044000000}"/>
    <hyperlink ref="E28" r:id="rId70" tooltip="Search 162 Cannon Road, Santa Venera,_x000a_SVR 9034, Malta on Google Maps" xr:uid="{00000000-0004-0000-1F00-000045000000}"/>
    <hyperlink ref="E29" r:id="rId71" tooltip="Search Triq L-Imdina, Zone 2 Central Business District, Birkirkara CBD 2010, Malta on Google Maps" xr:uid="{00000000-0004-0000-1F00-000046000000}"/>
    <hyperlink ref="E30" r:id="rId72" tooltip="Search Azeta Limited_x000a_354 Cannon Road,_x000a_St Venera_x000a_SVR9033_x000a_Malta on Google Maps" xr:uid="{00000000-0004-0000-1F00-000047000000}"/>
    <hyperlink ref="E31" r:id="rId73" tooltip="Search 86_x000a_Triq Valletta_x000a_Hal Luqa_x000a_Malta  LQA 1762 on Google Maps" xr:uid="{00000000-0004-0000-1F00-000048000000}"/>
    <hyperlink ref="E32" r:id="rId74" tooltip="Search Baldacchino Building B, Triq Il-Belt Valletta, Zurrieq on Google Maps" xr:uid="{00000000-0004-0000-1F00-000049000000}"/>
    <hyperlink ref="E33" r:id="rId75" tooltip="Search 22/23 Triq hal mula Haz-zebbug ZBG on Google Maps" xr:uid="{00000000-0004-0000-1F00-00004A000000}"/>
    <hyperlink ref="E34" r:id="rId76" tooltip="Search 260 Old Railway Track, Santa Venera SVR 9019 on Google Maps" xr:uid="{00000000-0004-0000-1F00-00004B000000}"/>
    <hyperlink ref="E35" r:id="rId77" tooltip="Search Triq is-Salib Ta' l-Imriehel_x000a_Business District_x000a_Mriehel on Google Maps" xr:uid="{00000000-0004-0000-1F00-00004C000000}"/>
    <hyperlink ref="E36" r:id="rId78" tooltip="Search Luks Furniture, Triq L-Imdina, Attard on Google Maps" xr:uid="{00000000-0004-0000-1F00-00004D000000}"/>
    <hyperlink ref="E37" r:id="rId79" tooltip="Search 2, Industrial Estate_x000a_Mdina Road_x000a_Attard, ATD3000 on Google Maps" xr:uid="{00000000-0004-0000-1F00-00004E000000}"/>
    <hyperlink ref="E38" r:id="rId80" tooltip="Search Triq L-Mdina, Haz-Zebbug, ZBG09018 on Google Maps" xr:uid="{00000000-0004-0000-1F00-00004F000000}"/>
    <hyperlink ref="E39" r:id="rId81" tooltip="Search 27 Triq Wignacourt, Birkirkara on Google Maps" xr:uid="{00000000-0004-0000-1F00-000050000000}"/>
    <hyperlink ref="F2" r:id="rId82" tooltip="Visit malta-design.com" xr:uid="{00000000-0004-0000-1F00-000051000000}"/>
    <hyperlink ref="F3" r:id="rId83" tooltip="Visit joinwell.com.mt/" xr:uid="{00000000-0004-0000-1F00-000052000000}"/>
    <hyperlink ref="F4" r:id="rId84" tooltip="Visit brands.com.mt/" xr:uid="{00000000-0004-0000-1F00-000053000000}"/>
    <hyperlink ref="F5" r:id="rId85" tooltip="Visit promaninteriors.com/" xr:uid="{00000000-0004-0000-1F00-000054000000}"/>
    <hyperlink ref="F6" r:id="rId86" tooltip="Visit fino.com.mt/" xr:uid="{00000000-0004-0000-1F00-000055000000}"/>
    <hyperlink ref="F7" r:id="rId87" tooltip="Visit powerhousemalta.eu/" xr:uid="{00000000-0004-0000-1F00-000056000000}"/>
    <hyperlink ref="F8" r:id="rId88" tooltip="Visit fairdealfurniture.com.mt/" xr:uid="{00000000-0004-0000-1F00-000057000000}"/>
    <hyperlink ref="F9" r:id="rId89" tooltip="Visit domestica.com.mt/" xr:uid="{00000000-0004-0000-1F00-000058000000}"/>
    <hyperlink ref="F10" r:id="rId90" tooltip="Visit onepercent.com.mt/" xr:uid="{00000000-0004-0000-1F00-000059000000}"/>
    <hyperlink ref="F11" r:id="rId91" tooltip="Visit distincthomes.com.mt/" xr:uid="{00000000-0004-0000-1F00-00005A000000}"/>
    <hyperlink ref="F12" r:id="rId92" tooltip="Visit indexmalta.com/" xr:uid="{00000000-0004-0000-1F00-00005B000000}"/>
    <hyperlink ref="F13" r:id="rId93" tooltip="Visit okhome.com.mt/" xr:uid="{00000000-0004-0000-1F00-00005C000000}"/>
    <hyperlink ref="F14" r:id="rId94" tooltip="Visit theatrium.com.mt/living" xr:uid="{00000000-0004-0000-1F00-00005D000000}"/>
    <hyperlink ref="F15" r:id="rId95" tooltip="Visit homemate.com.mt/" xr:uid="{00000000-0004-0000-1F00-00005E000000}"/>
    <hyperlink ref="F16" r:id="rId96" tooltip="Visit form.com.mt/living/" xr:uid="{00000000-0004-0000-1F00-00005F000000}"/>
    <hyperlink ref="F17" r:id="rId97" tooltip="Visit oxfordhouse.com.mt/" xr:uid="{00000000-0004-0000-1F00-000060000000}"/>
    <hyperlink ref="F18" r:id="rId98" tooltip="Visit jysk.com.mt/" xr:uid="{00000000-0004-0000-1F00-000061000000}"/>
    <hyperlink ref="F19" r:id="rId99" tooltip="Visit homesbybdi.com/en/home" xr:uid="{00000000-0004-0000-1F00-000062000000}"/>
    <hyperlink ref="F20" r:id="rId100" tooltip="Visit dari.mt/living-rooms/" xr:uid="{00000000-0004-0000-1F00-000063000000}"/>
    <hyperlink ref="F21" r:id="rId101" tooltip="Visit satariano.com/" xr:uid="{00000000-0004-0000-1F00-000064000000}"/>
    <hyperlink ref="F22" r:id="rId102" tooltip="Visit karrari.shop/" xr:uid="{00000000-0004-0000-1F00-000065000000}"/>
    <hyperlink ref="F23" r:id="rId103" tooltip="Visit dinofino.com/" xr:uid="{00000000-0004-0000-1F00-000066000000}"/>
    <hyperlink ref="F24" r:id="rId104" tooltip="Visit borgegroup.com/" xr:uid="{00000000-0004-0000-1F00-000067000000}"/>
    <hyperlink ref="F25" r:id="rId105" tooltip="Visit bondsmalta.com/" xr:uid="{00000000-0004-0000-1F00-000068000000}"/>
    <hyperlink ref="F26" r:id="rId106" tooltip="Visit immaginecasamalta.com/living-2/" xr:uid="{00000000-0004-0000-1F00-000069000000}"/>
    <hyperlink ref="F27" r:id="rId107" tooltip="Visit ferraramalta.com/" xr:uid="{00000000-0004-0000-1F00-00006A000000}"/>
    <hyperlink ref="F28" r:id="rId108" tooltip="Visit constructfurniture.com.mt/contact-us/" xr:uid="{00000000-0004-0000-1F00-00006B000000}"/>
    <hyperlink ref="F29" r:id="rId109" tooltip="Visit maltashopper.com/" xr:uid="{00000000-0004-0000-1F00-00006C000000}"/>
    <hyperlink ref="F30" r:id="rId110" tooltip="Visit orienta.mt/" xr:uid="{00000000-0004-0000-1F00-00006D000000}"/>
    <hyperlink ref="F31" r:id="rId111" tooltip="Visit azeta.com.mt/pages/contact" xr:uid="{00000000-0004-0000-1F00-00006E000000}"/>
    <hyperlink ref="F32" r:id="rId112" tooltip="Visit danielwoodworksmalta.com/en/home.htm" xr:uid="{00000000-0004-0000-1F00-00006F000000}"/>
    <hyperlink ref="F33" r:id="rId113" tooltip="Visit maltadiy.com/product-category/lights-and-tech/lights/" xr:uid="{00000000-0004-0000-1F00-000070000000}"/>
    <hyperlink ref="F34" r:id="rId114" tooltip="Visit homisticrooms.com/" xr:uid="{00000000-0004-0000-1F00-000071000000}"/>
    <hyperlink ref="F35" r:id="rId115" tooltip="Visit styleinterni.com/" xr:uid="{00000000-0004-0000-1F00-000072000000}"/>
    <hyperlink ref="F36" r:id="rId116" tooltip="Visit arkomalta.com/" xr:uid="{00000000-0004-0000-1F00-000073000000}"/>
    <hyperlink ref="F37" r:id="rId117" tooltip="Visit luksfurniture.com/" xr:uid="{00000000-0004-0000-1F00-000074000000}"/>
    <hyperlink ref="F38" r:id="rId118" tooltip="Visit euroimjsm.com/" xr:uid="{00000000-0004-0000-1F00-000075000000}"/>
    <hyperlink ref="F39" r:id="rId119" tooltip="Visit luxonas.com/" xr:uid="{00000000-0004-0000-1F00-000076000000}"/>
    <hyperlink ref="F40" r:id="rId120" tooltip="Visit lingonberries.mt/" xr:uid="{00000000-0004-0000-1F00-000077000000}"/>
    <hyperlink ref="F41" r:id="rId121" tooltip="Visit boconcept.com/en-mt/" xr:uid="{00000000-0004-0000-1F00-000078000000}"/>
  </hyperlinks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5"/>
  <sheetViews>
    <sheetView workbookViewId="0"/>
  </sheetViews>
  <sheetFormatPr defaultRowHeight="14.4" x14ac:dyDescent="0.3"/>
  <cols>
    <col min="1" max="1" width="29" customWidth="1"/>
    <col min="2" max="2" width="23.6640625" customWidth="1"/>
    <col min="3" max="3" width="31" customWidth="1"/>
    <col min="4" max="4" width="18.6640625" customWidth="1"/>
    <col min="5" max="5" width="11.44140625" customWidth="1"/>
    <col min="6" max="6" width="11" customWidth="1"/>
    <col min="7" max="7" width="7.5546875" customWidth="1"/>
  </cols>
  <sheetData>
    <row r="1" spans="1:7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526</v>
      </c>
      <c r="F1" s="1" t="s">
        <v>532</v>
      </c>
      <c r="G1" s="1" t="s">
        <v>866</v>
      </c>
    </row>
    <row r="2" spans="1:7" x14ac:dyDescent="0.3">
      <c r="A2" s="2" t="s">
        <v>2279</v>
      </c>
      <c r="B2" s="2" t="s">
        <v>2311</v>
      </c>
      <c r="C2" s="3" t="s">
        <v>2326</v>
      </c>
      <c r="D2" s="2"/>
      <c r="E2" s="2"/>
      <c r="F2" s="2"/>
      <c r="G2" s="2"/>
    </row>
    <row r="3" spans="1:7" x14ac:dyDescent="0.3">
      <c r="A3" s="4" t="s">
        <v>2279</v>
      </c>
      <c r="B3" s="4" t="s">
        <v>2312</v>
      </c>
      <c r="C3" s="5" t="s">
        <v>698</v>
      </c>
      <c r="D3" s="4"/>
      <c r="E3" s="4"/>
      <c r="F3" s="4"/>
      <c r="G3" s="4"/>
    </row>
    <row r="4" spans="1:7" x14ac:dyDescent="0.3">
      <c r="A4" s="2" t="s">
        <v>2279</v>
      </c>
      <c r="B4" s="2" t="s">
        <v>2313</v>
      </c>
      <c r="C4" s="3" t="s">
        <v>2327</v>
      </c>
      <c r="D4" s="2"/>
      <c r="E4" s="2"/>
      <c r="F4" s="2"/>
      <c r="G4" s="2"/>
    </row>
    <row r="5" spans="1:7" x14ac:dyDescent="0.3">
      <c r="A5" s="4" t="s">
        <v>2279</v>
      </c>
      <c r="B5" s="4" t="s">
        <v>2314</v>
      </c>
      <c r="C5" s="5" t="s">
        <v>2328</v>
      </c>
      <c r="D5" s="4"/>
      <c r="E5" s="4"/>
      <c r="F5" s="4"/>
      <c r="G5" s="4"/>
    </row>
    <row r="6" spans="1:7" x14ac:dyDescent="0.3">
      <c r="A6" s="2" t="s">
        <v>2279</v>
      </c>
      <c r="B6" s="2" t="s">
        <v>2238</v>
      </c>
      <c r="C6" s="3" t="s">
        <v>1646</v>
      </c>
      <c r="D6" s="2"/>
      <c r="E6" s="2"/>
      <c r="F6" s="2"/>
      <c r="G6" s="2"/>
    </row>
    <row r="7" spans="1:7" x14ac:dyDescent="0.3">
      <c r="A7" s="4" t="s">
        <v>2279</v>
      </c>
      <c r="B7" s="4" t="s">
        <v>2315</v>
      </c>
      <c r="C7" s="5" t="s">
        <v>1674</v>
      </c>
      <c r="D7" s="4"/>
      <c r="E7" s="4"/>
      <c r="F7" s="4"/>
      <c r="G7" s="4"/>
    </row>
    <row r="8" spans="1:7" x14ac:dyDescent="0.3">
      <c r="A8" s="2" t="s">
        <v>2279</v>
      </c>
      <c r="B8" s="2" t="s">
        <v>2316</v>
      </c>
      <c r="C8" s="3" t="s">
        <v>2329</v>
      </c>
      <c r="D8" s="2"/>
      <c r="E8" s="2"/>
      <c r="F8" s="2"/>
      <c r="G8" s="2"/>
    </row>
    <row r="9" spans="1:7" x14ac:dyDescent="0.3">
      <c r="A9" s="4" t="s">
        <v>2279</v>
      </c>
      <c r="B9" s="4" t="s">
        <v>2317</v>
      </c>
      <c r="C9" s="5" t="s">
        <v>2330</v>
      </c>
      <c r="D9" s="4"/>
      <c r="E9" s="4"/>
      <c r="F9" s="4"/>
      <c r="G9" s="4"/>
    </row>
    <row r="10" spans="1:7" x14ac:dyDescent="0.3">
      <c r="A10" s="2" t="s">
        <v>2279</v>
      </c>
      <c r="B10" s="2" t="s">
        <v>2318</v>
      </c>
      <c r="C10" s="3" t="s">
        <v>2331</v>
      </c>
      <c r="D10" s="2"/>
      <c r="E10" s="2"/>
      <c r="F10" s="2"/>
      <c r="G10" s="2"/>
    </row>
    <row r="11" spans="1:7" x14ac:dyDescent="0.3">
      <c r="A11" s="4" t="s">
        <v>2279</v>
      </c>
      <c r="B11" s="4" t="s">
        <v>1569</v>
      </c>
      <c r="C11" s="5" t="s">
        <v>1654</v>
      </c>
      <c r="D11" s="4"/>
      <c r="E11" s="4"/>
      <c r="F11" s="4"/>
      <c r="G11" s="4"/>
    </row>
    <row r="12" spans="1:7" x14ac:dyDescent="0.3">
      <c r="A12" s="2" t="s">
        <v>2279</v>
      </c>
      <c r="B12" s="2" t="s">
        <v>2319</v>
      </c>
      <c r="C12" s="3" t="s">
        <v>1668</v>
      </c>
      <c r="D12" s="2"/>
      <c r="E12" s="2"/>
      <c r="F12" s="2"/>
      <c r="G12" s="2"/>
    </row>
    <row r="13" spans="1:7" x14ac:dyDescent="0.3">
      <c r="A13" s="4" t="s">
        <v>2279</v>
      </c>
      <c r="B13" s="4" t="s">
        <v>2320</v>
      </c>
      <c r="C13" s="5" t="s">
        <v>2332</v>
      </c>
      <c r="D13" s="4"/>
      <c r="E13" s="4"/>
      <c r="F13" s="4"/>
      <c r="G13" s="4"/>
    </row>
    <row r="14" spans="1:7" x14ac:dyDescent="0.3">
      <c r="A14" s="2" t="s">
        <v>2279</v>
      </c>
      <c r="B14" s="2" t="s">
        <v>766</v>
      </c>
      <c r="C14" s="3" t="s">
        <v>796</v>
      </c>
      <c r="D14" s="2"/>
      <c r="E14" s="2"/>
      <c r="F14" s="2"/>
      <c r="G14" s="2"/>
    </row>
    <row r="15" spans="1:7" x14ac:dyDescent="0.3">
      <c r="A15" s="4" t="s">
        <v>2279</v>
      </c>
      <c r="B15" s="4" t="s">
        <v>1920</v>
      </c>
      <c r="C15" s="5" t="s">
        <v>1967</v>
      </c>
      <c r="D15" s="4"/>
      <c r="E15" s="4"/>
      <c r="F15" s="4"/>
      <c r="G15" s="4"/>
    </row>
    <row r="16" spans="1:7" x14ac:dyDescent="0.3">
      <c r="A16" s="2" t="s">
        <v>2279</v>
      </c>
      <c r="B16" s="2" t="s">
        <v>2321</v>
      </c>
      <c r="C16" s="3" t="s">
        <v>2333</v>
      </c>
      <c r="D16" s="2"/>
      <c r="E16" s="2"/>
      <c r="F16" s="2"/>
      <c r="G16" s="2"/>
    </row>
    <row r="17" spans="1:7" x14ac:dyDescent="0.3">
      <c r="A17" s="4"/>
      <c r="B17" s="4" t="s">
        <v>2322</v>
      </c>
      <c r="C17" s="5" t="s">
        <v>2334</v>
      </c>
      <c r="D17" s="4"/>
      <c r="E17" s="4"/>
      <c r="F17" s="4"/>
      <c r="G17" s="4"/>
    </row>
    <row r="18" spans="1:7" x14ac:dyDescent="0.3">
      <c r="A18" s="2"/>
      <c r="B18" s="2" t="s">
        <v>2231</v>
      </c>
      <c r="C18" s="3" t="s">
        <v>1634</v>
      </c>
      <c r="D18" s="2"/>
      <c r="E18" s="2"/>
      <c r="F18" s="2"/>
      <c r="G18" s="2"/>
    </row>
    <row r="19" spans="1:7" x14ac:dyDescent="0.3">
      <c r="A19" s="4"/>
      <c r="B19" s="4" t="s">
        <v>1068</v>
      </c>
      <c r="C19" s="5" t="s">
        <v>1077</v>
      </c>
      <c r="D19" s="4"/>
      <c r="E19" s="4"/>
      <c r="F19" s="4"/>
      <c r="G19" s="4"/>
    </row>
    <row r="20" spans="1:7" x14ac:dyDescent="0.3">
      <c r="A20" s="2"/>
      <c r="B20" s="2" t="s">
        <v>2323</v>
      </c>
      <c r="C20" s="3" t="s">
        <v>2335</v>
      </c>
      <c r="D20" s="2"/>
      <c r="E20" s="2"/>
      <c r="F20" s="2"/>
      <c r="G20" s="2"/>
    </row>
    <row r="21" spans="1:7" x14ac:dyDescent="0.3">
      <c r="A21" s="4"/>
      <c r="B21" s="4" t="s">
        <v>2324</v>
      </c>
      <c r="C21" s="5" t="s">
        <v>2336</v>
      </c>
      <c r="D21" s="4"/>
      <c r="E21" s="4"/>
      <c r="F21" s="4"/>
      <c r="G21" s="4"/>
    </row>
    <row r="22" spans="1:7" x14ac:dyDescent="0.3">
      <c r="A22" s="2"/>
      <c r="B22" s="2" t="s">
        <v>1867</v>
      </c>
      <c r="C22" s="3" t="s">
        <v>1635</v>
      </c>
      <c r="D22" s="2"/>
      <c r="E22" s="2"/>
      <c r="F22" s="2"/>
      <c r="G22" s="2"/>
    </row>
    <row r="23" spans="1:7" x14ac:dyDescent="0.3">
      <c r="A23" s="4"/>
      <c r="B23" s="4" t="s">
        <v>1587</v>
      </c>
      <c r="C23" s="5" t="s">
        <v>1671</v>
      </c>
      <c r="D23" s="4"/>
      <c r="E23" s="4"/>
      <c r="F23" s="4"/>
      <c r="G23" s="4"/>
    </row>
    <row r="24" spans="1:7" x14ac:dyDescent="0.3">
      <c r="A24" s="2"/>
      <c r="B24" s="2" t="s">
        <v>2233</v>
      </c>
      <c r="C24" s="3" t="s">
        <v>1617</v>
      </c>
      <c r="D24" s="2"/>
      <c r="E24" s="2"/>
      <c r="F24" s="2"/>
      <c r="G24" s="2"/>
    </row>
    <row r="25" spans="1:7" x14ac:dyDescent="0.3">
      <c r="A25" s="4"/>
      <c r="B25" s="4" t="s">
        <v>2325</v>
      </c>
      <c r="C25" s="5" t="s">
        <v>2337</v>
      </c>
      <c r="D25" s="4"/>
      <c r="E25" s="4"/>
      <c r="F25" s="4"/>
      <c r="G25" s="4"/>
    </row>
  </sheetData>
  <hyperlinks>
    <hyperlink ref="C2" r:id="rId1" tooltip="Send a mail to sales@pmhobby.com.mt" xr:uid="{00000000-0004-0000-2000-000000000000}"/>
    <hyperlink ref="C3" r:id="rId2" tooltip="Send a mail to info@designhubmalta.com.mt" xr:uid="{00000000-0004-0000-2000-000001000000}"/>
    <hyperlink ref="C4" r:id="rId3" tooltip="Send a mail to customer@devalier.com.mt" xr:uid="{00000000-0004-0000-2000-000002000000}"/>
    <hyperlink ref="C5" r:id="rId4" tooltip="Send a mail to info@deffurniture.com" xr:uid="{00000000-0004-0000-2000-000003000000}"/>
    <hyperlink ref="C6" r:id="rId5" tooltip="Send a mail to info@constructfurniture.com.mt" xr:uid="{00000000-0004-0000-2000-000004000000}"/>
    <hyperlink ref="C7" r:id="rId6" tooltip="Send a mail to info@jcrfurniture.com" xr:uid="{00000000-0004-0000-2000-000005000000}"/>
    <hyperlink ref="C8" r:id="rId7" tooltip="Send a mail to thecustomworkshop@gmail.com" xr:uid="{00000000-0004-0000-2000-000006000000}"/>
    <hyperlink ref="C9" r:id="rId8" tooltip="Send a mail to info@ametsfurniture.com" xr:uid="{00000000-0004-0000-2000-000007000000}"/>
    <hyperlink ref="C10" r:id="rId9" tooltip="Send a mail to info@ts-malta.com" xr:uid="{00000000-0004-0000-2000-000008000000}"/>
    <hyperlink ref="C11" r:id="rId10" tooltip="Send a mail to info@jdsfurniture.com" xr:uid="{00000000-0004-0000-2000-000009000000}"/>
    <hyperlink ref="C12" r:id="rId11" tooltip="Send a mail to jasoakwalnut@yahoo.com" xr:uid="{00000000-0004-0000-2000-00000A000000}"/>
    <hyperlink ref="C13" r:id="rId12" tooltip="Send a mail to candmww@gmail.com" xr:uid="{00000000-0004-0000-2000-00000B000000}"/>
    <hyperlink ref="C14" r:id="rId13" tooltip="Send a mail to contact@kibitec.com" xr:uid="{00000000-0004-0000-2000-00000C000000}"/>
    <hyperlink ref="C15" r:id="rId14" tooltip="Send a mail to infodesk@form.com.mt" xr:uid="{00000000-0004-0000-2000-00000D000000}"/>
    <hyperlink ref="C16" r:id="rId15" tooltip="Send a mail to kasa.arreda@gmail.com" xr:uid="{00000000-0004-0000-2000-00000E000000}"/>
    <hyperlink ref="C17" r:id="rId16" tooltip="Send a mail to info@lupa.mt" xr:uid="{00000000-0004-0000-2000-00000F000000}"/>
    <hyperlink ref="C18" r:id="rId17" tooltip="Send a mail to info@dari.mt" xr:uid="{00000000-0004-0000-2000-000010000000}"/>
    <hyperlink ref="C19" r:id="rId18" tooltip="Send a mail to info@trendsltdmalta.com" xr:uid="{00000000-0004-0000-2000-000011000000}"/>
    <hyperlink ref="C20" r:id="rId19" tooltip="Send a mail to chrissaliba295@gmail.com" xr:uid="{00000000-0004-0000-2000-000012000000}"/>
    <hyperlink ref="C21" r:id="rId20" tooltip="Send a mail to info@paultarget.com" xr:uid="{00000000-0004-0000-2000-000013000000}"/>
    <hyperlink ref="C22" r:id="rId21" tooltip="Send a mail to info@fairdealfurniture.com.mt" xr:uid="{00000000-0004-0000-2000-000014000000}"/>
    <hyperlink ref="C23" r:id="rId22" tooltip="Send a mail to info@ferraramalta.com" xr:uid="{00000000-0004-0000-2000-000015000000}"/>
    <hyperlink ref="C24" r:id="rId23" tooltip="Send a mail to info@dinofino.com" xr:uid="{00000000-0004-0000-2000-000016000000}"/>
    <hyperlink ref="C25" r:id="rId24" tooltip="Send a mail to monlung@onvol.net" xr:uid="{00000000-0004-0000-2000-000017000000}"/>
  </hyperlinks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"/>
  <sheetViews>
    <sheetView workbookViewId="0"/>
  </sheetViews>
  <sheetFormatPr defaultRowHeight="14.4" x14ac:dyDescent="0.3"/>
  <cols>
    <col min="1" max="1" width="6.33203125" customWidth="1"/>
    <col min="2" max="2" width="10.5546875" customWidth="1"/>
    <col min="3" max="3" width="7.109375" customWidth="1"/>
    <col min="4" max="4" width="20.44140625" customWidth="1"/>
    <col min="5" max="5" width="10.88671875" customWidth="1"/>
    <col min="6" max="6" width="11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2041</v>
      </c>
      <c r="E1" s="1" t="s">
        <v>5386</v>
      </c>
      <c r="F1" s="1" t="s">
        <v>532</v>
      </c>
    </row>
  </sheetData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82"/>
  <sheetViews>
    <sheetView workbookViewId="0"/>
  </sheetViews>
  <sheetFormatPr defaultRowHeight="14.4" x14ac:dyDescent="0.3"/>
  <cols>
    <col min="1" max="1" width="16.6640625" customWidth="1"/>
    <col min="2" max="2" width="30" customWidth="1"/>
    <col min="3" max="3" width="53.88671875" customWidth="1"/>
    <col min="4" max="4" width="29.88671875" customWidth="1"/>
    <col min="5" max="5" width="78.88671875" customWidth="1"/>
    <col min="6" max="6" width="107.33203125" customWidth="1"/>
  </cols>
  <sheetData>
    <row r="1" spans="1:6" ht="18" x14ac:dyDescent="0.35">
      <c r="A1" s="1" t="s">
        <v>2339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0</v>
      </c>
      <c r="B2" s="2" t="s">
        <v>1553</v>
      </c>
      <c r="C2" s="3" t="s">
        <v>1638</v>
      </c>
      <c r="D2" s="2" t="str">
        <f>CONCATENATE(HYPERLINK("CALLTO:%2B356%202095%209595", "+356 2095 9595"))</f>
        <v>+356 2095 9595</v>
      </c>
      <c r="E2" s="3" t="s">
        <v>2407</v>
      </c>
      <c r="F2" s="3" t="s">
        <v>1807</v>
      </c>
    </row>
    <row r="3" spans="1:6" x14ac:dyDescent="0.3">
      <c r="A3" s="4" t="s">
        <v>2340</v>
      </c>
      <c r="B3" s="4" t="s">
        <v>1537</v>
      </c>
      <c r="C3" s="5" t="s">
        <v>1623</v>
      </c>
      <c r="D3" s="4" t="str">
        <f>CONCATENATE(HYPERLINK("CALLTO:%2B356%202143%204747", "+356 2143 4747"))</f>
        <v>+356 2143 4747</v>
      </c>
      <c r="E3" s="5" t="s">
        <v>2408</v>
      </c>
      <c r="F3" s="5" t="s">
        <v>1795</v>
      </c>
    </row>
    <row r="4" spans="1:6" x14ac:dyDescent="0.3">
      <c r="A4" s="2" t="s">
        <v>2340</v>
      </c>
      <c r="B4" s="2" t="s">
        <v>2346</v>
      </c>
      <c r="C4" s="3" t="s">
        <v>2377</v>
      </c>
      <c r="D4" s="2" t="str">
        <f>CONCATENATE(HYPERLINK("CALLTO:%2B356%202148%205203", "+356 2148 5203"))</f>
        <v>+356 2148 5203</v>
      </c>
      <c r="E4" s="3" t="s">
        <v>2409</v>
      </c>
      <c r="F4" s="3" t="s">
        <v>2444</v>
      </c>
    </row>
    <row r="5" spans="1:6" x14ac:dyDescent="0.3">
      <c r="A5" s="4" t="s">
        <v>2340</v>
      </c>
      <c r="B5" s="4" t="s">
        <v>1531</v>
      </c>
      <c r="C5" s="5" t="s">
        <v>1617</v>
      </c>
      <c r="D5" s="4" t="str">
        <f>CONCATENATE(HYPERLINK("CALLTO:%2B356%202124%200100", "+356 2124 0100"))</f>
        <v>+356 2124 0100</v>
      </c>
      <c r="E5" s="5" t="s">
        <v>1697</v>
      </c>
      <c r="F5" s="5" t="s">
        <v>1788</v>
      </c>
    </row>
    <row r="6" spans="1:6" x14ac:dyDescent="0.3">
      <c r="A6" s="2" t="s">
        <v>2340</v>
      </c>
      <c r="B6" s="2" t="s">
        <v>2347</v>
      </c>
      <c r="C6" s="3" t="s">
        <v>2378</v>
      </c>
      <c r="D6" s="2" t="str">
        <f>CONCATENATE(HYPERLINK("CALLTO:%2B356%202010%202030", "+356 2010 2030"))</f>
        <v>+356 2010 2030</v>
      </c>
      <c r="E6" s="3" t="s">
        <v>2410</v>
      </c>
      <c r="F6" s="3" t="s">
        <v>2445</v>
      </c>
    </row>
    <row r="7" spans="1:6" x14ac:dyDescent="0.3">
      <c r="A7" s="4" t="s">
        <v>2340</v>
      </c>
      <c r="B7" s="4" t="s">
        <v>2348</v>
      </c>
      <c r="C7" s="5" t="s">
        <v>2379</v>
      </c>
      <c r="D7" s="4" t="str">
        <f>CONCATENATE(HYPERLINK("CALLTO:%2B356%202123%204501", "+356 2123 4501"))</f>
        <v>+356 2123 4501</v>
      </c>
      <c r="E7" s="5" t="s">
        <v>2411</v>
      </c>
      <c r="F7" s="5" t="s">
        <v>2063</v>
      </c>
    </row>
    <row r="8" spans="1:6" x14ac:dyDescent="0.3">
      <c r="A8" s="2" t="s">
        <v>2340</v>
      </c>
      <c r="B8" s="2" t="s">
        <v>1217</v>
      </c>
      <c r="C8" s="3" t="s">
        <v>1293</v>
      </c>
      <c r="D8" s="2" t="str">
        <f>CONCATENATE(HYPERLINK("CALLTO:%2B356%202713%207364", "+356 2713 7364"))</f>
        <v>+356 2713 7364</v>
      </c>
      <c r="E8" s="3" t="s">
        <v>1696</v>
      </c>
      <c r="F8" s="3" t="s">
        <v>1447</v>
      </c>
    </row>
    <row r="9" spans="1:6" x14ac:dyDescent="0.3">
      <c r="A9" s="4" t="s">
        <v>2340</v>
      </c>
      <c r="B9" s="4" t="s">
        <v>2349</v>
      </c>
      <c r="C9" s="5" t="s">
        <v>2380</v>
      </c>
      <c r="D9" s="4" t="str">
        <f>CONCATENATE(HYPERLINK("CALLTO:%2B356%202123%205415", "+356 2123 5415"))</f>
        <v>+356 2123 5415</v>
      </c>
      <c r="E9" s="5" t="s">
        <v>2412</v>
      </c>
      <c r="F9" s="5" t="s">
        <v>2446</v>
      </c>
    </row>
    <row r="10" spans="1:6" x14ac:dyDescent="0.3">
      <c r="A10" s="2" t="s">
        <v>2340</v>
      </c>
      <c r="B10" s="2" t="s">
        <v>1538</v>
      </c>
      <c r="C10" s="3" t="s">
        <v>1624</v>
      </c>
      <c r="D10" s="2" t="str">
        <f>CONCATENATE(HYPERLINK("CALLTO:%2B356%202549%205000", "+356 2549 5000"))</f>
        <v>+356 2549 5000</v>
      </c>
      <c r="E10" s="3" t="s">
        <v>1705</v>
      </c>
      <c r="F10" s="3" t="s">
        <v>1796</v>
      </c>
    </row>
    <row r="11" spans="1:6" x14ac:dyDescent="0.3">
      <c r="A11" s="4" t="s">
        <v>2340</v>
      </c>
      <c r="B11" s="4" t="s">
        <v>2350</v>
      </c>
      <c r="C11" s="5" t="s">
        <v>2381</v>
      </c>
      <c r="D11" s="4" t="str">
        <f>CONCATENATE(HYPERLINK("CALLTO:%2B356%202158%206755", "+356 2158 6755"))</f>
        <v>+356 2158 6755</v>
      </c>
      <c r="E11" s="5" t="s">
        <v>2413</v>
      </c>
      <c r="F11" s="5" t="s">
        <v>2447</v>
      </c>
    </row>
    <row r="12" spans="1:6" x14ac:dyDescent="0.3">
      <c r="A12" s="2" t="s">
        <v>2340</v>
      </c>
      <c r="B12" s="2" t="s">
        <v>1547</v>
      </c>
      <c r="C12" s="2" t="s">
        <v>2382</v>
      </c>
      <c r="D12" s="2" t="str">
        <f>CONCATENATE(HYPERLINK("CALLTO:%2B356%202144%205800", "+356 2144 5800"))</f>
        <v>+356 2144 5800</v>
      </c>
      <c r="E12" s="3" t="s">
        <v>15</v>
      </c>
      <c r="F12" s="3" t="s">
        <v>1805</v>
      </c>
    </row>
    <row r="13" spans="1:6" x14ac:dyDescent="0.3">
      <c r="A13" s="4" t="s">
        <v>2340</v>
      </c>
      <c r="B13" s="4" t="s">
        <v>2351</v>
      </c>
      <c r="C13" s="5" t="s">
        <v>2383</v>
      </c>
      <c r="D13" s="4" t="str">
        <f>CONCATENATE(HYPERLINK("CALLTO:%2B356%202746%203330", "+356 2746 3330"), " / ", HYPERLINK("CALLTO:%2B356%207714%209992", "+356 7714 9992"))</f>
        <v>+356 2746 3330 / +356 7714 9992</v>
      </c>
      <c r="E13" s="5" t="s">
        <v>2414</v>
      </c>
      <c r="F13" s="5" t="s">
        <v>2448</v>
      </c>
    </row>
    <row r="14" spans="1:6" x14ac:dyDescent="0.3">
      <c r="A14" s="2" t="s">
        <v>2340</v>
      </c>
      <c r="B14" s="2" t="s">
        <v>2352</v>
      </c>
      <c r="C14" s="3" t="s">
        <v>2384</v>
      </c>
      <c r="D14" s="2" t="str">
        <f>CONCATENATE(HYPERLINK("CALLTO:%2B356%202145%204861", "+356 2145 4861"))</f>
        <v>+356 2145 4861</v>
      </c>
      <c r="E14" s="3" t="s">
        <v>2415</v>
      </c>
      <c r="F14" s="3" t="s">
        <v>2449</v>
      </c>
    </row>
    <row r="15" spans="1:6" x14ac:dyDescent="0.3">
      <c r="A15" s="4" t="s">
        <v>2340</v>
      </c>
      <c r="B15" s="4" t="s">
        <v>2353</v>
      </c>
      <c r="C15" s="5" t="s">
        <v>2385</v>
      </c>
      <c r="D15" s="4" t="str">
        <f>CONCATENATE(HYPERLINK("CALLTO:%2B356%209901%204625", "+356 9901 4625"))</f>
        <v>+356 9901 4625</v>
      </c>
      <c r="E15" s="5" t="s">
        <v>2416</v>
      </c>
      <c r="F15" s="5" t="s">
        <v>2450</v>
      </c>
    </row>
    <row r="16" spans="1:6" x14ac:dyDescent="0.3">
      <c r="A16" s="2" t="s">
        <v>2340</v>
      </c>
      <c r="B16" s="2" t="s">
        <v>2354</v>
      </c>
      <c r="C16" s="3" t="s">
        <v>2386</v>
      </c>
      <c r="D16" s="2" t="str">
        <f>CONCATENATE(HYPERLINK("CALLTO:%2B356%202142%204601", "+356 2142 4601"))</f>
        <v>+356 2142 4601</v>
      </c>
      <c r="E16" s="3" t="s">
        <v>2417</v>
      </c>
      <c r="F16" s="3" t="s">
        <v>2451</v>
      </c>
    </row>
    <row r="17" spans="1:6" x14ac:dyDescent="0.3">
      <c r="A17" s="4" t="s">
        <v>2340</v>
      </c>
      <c r="B17" s="4" t="s">
        <v>1886</v>
      </c>
      <c r="C17" s="5" t="s">
        <v>1937</v>
      </c>
      <c r="D17" s="4" t="str">
        <f>CONCATENATE(HYPERLINK("CALLTO:%2B356%202033%204532", "+356 2033 4532"))</f>
        <v>+356 2033 4532</v>
      </c>
      <c r="E17" s="5" t="s">
        <v>2418</v>
      </c>
      <c r="F17" s="5" t="s">
        <v>2060</v>
      </c>
    </row>
    <row r="18" spans="1:6" x14ac:dyDescent="0.3">
      <c r="A18" s="2" t="s">
        <v>2340</v>
      </c>
      <c r="B18" s="2" t="s">
        <v>2355</v>
      </c>
      <c r="C18" s="3" t="s">
        <v>1512</v>
      </c>
      <c r="D18" s="2" t="str">
        <f>CONCATENATE(HYPERLINK("CALLTO:%2B356%202144%205654", "+356 2144 5654"))</f>
        <v>+356 2144 5654</v>
      </c>
      <c r="E18" s="3" t="s">
        <v>2419</v>
      </c>
      <c r="F18" s="3" t="s">
        <v>2452</v>
      </c>
    </row>
    <row r="19" spans="1:6" x14ac:dyDescent="0.3">
      <c r="A19" s="4" t="s">
        <v>2340</v>
      </c>
      <c r="B19" s="4" t="s">
        <v>2356</v>
      </c>
      <c r="C19" s="5" t="s">
        <v>2387</v>
      </c>
      <c r="D19" s="4" t="str">
        <f>CONCATENATE(HYPERLINK("CALLTO:%2B356%202158%200021", "+356 2158 0021"))</f>
        <v>+356 2158 0021</v>
      </c>
      <c r="E19" s="5" t="s">
        <v>2420</v>
      </c>
      <c r="F19" s="5" t="s">
        <v>2453</v>
      </c>
    </row>
    <row r="20" spans="1:6" x14ac:dyDescent="0.3">
      <c r="A20" s="2" t="s">
        <v>2340</v>
      </c>
      <c r="B20" s="2" t="s">
        <v>955</v>
      </c>
      <c r="C20" s="3" t="s">
        <v>1625</v>
      </c>
      <c r="D20" s="2" t="str">
        <f>CONCATENATE(HYPERLINK("CALLTO:%2B356%202326%202700", "+356 2326 2700"))</f>
        <v>+356 2326 2700</v>
      </c>
      <c r="E20" s="3" t="s">
        <v>1707</v>
      </c>
      <c r="F20" s="3" t="s">
        <v>1797</v>
      </c>
    </row>
    <row r="21" spans="1:6" x14ac:dyDescent="0.3">
      <c r="A21" s="4" t="s">
        <v>2340</v>
      </c>
      <c r="B21" s="4" t="s">
        <v>43</v>
      </c>
      <c r="C21" s="5" t="s">
        <v>68</v>
      </c>
      <c r="D21" s="4" t="str">
        <f>CONCATENATE(HYPERLINK("CALLTO:%2B356%202144%203193", "+356 2144 3193"))</f>
        <v>+356 2144 3193</v>
      </c>
      <c r="E21" s="5" t="s">
        <v>2421</v>
      </c>
      <c r="F21" s="5" t="s">
        <v>2454</v>
      </c>
    </row>
    <row r="22" spans="1:6" x14ac:dyDescent="0.3">
      <c r="A22" s="2" t="s">
        <v>2340</v>
      </c>
      <c r="B22" s="2" t="s">
        <v>2357</v>
      </c>
      <c r="C22" s="3" t="s">
        <v>2388</v>
      </c>
      <c r="D22" s="2" t="str">
        <f>CONCATENATE(HYPERLINK("CALLTO:%2B356%202169%203446", "+356 2169 3446"), " / ", HYPERLINK("CALLTO:%2B356%202729%202729", "+356 2729 2729"))</f>
        <v>+356 2169 3446 / +356 2729 2729</v>
      </c>
      <c r="E22" s="3" t="s">
        <v>2422</v>
      </c>
      <c r="F22" s="3" t="s">
        <v>2455</v>
      </c>
    </row>
    <row r="23" spans="1:6" x14ac:dyDescent="0.3">
      <c r="A23" s="4" t="s">
        <v>2340</v>
      </c>
      <c r="B23" s="4" t="s">
        <v>2358</v>
      </c>
      <c r="C23" s="5" t="s">
        <v>1631</v>
      </c>
      <c r="D23" s="4" t="str">
        <f>CONCATENATE(HYPERLINK("CALLTO:%2B356%202122%200258", "+356 2122 0258"))</f>
        <v>+356 2122 0258</v>
      </c>
      <c r="E23" s="5" t="s">
        <v>2423</v>
      </c>
      <c r="F23" s="5" t="s">
        <v>1804</v>
      </c>
    </row>
    <row r="24" spans="1:6" x14ac:dyDescent="0.3">
      <c r="A24" s="2" t="s">
        <v>2340</v>
      </c>
      <c r="B24" s="2" t="s">
        <v>2241</v>
      </c>
      <c r="C24" s="3" t="s">
        <v>2250</v>
      </c>
      <c r="D24" s="2" t="str">
        <f>CONCATENATE(HYPERLINK("CALLTO:%2B356%207797%202449", "+356 7797 2449"))</f>
        <v>+356 7797 2449</v>
      </c>
      <c r="E24" s="3" t="s">
        <v>2424</v>
      </c>
      <c r="F24" s="3" t="s">
        <v>2456</v>
      </c>
    </row>
    <row r="25" spans="1:6" x14ac:dyDescent="0.3">
      <c r="A25" s="4" t="s">
        <v>2340</v>
      </c>
      <c r="B25" s="4" t="s">
        <v>1594</v>
      </c>
      <c r="C25" s="5" t="s">
        <v>1678</v>
      </c>
      <c r="D25" s="4" t="str">
        <f>CONCATENATE(HYPERLINK("CALLTO:%2B356%209942%205609", "+356 9942 5609"))</f>
        <v>+356 9942 5609</v>
      </c>
      <c r="E25" s="5" t="s">
        <v>2425</v>
      </c>
      <c r="F25" s="5" t="s">
        <v>2457</v>
      </c>
    </row>
    <row r="26" spans="1:6" x14ac:dyDescent="0.3">
      <c r="A26" s="2" t="s">
        <v>2340</v>
      </c>
      <c r="B26" s="2" t="s">
        <v>1502</v>
      </c>
      <c r="C26" s="3" t="s">
        <v>1515</v>
      </c>
      <c r="D26" s="2" t="str">
        <f>CONCATENATE(HYPERLINK("CALLTO:%2B356%207950%208457", "+356 7950 8457"))</f>
        <v>+356 7950 8457</v>
      </c>
      <c r="E26" s="3" t="s">
        <v>2130</v>
      </c>
      <c r="F26" s="3" t="s">
        <v>2458</v>
      </c>
    </row>
    <row r="27" spans="1:6" x14ac:dyDescent="0.3">
      <c r="A27" s="4" t="s">
        <v>2340</v>
      </c>
      <c r="B27" s="4" t="s">
        <v>2359</v>
      </c>
      <c r="C27" s="5" t="s">
        <v>2389</v>
      </c>
      <c r="D27" s="4" t="str">
        <f>CONCATENATE(HYPERLINK("CALLTO:%2B356%202169%201234", "+356 2169 1234"))</f>
        <v>+356 2169 1234</v>
      </c>
      <c r="E27" s="5" t="s">
        <v>2426</v>
      </c>
      <c r="F27" s="5" t="s">
        <v>2459</v>
      </c>
    </row>
    <row r="28" spans="1:6" x14ac:dyDescent="0.3">
      <c r="A28" s="2" t="s">
        <v>2340</v>
      </c>
      <c r="B28" s="2" t="s">
        <v>1193</v>
      </c>
      <c r="C28" s="3" t="s">
        <v>1272</v>
      </c>
      <c r="D28" s="2" t="str">
        <f>CONCATENATE(HYPERLINK("CALLTO:%2B356%202156%203966", "+356 2156 3966"))</f>
        <v>+356 2156 3966</v>
      </c>
      <c r="E28" s="3" t="s">
        <v>1340</v>
      </c>
      <c r="F28" s="3" t="s">
        <v>1423</v>
      </c>
    </row>
    <row r="29" spans="1:6" x14ac:dyDescent="0.3">
      <c r="A29" s="4" t="s">
        <v>2340</v>
      </c>
      <c r="B29" s="4" t="s">
        <v>1248</v>
      </c>
      <c r="C29" s="5" t="s">
        <v>1319</v>
      </c>
      <c r="D29" s="4" t="str">
        <f>CONCATENATE(HYPERLINK("CALLTO:%2B356%202167%206627", "+356 2167 6627"))</f>
        <v>+356 2167 6627</v>
      </c>
      <c r="E29" s="5" t="s">
        <v>2427</v>
      </c>
      <c r="F29" s="5" t="s">
        <v>2460</v>
      </c>
    </row>
    <row r="30" spans="1:6" x14ac:dyDescent="0.3">
      <c r="A30" s="2" t="s">
        <v>2340</v>
      </c>
      <c r="B30" s="2" t="s">
        <v>2347</v>
      </c>
      <c r="C30" s="3" t="s">
        <v>2378</v>
      </c>
      <c r="D30" s="2" t="str">
        <f>CONCATENATE(HYPERLINK("CALLTO:%2B356%202010%202030", "+356 2010 2030"))</f>
        <v>+356 2010 2030</v>
      </c>
      <c r="E30" s="3" t="s">
        <v>2410</v>
      </c>
      <c r="F30" s="3" t="s">
        <v>2445</v>
      </c>
    </row>
    <row r="31" spans="1:6" x14ac:dyDescent="0.3">
      <c r="A31" s="4" t="s">
        <v>2341</v>
      </c>
      <c r="B31" s="4" t="s">
        <v>2348</v>
      </c>
      <c r="C31" s="5" t="s">
        <v>2379</v>
      </c>
      <c r="D31" s="4" t="str">
        <f>CONCATENATE(HYPERLINK("CALLTO:%2B356%202123%204501", "+356 2123 4501"))</f>
        <v>+356 2123 4501</v>
      </c>
      <c r="E31" s="5" t="s">
        <v>2411</v>
      </c>
      <c r="F31" s="5" t="s">
        <v>2063</v>
      </c>
    </row>
    <row r="32" spans="1:6" x14ac:dyDescent="0.3">
      <c r="A32" s="2" t="s">
        <v>2341</v>
      </c>
      <c r="B32" s="2" t="s">
        <v>1547</v>
      </c>
      <c r="C32" s="2" t="s">
        <v>2382</v>
      </c>
      <c r="D32" s="2" t="str">
        <f>CONCATENATE(HYPERLINK("CALLTO:%2B356%202144%205800", "+356 2144 5800"))</f>
        <v>+356 2144 5800</v>
      </c>
      <c r="E32" s="3" t="s">
        <v>15</v>
      </c>
      <c r="F32" s="3" t="s">
        <v>1805</v>
      </c>
    </row>
    <row r="33" spans="1:6" x14ac:dyDescent="0.3">
      <c r="A33" s="4" t="s">
        <v>2341</v>
      </c>
      <c r="B33" s="4" t="s">
        <v>2346</v>
      </c>
      <c r="C33" s="5" t="s">
        <v>2377</v>
      </c>
      <c r="D33" s="4" t="str">
        <f>CONCATENATE(HYPERLINK("CALLTO:%2B356%202148%205203", "+356 2148 5203"))</f>
        <v>+356 2148 5203</v>
      </c>
      <c r="E33" s="5" t="s">
        <v>2409</v>
      </c>
      <c r="F33" s="5" t="s">
        <v>2444</v>
      </c>
    </row>
    <row r="34" spans="1:6" x14ac:dyDescent="0.3">
      <c r="A34" s="2" t="s">
        <v>2341</v>
      </c>
      <c r="B34" s="2" t="s">
        <v>2350</v>
      </c>
      <c r="C34" s="3" t="s">
        <v>2381</v>
      </c>
      <c r="D34" s="2" t="str">
        <f>CONCATENATE(HYPERLINK("CALLTO:%2B356%202158%206755", "+356 2158 6755"))</f>
        <v>+356 2158 6755</v>
      </c>
      <c r="E34" s="3" t="s">
        <v>2413</v>
      </c>
      <c r="F34" s="3" t="s">
        <v>2447</v>
      </c>
    </row>
    <row r="35" spans="1:6" x14ac:dyDescent="0.3">
      <c r="A35" s="4" t="s">
        <v>2341</v>
      </c>
      <c r="B35" s="4" t="s">
        <v>2360</v>
      </c>
      <c r="C35" s="5" t="s">
        <v>2390</v>
      </c>
      <c r="D35" s="4" t="str">
        <f>CONCATENATE(HYPERLINK("CALLTO:%2B356%209945%208967", "+356 9945 8967"))</f>
        <v>+356 9945 8967</v>
      </c>
      <c r="E35" s="5" t="s">
        <v>2428</v>
      </c>
      <c r="F35" s="5" t="s">
        <v>2461</v>
      </c>
    </row>
    <row r="36" spans="1:6" x14ac:dyDescent="0.3">
      <c r="A36" s="2" t="s">
        <v>2341</v>
      </c>
      <c r="B36" s="2" t="s">
        <v>2352</v>
      </c>
      <c r="C36" s="3" t="s">
        <v>2384</v>
      </c>
      <c r="D36" s="2" t="str">
        <f>CONCATENATE(HYPERLINK("CALLTO:%2B356%202145%204861", "+356 2145 4861"))</f>
        <v>+356 2145 4861</v>
      </c>
      <c r="E36" s="3" t="s">
        <v>2415</v>
      </c>
      <c r="F36" s="3" t="s">
        <v>2449</v>
      </c>
    </row>
    <row r="37" spans="1:6" x14ac:dyDescent="0.3">
      <c r="A37" s="4" t="s">
        <v>2341</v>
      </c>
      <c r="B37" s="4" t="s">
        <v>2349</v>
      </c>
      <c r="C37" s="5" t="s">
        <v>2380</v>
      </c>
      <c r="D37" s="4" t="str">
        <f>CONCATENATE(HYPERLINK("CALLTO:%2B356%202123%205415", "+356 2123 5415"))</f>
        <v>+356 2123 5415</v>
      </c>
      <c r="E37" s="5" t="s">
        <v>2412</v>
      </c>
      <c r="F37" s="5" t="s">
        <v>2446</v>
      </c>
    </row>
    <row r="38" spans="1:6" x14ac:dyDescent="0.3">
      <c r="A38" s="2" t="s">
        <v>2341</v>
      </c>
      <c r="B38" s="2" t="s">
        <v>2354</v>
      </c>
      <c r="C38" s="3" t="s">
        <v>2386</v>
      </c>
      <c r="D38" s="2" t="str">
        <f>CONCATENATE(HYPERLINK("CALLTO:%2B356%202142%204601", "+356 2142 4601"))</f>
        <v>+356 2142 4601</v>
      </c>
      <c r="E38" s="3" t="s">
        <v>2417</v>
      </c>
      <c r="F38" s="3" t="s">
        <v>2451</v>
      </c>
    </row>
    <row r="39" spans="1:6" x14ac:dyDescent="0.3">
      <c r="A39" s="4" t="s">
        <v>2341</v>
      </c>
      <c r="B39" s="4" t="s">
        <v>2355</v>
      </c>
      <c r="C39" s="5" t="s">
        <v>1512</v>
      </c>
      <c r="D39" s="4" t="str">
        <f>CONCATENATE(HYPERLINK("CALLTO:%2B356%202144%205654", "+356 2144 5654"))</f>
        <v>+356 2144 5654</v>
      </c>
      <c r="E39" s="5" t="s">
        <v>2419</v>
      </c>
      <c r="F39" s="5" t="s">
        <v>2452</v>
      </c>
    </row>
    <row r="40" spans="1:6" x14ac:dyDescent="0.3">
      <c r="A40" s="2" t="s">
        <v>2341</v>
      </c>
      <c r="B40" s="2" t="s">
        <v>1537</v>
      </c>
      <c r="C40" s="3" t="s">
        <v>1623</v>
      </c>
      <c r="D40" s="2" t="str">
        <f>CONCATENATE(HYPERLINK("CALLTO:%2B356%202143%204747", "+356 2143 4747"))</f>
        <v>+356 2143 4747</v>
      </c>
      <c r="E40" s="3" t="s">
        <v>2408</v>
      </c>
      <c r="F40" s="3" t="s">
        <v>1795</v>
      </c>
    </row>
    <row r="41" spans="1:6" x14ac:dyDescent="0.3">
      <c r="A41" s="4" t="s">
        <v>2341</v>
      </c>
      <c r="B41" s="4" t="s">
        <v>2346</v>
      </c>
      <c r="C41" s="5" t="s">
        <v>2377</v>
      </c>
      <c r="D41" s="4" t="str">
        <f>CONCATENATE(HYPERLINK("CALLTO:%2B356%202148%205203", "+356 2148 5203"))</f>
        <v>+356 2148 5203</v>
      </c>
      <c r="E41" s="5" t="s">
        <v>2409</v>
      </c>
      <c r="F41" s="5" t="s">
        <v>2444</v>
      </c>
    </row>
    <row r="42" spans="1:6" x14ac:dyDescent="0.3">
      <c r="A42" s="2" t="s">
        <v>2341</v>
      </c>
      <c r="B42" s="2" t="s">
        <v>43</v>
      </c>
      <c r="C42" s="3" t="s">
        <v>68</v>
      </c>
      <c r="D42" s="2" t="str">
        <f>CONCATENATE(HYPERLINK("CALLTO:%2B356%202144%203193", "+356 2144 3193"))</f>
        <v>+356 2144 3193</v>
      </c>
      <c r="E42" s="3" t="s">
        <v>2421</v>
      </c>
      <c r="F42" s="3" t="s">
        <v>2454</v>
      </c>
    </row>
    <row r="43" spans="1:6" x14ac:dyDescent="0.3">
      <c r="A43" s="4" t="s">
        <v>2341</v>
      </c>
      <c r="B43" s="4" t="s">
        <v>1502</v>
      </c>
      <c r="C43" s="5" t="s">
        <v>1515</v>
      </c>
      <c r="D43" s="4" t="str">
        <f>CONCATENATE(HYPERLINK("CALLTO:%2B356%207950%208457", "+356 7950 8457"))</f>
        <v>+356 7950 8457</v>
      </c>
      <c r="E43" s="5" t="s">
        <v>2130</v>
      </c>
      <c r="F43" s="5" t="s">
        <v>2458</v>
      </c>
    </row>
    <row r="44" spans="1:6" x14ac:dyDescent="0.3">
      <c r="A44" s="2" t="s">
        <v>2341</v>
      </c>
      <c r="B44" s="2" t="s">
        <v>1531</v>
      </c>
      <c r="C44" s="3" t="s">
        <v>1617</v>
      </c>
      <c r="D44" s="2" t="str">
        <f>CONCATENATE(HYPERLINK("CALLTO:%2B356%202124%200100", "+356 2124 0100"))</f>
        <v>+356 2124 0100</v>
      </c>
      <c r="E44" s="3" t="s">
        <v>1697</v>
      </c>
      <c r="F44" s="3" t="s">
        <v>1788</v>
      </c>
    </row>
    <row r="45" spans="1:6" x14ac:dyDescent="0.3">
      <c r="A45" s="4" t="s">
        <v>2341</v>
      </c>
      <c r="B45" s="4" t="s">
        <v>2357</v>
      </c>
      <c r="C45" s="5" t="s">
        <v>2388</v>
      </c>
      <c r="D45" s="4" t="str">
        <f>CONCATENATE(HYPERLINK("CALLTO:%2B356%202169%203446", "+356 2169 3446"), " / ", HYPERLINK("CALLTO:%2B356%202729%202729", "+356 2729 2729"))</f>
        <v>+356 2169 3446 / +356 2729 2729</v>
      </c>
      <c r="E45" s="5" t="s">
        <v>2422</v>
      </c>
      <c r="F45" s="5" t="s">
        <v>2455</v>
      </c>
    </row>
    <row r="46" spans="1:6" x14ac:dyDescent="0.3">
      <c r="A46" s="2" t="s">
        <v>2341</v>
      </c>
      <c r="B46" s="2" t="s">
        <v>1547</v>
      </c>
      <c r="C46" s="2" t="s">
        <v>2391</v>
      </c>
      <c r="D46" s="2" t="str">
        <f>CONCATENATE(HYPERLINK("CALLTO:%2B356%202144%205800", "+356 2144 5800"))</f>
        <v>+356 2144 5800</v>
      </c>
      <c r="E46" s="3" t="s">
        <v>15</v>
      </c>
      <c r="F46" s="3" t="s">
        <v>1805</v>
      </c>
    </row>
    <row r="47" spans="1:6" x14ac:dyDescent="0.3">
      <c r="A47" s="4" t="s">
        <v>2341</v>
      </c>
      <c r="B47" s="4" t="s">
        <v>2358</v>
      </c>
      <c r="C47" s="5" t="s">
        <v>1631</v>
      </c>
      <c r="D47" s="4" t="str">
        <f>CONCATENATE(HYPERLINK("CALLTO:%2B356%202122%200258", "+356 2122 0258"))</f>
        <v>+356 2122 0258</v>
      </c>
      <c r="E47" s="5" t="s">
        <v>2423</v>
      </c>
      <c r="F47" s="5" t="s">
        <v>1804</v>
      </c>
    </row>
    <row r="48" spans="1:6" x14ac:dyDescent="0.3">
      <c r="A48" s="2" t="s">
        <v>2341</v>
      </c>
      <c r="B48" s="2" t="s">
        <v>1594</v>
      </c>
      <c r="C48" s="3" t="s">
        <v>1678</v>
      </c>
      <c r="D48" s="2" t="str">
        <f>CONCATENATE(HYPERLINK("CALLTO:%2B356%209942%205609", "+356 9942 5609"))</f>
        <v>+356 9942 5609</v>
      </c>
      <c r="E48" s="3" t="s">
        <v>2425</v>
      </c>
      <c r="F48" s="3" t="s">
        <v>2457</v>
      </c>
    </row>
    <row r="49" spans="1:6" x14ac:dyDescent="0.3">
      <c r="A49" s="4" t="s">
        <v>2341</v>
      </c>
      <c r="B49" s="4" t="s">
        <v>1248</v>
      </c>
      <c r="C49" s="5" t="s">
        <v>1319</v>
      </c>
      <c r="D49" s="4" t="str">
        <f>CONCATENATE(HYPERLINK("CALLTO:%2B356%202167%206627", "+356 2167 6627"))</f>
        <v>+356 2167 6627</v>
      </c>
      <c r="E49" s="5" t="s">
        <v>2427</v>
      </c>
      <c r="F49" s="5" t="s">
        <v>2460</v>
      </c>
    </row>
    <row r="50" spans="1:6" x14ac:dyDescent="0.3">
      <c r="A50" s="2" t="s">
        <v>2341</v>
      </c>
      <c r="B50" s="2" t="s">
        <v>2348</v>
      </c>
      <c r="C50" s="3" t="s">
        <v>2379</v>
      </c>
      <c r="D50" s="2" t="str">
        <f>CONCATENATE(HYPERLINK("CALLTO:%2B356%202123%204501", "+356 2123 4501"))</f>
        <v>+356 2123 4501</v>
      </c>
      <c r="E50" s="3" t="s">
        <v>2411</v>
      </c>
      <c r="F50" s="3" t="s">
        <v>2063</v>
      </c>
    </row>
    <row r="51" spans="1:6" x14ac:dyDescent="0.3">
      <c r="A51" s="4" t="s">
        <v>2342</v>
      </c>
      <c r="B51" s="4" t="s">
        <v>2354</v>
      </c>
      <c r="C51" s="5" t="s">
        <v>2386</v>
      </c>
      <c r="D51" s="4" t="str">
        <f>CONCATENATE(HYPERLINK("CALLTO:%2B356%202142%204601", "+356 2142 4601"))</f>
        <v>+356 2142 4601</v>
      </c>
      <c r="E51" s="5" t="s">
        <v>2417</v>
      </c>
      <c r="F51" s="5" t="s">
        <v>2451</v>
      </c>
    </row>
    <row r="52" spans="1:6" x14ac:dyDescent="0.3">
      <c r="A52" s="2" t="s">
        <v>2342</v>
      </c>
      <c r="B52" s="2" t="s">
        <v>2355</v>
      </c>
      <c r="C52" s="3" t="s">
        <v>1512</v>
      </c>
      <c r="D52" s="2" t="str">
        <f>CONCATENATE(HYPERLINK("CALLTO:%2B356%202144%205654", "+356 2144 5654"))</f>
        <v>+356 2144 5654</v>
      </c>
      <c r="E52" s="3" t="s">
        <v>2419</v>
      </c>
      <c r="F52" s="3" t="s">
        <v>2452</v>
      </c>
    </row>
    <row r="53" spans="1:6" x14ac:dyDescent="0.3">
      <c r="A53" s="4" t="s">
        <v>2342</v>
      </c>
      <c r="B53" s="4" t="s">
        <v>2346</v>
      </c>
      <c r="C53" s="5" t="s">
        <v>2377</v>
      </c>
      <c r="D53" s="4" t="str">
        <f>CONCATENATE(HYPERLINK("CALLTO:%2B356%202148%205203", "+356 2148 5203"))</f>
        <v>+356 2148 5203</v>
      </c>
      <c r="E53" s="5" t="s">
        <v>2409</v>
      </c>
      <c r="F53" s="5" t="s">
        <v>2444</v>
      </c>
    </row>
    <row r="54" spans="1:6" x14ac:dyDescent="0.3">
      <c r="A54" s="2" t="s">
        <v>2342</v>
      </c>
      <c r="B54" s="2" t="s">
        <v>1537</v>
      </c>
      <c r="C54" s="3" t="s">
        <v>1623</v>
      </c>
      <c r="D54" s="2" t="str">
        <f>CONCATENATE(HYPERLINK("CALLTO:%2B356%202143%204747", "+356 2143 4747"))</f>
        <v>+356 2143 4747</v>
      </c>
      <c r="E54" s="3" t="s">
        <v>2408</v>
      </c>
      <c r="F54" s="3" t="s">
        <v>1795</v>
      </c>
    </row>
    <row r="55" spans="1:6" x14ac:dyDescent="0.3">
      <c r="A55" s="4" t="s">
        <v>2342</v>
      </c>
      <c r="B55" s="4" t="s">
        <v>955</v>
      </c>
      <c r="C55" s="5" t="s">
        <v>1625</v>
      </c>
      <c r="D55" s="4" t="str">
        <f>CONCATENATE(HYPERLINK("CALLTO:%2B356%202326%202700", "+356 2326 2700"))</f>
        <v>+356 2326 2700</v>
      </c>
      <c r="E55" s="5" t="s">
        <v>1707</v>
      </c>
      <c r="F55" s="5" t="s">
        <v>1797</v>
      </c>
    </row>
    <row r="56" spans="1:6" x14ac:dyDescent="0.3">
      <c r="A56" s="2" t="s">
        <v>2342</v>
      </c>
      <c r="B56" s="2" t="s">
        <v>1217</v>
      </c>
      <c r="C56" s="3" t="s">
        <v>1293</v>
      </c>
      <c r="D56" s="2" t="str">
        <f>CONCATENATE(HYPERLINK("CALLTO:%2B356%202713%207364", "+356 2713 7364"))</f>
        <v>+356 2713 7364</v>
      </c>
      <c r="E56" s="3" t="s">
        <v>1696</v>
      </c>
      <c r="F56" s="3" t="s">
        <v>1447</v>
      </c>
    </row>
    <row r="57" spans="1:6" x14ac:dyDescent="0.3">
      <c r="A57" s="4" t="s">
        <v>2342</v>
      </c>
      <c r="B57" s="4" t="s">
        <v>2360</v>
      </c>
      <c r="C57" s="5" t="s">
        <v>2390</v>
      </c>
      <c r="D57" s="4" t="str">
        <f>CONCATENATE(HYPERLINK("CALLTO:%2B356%209945%208967", "+356 9945 8967"))</f>
        <v>+356 9945 8967</v>
      </c>
      <c r="E57" s="5" t="s">
        <v>2428</v>
      </c>
      <c r="F57" s="5" t="s">
        <v>2461</v>
      </c>
    </row>
    <row r="58" spans="1:6" x14ac:dyDescent="0.3">
      <c r="A58" s="2" t="s">
        <v>2343</v>
      </c>
      <c r="B58" s="2" t="s">
        <v>2348</v>
      </c>
      <c r="C58" s="3" t="s">
        <v>2379</v>
      </c>
      <c r="D58" s="2" t="str">
        <f>CONCATENATE(HYPERLINK("CALLTO:%2B356%202123%204501", "+356 2123 4501"))</f>
        <v>+356 2123 4501</v>
      </c>
      <c r="E58" s="3" t="s">
        <v>2411</v>
      </c>
      <c r="F58" s="3" t="s">
        <v>2063</v>
      </c>
    </row>
    <row r="59" spans="1:6" x14ac:dyDescent="0.3">
      <c r="A59" s="4" t="s">
        <v>2343</v>
      </c>
      <c r="B59" s="4" t="s">
        <v>1553</v>
      </c>
      <c r="C59" s="5" t="s">
        <v>1638</v>
      </c>
      <c r="D59" s="4" t="str">
        <f>CONCATENATE(HYPERLINK("CALLTO:%2B356%202095%209595", "+356 2095 9595"))</f>
        <v>+356 2095 9595</v>
      </c>
      <c r="E59" s="5" t="s">
        <v>2407</v>
      </c>
      <c r="F59" s="5" t="s">
        <v>1807</v>
      </c>
    </row>
    <row r="60" spans="1:6" x14ac:dyDescent="0.3">
      <c r="A60" s="2" t="s">
        <v>2343</v>
      </c>
      <c r="B60" s="2" t="s">
        <v>2355</v>
      </c>
      <c r="C60" s="3" t="s">
        <v>1512</v>
      </c>
      <c r="D60" s="2" t="str">
        <f>CONCATENATE(HYPERLINK("CALLTO:%2B356%202144%205654", "+356 2144 5654"))</f>
        <v>+356 2144 5654</v>
      </c>
      <c r="E60" s="3" t="s">
        <v>2419</v>
      </c>
      <c r="F60" s="3" t="s">
        <v>2452</v>
      </c>
    </row>
    <row r="61" spans="1:6" x14ac:dyDescent="0.3">
      <c r="A61" s="4" t="s">
        <v>2343</v>
      </c>
      <c r="B61" s="4" t="s">
        <v>2361</v>
      </c>
      <c r="C61" s="5" t="s">
        <v>2392</v>
      </c>
      <c r="D61" s="4" t="str">
        <f>CONCATENATE(HYPERLINK("CALLTO:%2B356%202180%204588", "+356 2180 4588"))</f>
        <v>+356 2180 4588</v>
      </c>
      <c r="E61" s="5" t="s">
        <v>2429</v>
      </c>
      <c r="F61" s="5" t="s">
        <v>2462</v>
      </c>
    </row>
    <row r="62" spans="1:6" x14ac:dyDescent="0.3">
      <c r="A62" s="2" t="s">
        <v>2343</v>
      </c>
      <c r="B62" s="2" t="s">
        <v>2362</v>
      </c>
      <c r="C62" s="3" t="s">
        <v>791</v>
      </c>
      <c r="D62" s="2" t="str">
        <f>CONCATENATE(HYPERLINK("CALLTO:%2B356%202149%201111", "+356 2149 1111"))</f>
        <v>+356 2149 1111</v>
      </c>
      <c r="E62" s="3" t="s">
        <v>2430</v>
      </c>
      <c r="F62" s="3" t="s">
        <v>2463</v>
      </c>
    </row>
    <row r="63" spans="1:6" x14ac:dyDescent="0.3">
      <c r="A63" s="4" t="s">
        <v>2343</v>
      </c>
      <c r="B63" s="4" t="s">
        <v>2346</v>
      </c>
      <c r="C63" s="5" t="s">
        <v>2377</v>
      </c>
      <c r="D63" s="4" t="str">
        <f>CONCATENATE(HYPERLINK("CALLTO:%2B356%202148%205203", "+356 2148 5203"))</f>
        <v>+356 2148 5203</v>
      </c>
      <c r="E63" s="5" t="s">
        <v>2409</v>
      </c>
      <c r="F63" s="5" t="s">
        <v>2444</v>
      </c>
    </row>
    <row r="64" spans="1:6" x14ac:dyDescent="0.3">
      <c r="A64" s="2" t="s">
        <v>2343</v>
      </c>
      <c r="B64" s="2" t="s">
        <v>43</v>
      </c>
      <c r="C64" s="3" t="s">
        <v>68</v>
      </c>
      <c r="D64" s="2" t="str">
        <f>CONCATENATE(HYPERLINK("CALLTO:%2B356%202144%203193", "+356 2144 3193"))</f>
        <v>+356 2144 3193</v>
      </c>
      <c r="E64" s="3" t="s">
        <v>2421</v>
      </c>
      <c r="F64" s="3" t="s">
        <v>2454</v>
      </c>
    </row>
    <row r="65" spans="1:6" x14ac:dyDescent="0.3">
      <c r="A65" s="4" t="s">
        <v>2343</v>
      </c>
      <c r="B65" s="4" t="s">
        <v>2363</v>
      </c>
      <c r="C65" s="4" t="s">
        <v>2393</v>
      </c>
      <c r="D65" s="4" t="str">
        <f>CONCATENATE(HYPERLINK("CALLTO:%2B356%202149%201761", "+356 2149 1761"))</f>
        <v>+356 2149 1761</v>
      </c>
      <c r="E65" s="5" t="s">
        <v>2431</v>
      </c>
      <c r="F65" s="5" t="s">
        <v>2464</v>
      </c>
    </row>
    <row r="66" spans="1:6" x14ac:dyDescent="0.3">
      <c r="A66" s="2" t="s">
        <v>2343</v>
      </c>
      <c r="B66" s="2" t="s">
        <v>2350</v>
      </c>
      <c r="C66" s="3" t="s">
        <v>2381</v>
      </c>
      <c r="D66" s="2" t="str">
        <f>CONCATENATE(HYPERLINK("CALLTO:%2B356%202158%206755", "+356 2158 6755"))</f>
        <v>+356 2158 6755</v>
      </c>
      <c r="E66" s="3" t="s">
        <v>2413</v>
      </c>
      <c r="F66" s="3" t="s">
        <v>2447</v>
      </c>
    </row>
    <row r="67" spans="1:6" x14ac:dyDescent="0.3">
      <c r="A67" s="4" t="s">
        <v>2343</v>
      </c>
      <c r="B67" s="4" t="s">
        <v>2350</v>
      </c>
      <c r="C67" s="5" t="s">
        <v>2381</v>
      </c>
      <c r="D67" s="4" t="str">
        <f>CONCATENATE(HYPERLINK("CALLTO:%2B356%202158%206755", "+356 2158 6755"))</f>
        <v>+356 2158 6755</v>
      </c>
      <c r="E67" s="5" t="s">
        <v>2413</v>
      </c>
      <c r="F67" s="5" t="s">
        <v>2447</v>
      </c>
    </row>
    <row r="68" spans="1:6" x14ac:dyDescent="0.3">
      <c r="A68" s="2" t="s">
        <v>2344</v>
      </c>
      <c r="B68" s="2" t="s">
        <v>2364</v>
      </c>
      <c r="C68" s="3" t="s">
        <v>2394</v>
      </c>
      <c r="D68" s="2" t="str">
        <f>CONCATENATE(HYPERLINK("CALLTO:%2B356%202155%208007", "+356 2155 8007"))</f>
        <v>+356 2155 8007</v>
      </c>
      <c r="E68" s="3" t="s">
        <v>2432</v>
      </c>
      <c r="F68" s="3" t="s">
        <v>2465</v>
      </c>
    </row>
    <row r="69" spans="1:6" x14ac:dyDescent="0.3">
      <c r="A69" s="4" t="s">
        <v>2344</v>
      </c>
      <c r="B69" s="4" t="s">
        <v>2365</v>
      </c>
      <c r="C69" s="5" t="s">
        <v>2395</v>
      </c>
      <c r="D69" s="4" t="str">
        <f>CONCATENATE(HYPERLINK("CALLTO:%2B356%209942%203164", "+356 9942 3164"))</f>
        <v>+356 9942 3164</v>
      </c>
      <c r="E69" s="5" t="s">
        <v>2433</v>
      </c>
      <c r="F69" s="5" t="s">
        <v>2466</v>
      </c>
    </row>
    <row r="70" spans="1:6" x14ac:dyDescent="0.3">
      <c r="A70" s="2" t="s">
        <v>2344</v>
      </c>
      <c r="B70" s="2" t="s">
        <v>2366</v>
      </c>
      <c r="C70" s="3" t="s">
        <v>2396</v>
      </c>
      <c r="D70" s="2" t="str">
        <f>CONCATENATE(HYPERLINK("CALLTO:%2B356%202148%202217", "+356 2148 2217"))</f>
        <v>+356 2148 2217</v>
      </c>
      <c r="E70" s="3" t="s">
        <v>2434</v>
      </c>
      <c r="F70" s="3" t="s">
        <v>2467</v>
      </c>
    </row>
    <row r="71" spans="1:6" x14ac:dyDescent="0.3">
      <c r="A71" s="4" t="s">
        <v>2344</v>
      </c>
      <c r="B71" s="4" t="s">
        <v>2367</v>
      </c>
      <c r="C71" s="5" t="s">
        <v>2397</v>
      </c>
      <c r="D71" s="4" t="str">
        <f>CONCATENATE(HYPERLINK("CALLTO:%2B356%202148%205485", "+356 2148 5485"))</f>
        <v>+356 2148 5485</v>
      </c>
      <c r="E71" s="5" t="s">
        <v>2435</v>
      </c>
      <c r="F71" s="5" t="s">
        <v>2468</v>
      </c>
    </row>
    <row r="72" spans="1:6" x14ac:dyDescent="0.3">
      <c r="A72" s="2" t="s">
        <v>2344</v>
      </c>
      <c r="B72" s="2" t="s">
        <v>2368</v>
      </c>
      <c r="C72" s="3" t="s">
        <v>2398</v>
      </c>
      <c r="D72" s="2" t="str">
        <f>CONCATENATE(HYPERLINK("CALLTO:%2B356%202152%201559", "+356 2152 1559"))</f>
        <v>+356 2152 1559</v>
      </c>
      <c r="E72" s="3" t="s">
        <v>2436</v>
      </c>
      <c r="F72" s="3" t="s">
        <v>2469</v>
      </c>
    </row>
    <row r="73" spans="1:6" x14ac:dyDescent="0.3">
      <c r="A73" s="4" t="s">
        <v>2344</v>
      </c>
      <c r="B73" s="4" t="s">
        <v>2369</v>
      </c>
      <c r="C73" s="5" t="s">
        <v>2399</v>
      </c>
      <c r="D73" s="4" t="str">
        <f>CONCATENATE(HYPERLINK("CALLTO:%2B356%207906%202420", "+356 7906 2420"))</f>
        <v>+356 7906 2420</v>
      </c>
      <c r="E73" s="5" t="s">
        <v>2437</v>
      </c>
      <c r="F73" s="5" t="s">
        <v>2470</v>
      </c>
    </row>
    <row r="74" spans="1:6" x14ac:dyDescent="0.3">
      <c r="A74" s="2" t="s">
        <v>2344</v>
      </c>
      <c r="B74" s="2" t="s">
        <v>2356</v>
      </c>
      <c r="C74" s="3" t="s">
        <v>2387</v>
      </c>
      <c r="D74" s="2" t="str">
        <f>CONCATENATE(HYPERLINK("CALLTO:%2B356%202158%200021", "+356 2158 0021"))</f>
        <v>+356 2158 0021</v>
      </c>
      <c r="E74" s="3" t="s">
        <v>2420</v>
      </c>
      <c r="F74" s="3" t="s">
        <v>2453</v>
      </c>
    </row>
    <row r="75" spans="1:6" x14ac:dyDescent="0.3">
      <c r="A75" s="4" t="s">
        <v>2344</v>
      </c>
      <c r="B75" s="4" t="s">
        <v>2370</v>
      </c>
      <c r="C75" s="5" t="s">
        <v>2400</v>
      </c>
      <c r="D75" s="4" t="str">
        <f>CONCATENATE(HYPERLINK("CALLTO:%2B356%202158%204474", "+356 2158 4474"))</f>
        <v>+356 2158 4474</v>
      </c>
      <c r="E75" s="5" t="s">
        <v>2438</v>
      </c>
      <c r="F75" s="5" t="s">
        <v>2471</v>
      </c>
    </row>
    <row r="76" spans="1:6" x14ac:dyDescent="0.3">
      <c r="A76" s="2" t="s">
        <v>2344</v>
      </c>
      <c r="B76" s="2" t="s">
        <v>2371</v>
      </c>
      <c r="C76" s="3" t="s">
        <v>2401</v>
      </c>
      <c r="D76" s="2" t="str">
        <f>CONCATENATE(HYPERLINK("CALLTO:%2B356%202137%208833", "+356 2137 8833"))</f>
        <v>+356 2137 8833</v>
      </c>
      <c r="E76" s="3" t="s">
        <v>2439</v>
      </c>
      <c r="F76" s="3" t="s">
        <v>2472</v>
      </c>
    </row>
    <row r="77" spans="1:6" x14ac:dyDescent="0.3">
      <c r="A77" s="4" t="s">
        <v>2344</v>
      </c>
      <c r="B77" s="4" t="s">
        <v>2372</v>
      </c>
      <c r="C77" s="5" t="s">
        <v>2402</v>
      </c>
      <c r="D77" s="4" t="str">
        <f>CONCATENATE(HYPERLINK("CALLTO:%2B356%202146%202229", "+356 2146 2229"))</f>
        <v>+356 2146 2229</v>
      </c>
      <c r="E77" s="5" t="s">
        <v>2440</v>
      </c>
      <c r="F77" s="5" t="s">
        <v>2473</v>
      </c>
    </row>
    <row r="78" spans="1:6" x14ac:dyDescent="0.3">
      <c r="A78" s="2" t="s">
        <v>2344</v>
      </c>
      <c r="B78" s="2" t="s">
        <v>2373</v>
      </c>
      <c r="C78" s="3" t="s">
        <v>2403</v>
      </c>
      <c r="D78" s="2" t="str">
        <f>CONCATENATE(HYPERLINK("CALLTO:%2B356%202146%207562", "+356 2146 7562"))</f>
        <v>+356 2146 7562</v>
      </c>
      <c r="E78" s="3" t="s">
        <v>2441</v>
      </c>
      <c r="F78" s="3" t="s">
        <v>2474</v>
      </c>
    </row>
    <row r="79" spans="1:6" x14ac:dyDescent="0.3">
      <c r="A79" s="4" t="s">
        <v>2344</v>
      </c>
      <c r="B79" s="4" t="s">
        <v>2374</v>
      </c>
      <c r="C79" s="4" t="s">
        <v>2404</v>
      </c>
      <c r="D79" s="4" t="str">
        <f>CONCATENATE(HYPERLINK("CALLTO:%2B356%202144%209754", "+356 2144 9754"))</f>
        <v>+356 2144 9754</v>
      </c>
      <c r="E79" s="5" t="s">
        <v>2442</v>
      </c>
      <c r="F79" s="5" t="s">
        <v>2475</v>
      </c>
    </row>
    <row r="80" spans="1:6" x14ac:dyDescent="0.3">
      <c r="A80" s="2" t="s">
        <v>2344</v>
      </c>
      <c r="B80" s="2" t="s">
        <v>2375</v>
      </c>
      <c r="C80" s="3" t="s">
        <v>2405</v>
      </c>
      <c r="D80" s="2" t="str">
        <f>CONCATENATE(HYPERLINK("CALLTO:%2B356%209969%200258", "+356 9969 0258"))</f>
        <v>+356 9969 0258</v>
      </c>
      <c r="E80" s="2"/>
      <c r="F80" s="3" t="s">
        <v>2476</v>
      </c>
    </row>
    <row r="81" spans="1:6" x14ac:dyDescent="0.3">
      <c r="A81" s="4" t="s">
        <v>2345</v>
      </c>
      <c r="B81" s="4" t="s">
        <v>2376</v>
      </c>
      <c r="C81" s="5" t="s">
        <v>2406</v>
      </c>
      <c r="D81" s="4"/>
      <c r="E81" s="4"/>
      <c r="F81" s="5" t="s">
        <v>2477</v>
      </c>
    </row>
    <row r="82" spans="1:6" x14ac:dyDescent="0.3">
      <c r="A82" s="2" t="s">
        <v>2339</v>
      </c>
      <c r="B82" s="2"/>
      <c r="C82" s="2"/>
      <c r="D82" s="2"/>
      <c r="E82" s="2"/>
      <c r="F82" s="2"/>
    </row>
  </sheetData>
  <hyperlinks>
    <hyperlink ref="C2" r:id="rId1" tooltip="Send a mail to info@brands.com.mt" xr:uid="{00000000-0004-0000-2200-000000000000}"/>
    <hyperlink ref="C3" r:id="rId2" tooltip="Send a mail to info@okhome.com.mt" xr:uid="{00000000-0004-0000-2200-000001000000}"/>
    <hyperlink ref="C4" r:id="rId3" tooltip="Send a mail to protrade@protrademalta.com" xr:uid="{00000000-0004-0000-2200-000002000000}"/>
    <hyperlink ref="C5" r:id="rId4" tooltip="Send a mail to info@dinofino.com" xr:uid="{00000000-0004-0000-2200-000003000000}"/>
    <hyperlink ref="C6" r:id="rId5" tooltip="Send a mail to you@camilleriparismode.com" xr:uid="{00000000-0004-0000-2200-000004000000}"/>
    <hyperlink ref="C7" r:id="rId6" tooltip="Send a mail to sales@patroleamalta.com" xr:uid="{00000000-0004-0000-2200-000005000000}"/>
    <hyperlink ref="C8" r:id="rId7" tooltip="Send a mail to jysk@jysk.com.mt" xr:uid="{00000000-0004-0000-2200-000006000000}"/>
    <hyperlink ref="C9" r:id="rId8" tooltip="Send a mail to peter@gdl.com.mt" xr:uid="{00000000-0004-0000-2200-000007000000}"/>
    <hyperlink ref="C10" r:id="rId9" tooltip="Send a mail to contactus@theatrium.com.mt" xr:uid="{00000000-0004-0000-2200-000008000000}"/>
    <hyperlink ref="C11" r:id="rId10" tooltip="Send a mail to info@piscopogardens.com" xr:uid="{00000000-0004-0000-2200-000009000000}"/>
    <hyperlink ref="C13" r:id="rId11" tooltip="Send a mail to home@jpitre.com" xr:uid="{00000000-0004-0000-2200-00000A000000}"/>
    <hyperlink ref="C14" r:id="rId12" tooltip="Send a mail to info@chlmalta.com" xr:uid="{00000000-0004-0000-2200-00000B000000}"/>
    <hyperlink ref="C15" r:id="rId13" tooltip="Send a mail to info@rattatanshop.mt" xr:uid="{00000000-0004-0000-2200-00000C000000}"/>
    <hyperlink ref="C16" r:id="rId14" tooltip="Send a mail to dicalgroup@gmail.com" xr:uid="{00000000-0004-0000-2200-00000D000000}"/>
    <hyperlink ref="C17" r:id="rId15" tooltip="Send a mail to sales@maltashopper.com" xr:uid="{00000000-0004-0000-2200-00000E000000}"/>
    <hyperlink ref="C18" r:id="rId16" tooltip="Send a mail to shop@hometrends.com.mt" xr:uid="{00000000-0004-0000-2200-00000F000000}"/>
    <hyperlink ref="C19" r:id="rId17" tooltip="Send a mail to info@sherriesestates.com" xr:uid="{00000000-0004-0000-2200-000010000000}"/>
    <hyperlink ref="C20" r:id="rId18" tooltip="Send a mail to mosta@homemate.com.mt" xr:uid="{00000000-0004-0000-2200-000011000000}"/>
    <hyperlink ref="C21" r:id="rId19" tooltip="Send a mail to sales@tabonedirect.com" xr:uid="{00000000-0004-0000-2200-000012000000}"/>
    <hyperlink ref="C22" r:id="rId20" tooltip="Send a mail to info@khsmalta.com" xr:uid="{00000000-0004-0000-2200-000013000000}"/>
    <hyperlink ref="C23" r:id="rId21" tooltip="Send a mail to info@pcs.com.mt" xr:uid="{00000000-0004-0000-2200-000014000000}"/>
    <hyperlink ref="C24" r:id="rId22" tooltip="Send a mail to info@arkomalta.com" xr:uid="{00000000-0004-0000-2200-000015000000}"/>
    <hyperlink ref="C25" r:id="rId23" tooltip="Send a mail to ronaldmarmara@gmail.com" xr:uid="{00000000-0004-0000-2200-000016000000}"/>
    <hyperlink ref="C26" r:id="rId24" tooltip="Send a mail to info@bigmatmalta.com" xr:uid="{00000000-0004-0000-2200-000017000000}"/>
    <hyperlink ref="C27" r:id="rId25" tooltip="Send a mail to customercare@butlers.com.mt" xr:uid="{00000000-0004-0000-2200-000018000000}"/>
    <hyperlink ref="C28" r:id="rId26" tooltip="Send a mail to newlineliving@gmail.com" xr:uid="{00000000-0004-0000-2200-000019000000}"/>
    <hyperlink ref="C29" r:id="rId27" tooltip="Send a mail to info@fbpmalta.com" xr:uid="{00000000-0004-0000-2200-00001A000000}"/>
    <hyperlink ref="C30" r:id="rId28" tooltip="Send a mail to you@camilleriparismode.com" xr:uid="{00000000-0004-0000-2200-00001B000000}"/>
    <hyperlink ref="C31" r:id="rId29" tooltip="Send a mail to sales@patroleamalta.com" xr:uid="{00000000-0004-0000-2200-00001C000000}"/>
    <hyperlink ref="C33" r:id="rId30" tooltip="Send a mail to protrade@protrademalta.com" xr:uid="{00000000-0004-0000-2200-00001D000000}"/>
    <hyperlink ref="C34" r:id="rId31" tooltip="Send a mail to info@piscopogardens.com" xr:uid="{00000000-0004-0000-2200-00001E000000}"/>
    <hyperlink ref="C35" r:id="rId32" tooltip="Send a mail to sciclunarennie@gmail.com" xr:uid="{00000000-0004-0000-2200-00001F000000}"/>
    <hyperlink ref="C36" r:id="rId33" tooltip="Send a mail to info@chlmalta.com" xr:uid="{00000000-0004-0000-2200-000020000000}"/>
    <hyperlink ref="C37" r:id="rId34" tooltip="Send a mail to peter@gdl.com.mt" xr:uid="{00000000-0004-0000-2200-000021000000}"/>
    <hyperlink ref="C38" r:id="rId35" tooltip="Send a mail to dicalgroup@gmail.com" xr:uid="{00000000-0004-0000-2200-000022000000}"/>
    <hyperlink ref="C39" r:id="rId36" tooltip="Send a mail to shop@hometrends.com.mt" xr:uid="{00000000-0004-0000-2200-000023000000}"/>
    <hyperlink ref="C40" r:id="rId37" tooltip="Send a mail to info@okhome.com.mt" xr:uid="{00000000-0004-0000-2200-000024000000}"/>
    <hyperlink ref="C41" r:id="rId38" tooltip="Send a mail to protrade@protrademalta.com" xr:uid="{00000000-0004-0000-2200-000025000000}"/>
    <hyperlink ref="C42" r:id="rId39" tooltip="Send a mail to sales@tabonedirect.com" xr:uid="{00000000-0004-0000-2200-000026000000}"/>
    <hyperlink ref="C43" r:id="rId40" tooltip="Send a mail to info@bigmatmalta.com" xr:uid="{00000000-0004-0000-2200-000027000000}"/>
    <hyperlink ref="C44" r:id="rId41" tooltip="Send a mail to info@dinofino.com" xr:uid="{00000000-0004-0000-2200-000028000000}"/>
    <hyperlink ref="C45" r:id="rId42" tooltip="Send a mail to info@khsmalta.com" xr:uid="{00000000-0004-0000-2200-000029000000}"/>
    <hyperlink ref="C47" r:id="rId43" tooltip="Send a mail to info@pcs.com.mt" xr:uid="{00000000-0004-0000-2200-00002A000000}"/>
    <hyperlink ref="C48" r:id="rId44" tooltip="Send a mail to ronaldmarmara@gmail.com" xr:uid="{00000000-0004-0000-2200-00002B000000}"/>
    <hyperlink ref="C49" r:id="rId45" tooltip="Send a mail to info@fbpmalta.com" xr:uid="{00000000-0004-0000-2200-00002C000000}"/>
    <hyperlink ref="C50" r:id="rId46" tooltip="Send a mail to sales@patroleamalta.com" xr:uid="{00000000-0004-0000-2200-00002D000000}"/>
    <hyperlink ref="C51" r:id="rId47" tooltip="Send a mail to dicalgroup@gmail.com" xr:uid="{00000000-0004-0000-2200-00002E000000}"/>
    <hyperlink ref="C52" r:id="rId48" tooltip="Send a mail to shop@hometrends.com.mt" xr:uid="{00000000-0004-0000-2200-00002F000000}"/>
    <hyperlink ref="C53" r:id="rId49" tooltip="Send a mail to protrade@protrademalta.com" xr:uid="{00000000-0004-0000-2200-000030000000}"/>
    <hyperlink ref="C54" r:id="rId50" tooltip="Send a mail to info@okhome.com.mt" xr:uid="{00000000-0004-0000-2200-000031000000}"/>
    <hyperlink ref="C55" r:id="rId51" tooltip="Send a mail to mosta@homemate.com.mt" xr:uid="{00000000-0004-0000-2200-000032000000}"/>
    <hyperlink ref="C56" r:id="rId52" tooltip="Send a mail to jysk@jysk.com.mt" xr:uid="{00000000-0004-0000-2200-000033000000}"/>
    <hyperlink ref="C57" r:id="rId53" tooltip="Send a mail to sciclunarennie@gmail.com" xr:uid="{00000000-0004-0000-2200-000034000000}"/>
    <hyperlink ref="C58" r:id="rId54" tooltip="Send a mail to sales@patroleamalta.com" xr:uid="{00000000-0004-0000-2200-000035000000}"/>
    <hyperlink ref="C59" r:id="rId55" tooltip="Send a mail to info@brands.com.mt" xr:uid="{00000000-0004-0000-2200-000036000000}"/>
    <hyperlink ref="C60" r:id="rId56" tooltip="Send a mail to shop@hometrends.com.mt" xr:uid="{00000000-0004-0000-2200-000037000000}"/>
    <hyperlink ref="C61" r:id="rId57" tooltip="Send a mail to info@calypsomfg.com" xr:uid="{00000000-0004-0000-2200-000038000000}"/>
    <hyperlink ref="C62" r:id="rId58" tooltip="Send a mail to info@devalier.com.mt" xr:uid="{00000000-0004-0000-2200-000039000000}"/>
    <hyperlink ref="C63" r:id="rId59" tooltip="Send a mail to protrade@protrademalta.com" xr:uid="{00000000-0004-0000-2200-00003A000000}"/>
    <hyperlink ref="C64" r:id="rId60" tooltip="Send a mail to sales@tabonedirect.com" xr:uid="{00000000-0004-0000-2200-00003B000000}"/>
    <hyperlink ref="C66" r:id="rId61" tooltip="Send a mail to info@piscopogardens.com" xr:uid="{00000000-0004-0000-2200-00003C000000}"/>
    <hyperlink ref="C67" r:id="rId62" tooltip="Send a mail to info@piscopogardens.com" xr:uid="{00000000-0004-0000-2200-00003D000000}"/>
    <hyperlink ref="C68" r:id="rId63" tooltip="Send a mail to info@flowerzonemalta.com" xr:uid="{00000000-0004-0000-2200-00003E000000}"/>
    <hyperlink ref="C69" r:id="rId64" tooltip="Send a mail to parisio@maltanet.net" xr:uid="{00000000-0004-0000-2200-00003F000000}"/>
    <hyperlink ref="C70" r:id="rId65" tooltip="Send a mail to samoaattard14@gmail.com" xr:uid="{00000000-0004-0000-2200-000040000000}"/>
    <hyperlink ref="C71" r:id="rId66" tooltip="Send a mail to info@innogreens.com" xr:uid="{00000000-0004-0000-2200-000041000000}"/>
    <hyperlink ref="C72" r:id="rId67" tooltip="Send a mail to info@jardinland.com.mt" xr:uid="{00000000-0004-0000-2200-000042000000}"/>
    <hyperlink ref="C73" r:id="rId68" tooltip="Send a mail to alanmifsudmt@gmail.com" xr:uid="{00000000-0004-0000-2200-000043000000}"/>
    <hyperlink ref="C74" r:id="rId69" tooltip="Send a mail to info@sherriesestates.com" xr:uid="{00000000-0004-0000-2200-000044000000}"/>
    <hyperlink ref="C75" r:id="rId70" tooltip="Send a mail to admin@projectgaia.org" xr:uid="{00000000-0004-0000-2200-000045000000}"/>
    <hyperlink ref="C76" r:id="rId71" tooltip="Send a mail to info@greenscapes.com.mt" xr:uid="{00000000-0004-0000-2200-000046000000}"/>
    <hyperlink ref="C77" r:id="rId72" tooltip="Send a mail to info@callusgardencentre.com" xr:uid="{00000000-0004-0000-2200-000047000000}"/>
    <hyperlink ref="C78" r:id="rId73" tooltip="Send a mail to info@bssagri.com" xr:uid="{00000000-0004-0000-2200-000048000000}"/>
    <hyperlink ref="C80" r:id="rId74" tooltip="Send a mail to projects@garlandmalta.com" xr:uid="{00000000-0004-0000-2200-000049000000}"/>
    <hyperlink ref="C81" r:id="rId75" tooltip="Send a mail to customercare@allseasons.mt" xr:uid="{00000000-0004-0000-2200-00004A000000}"/>
    <hyperlink ref="E2" r:id="rId76" tooltip="Search Triq tal-Balal, San Gwann on Google Maps" xr:uid="{00000000-0004-0000-2200-00004B000000}"/>
    <hyperlink ref="E3" r:id="rId77" tooltip="Search Triq Pantar, Lija on Google Maps" xr:uid="{00000000-0004-0000-2200-00004C000000}"/>
    <hyperlink ref="E4" r:id="rId78" tooltip="Search Zone 5 Triq Is-Sebh Central Business District, Qormi on Google Maps" xr:uid="{00000000-0004-0000-2200-00004D000000}"/>
    <hyperlink ref="E5" r:id="rId79" tooltip="Search Triq il-Wied Ta' L-Imsida, B'Kara, Malta BKR 9025 on Google Maps" xr:uid="{00000000-0004-0000-2200-00004E000000}"/>
    <hyperlink ref="E6" r:id="rId80" tooltip="Search 54 Triq Santa Katerina, Rabat on Google Maps" xr:uid="{00000000-0004-0000-2200-00004F000000}"/>
    <hyperlink ref="E7" r:id="rId81" tooltip="Search Triq il-Wied ta' I-Imsida, Msida on Google Maps" xr:uid="{00000000-0004-0000-2200-000050000000}"/>
    <hyperlink ref="E8" r:id="rId82" tooltip="Search Triq il-Mosta, Lija, Malta LIJA 9012 on Google Maps" xr:uid="{00000000-0004-0000-2200-000051000000}"/>
    <hyperlink ref="E9" r:id="rId83" tooltip="Search 70 Triq is-Salib tal-Marsa on Google Maps" xr:uid="{00000000-0004-0000-2200-000052000000}"/>
    <hyperlink ref="E10" r:id="rId84" tooltip="Search Giovanni Felice Street, Zone 3, Central Business District, Birkirkara CBD 3120 on Google Maps" xr:uid="{00000000-0004-0000-2200-000053000000}"/>
    <hyperlink ref="E11" r:id="rId85" tooltip="Search Triq Toni Camilleri, Burmarrad on Google Maps" xr:uid="{00000000-0004-0000-2200-000054000000}"/>
    <hyperlink ref="E12" r:id="rId86" tooltip="Search Birkirkara on Google Maps" xr:uid="{00000000-0004-0000-2200-000055000000}"/>
    <hyperlink ref="E13" r:id="rId87" tooltip="Search Mdina Road, Qormi on Google Maps" xr:uid="{00000000-0004-0000-2200-000056000000}"/>
    <hyperlink ref="E14" r:id="rId88" tooltip="Search Kampanja Triq in-Nigret, Rabat on Google Maps" xr:uid="{00000000-0004-0000-2200-000057000000}"/>
    <hyperlink ref="E15" r:id="rId89" tooltip="Search Sliema, Malta on Google Maps" xr:uid="{00000000-0004-0000-2200-000058000000}"/>
    <hyperlink ref="E16" r:id="rId90" tooltip="Search Triq Sant' Anton Abbati, Mosta on Google Maps" xr:uid="{00000000-0004-0000-2200-000059000000}"/>
    <hyperlink ref="E17" r:id="rId91" tooltip="Search Ta Ghadajma l/o Mqabba on Google Maps" xr:uid="{00000000-0004-0000-2200-00005A000000}"/>
    <hyperlink ref="E18" r:id="rId92" tooltip="Search JPR Bldgs Qasam Industrijali, San Gwann on Google Maps" xr:uid="{00000000-0004-0000-2200-00005B000000}"/>
    <hyperlink ref="E19" r:id="rId93" tooltip="Search Burmarrad Road, Burmarrad on Google Maps" xr:uid="{00000000-0004-0000-2200-00005C000000}"/>
    <hyperlink ref="E20" r:id="rId94" tooltip="Search Vjal 25 ta' Novembru, Tal-Barrani, Zejtun on Google Maps" xr:uid="{00000000-0004-0000-2200-00005D000000}"/>
    <hyperlink ref="E21" r:id="rId95" tooltip="Search Triq L-Imprendituri, Industrial Zone 3, Central business district, Birkirkara, CBD 3090 on Google Maps" xr:uid="{00000000-0004-0000-2200-00005E000000}"/>
    <hyperlink ref="E22" r:id="rId96" tooltip="Search 54, Castaldi Street, Zabbar on Google Maps" xr:uid="{00000000-0004-0000-2200-00005F000000}"/>
    <hyperlink ref="E23" r:id="rId97" tooltip="Search 31, Cross Road, Marsa on Google Maps" xr:uid="{00000000-0004-0000-2200-000060000000}"/>
    <hyperlink ref="E24" r:id="rId98" tooltip="Search Triq is-Salib Ta' I-Imriehel Business District Mriehel on Google Maps" xr:uid="{00000000-0004-0000-2200-000061000000}"/>
    <hyperlink ref="E25" r:id="rId99" tooltip="Search 210 Old Railway Track, Santa Venera on Google Maps" xr:uid="{00000000-0004-0000-2200-000062000000}"/>
    <hyperlink ref="E26" r:id="rId100" tooltip="Search Industrial Zone, ATD 4000 Ta' Qali on Google Maps" xr:uid="{00000000-0004-0000-2200-000063000000}"/>
    <hyperlink ref="E27" r:id="rId101" tooltip="Search Pjazza A De Paule Rahal Gdid, PLA 1269 on Google Maps" xr:uid="{00000000-0004-0000-2200-000064000000}"/>
    <hyperlink ref="E28" r:id="rId102" tooltip="Search Triq Papa Gwanni Pawlu ll, Victoria-Gozo, Gozo VCT 9046 on Google Maps" xr:uid="{00000000-0004-0000-2200-000065000000}"/>
    <hyperlink ref="E29" r:id="rId103" tooltip="Search 139, Bajada Street, Zabbar, Malta on Google Maps" xr:uid="{00000000-0004-0000-2200-000066000000}"/>
    <hyperlink ref="E30" r:id="rId104" tooltip="Search 54 Triq Santa Katerina, Rabat on Google Maps" xr:uid="{00000000-0004-0000-2200-000067000000}"/>
    <hyperlink ref="E31" r:id="rId105" tooltip="Search Triq il-Wied ta' I-Imsida, Msida on Google Maps" xr:uid="{00000000-0004-0000-2200-000068000000}"/>
    <hyperlink ref="E32" r:id="rId106" tooltip="Search Birkirkara on Google Maps" xr:uid="{00000000-0004-0000-2200-000069000000}"/>
    <hyperlink ref="E33" r:id="rId107" tooltip="Search Zone 5 Triq Is-Sebh Central Business District, Qormi on Google Maps" xr:uid="{00000000-0004-0000-2200-00006A000000}"/>
    <hyperlink ref="E34" r:id="rId108" tooltip="Search Triq Toni Camilleri, Burmarrad on Google Maps" xr:uid="{00000000-0004-0000-2200-00006B000000}"/>
    <hyperlink ref="E35" r:id="rId109" tooltip="Search Triq Hal Resqun, Gudja on Google Maps" xr:uid="{00000000-0004-0000-2200-00006C000000}"/>
    <hyperlink ref="E36" r:id="rId110" tooltip="Search Kampanja Triq in-Nigret, Rabat on Google Maps" xr:uid="{00000000-0004-0000-2200-00006D000000}"/>
    <hyperlink ref="E37" r:id="rId111" tooltip="Search 70 Triq is-Salib tal-Marsa on Google Maps" xr:uid="{00000000-0004-0000-2200-00006E000000}"/>
    <hyperlink ref="E38" r:id="rId112" tooltip="Search Triq Sant' Anton Abbati, Mosta on Google Maps" xr:uid="{00000000-0004-0000-2200-00006F000000}"/>
    <hyperlink ref="E39" r:id="rId113" tooltip="Search JPR Bldgs Qasam Industrijali, San Gwann on Google Maps" xr:uid="{00000000-0004-0000-2200-000070000000}"/>
    <hyperlink ref="E40" r:id="rId114" tooltip="Search Triq Pantar, Lija on Google Maps" xr:uid="{00000000-0004-0000-2200-000071000000}"/>
    <hyperlink ref="E41" r:id="rId115" tooltip="Search Zone 5 Triq Is-Sebh Central Business District, Qormi on Google Maps" xr:uid="{00000000-0004-0000-2200-000072000000}"/>
    <hyperlink ref="E42" r:id="rId116" tooltip="Search Triq L-Imprendituri, Industrial Zone 3, Central business district, Birkirkara, CBD 3090 on Google Maps" xr:uid="{00000000-0004-0000-2200-000073000000}"/>
    <hyperlink ref="E43" r:id="rId117" tooltip="Search Industrial Zone, ATD 4000 Ta' Qali on Google Maps" xr:uid="{00000000-0004-0000-2200-000074000000}"/>
    <hyperlink ref="E44" r:id="rId118" tooltip="Search Triq il-Wied Ta' L-Imsida, B'Kara, Malta BKR 9025 on Google Maps" xr:uid="{00000000-0004-0000-2200-000075000000}"/>
    <hyperlink ref="E45" r:id="rId119" tooltip="Search 54, Castaldi Street, Zabbar on Google Maps" xr:uid="{00000000-0004-0000-2200-000076000000}"/>
    <hyperlink ref="E46" r:id="rId120" tooltip="Search Birkirkara on Google Maps" xr:uid="{00000000-0004-0000-2200-000077000000}"/>
    <hyperlink ref="E47" r:id="rId121" tooltip="Search 31, Cross Road, Marsa on Google Maps" xr:uid="{00000000-0004-0000-2200-000078000000}"/>
    <hyperlink ref="E48" r:id="rId122" tooltip="Search 210 Old Railway Track, Santa Venera on Google Maps" xr:uid="{00000000-0004-0000-2200-000079000000}"/>
    <hyperlink ref="E49" r:id="rId123" tooltip="Search 139, Bajada Street, Zabbar, Malta on Google Maps" xr:uid="{00000000-0004-0000-2200-00007A000000}"/>
    <hyperlink ref="E50" r:id="rId124" tooltip="Search Triq il-Wied ta' I-Imsida, Msida on Google Maps" xr:uid="{00000000-0004-0000-2200-00007B000000}"/>
    <hyperlink ref="E51" r:id="rId125" tooltip="Search Triq Sant' Anton Abbati, Mosta on Google Maps" xr:uid="{00000000-0004-0000-2200-00007C000000}"/>
    <hyperlink ref="E52" r:id="rId126" tooltip="Search JPR Bldgs Qasam Industrijali, San Gwann on Google Maps" xr:uid="{00000000-0004-0000-2200-00007D000000}"/>
    <hyperlink ref="E53" r:id="rId127" tooltip="Search Zone 5 Triq Is-Sebh Central Business District, Qormi on Google Maps" xr:uid="{00000000-0004-0000-2200-00007E000000}"/>
    <hyperlink ref="E54" r:id="rId128" tooltip="Search Triq Pantar, Lija on Google Maps" xr:uid="{00000000-0004-0000-2200-00007F000000}"/>
    <hyperlink ref="E55" r:id="rId129" tooltip="Search Vjal 25 ta' Novembru, Tal-Barrani, Zejtun on Google Maps" xr:uid="{00000000-0004-0000-2200-000080000000}"/>
    <hyperlink ref="E56" r:id="rId130" tooltip="Search Triq il-Mosta, Lija, Malta LIJA 9012 on Google Maps" xr:uid="{00000000-0004-0000-2200-000081000000}"/>
    <hyperlink ref="E57" r:id="rId131" tooltip="Search Triq Hal Resqun, Gudja on Google Maps" xr:uid="{00000000-0004-0000-2200-000082000000}"/>
    <hyperlink ref="E58" r:id="rId132" tooltip="Search Triq il-Wied ta' I-Imsida, Msida on Google Maps" xr:uid="{00000000-0004-0000-2200-000083000000}"/>
    <hyperlink ref="E59" r:id="rId133" tooltip="Search Triq tal-Balal, San Gwann on Google Maps" xr:uid="{00000000-0004-0000-2200-000084000000}"/>
    <hyperlink ref="E60" r:id="rId134" tooltip="Search JPR Bldgs Qasam Industrijali, San Gwann on Google Maps" xr:uid="{00000000-0004-0000-2200-000085000000}"/>
    <hyperlink ref="E61" r:id="rId135" tooltip="Search 5 Triq Cospicua, Fgura on Google Maps" xr:uid="{00000000-0004-0000-2200-000086000000}"/>
    <hyperlink ref="E62" r:id="rId136" tooltip="Search The Old Factory, Zone 3 Triq San Gwakkin Central Business District, B'Kara on Google Maps" xr:uid="{00000000-0004-0000-2200-000087000000}"/>
    <hyperlink ref="E63" r:id="rId137" tooltip="Search Zone 5 Triq Is-Sebh Central Business District, Qormi on Google Maps" xr:uid="{00000000-0004-0000-2200-000088000000}"/>
    <hyperlink ref="E64" r:id="rId138" tooltip="Search Triq L-Imprendituri, Industrial Zone 3, Central business district, Birkirkara, CBD 3090 on Google Maps" xr:uid="{00000000-0004-0000-2200-000089000000}"/>
    <hyperlink ref="E65" r:id="rId139" tooltip="Search UB 19 Qasam Industrijali, San Gwann on Google Maps" xr:uid="{00000000-0004-0000-2200-00008A000000}"/>
    <hyperlink ref="E66" r:id="rId140" tooltip="Search Triq Toni Camilleri, Burmarrad on Google Maps" xr:uid="{00000000-0004-0000-2200-00008B000000}"/>
    <hyperlink ref="E67" r:id="rId141" tooltip="Search Triq Toni Camilleri, Burmarrad on Google Maps" xr:uid="{00000000-0004-0000-2200-00008C000000}"/>
    <hyperlink ref="E68" r:id="rId142" tooltip="Search Triq ta' Dun Luqa, Sannat-Gozo on Google Maps" xr:uid="{00000000-0004-0000-2200-00008D000000}"/>
    <hyperlink ref="E69" r:id="rId143" tooltip="Search 73 Triq Sir Ugo Mifsud, Lija on Google Maps" xr:uid="{00000000-0004-0000-2200-00008E000000}"/>
    <hyperlink ref="E70" r:id="rId144" tooltip="Search Redentur Triq San Gilijan, B'Kara on Google Maps" xr:uid="{00000000-0004-0000-2200-00008F000000}"/>
    <hyperlink ref="E71" r:id="rId145" tooltip="Search 22 Triq il-Belt Valletta, Qormi on Google Maps" xr:uid="{00000000-0004-0000-2200-000090000000}"/>
    <hyperlink ref="E72" r:id="rId146" tooltip="Search Triq Ghajn Tuffieha, San Pawl ll-Bahar on Google Maps" xr:uid="{00000000-0004-0000-2200-000091000000}"/>
    <hyperlink ref="E73" r:id="rId147" tooltip="Search 153 Triq il-Kappilan Mifsud, Sta Venera on Google Maps" xr:uid="{00000000-0004-0000-2200-000092000000}"/>
    <hyperlink ref="E74" r:id="rId148" tooltip="Search Burmarrad Road, Burmarrad on Google Maps" xr:uid="{00000000-0004-0000-2200-000093000000}"/>
    <hyperlink ref="E75" r:id="rId149" tooltip="Search The Elysium Tree Nursery And Visitors Centre Triq in-Nahhalija Ghajn Tuffieha, Mellieha on Google Maps" xr:uid="{00000000-0004-0000-2200-000094000000}"/>
    <hyperlink ref="E76" r:id="rId150" tooltip="Search Zebbug Road Attard on Google Maps" xr:uid="{00000000-0004-0000-2200-000095000000}"/>
    <hyperlink ref="E77" r:id="rId151" tooltip="Search Triq L-Imqabba, Is-Siggiewi on Google Maps" xr:uid="{00000000-0004-0000-2200-000096000000}"/>
    <hyperlink ref="E78" r:id="rId152" tooltip="Search Triq L-Imdina, Zebbug on Google Maps" xr:uid="{00000000-0004-0000-2200-000097000000}"/>
    <hyperlink ref="E79" r:id="rId153" tooltip="Search 71 Canon Road, Qormi on Google Maps" xr:uid="{00000000-0004-0000-2200-000098000000}"/>
    <hyperlink ref="F2" r:id="rId154" tooltip="Visit brands.com.mt" xr:uid="{00000000-0004-0000-2200-000099000000}"/>
    <hyperlink ref="F3" r:id="rId155" tooltip="Visit okhome.com.mt" xr:uid="{00000000-0004-0000-2200-00009A000000}"/>
    <hyperlink ref="F4" r:id="rId156" tooltip="Visit facebook.com/@protrademalta/" xr:uid="{00000000-0004-0000-2200-00009B000000}"/>
    <hyperlink ref="F5" r:id="rId157" tooltip="Visit dinofino.com" xr:uid="{00000000-0004-0000-2200-00009C000000}"/>
    <hyperlink ref="F6" r:id="rId158" tooltip="Visit camilleriparismode.com" xr:uid="{00000000-0004-0000-2200-00009D000000}"/>
    <hyperlink ref="F7" r:id="rId159" tooltip="Visit patroleamalta.com" xr:uid="{00000000-0004-0000-2200-00009E000000}"/>
    <hyperlink ref="F8" r:id="rId160" tooltip="Visit jysk.com.mt" xr:uid="{00000000-0004-0000-2200-00009F000000}"/>
    <hyperlink ref="F9" r:id="rId161" tooltip="Visit facebook.com/maltawarehousesale/" xr:uid="{00000000-0004-0000-2200-0000A0000000}"/>
    <hyperlink ref="F10" r:id="rId162" tooltip="Visit theatrium.com.mt" xr:uid="{00000000-0004-0000-2200-0000A1000000}"/>
    <hyperlink ref="F11" r:id="rId163" tooltip="Visit piscopogardens.com" xr:uid="{00000000-0004-0000-2200-0000A2000000}"/>
    <hyperlink ref="F12" r:id="rId164" tooltip="Visit malta-design.com" xr:uid="{00000000-0004-0000-2200-0000A3000000}"/>
    <hyperlink ref="F13" r:id="rId165" tooltip="Visit pitreonline.com" xr:uid="{00000000-0004-0000-2200-0000A4000000}"/>
    <hyperlink ref="F14" r:id="rId166" tooltip="Visit chlmalta.com" xr:uid="{00000000-0004-0000-2200-0000A5000000}"/>
    <hyperlink ref="F15" r:id="rId167" tooltip="Visit rattatanshop.mt" xr:uid="{00000000-0004-0000-2200-0000A6000000}"/>
    <hyperlink ref="F16" r:id="rId168" tooltip="Visit facebook.com/p/Garden-House-100066818242898/" xr:uid="{00000000-0004-0000-2200-0000A7000000}"/>
    <hyperlink ref="F17" r:id="rId169" tooltip="Visit maltashopper.com" xr:uid="{00000000-0004-0000-2200-0000A8000000}"/>
    <hyperlink ref="F18" r:id="rId170" tooltip="Visit hometrends.com.mt" xr:uid="{00000000-0004-0000-2200-0000A9000000}"/>
    <hyperlink ref="F19" r:id="rId171" tooltip="Visit sherriesestates.com" xr:uid="{00000000-0004-0000-2200-0000AA000000}"/>
    <hyperlink ref="F20" r:id="rId172" tooltip="Visit homemate.com.mt" xr:uid="{00000000-0004-0000-2200-0000AB000000}"/>
    <hyperlink ref="F21" r:id="rId173" tooltip="Visit tabonedirect.com" xr:uid="{00000000-0004-0000-2200-0000AC000000}"/>
    <hyperlink ref="F22" r:id="rId174" tooltip="Visit khsmalta.com" xr:uid="{00000000-0004-0000-2200-0000AD000000}"/>
    <hyperlink ref="F23" r:id="rId175" tooltip="Visit pcs.com.mt" xr:uid="{00000000-0004-0000-2200-0000AE000000}"/>
    <hyperlink ref="F24" r:id="rId176" tooltip="Visit arkomalta.com" xr:uid="{00000000-0004-0000-2200-0000AF000000}"/>
    <hyperlink ref="F25" r:id="rId177" tooltip="Visit facebook.com/gejtumarmara/" xr:uid="{00000000-0004-0000-2200-0000B0000000}"/>
    <hyperlink ref="F26" r:id="rId178" tooltip="Visit bigmatmalta.com" xr:uid="{00000000-0004-0000-2200-0000B1000000}"/>
    <hyperlink ref="F27" r:id="rId179" tooltip="Visit butlers.com.mt" xr:uid="{00000000-0004-0000-2200-0000B2000000}"/>
    <hyperlink ref="F28" r:id="rId180" tooltip="Visit newline.com.mt" xr:uid="{00000000-0004-0000-2200-0000B3000000}"/>
    <hyperlink ref="F29" r:id="rId181" tooltip="Visit fbpmalta.com/index.php/products/household/chairs-tables" xr:uid="{00000000-0004-0000-2200-0000B4000000}"/>
    <hyperlink ref="F30" r:id="rId182" tooltip="Visit camilleriparismode.com" xr:uid="{00000000-0004-0000-2200-0000B5000000}"/>
    <hyperlink ref="F31" r:id="rId183" tooltip="Visit patroleamalta.com" xr:uid="{00000000-0004-0000-2200-0000B6000000}"/>
    <hyperlink ref="F32" r:id="rId184" tooltip="Visit malta-design.com" xr:uid="{00000000-0004-0000-2200-0000B7000000}"/>
    <hyperlink ref="F33" r:id="rId185" tooltip="Visit facebook.com/@protrademalta/" xr:uid="{00000000-0004-0000-2200-0000B8000000}"/>
    <hyperlink ref="F34" r:id="rId186" tooltip="Visit piscopogardens.com" xr:uid="{00000000-0004-0000-2200-0000B9000000}"/>
    <hyperlink ref="F35" r:id="rId187" tooltip="Visit sciclunarennie.com" xr:uid="{00000000-0004-0000-2200-0000BA000000}"/>
    <hyperlink ref="F36" r:id="rId188" tooltip="Visit chlmalta.com" xr:uid="{00000000-0004-0000-2200-0000BB000000}"/>
    <hyperlink ref="F37" r:id="rId189" tooltip="Visit facebook.com/maltawarehousesale/" xr:uid="{00000000-0004-0000-2200-0000BC000000}"/>
    <hyperlink ref="F38" r:id="rId190" tooltip="Visit facebook.com/p/Garden-House-100066818242898/" xr:uid="{00000000-0004-0000-2200-0000BD000000}"/>
    <hyperlink ref="F39" r:id="rId191" tooltip="Visit hometrends.com.mt" xr:uid="{00000000-0004-0000-2200-0000BE000000}"/>
    <hyperlink ref="F40" r:id="rId192" tooltip="Visit okhome.com.mt" xr:uid="{00000000-0004-0000-2200-0000BF000000}"/>
    <hyperlink ref="F41" r:id="rId193" tooltip="Visit facebook.com/@protrademalta/" xr:uid="{00000000-0004-0000-2200-0000C0000000}"/>
    <hyperlink ref="F42" r:id="rId194" tooltip="Visit tabonedirect.com" xr:uid="{00000000-0004-0000-2200-0000C1000000}"/>
    <hyperlink ref="F43" r:id="rId195" tooltip="Visit bigmatmalta.com" xr:uid="{00000000-0004-0000-2200-0000C2000000}"/>
    <hyperlink ref="F44" r:id="rId196" tooltip="Visit dinofino.com" xr:uid="{00000000-0004-0000-2200-0000C3000000}"/>
    <hyperlink ref="F45" r:id="rId197" tooltip="Visit khsmalta.com" xr:uid="{00000000-0004-0000-2200-0000C4000000}"/>
    <hyperlink ref="F46" r:id="rId198" tooltip="Visit malta-design.com" xr:uid="{00000000-0004-0000-2200-0000C5000000}"/>
    <hyperlink ref="F47" r:id="rId199" tooltip="Visit pcs.com.mt" xr:uid="{00000000-0004-0000-2200-0000C6000000}"/>
    <hyperlink ref="F48" r:id="rId200" tooltip="Visit facebook.com/gejtumarmara/" xr:uid="{00000000-0004-0000-2200-0000C7000000}"/>
    <hyperlink ref="F49" r:id="rId201" tooltip="Visit fbpmalta.com/index.php/products/household/chairs-tables" xr:uid="{00000000-0004-0000-2200-0000C8000000}"/>
    <hyperlink ref="F50" r:id="rId202" tooltip="Visit patroleamalta.com" xr:uid="{00000000-0004-0000-2200-0000C9000000}"/>
    <hyperlink ref="F51" r:id="rId203" tooltip="Visit facebook.com/p/Garden-House-100066818242898/" xr:uid="{00000000-0004-0000-2200-0000CA000000}"/>
    <hyperlink ref="F52" r:id="rId204" tooltip="Visit hometrends.com.mt" xr:uid="{00000000-0004-0000-2200-0000CB000000}"/>
    <hyperlink ref="F53" r:id="rId205" tooltip="Visit facebook.com/@protrademalta/" xr:uid="{00000000-0004-0000-2200-0000CC000000}"/>
    <hyperlink ref="F54" r:id="rId206" tooltip="Visit okhome.com.mt" xr:uid="{00000000-0004-0000-2200-0000CD000000}"/>
    <hyperlink ref="F55" r:id="rId207" tooltip="Visit homemate.com.mt" xr:uid="{00000000-0004-0000-2200-0000CE000000}"/>
    <hyperlink ref="F56" r:id="rId208" tooltip="Visit jysk.com.mt" xr:uid="{00000000-0004-0000-2200-0000CF000000}"/>
    <hyperlink ref="F57" r:id="rId209" tooltip="Visit sciclunarennie.com" xr:uid="{00000000-0004-0000-2200-0000D0000000}"/>
    <hyperlink ref="F58" r:id="rId210" tooltip="Visit patroleamalta.com" xr:uid="{00000000-0004-0000-2200-0000D1000000}"/>
    <hyperlink ref="F59" r:id="rId211" tooltip="Visit brands.com.mt" xr:uid="{00000000-0004-0000-2200-0000D2000000}"/>
    <hyperlink ref="F60" r:id="rId212" tooltip="Visit hometrends.com.mt" xr:uid="{00000000-0004-0000-2200-0000D3000000}"/>
    <hyperlink ref="F61" r:id="rId213" tooltip="Visit calypsomfg.com" xr:uid="{00000000-0004-0000-2200-0000D4000000}"/>
    <hyperlink ref="F62" r:id="rId214" tooltip="Visit devalier.com.mt" xr:uid="{00000000-0004-0000-2200-0000D5000000}"/>
    <hyperlink ref="F63" r:id="rId215" tooltip="Visit facebook.com/@protrademalta/" xr:uid="{00000000-0004-0000-2200-0000D6000000}"/>
    <hyperlink ref="F64" r:id="rId216" tooltip="Visit tabonedirect.com" xr:uid="{00000000-0004-0000-2200-0000D7000000}"/>
    <hyperlink ref="F65" r:id="rId217" tooltip="Visit facebook.com/people/Zet-Ltd/61555689586816/" xr:uid="{00000000-0004-0000-2200-0000D8000000}"/>
    <hyperlink ref="F66" r:id="rId218" tooltip="Visit piscopogardens.com" xr:uid="{00000000-0004-0000-2200-0000D9000000}"/>
    <hyperlink ref="F67" r:id="rId219" tooltip="Visit piscopogardens.com" xr:uid="{00000000-0004-0000-2200-0000DA000000}"/>
    <hyperlink ref="F68" r:id="rId220" tooltip="Visit flowerzonemalta.com" xr:uid="{00000000-0004-0000-2200-0000DB000000}"/>
    <hyperlink ref="F69" r:id="rId221" tooltip="Visit facebook.com/p/Parisio-Nursery-Garden-Centre-100057061346114/" xr:uid="{00000000-0004-0000-2200-0000DC000000}"/>
    <hyperlink ref="F70" r:id="rId222" tooltip="Visit facebook.com/fmagius/?utm_source=Yellow&amp;utm_medium=Yellow-Website&amp;utm_campaign=Landing-Page" xr:uid="{00000000-0004-0000-2200-0000DD000000}"/>
    <hyperlink ref="F71" r:id="rId223" tooltip="Visit innogreens.com" xr:uid="{00000000-0004-0000-2200-0000DE000000}"/>
    <hyperlink ref="F72" r:id="rId224" tooltip="Visit jardinland.com.mt" xr:uid="{00000000-0004-0000-2200-0000DF000000}"/>
    <hyperlink ref="F73" r:id="rId225" tooltip="Visit facebook.com/secretgardenmalta?utm_source=Yellow&amp;utm_medium=Yellow-Website&amp;utm_campaign=Landing-Page" xr:uid="{00000000-0004-0000-2200-0000E0000000}"/>
    <hyperlink ref="F74" r:id="rId226" tooltip="Visit sherriesestates.com" xr:uid="{00000000-0004-0000-2200-0000E1000000}"/>
    <hyperlink ref="F75" r:id="rId227" tooltip="Visit projectgaia.org" xr:uid="{00000000-0004-0000-2200-0000E2000000}"/>
    <hyperlink ref="F76" r:id="rId228" tooltip="Visit greenscapes.com.mt" xr:uid="{00000000-0004-0000-2200-0000E3000000}"/>
    <hyperlink ref="F77" r:id="rId229" tooltip="Visit callusgardencentre.com" xr:uid="{00000000-0004-0000-2200-0000E4000000}"/>
    <hyperlink ref="F78" r:id="rId230" tooltip="Visit bssagri.com" xr:uid="{00000000-0004-0000-2200-0000E5000000}"/>
    <hyperlink ref="F79" r:id="rId231" tooltip="Visit derekmalta.com" xr:uid="{00000000-0004-0000-2200-0000E6000000}"/>
    <hyperlink ref="F80" r:id="rId232" tooltip="Visit garlandmalta.com/" xr:uid="{00000000-0004-0000-2200-0000E7000000}"/>
    <hyperlink ref="F81" r:id="rId233" tooltip="Visit allseasons.mt/" xr:uid="{00000000-0004-0000-2200-0000E8000000}"/>
  </hyperlinks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8"/>
  <sheetViews>
    <sheetView workbookViewId="0"/>
  </sheetViews>
  <sheetFormatPr defaultRowHeight="14.4" x14ac:dyDescent="0.3"/>
  <cols>
    <col min="1" max="1" width="157.33203125" customWidth="1"/>
    <col min="2" max="2" width="27.88671875" customWidth="1"/>
    <col min="3" max="3" width="27.6640625" customWidth="1"/>
    <col min="4" max="4" width="18.6640625" customWidth="1"/>
    <col min="5" max="5" width="41.6640625" customWidth="1"/>
    <col min="6" max="6" width="16.88671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2443</v>
      </c>
      <c r="B2" s="2" t="s">
        <v>1547</v>
      </c>
      <c r="C2" s="3" t="s">
        <v>1632</v>
      </c>
      <c r="D2" s="2" t="str">
        <f>CONCATENATE(HYPERLINK("CALLTO:%2B356%207710%205385", "+356 7710 5385"))</f>
        <v>+356 7710 5385</v>
      </c>
      <c r="E2" s="3" t="s">
        <v>1715</v>
      </c>
      <c r="F2" s="3" t="s">
        <v>1805</v>
      </c>
    </row>
    <row r="3" spans="1:6" x14ac:dyDescent="0.3">
      <c r="A3" s="4" t="s">
        <v>2443</v>
      </c>
      <c r="B3" s="4" t="s">
        <v>2351</v>
      </c>
      <c r="C3" s="5" t="s">
        <v>2383</v>
      </c>
      <c r="D3" s="4" t="str">
        <f>CONCATENATE(HYPERLINK("CALLTO:%2B356%202746%203330", "+356 2746 3330"))</f>
        <v>+356 2746 3330</v>
      </c>
      <c r="E3" s="5" t="s">
        <v>2480</v>
      </c>
      <c r="F3" s="5" t="s">
        <v>2482</v>
      </c>
    </row>
    <row r="4" spans="1:6" x14ac:dyDescent="0.3">
      <c r="A4" s="2" t="s">
        <v>2443</v>
      </c>
      <c r="B4" s="2" t="s">
        <v>2151</v>
      </c>
      <c r="C4" s="3" t="s">
        <v>1638</v>
      </c>
      <c r="D4" s="2" t="str">
        <f>CONCATENATE(HYPERLINK("CALLTO:%2B356%202095%209595", "+356 2095 9595"))</f>
        <v>+356 2095 9595</v>
      </c>
      <c r="E4" s="3" t="s">
        <v>2165</v>
      </c>
      <c r="F4" s="3" t="s">
        <v>2173</v>
      </c>
    </row>
    <row r="5" spans="1:6" x14ac:dyDescent="0.3">
      <c r="A5" s="4" t="s">
        <v>2443</v>
      </c>
      <c r="B5" s="4" t="s">
        <v>1888</v>
      </c>
      <c r="C5" s="5" t="s">
        <v>1296</v>
      </c>
      <c r="D5" s="4" t="str">
        <f>CONCATENATE(HYPERLINK("CALLTO:%2B356%202549%203000", "+356 2549 3000"))</f>
        <v>+356 2549 3000</v>
      </c>
      <c r="E5" s="5" t="s">
        <v>1996</v>
      </c>
      <c r="F5" s="5" t="s">
        <v>2062</v>
      </c>
    </row>
    <row r="6" spans="1:6" x14ac:dyDescent="0.3">
      <c r="A6" s="2" t="s">
        <v>2443</v>
      </c>
      <c r="B6" s="2" t="s">
        <v>2479</v>
      </c>
      <c r="C6" s="3" t="s">
        <v>1609</v>
      </c>
      <c r="D6" s="2" t="str">
        <f>CONCATENATE(HYPERLINK("CALLTO:%2B356%202149%206473", "+356 2149 6473"))</f>
        <v>+356 2149 6473</v>
      </c>
      <c r="E6" s="3" t="s">
        <v>1688</v>
      </c>
      <c r="F6" s="3" t="s">
        <v>1781</v>
      </c>
    </row>
    <row r="7" spans="1:6" x14ac:dyDescent="0.3">
      <c r="A7" s="4" t="s">
        <v>2443</v>
      </c>
      <c r="B7" s="4" t="s">
        <v>2376</v>
      </c>
      <c r="C7" s="5" t="s">
        <v>2406</v>
      </c>
      <c r="D7" s="4"/>
      <c r="E7" s="4"/>
      <c r="F7" s="5" t="s">
        <v>2477</v>
      </c>
    </row>
    <row r="8" spans="1:6" x14ac:dyDescent="0.3">
      <c r="A8" s="2" t="s">
        <v>2478</v>
      </c>
      <c r="B8" s="2"/>
      <c r="C8" s="2"/>
      <c r="D8" s="2"/>
      <c r="E8" s="2"/>
      <c r="F8" s="2"/>
    </row>
  </sheetData>
  <hyperlinks>
    <hyperlink ref="C2" r:id="rId1" tooltip="Send a mail to sales@malta-design.com" xr:uid="{00000000-0004-0000-2300-000000000000}"/>
    <hyperlink ref="C3" r:id="rId2" tooltip="Send a mail to home@jpitre.com" xr:uid="{00000000-0004-0000-2300-000001000000}"/>
    <hyperlink ref="C4" r:id="rId3" tooltip="Send a mail to info@brands.com.mt" xr:uid="{00000000-0004-0000-2300-000002000000}"/>
    <hyperlink ref="C5" r:id="rId4" tooltip="Send a mail to info@fino.com.mt" xr:uid="{00000000-0004-0000-2300-000003000000}"/>
    <hyperlink ref="C6" r:id="rId5" tooltip="Send a mail to info@styleinterni.com" xr:uid="{00000000-0004-0000-2300-000004000000}"/>
    <hyperlink ref="C7" r:id="rId6" tooltip="Send a mail to customercare@allseasons.mt" xr:uid="{00000000-0004-0000-2300-000005000000}"/>
    <hyperlink ref="E2" r:id="rId7" tooltip="Search Malta Design_x000a_33 Triq l-Oleandru ,_x000a_San Giljan, Malta on Google Maps" xr:uid="{00000000-0004-0000-2300-000006000000}"/>
    <hyperlink ref="E3" r:id="rId8" tooltip="Search Pitre Home Ltd, Mdina Road, Qormi on Google Maps" xr:uid="{00000000-0004-0000-2300-000007000000}"/>
    <hyperlink ref="E4" r:id="rId9" tooltip="Search Triq tal-Balal, San Gwann, Malta on Google Maps" xr:uid="{00000000-0004-0000-2300-000008000000}"/>
    <hyperlink ref="E5" r:id="rId10" tooltip="Search Fino Buildings,_x000a_Triq l-Imdina, Zone 4,_x000a_Mriehel/Central Business District_x000a_CBD 4010, Malta on Google Maps" xr:uid="{00000000-0004-0000-2300-000009000000}"/>
    <hyperlink ref="E6" r:id="rId11" tooltip="Search 260 Old Railway Track, Santa Venera SVR 9019 on Google Maps" xr:uid="{00000000-0004-0000-2300-00000A000000}"/>
    <hyperlink ref="F2" r:id="rId12" tooltip="Visit malta-design.com" xr:uid="{00000000-0004-0000-2300-00000B000000}"/>
    <hyperlink ref="F3" r:id="rId13" tooltip="Visit pitreonline.com/" xr:uid="{00000000-0004-0000-2300-00000C000000}"/>
    <hyperlink ref="F4" r:id="rId14" tooltip="Visit brands.com.mt/" xr:uid="{00000000-0004-0000-2300-00000D000000}"/>
    <hyperlink ref="F5" r:id="rId15" tooltip="Visit fino.com.mt/" xr:uid="{00000000-0004-0000-2300-00000E000000}"/>
    <hyperlink ref="F6" r:id="rId16" tooltip="Visit styleinterni.com/" xr:uid="{00000000-0004-0000-2300-00000F000000}"/>
    <hyperlink ref="F7" r:id="rId17" tooltip="Visit allseasons.mt/" xr:uid="{00000000-0004-0000-2300-000010000000}"/>
  </hyperlinks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7"/>
  <sheetViews>
    <sheetView workbookViewId="0"/>
  </sheetViews>
  <sheetFormatPr defaultRowHeight="14.4" x14ac:dyDescent="0.3"/>
  <cols>
    <col min="1" max="1" width="10.88671875" customWidth="1"/>
    <col min="2" max="2" width="15.6640625" customWidth="1"/>
    <col min="3" max="3" width="27.88671875" customWidth="1"/>
    <col min="4" max="4" width="20.44140625" customWidth="1"/>
    <col min="5" max="5" width="41.6640625" customWidth="1"/>
    <col min="6" max="6" width="23.332031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2041</v>
      </c>
      <c r="E1" s="1" t="s">
        <v>5386</v>
      </c>
      <c r="F1" s="1" t="s">
        <v>532</v>
      </c>
    </row>
    <row r="2" spans="1:6" x14ac:dyDescent="0.3">
      <c r="A2" s="2" t="s">
        <v>2481</v>
      </c>
      <c r="B2" s="2" t="s">
        <v>1523</v>
      </c>
      <c r="C2" s="3" t="s">
        <v>1609</v>
      </c>
      <c r="D2" s="2" t="s">
        <v>2488</v>
      </c>
      <c r="E2" s="3" t="s">
        <v>1688</v>
      </c>
      <c r="F2" s="3" t="s">
        <v>1781</v>
      </c>
    </row>
    <row r="3" spans="1:6" x14ac:dyDescent="0.3">
      <c r="A3" s="4" t="s">
        <v>2483</v>
      </c>
      <c r="B3" s="4" t="s">
        <v>2484</v>
      </c>
      <c r="C3" s="5" t="s">
        <v>2486</v>
      </c>
      <c r="D3" s="4" t="s">
        <v>2489</v>
      </c>
      <c r="E3" s="5" t="s">
        <v>2494</v>
      </c>
      <c r="F3" s="5" t="s">
        <v>2497</v>
      </c>
    </row>
    <row r="4" spans="1:6" x14ac:dyDescent="0.3">
      <c r="A4" s="2" t="s">
        <v>2483</v>
      </c>
      <c r="B4" s="2" t="s">
        <v>2105</v>
      </c>
      <c r="C4" s="3" t="s">
        <v>2117</v>
      </c>
      <c r="D4" s="2" t="s">
        <v>2490</v>
      </c>
      <c r="E4" s="3" t="s">
        <v>2126</v>
      </c>
      <c r="F4" s="3" t="s">
        <v>2498</v>
      </c>
    </row>
    <row r="5" spans="1:6" x14ac:dyDescent="0.3">
      <c r="A5" s="4" t="s">
        <v>2483</v>
      </c>
      <c r="B5" s="4" t="s">
        <v>2106</v>
      </c>
      <c r="C5" s="5" t="s">
        <v>865</v>
      </c>
      <c r="D5" s="4" t="s">
        <v>2491</v>
      </c>
      <c r="E5" s="5" t="s">
        <v>2278</v>
      </c>
      <c r="F5" s="5" t="s">
        <v>2134</v>
      </c>
    </row>
    <row r="6" spans="1:6" x14ac:dyDescent="0.3">
      <c r="A6" s="2" t="s">
        <v>2483</v>
      </c>
      <c r="B6" s="2" t="s">
        <v>2243</v>
      </c>
      <c r="C6" s="3" t="s">
        <v>2252</v>
      </c>
      <c r="D6" s="2" t="s">
        <v>2492</v>
      </c>
      <c r="E6" s="3" t="s">
        <v>2495</v>
      </c>
      <c r="F6" s="3" t="s">
        <v>2309</v>
      </c>
    </row>
    <row r="7" spans="1:6" x14ac:dyDescent="0.3">
      <c r="A7" s="4" t="s">
        <v>2483</v>
      </c>
      <c r="B7" s="4" t="s">
        <v>2485</v>
      </c>
      <c r="C7" s="5" t="s">
        <v>2487</v>
      </c>
      <c r="D7" s="4" t="s">
        <v>2493</v>
      </c>
      <c r="E7" s="4"/>
      <c r="F7" s="5" t="s">
        <v>2499</v>
      </c>
    </row>
  </sheetData>
  <hyperlinks>
    <hyperlink ref="C2" r:id="rId1" tooltip="Send a mail to info@styleinterni.com" xr:uid="{00000000-0004-0000-2400-000000000000}"/>
    <hyperlink ref="C3" r:id="rId2" tooltip="Send a mail to info@spotonmalta.com" xr:uid="{00000000-0004-0000-2400-000001000000}"/>
    <hyperlink ref="C4" r:id="rId3" tooltip="Send a mail to info@megahome.mt" xr:uid="{00000000-0004-0000-2400-000002000000}"/>
    <hyperlink ref="C5" r:id="rId4" tooltip="Send a mail to info@bfmarbles.com" xr:uid="{00000000-0004-0000-2400-000003000000}"/>
    <hyperlink ref="C6" r:id="rId5" tooltip="Send a mail to sales@lingonberries.eu" xr:uid="{00000000-0004-0000-2400-000004000000}"/>
    <hyperlink ref="C7" r:id="rId6" tooltip="Send a mail to info@bigbeninteriors.com.mt" xr:uid="{00000000-0004-0000-2400-000005000000}"/>
    <hyperlink ref="E2" r:id="rId7" tooltip="Search 260 Old Railway Track, Santa Venera SVR 9019 on Google Maps" xr:uid="{00000000-0004-0000-2400-000006000000}"/>
    <hyperlink ref="E3" r:id="rId8" tooltip="Search 102 Palm Street,_x000a_PLA1414 Paola MALTA. on Google Maps" xr:uid="{00000000-0004-0000-2400-000007000000}"/>
    <hyperlink ref="E4" r:id="rId9" tooltip="Search Triq Il-Vitorja, Ħal Qormi QRM 2504 on Google Maps" xr:uid="{00000000-0004-0000-2400-000008000000}"/>
    <hyperlink ref="E5" r:id="rId10" tooltip="Search 27 Triq Wignacourt, Birkirkara on Google Maps" xr:uid="{00000000-0004-0000-2400-000009000000}"/>
    <hyperlink ref="E6" r:id="rId11" tooltip="Search Naxxar Road, Birkirkara,_x000a_Malta, BKR 9045 on Google Maps" xr:uid="{00000000-0004-0000-2400-00000A000000}"/>
    <hyperlink ref="F2" r:id="rId12" tooltip="Visit styleinterni.com/" xr:uid="{00000000-0004-0000-2400-00000B000000}"/>
    <hyperlink ref="F3" r:id="rId13" tooltip="Visit spotonmalta.com/" xr:uid="{00000000-0004-0000-2400-00000C000000}"/>
    <hyperlink ref="F4" r:id="rId14" tooltip="Visit megahome.mt/" xr:uid="{00000000-0004-0000-2400-00000D000000}"/>
    <hyperlink ref="F5" r:id="rId15" tooltip="Visit bfmarbles.com/#" xr:uid="{00000000-0004-0000-2400-00000E000000}"/>
    <hyperlink ref="F6" r:id="rId16" tooltip="Visit lingonberries.mt/" xr:uid="{00000000-0004-0000-2400-00000F000000}"/>
    <hyperlink ref="F7" r:id="rId17" tooltip="Visit bigbeninteriors.com.mt/" xr:uid="{00000000-0004-0000-2400-000010000000}"/>
  </hyperlinks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"/>
  <sheetViews>
    <sheetView workbookViewId="0"/>
  </sheetViews>
  <sheetFormatPr defaultRowHeight="14.4" x14ac:dyDescent="0.3"/>
  <cols>
    <col min="1" max="1" width="10.44140625" customWidth="1"/>
    <col min="2" max="2" width="18.109375" customWidth="1"/>
    <col min="3" max="3" width="19.88671875" customWidth="1"/>
    <col min="4" max="4" width="20.44140625" customWidth="1"/>
    <col min="5" max="5" width="32.6640625" customWidth="1"/>
    <col min="6" max="6" width="43.33203125" customWidth="1"/>
    <col min="7" max="7" width="6" customWidth="1"/>
    <col min="8" max="8" width="55.6640625" customWidth="1"/>
  </cols>
  <sheetData>
    <row r="1" spans="1:8" ht="18" x14ac:dyDescent="0.35">
      <c r="A1" s="1" t="s">
        <v>5384</v>
      </c>
      <c r="B1" s="1" t="s">
        <v>2196</v>
      </c>
      <c r="C1" s="1" t="s">
        <v>507</v>
      </c>
      <c r="D1" s="1" t="s">
        <v>2041</v>
      </c>
      <c r="E1" s="1" t="s">
        <v>5386</v>
      </c>
      <c r="F1" s="1" t="s">
        <v>532</v>
      </c>
      <c r="G1" s="1" t="s">
        <v>2505</v>
      </c>
      <c r="H1" s="1" t="s">
        <v>582</v>
      </c>
    </row>
    <row r="2" spans="1:8" x14ac:dyDescent="0.3">
      <c r="A2" s="2" t="s">
        <v>2496</v>
      </c>
      <c r="B2" s="2" t="s">
        <v>2105</v>
      </c>
      <c r="C2" s="3" t="s">
        <v>2117</v>
      </c>
      <c r="D2" s="2" t="s">
        <v>2490</v>
      </c>
      <c r="E2" s="3" t="s">
        <v>2126</v>
      </c>
      <c r="F2" s="3" t="s">
        <v>2498</v>
      </c>
      <c r="G2" s="2"/>
      <c r="H2" s="2"/>
    </row>
    <row r="3" spans="1:8" x14ac:dyDescent="0.3">
      <c r="A3" s="4" t="s">
        <v>2496</v>
      </c>
      <c r="B3" s="4" t="s">
        <v>2106</v>
      </c>
      <c r="C3" s="5" t="s">
        <v>865</v>
      </c>
      <c r="D3" s="4" t="s">
        <v>2491</v>
      </c>
      <c r="E3" s="5" t="s">
        <v>2504</v>
      </c>
      <c r="F3" s="5" t="s">
        <v>2134</v>
      </c>
      <c r="G3" s="4"/>
      <c r="H3" s="4"/>
    </row>
    <row r="4" spans="1:8" x14ac:dyDescent="0.3">
      <c r="A4" s="2" t="s">
        <v>2500</v>
      </c>
      <c r="B4" s="2" t="s">
        <v>2501</v>
      </c>
      <c r="C4" s="3" t="s">
        <v>700</v>
      </c>
      <c r="D4" s="2" t="s">
        <v>2502</v>
      </c>
      <c r="E4" s="2"/>
      <c r="F4" s="3" t="s">
        <v>2506</v>
      </c>
      <c r="G4" s="2"/>
      <c r="H4" s="2"/>
    </row>
    <row r="5" spans="1:8" x14ac:dyDescent="0.3">
      <c r="A5" s="4" t="s">
        <v>2500</v>
      </c>
      <c r="B5" s="4" t="s">
        <v>2107</v>
      </c>
      <c r="C5" s="4"/>
      <c r="D5" s="4" t="s">
        <v>2503</v>
      </c>
      <c r="E5" s="4"/>
      <c r="F5" s="5" t="s">
        <v>2135</v>
      </c>
      <c r="G5" s="4"/>
      <c r="H5" s="4"/>
    </row>
  </sheetData>
  <hyperlinks>
    <hyperlink ref="C2" r:id="rId1" tooltip="Send a mail to info@megahome.mt" xr:uid="{00000000-0004-0000-2500-000000000000}"/>
    <hyperlink ref="C3" r:id="rId2" tooltip="Send a mail to info@bfmarbles.com" xr:uid="{00000000-0004-0000-2500-000001000000}"/>
    <hyperlink ref="C4" r:id="rId3" tooltip="Send a mail to info@soll.mt" xr:uid="{00000000-0004-0000-2500-000002000000}"/>
    <hyperlink ref="E2" r:id="rId4" tooltip="Search Triq Il-Vitorja, Ħal Qormi QRM 2504 on Google Maps" xr:uid="{00000000-0004-0000-2500-000003000000}"/>
    <hyperlink ref="E3" r:id="rId5" tooltip="Search B1, Midland Enterprise Park_x000a_Burmarrad Road,_x000a_Naxxar, Malta on Google Maps" xr:uid="{00000000-0004-0000-2500-000004000000}"/>
    <hyperlink ref="F2" r:id="rId6" tooltip="Visit megahome.mt/" xr:uid="{00000000-0004-0000-2500-000005000000}"/>
    <hyperlink ref="F3" r:id="rId7" tooltip="Visit bfmarbles.com/#" xr:uid="{00000000-0004-0000-2500-000006000000}"/>
    <hyperlink ref="F4" r:id="rId8" tooltip="Visit soll.mt/" xr:uid="{00000000-0004-0000-2500-000007000000}"/>
    <hyperlink ref="F5" r:id="rId9" tooltip="Visit facebook.com/profile.php?id=61561349402968" xr:uid="{00000000-0004-0000-2500-000008000000}"/>
  </hyperlinks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8"/>
  <sheetViews>
    <sheetView workbookViewId="0"/>
  </sheetViews>
  <sheetFormatPr defaultRowHeight="14.4" x14ac:dyDescent="0.3"/>
  <cols>
    <col min="1" max="1" width="26.44140625" customWidth="1"/>
    <col min="2" max="2" width="19" customWidth="1"/>
    <col min="3" max="3" width="29.44140625" customWidth="1"/>
    <col min="4" max="4" width="18.6640625" customWidth="1"/>
    <col min="5" max="5" width="46" customWidth="1"/>
    <col min="6" max="6" width="50.88671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2508</v>
      </c>
      <c r="B2" s="2" t="s">
        <v>2152</v>
      </c>
      <c r="C2" s="3" t="s">
        <v>1505</v>
      </c>
      <c r="D2" s="2" t="str">
        <f>CONCATENATE(HYPERLINK("CALLTO:%2B356%202034%201569", "+356 2034 1569"))</f>
        <v>+356 2034 1569</v>
      </c>
      <c r="E2" s="3" t="s">
        <v>2166</v>
      </c>
      <c r="F2" s="3" t="s">
        <v>2174</v>
      </c>
    </row>
    <row r="3" spans="1:6" x14ac:dyDescent="0.3">
      <c r="A3" s="4" t="s">
        <v>2508</v>
      </c>
      <c r="B3" s="4" t="s">
        <v>1523</v>
      </c>
      <c r="C3" s="5" t="s">
        <v>1609</v>
      </c>
      <c r="D3" s="4" t="str">
        <f>CONCATENATE(HYPERLINK("CALLTO:%2B356%202149%206473", "+356 2149 6473"))</f>
        <v>+356 2149 6473</v>
      </c>
      <c r="E3" s="5" t="s">
        <v>1688</v>
      </c>
      <c r="F3" s="5" t="s">
        <v>1781</v>
      </c>
    </row>
    <row r="4" spans="1:6" x14ac:dyDescent="0.3">
      <c r="A4" s="2" t="s">
        <v>2508</v>
      </c>
      <c r="B4" s="2" t="s">
        <v>2153</v>
      </c>
      <c r="C4" s="3" t="s">
        <v>1671</v>
      </c>
      <c r="D4" s="2" t="str">
        <f>CONCATENATE(HYPERLINK("CALLTO:%2B356%202148%203614", "+356 2148 3614"))</f>
        <v>+356 2148 3614</v>
      </c>
      <c r="E4" s="3" t="s">
        <v>1970</v>
      </c>
      <c r="F4" s="3" t="s">
        <v>2042</v>
      </c>
    </row>
    <row r="5" spans="1:6" x14ac:dyDescent="0.3">
      <c r="A5" s="4" t="s">
        <v>2509</v>
      </c>
      <c r="B5" s="4" t="s">
        <v>2513</v>
      </c>
      <c r="C5" s="5" t="s">
        <v>2512</v>
      </c>
      <c r="D5" s="4" t="str">
        <f>CONCATENATE(HYPERLINK("CALLTO:%2B356%209990%206485", "+356 9990 6485"))</f>
        <v>+356 9990 6485</v>
      </c>
      <c r="E5" s="5" t="s">
        <v>2514</v>
      </c>
      <c r="F5" s="5" t="s">
        <v>2516</v>
      </c>
    </row>
    <row r="6" spans="1:6" x14ac:dyDescent="0.3">
      <c r="A6" s="2" t="s">
        <v>2510</v>
      </c>
      <c r="B6" s="2" t="s">
        <v>2105</v>
      </c>
      <c r="C6" s="3" t="s">
        <v>2117</v>
      </c>
      <c r="D6" s="2" t="str">
        <f>CONCATENATE(HYPERLINK("CALLTO:%2B356%209997%205737", "+356 9997 5737"))</f>
        <v>+356 9997 5737</v>
      </c>
      <c r="E6" s="3" t="s">
        <v>2126</v>
      </c>
      <c r="F6" s="3" t="s">
        <v>2498</v>
      </c>
    </row>
    <row r="7" spans="1:6" x14ac:dyDescent="0.3">
      <c r="A7" s="4" t="s">
        <v>2511</v>
      </c>
      <c r="B7" s="4" t="s">
        <v>1578</v>
      </c>
      <c r="C7" s="5" t="s">
        <v>1662</v>
      </c>
      <c r="D7" s="4" t="str">
        <f>CONCATENATE(HYPERLINK("CALLTO:%2B356%202145%201718", "+356 2145 1718"))</f>
        <v>+356 2145 1718</v>
      </c>
      <c r="E7" s="5" t="s">
        <v>1743</v>
      </c>
      <c r="F7" s="5" t="s">
        <v>2308</v>
      </c>
    </row>
    <row r="8" spans="1:6" x14ac:dyDescent="0.3">
      <c r="A8" s="2" t="s">
        <v>2508</v>
      </c>
      <c r="B8" s="2" t="s">
        <v>2243</v>
      </c>
      <c r="C8" s="3" t="s">
        <v>2252</v>
      </c>
      <c r="D8" s="2" t="str">
        <f>CONCATENATE(HYPERLINK("CALLTO:%2B356%202788%203788", "+356 2788 3788"))</f>
        <v>+356 2788 3788</v>
      </c>
      <c r="E8" s="3" t="s">
        <v>2278</v>
      </c>
      <c r="F8" s="3" t="s">
        <v>2309</v>
      </c>
    </row>
  </sheetData>
  <hyperlinks>
    <hyperlink ref="C2" r:id="rId1" tooltip="Send a mail to sales@maltadiy.com" xr:uid="{00000000-0004-0000-2600-000000000000}"/>
    <hyperlink ref="C3" r:id="rId2" tooltip="Send a mail to info@styleinterni.com" xr:uid="{00000000-0004-0000-2600-000001000000}"/>
    <hyperlink ref="C4" r:id="rId3" tooltip="Send a mail to info@ferraramalta.com" xr:uid="{00000000-0004-0000-2600-000002000000}"/>
    <hyperlink ref="C5" r:id="rId4" tooltip="Send a mail to venezianocreazioni@gmail.com" xr:uid="{00000000-0004-0000-2600-000003000000}"/>
    <hyperlink ref="C6" r:id="rId5" tooltip="Send a mail to info@megahome.mt" xr:uid="{00000000-0004-0000-2600-000004000000}"/>
    <hyperlink ref="C7" r:id="rId6" tooltip="Send a mail to info@luxonas.com" xr:uid="{00000000-0004-0000-2600-000005000000}"/>
    <hyperlink ref="C8" r:id="rId7" tooltip="Send a mail to sales@lingonberries.eu" xr:uid="{00000000-0004-0000-2600-000006000000}"/>
    <hyperlink ref="E2" r:id="rId8" tooltip="Search Baldacchino Building B, Triq Il-Belt Valletta, Zurrieq on Google Maps" xr:uid="{00000000-0004-0000-2600-000007000000}"/>
    <hyperlink ref="E3" r:id="rId9" tooltip="Search 260 Old Railway Track, Santa Venera SVR 9019 on Google Maps" xr:uid="{00000000-0004-0000-2600-000008000000}"/>
    <hyperlink ref="E4" r:id="rId10" tooltip="Search Ferraracasa Warehouse_x000a_Triq is-Salib ta l-Mriehel_x000a_CBD3020 Birkirkara_x000a_Malta on Google Maps" xr:uid="{00000000-0004-0000-2600-000009000000}"/>
    <hyperlink ref="E5" r:id="rId11" tooltip="Search Mosta, Malta on Google Maps" xr:uid="{00000000-0004-0000-2600-00000A000000}"/>
    <hyperlink ref="E6" r:id="rId12" tooltip="Search Triq Il-Vitorja, Ħal Qormi QRM 2504 on Google Maps" xr:uid="{00000000-0004-0000-2600-00000B000000}"/>
    <hyperlink ref="E7" r:id="rId13" tooltip="Search Triq L-Mdina, Haz-Zebbug, ZBG09018 on Google Maps" xr:uid="{00000000-0004-0000-2600-00000C000000}"/>
    <hyperlink ref="E8" r:id="rId14" tooltip="Search 27 Triq Wignacourt, Birkirkara on Google Maps" xr:uid="{00000000-0004-0000-2600-00000D000000}"/>
    <hyperlink ref="F2" r:id="rId15" tooltip="Visit maltadiy.com/product-category/lights-and-tech/lights/" xr:uid="{00000000-0004-0000-2600-00000E000000}"/>
    <hyperlink ref="F3" r:id="rId16" tooltip="Visit styleinterni.com/" xr:uid="{00000000-0004-0000-2600-00000F000000}"/>
    <hyperlink ref="F4" r:id="rId17" tooltip="Visit ferraramalta.com/" xr:uid="{00000000-0004-0000-2600-000010000000}"/>
    <hyperlink ref="F5" r:id="rId18" tooltip="Visit facebook.com/venezianocreazioni/?locale=it_IT" xr:uid="{00000000-0004-0000-2600-000011000000}"/>
    <hyperlink ref="F6" r:id="rId19" tooltip="Visit megahome.mt/" xr:uid="{00000000-0004-0000-2600-000012000000}"/>
    <hyperlink ref="F7" r:id="rId20" tooltip="Visit luxonas.com/" xr:uid="{00000000-0004-0000-2600-000013000000}"/>
    <hyperlink ref="F8" r:id="rId21" tooltip="Visit lingonberries.mt/" xr:uid="{00000000-0004-0000-2600-000014000000}"/>
  </hyperlinks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/>
  </sheetViews>
  <sheetFormatPr defaultRowHeight="14.4" x14ac:dyDescent="0.3"/>
  <cols>
    <col min="1" max="1" width="14.33203125" customWidth="1"/>
    <col min="2" max="2" width="11.33203125" customWidth="1"/>
    <col min="3" max="3" width="24.109375" customWidth="1"/>
    <col min="4" max="4" width="18.6640625" customWidth="1"/>
    <col min="5" max="5" width="26.33203125" customWidth="1"/>
    <col min="6" max="6" width="21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2515</v>
      </c>
      <c r="B2" s="2" t="s">
        <v>2517</v>
      </c>
      <c r="C2" s="3" t="s">
        <v>2518</v>
      </c>
      <c r="D2" s="2" t="str">
        <f>CONCATENATE(HYPERLINK("CALLTO:%2B356%207927%201448", "+356 7927 1448"))</f>
        <v>+356 7927 1448</v>
      </c>
      <c r="E2" s="3" t="s">
        <v>2519</v>
      </c>
      <c r="F2" s="3" t="s">
        <v>2521</v>
      </c>
    </row>
  </sheetData>
  <hyperlinks>
    <hyperlink ref="C2" r:id="rId1" tooltip="Send a mail to turbosigns@outlook.com" xr:uid="{00000000-0004-0000-2700-000000000000}"/>
    <hyperlink ref="E2" r:id="rId2" tooltip="Search Parades Street, St Paul's Bay on Google Maps" xr:uid="{00000000-0004-0000-2700-000001000000}"/>
    <hyperlink ref="F2" r:id="rId3" tooltip="Visit turbosignsmalta.com/" xr:uid="{00000000-0004-0000-2700-000002000000}"/>
  </hyperlinks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54"/>
  <sheetViews>
    <sheetView workbookViewId="0"/>
  </sheetViews>
  <sheetFormatPr defaultRowHeight="14.4" x14ac:dyDescent="0.3"/>
  <cols>
    <col min="1" max="1" width="17.33203125" customWidth="1"/>
    <col min="2" max="2" width="28.33203125" customWidth="1"/>
    <col min="3" max="3" width="37.109375" customWidth="1"/>
    <col min="4" max="4" width="45.33203125" customWidth="1"/>
    <col min="5" max="5" width="67" customWidth="1"/>
    <col min="6" max="6" width="134.5546875" customWidth="1"/>
  </cols>
  <sheetData>
    <row r="1" spans="1:6" ht="18" x14ac:dyDescent="0.35">
      <c r="A1" s="1" t="s">
        <v>2520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0</v>
      </c>
      <c r="B2" s="2" t="s">
        <v>891</v>
      </c>
      <c r="C2" s="2" t="s">
        <v>1949</v>
      </c>
      <c r="D2" s="2" t="str">
        <f>CONCATENATE(HYPERLINK("CALLTO:%2B356%202167%207798", "+356 2167 7798"), " / ", HYPERLINK("CALLTO:%2B356%202122%205608", "+356 2122 5608"), " / ", HYPERLINK("CALLTO:%2B356%202124%200938", "+356 2124 0938"))</f>
        <v>+356 2167 7798 / +356 2122 5608 / +356 2124 0938</v>
      </c>
      <c r="E2" s="3" t="s">
        <v>2008</v>
      </c>
      <c r="F2" s="3" t="s">
        <v>954</v>
      </c>
    </row>
    <row r="3" spans="1:6" x14ac:dyDescent="0.3">
      <c r="A3" s="4" t="s">
        <v>2522</v>
      </c>
      <c r="B3" s="4" t="s">
        <v>1876</v>
      </c>
      <c r="C3" s="5" t="s">
        <v>900</v>
      </c>
      <c r="D3" s="4" t="str">
        <f>CONCATENATE(HYPERLINK("CALLTO:%2B356%202144%207763", "+356 2144 7763"))</f>
        <v>+356 2144 7763</v>
      </c>
      <c r="E3" s="5" t="s">
        <v>1738</v>
      </c>
      <c r="F3" s="5" t="s">
        <v>941</v>
      </c>
    </row>
    <row r="4" spans="1:6" x14ac:dyDescent="0.3">
      <c r="A4" s="2" t="s">
        <v>2522</v>
      </c>
      <c r="B4" s="2" t="s">
        <v>894</v>
      </c>
      <c r="C4" s="3" t="s">
        <v>911</v>
      </c>
      <c r="D4" s="2" t="str">
        <f>CONCATENATE(HYPERLINK("CALLTO:%2B356%202143%200569", "+356 2143 0569"), " / ", HYPERLINK("CALLTO:%2B356%207945%204867", "+356 7945 4867"))</f>
        <v>+356 2143 0569 / +356 7945 4867</v>
      </c>
      <c r="E4" s="3" t="s">
        <v>2009</v>
      </c>
      <c r="F4" s="3" t="s">
        <v>2072</v>
      </c>
    </row>
    <row r="5" spans="1:6" x14ac:dyDescent="0.3">
      <c r="A5" s="4" t="s">
        <v>2522</v>
      </c>
      <c r="B5" s="4" t="s">
        <v>884</v>
      </c>
      <c r="C5" s="5" t="s">
        <v>903</v>
      </c>
      <c r="D5" s="4" t="str">
        <f>CONCATENATE(HYPERLINK("CALLTO:%2B356%202149%203285", "+356 2149 3285"))</f>
        <v>+356 2149 3285</v>
      </c>
      <c r="E5" s="5" t="s">
        <v>2010</v>
      </c>
      <c r="F5" s="5" t="s">
        <v>2073</v>
      </c>
    </row>
    <row r="6" spans="1:6" x14ac:dyDescent="0.3">
      <c r="A6" s="2" t="s">
        <v>2522</v>
      </c>
      <c r="B6" s="2" t="s">
        <v>895</v>
      </c>
      <c r="C6" s="3" t="s">
        <v>912</v>
      </c>
      <c r="D6" s="2" t="str">
        <f>CONCATENATE(HYPERLINK("CALLTO:%2B356%202137%207181", "+356 2137 7181"))</f>
        <v>+356 2137 7181</v>
      </c>
      <c r="E6" s="3" t="s">
        <v>2017</v>
      </c>
      <c r="F6" s="3" t="s">
        <v>2079</v>
      </c>
    </row>
    <row r="7" spans="1:6" x14ac:dyDescent="0.3">
      <c r="A7" s="4" t="s">
        <v>2522</v>
      </c>
      <c r="B7" s="4" t="s">
        <v>568</v>
      </c>
      <c r="C7" s="5" t="s">
        <v>580</v>
      </c>
      <c r="D7" s="4" t="str">
        <f>CONCATENATE(HYPERLINK("CALLTO:%2B356%202736%206601", "+356 2736 6601"))</f>
        <v>+356 2736 6601</v>
      </c>
      <c r="E7" s="5" t="s">
        <v>2011</v>
      </c>
      <c r="F7" s="5" t="s">
        <v>2074</v>
      </c>
    </row>
    <row r="8" spans="1:6" x14ac:dyDescent="0.3">
      <c r="A8" s="2" t="s">
        <v>2522</v>
      </c>
      <c r="B8" s="2" t="s">
        <v>1900</v>
      </c>
      <c r="C8" s="3" t="s">
        <v>1950</v>
      </c>
      <c r="D8" s="2" t="str">
        <f>CONCATENATE(HYPERLINK("CALLTO:%2B356%202789%208230", "+356 2789 8230"))</f>
        <v>+356 2789 8230</v>
      </c>
      <c r="E8" s="3" t="s">
        <v>2012</v>
      </c>
      <c r="F8" s="3" t="s">
        <v>2075</v>
      </c>
    </row>
    <row r="9" spans="1:6" x14ac:dyDescent="0.3">
      <c r="A9" s="4" t="s">
        <v>2522</v>
      </c>
      <c r="B9" s="4" t="s">
        <v>1901</v>
      </c>
      <c r="C9" s="5" t="s">
        <v>1951</v>
      </c>
      <c r="D9" s="4" t="str">
        <f>CONCATENATE(HYPERLINK("CALLTO:%2B356%202145%204379", "+356 2145 4379"))</f>
        <v>+356 2145 4379</v>
      </c>
      <c r="E9" s="5" t="s">
        <v>2013</v>
      </c>
      <c r="F9" s="5" t="s">
        <v>2076</v>
      </c>
    </row>
    <row r="10" spans="1:6" x14ac:dyDescent="0.3">
      <c r="A10" s="2" t="s">
        <v>2522</v>
      </c>
      <c r="B10" s="2" t="s">
        <v>958</v>
      </c>
      <c r="C10" s="3" t="s">
        <v>1952</v>
      </c>
      <c r="D10" s="2" t="str">
        <f>CONCATENATE(HYPERLINK("CALLTO:%2B356%202123%207601", "+356 2123 7601"))</f>
        <v>+356 2123 7601</v>
      </c>
      <c r="E10" s="3" t="s">
        <v>2014</v>
      </c>
      <c r="F10" s="3" t="s">
        <v>2077</v>
      </c>
    </row>
    <row r="11" spans="1:6" x14ac:dyDescent="0.3">
      <c r="A11" s="4" t="s">
        <v>2522</v>
      </c>
      <c r="B11" s="4" t="s">
        <v>1905</v>
      </c>
      <c r="C11" s="5" t="s">
        <v>1956</v>
      </c>
      <c r="D11" s="4" t="str">
        <f>CONCATENATE(HYPERLINK("CALLTO:%2B356%202146%204646", "+356 2146 4646"))</f>
        <v>+356 2146 4646</v>
      </c>
      <c r="E11" s="5" t="s">
        <v>2021</v>
      </c>
      <c r="F11" s="4" t="s">
        <v>146</v>
      </c>
    </row>
    <row r="12" spans="1:6" x14ac:dyDescent="0.3">
      <c r="A12" s="2" t="s">
        <v>2522</v>
      </c>
      <c r="B12" s="2" t="s">
        <v>2524</v>
      </c>
      <c r="C12" s="3" t="s">
        <v>2527</v>
      </c>
      <c r="D12" s="2" t="str">
        <f>CONCATENATE(HYPERLINK("CALLTO:%2B356%202745%203200", "+356 2745 3200"))</f>
        <v>+356 2745 3200</v>
      </c>
      <c r="E12" s="3" t="s">
        <v>2530</v>
      </c>
      <c r="F12" s="3" t="s">
        <v>2534</v>
      </c>
    </row>
    <row r="13" spans="1:6" x14ac:dyDescent="0.3">
      <c r="A13" s="4" t="s">
        <v>2522</v>
      </c>
      <c r="B13" s="4" t="s">
        <v>31</v>
      </c>
      <c r="C13" s="5" t="s">
        <v>57</v>
      </c>
      <c r="D13" s="4" t="str">
        <f>CONCATENATE(HYPERLINK("CALLTO:%2B356%202143%207403", "+356 2143 7403"))</f>
        <v>+356 2143 7403</v>
      </c>
      <c r="E13" s="5" t="s">
        <v>2019</v>
      </c>
      <c r="F13" s="5" t="s">
        <v>2081</v>
      </c>
    </row>
    <row r="14" spans="1:6" x14ac:dyDescent="0.3">
      <c r="A14" s="2" t="s">
        <v>2522</v>
      </c>
      <c r="B14" s="2" t="s">
        <v>1904</v>
      </c>
      <c r="C14" s="3" t="s">
        <v>1955</v>
      </c>
      <c r="D14" s="2" t="str">
        <f>CONCATENATE(HYPERLINK("CALLTO:%2B356%202123%208356", "+356 2123 8356"))</f>
        <v>+356 2123 8356</v>
      </c>
      <c r="E14" s="3" t="s">
        <v>2020</v>
      </c>
      <c r="F14" s="3" t="s">
        <v>2082</v>
      </c>
    </row>
    <row r="15" spans="1:6" x14ac:dyDescent="0.3">
      <c r="A15" s="4" t="s">
        <v>2522</v>
      </c>
      <c r="B15" s="4" t="s">
        <v>1915</v>
      </c>
      <c r="C15" s="5" t="s">
        <v>1963</v>
      </c>
      <c r="D15" s="4" t="str">
        <f>CONCATENATE(HYPERLINK("CALLTO:%2B356%202155%200437", "+356 2155 0437"))</f>
        <v>+356 2155 0437</v>
      </c>
      <c r="E15" s="5" t="s">
        <v>2033</v>
      </c>
      <c r="F15" s="5" t="s">
        <v>2091</v>
      </c>
    </row>
    <row r="16" spans="1:6" x14ac:dyDescent="0.3">
      <c r="A16" s="2" t="s">
        <v>2522</v>
      </c>
      <c r="B16" s="2" t="s">
        <v>1907</v>
      </c>
      <c r="C16" s="3" t="s">
        <v>1958</v>
      </c>
      <c r="D16" s="2" t="str">
        <f>CONCATENATE(HYPERLINK("CALLTO:%2B356%202279%204216", "+356 2279 4216"))</f>
        <v>+356 2279 4216</v>
      </c>
      <c r="E16" s="3" t="s">
        <v>2023</v>
      </c>
      <c r="F16" s="3" t="s">
        <v>938</v>
      </c>
    </row>
    <row r="17" spans="1:6" x14ac:dyDescent="0.3">
      <c r="A17" s="4" t="s">
        <v>2522</v>
      </c>
      <c r="B17" s="4" t="s">
        <v>1908</v>
      </c>
      <c r="C17" s="5" t="s">
        <v>576</v>
      </c>
      <c r="D17" s="4" t="str">
        <f>CONCATENATE(HYPERLINK("CALLTO:%2B356%202343%206000", "+356 2343 6000"))</f>
        <v>+356 2343 6000</v>
      </c>
      <c r="E17" s="5" t="s">
        <v>2024</v>
      </c>
      <c r="F17" s="5" t="s">
        <v>2089</v>
      </c>
    </row>
    <row r="18" spans="1:6" x14ac:dyDescent="0.3">
      <c r="A18" s="2" t="s">
        <v>2522</v>
      </c>
      <c r="B18" s="2" t="s">
        <v>1909</v>
      </c>
      <c r="C18" s="3" t="s">
        <v>914</v>
      </c>
      <c r="D18" s="2" t="str">
        <f>CONCATENATE(HYPERLINK("CALLTO:%2B356%202143%202863", "+356 2143 2863"))</f>
        <v>+356 2143 2863</v>
      </c>
      <c r="E18" s="3" t="s">
        <v>2025</v>
      </c>
      <c r="F18" s="3" t="s">
        <v>2085</v>
      </c>
    </row>
    <row r="19" spans="1:6" x14ac:dyDescent="0.3">
      <c r="A19" s="4" t="s">
        <v>2522</v>
      </c>
      <c r="B19" s="4" t="s">
        <v>1910</v>
      </c>
      <c r="C19" s="5" t="s">
        <v>1959</v>
      </c>
      <c r="D19" s="4" t="str">
        <f>CONCATENATE(HYPERLINK("CALLTO:%2B356%202155%204062", "+356 2155 4062"))</f>
        <v>+356 2155 4062</v>
      </c>
      <c r="E19" s="5" t="s">
        <v>2026</v>
      </c>
      <c r="F19" s="5" t="s">
        <v>2086</v>
      </c>
    </row>
    <row r="20" spans="1:6" x14ac:dyDescent="0.3">
      <c r="A20" s="2" t="s">
        <v>2522</v>
      </c>
      <c r="B20" s="2" t="s">
        <v>2525</v>
      </c>
      <c r="C20" s="3" t="s">
        <v>2528</v>
      </c>
      <c r="D20" s="2" t="str">
        <f>CONCATENATE(HYPERLINK("CALLTO:%2B356%209949%206702", "+356 9949 6702"))</f>
        <v>+356 9949 6702</v>
      </c>
      <c r="E20" s="3" t="s">
        <v>2531</v>
      </c>
      <c r="F20" s="2" t="s">
        <v>146</v>
      </c>
    </row>
    <row r="21" spans="1:6" x14ac:dyDescent="0.3">
      <c r="A21" s="4" t="s">
        <v>2522</v>
      </c>
      <c r="B21" s="4" t="s">
        <v>1911</v>
      </c>
      <c r="C21" s="5" t="s">
        <v>905</v>
      </c>
      <c r="D21" s="4" t="str">
        <f>CONCATENATE(HYPERLINK("CALLTO:%2B356%202343%206343", "+356 2343 6343"))</f>
        <v>+356 2343 6343</v>
      </c>
      <c r="E21" s="5" t="s">
        <v>2027</v>
      </c>
      <c r="F21" s="5" t="s">
        <v>946</v>
      </c>
    </row>
    <row r="22" spans="1:6" x14ac:dyDescent="0.3">
      <c r="A22" s="2" t="s">
        <v>2522</v>
      </c>
      <c r="B22" s="2" t="s">
        <v>1912</v>
      </c>
      <c r="C22" s="3" t="s">
        <v>1960</v>
      </c>
      <c r="D22" s="2" t="str">
        <f>CONCATENATE(HYPERLINK("CALLTO:%2B356%202124%201307", "+356 2124 1307"))</f>
        <v>+356 2124 1307</v>
      </c>
      <c r="E22" s="3" t="s">
        <v>2028</v>
      </c>
      <c r="F22" s="3" t="s">
        <v>2087</v>
      </c>
    </row>
    <row r="23" spans="1:6" x14ac:dyDescent="0.3">
      <c r="A23" s="4" t="s">
        <v>2522</v>
      </c>
      <c r="B23" s="4" t="s">
        <v>1913</v>
      </c>
      <c r="C23" s="5" t="s">
        <v>1622</v>
      </c>
      <c r="D23" s="4" t="str">
        <f>CONCATENATE(HYPERLINK("CALLTO:%2B356%202546%204000", "+356 2546 4000"))</f>
        <v>+356 2546 4000</v>
      </c>
      <c r="E23" s="5" t="s">
        <v>2029</v>
      </c>
      <c r="F23" s="5" t="s">
        <v>1794</v>
      </c>
    </row>
    <row r="24" spans="1:6" x14ac:dyDescent="0.3">
      <c r="A24" s="2" t="s">
        <v>2522</v>
      </c>
      <c r="B24" s="2" t="s">
        <v>1917</v>
      </c>
      <c r="C24" s="3" t="s">
        <v>1965</v>
      </c>
      <c r="D24" s="2" t="str">
        <f>CONCATENATE(HYPERLINK("CALLTO:%2B356%202156%204000", "+356 2156 4000"))</f>
        <v>+356 2156 4000</v>
      </c>
      <c r="E24" s="3" t="s">
        <v>2034</v>
      </c>
      <c r="F24" s="3" t="s">
        <v>2093</v>
      </c>
    </row>
    <row r="25" spans="1:6" x14ac:dyDescent="0.3">
      <c r="A25" s="4" t="s">
        <v>2522</v>
      </c>
      <c r="B25" s="4" t="s">
        <v>1902</v>
      </c>
      <c r="C25" s="5" t="s">
        <v>1953</v>
      </c>
      <c r="D25" s="4" t="str">
        <f>CONCATENATE(HYPERLINK("CALLTO:%2B356%202180%200638", "+356 2180 0638"))</f>
        <v>+356 2180 0638</v>
      </c>
      <c r="E25" s="5" t="s">
        <v>2015</v>
      </c>
      <c r="F25" s="5" t="s">
        <v>2078</v>
      </c>
    </row>
    <row r="26" spans="1:6" x14ac:dyDescent="0.3">
      <c r="A26" s="2" t="s">
        <v>2522</v>
      </c>
      <c r="B26" s="2" t="s">
        <v>1914</v>
      </c>
      <c r="C26" s="3" t="s">
        <v>1961</v>
      </c>
      <c r="D26" s="2" t="str">
        <f>CONCATENATE(HYPERLINK("CALLTO:%2B356%202141%201197", "+356 2141 1197"))</f>
        <v>+356 2141 1197</v>
      </c>
      <c r="E26" s="3" t="s">
        <v>2030</v>
      </c>
      <c r="F26" s="2" t="s">
        <v>146</v>
      </c>
    </row>
    <row r="27" spans="1:6" x14ac:dyDescent="0.3">
      <c r="A27" s="4" t="s">
        <v>2522</v>
      </c>
      <c r="B27" s="4" t="s">
        <v>563</v>
      </c>
      <c r="C27" s="5" t="s">
        <v>577</v>
      </c>
      <c r="D27" s="4" t="str">
        <f>CONCATENATE(HYPERLINK("CALLTO:%2B356%202334%202000", "+356 2334 2000"))</f>
        <v>+356 2334 2000</v>
      </c>
      <c r="E27" s="5" t="s">
        <v>2016</v>
      </c>
      <c r="F27" s="5" t="s">
        <v>940</v>
      </c>
    </row>
    <row r="28" spans="1:6" x14ac:dyDescent="0.3">
      <c r="A28" s="2" t="s">
        <v>2522</v>
      </c>
      <c r="B28" s="2" t="s">
        <v>567</v>
      </c>
      <c r="C28" s="3" t="s">
        <v>1962</v>
      </c>
      <c r="D28" s="2" t="str">
        <f>CONCATENATE(HYPERLINK("CALLTO:%2B356%202167%202663", "+356 2167 2663"))</f>
        <v>+356 2167 2663</v>
      </c>
      <c r="E28" s="3" t="s">
        <v>2031</v>
      </c>
      <c r="F28" s="3" t="s">
        <v>2088</v>
      </c>
    </row>
    <row r="29" spans="1:6" x14ac:dyDescent="0.3">
      <c r="A29" s="4" t="s">
        <v>2522</v>
      </c>
      <c r="B29" s="4" t="s">
        <v>1916</v>
      </c>
      <c r="C29" s="5" t="s">
        <v>1964</v>
      </c>
      <c r="D29" s="4" t="str">
        <f>CONCATENATE(HYPERLINK("CALLTO:%2B356%202155%203611", "+356 2155 3611"))</f>
        <v>+356 2155 3611</v>
      </c>
      <c r="E29" s="5" t="s">
        <v>2033</v>
      </c>
      <c r="F29" s="5" t="s">
        <v>2092</v>
      </c>
    </row>
    <row r="30" spans="1:6" x14ac:dyDescent="0.3">
      <c r="A30" s="2" t="s">
        <v>2522</v>
      </c>
      <c r="B30" s="2" t="s">
        <v>1876</v>
      </c>
      <c r="C30" s="3" t="s">
        <v>900</v>
      </c>
      <c r="D30" s="2" t="str">
        <f>CONCATENATE(HYPERLINK("CALLTO:%2B356%202144%207763", "+356 2144 7763"))</f>
        <v>+356 2144 7763</v>
      </c>
      <c r="E30" s="3" t="s">
        <v>1738</v>
      </c>
      <c r="F30" s="3" t="s">
        <v>941</v>
      </c>
    </row>
    <row r="31" spans="1:6" x14ac:dyDescent="0.3">
      <c r="A31" s="4" t="s">
        <v>2523</v>
      </c>
      <c r="B31" s="4" t="s">
        <v>894</v>
      </c>
      <c r="C31" s="5" t="s">
        <v>911</v>
      </c>
      <c r="D31" s="4" t="str">
        <f>CONCATENATE(HYPERLINK("CALLTO:%2B356%202143%200569", "+356 2143 0569"), " / ", HYPERLINK("CALLTO:%2B356%207945%204867", "+356 7945 4867"))</f>
        <v>+356 2143 0569 / +356 7945 4867</v>
      </c>
      <c r="E31" s="5" t="s">
        <v>2009</v>
      </c>
      <c r="F31" s="5" t="s">
        <v>2072</v>
      </c>
    </row>
    <row r="32" spans="1:6" x14ac:dyDescent="0.3">
      <c r="A32" s="2" t="s">
        <v>2523</v>
      </c>
      <c r="B32" s="2" t="s">
        <v>884</v>
      </c>
      <c r="C32" s="3" t="s">
        <v>903</v>
      </c>
      <c r="D32" s="2" t="str">
        <f>CONCATENATE(HYPERLINK("CALLTO:%2B356%202149%203285", "+356 2149 3285"))</f>
        <v>+356 2149 3285</v>
      </c>
      <c r="E32" s="3" t="s">
        <v>2010</v>
      </c>
      <c r="F32" s="3" t="s">
        <v>2073</v>
      </c>
    </row>
    <row r="33" spans="1:6" x14ac:dyDescent="0.3">
      <c r="A33" s="4" t="s">
        <v>2523</v>
      </c>
      <c r="B33" s="4" t="s">
        <v>895</v>
      </c>
      <c r="C33" s="5" t="s">
        <v>912</v>
      </c>
      <c r="D33" s="4" t="str">
        <f>CONCATENATE(HYPERLINK("CALLTO:%2B356%202137%207181", "+356 2137 7181"))</f>
        <v>+356 2137 7181</v>
      </c>
      <c r="E33" s="5" t="s">
        <v>2017</v>
      </c>
      <c r="F33" s="5" t="s">
        <v>2079</v>
      </c>
    </row>
    <row r="34" spans="1:6" x14ac:dyDescent="0.3">
      <c r="A34" s="2" t="s">
        <v>2523</v>
      </c>
      <c r="B34" s="2" t="s">
        <v>568</v>
      </c>
      <c r="C34" s="3" t="s">
        <v>580</v>
      </c>
      <c r="D34" s="2" t="str">
        <f>CONCATENATE(HYPERLINK("CALLTO:%2B356%202736%206601", "+356 2736 6601"))</f>
        <v>+356 2736 6601</v>
      </c>
      <c r="E34" s="3" t="s">
        <v>2011</v>
      </c>
      <c r="F34" s="3" t="s">
        <v>2074</v>
      </c>
    </row>
    <row r="35" spans="1:6" x14ac:dyDescent="0.3">
      <c r="A35" s="4" t="s">
        <v>2523</v>
      </c>
      <c r="B35" s="4" t="s">
        <v>1900</v>
      </c>
      <c r="C35" s="5" t="s">
        <v>1950</v>
      </c>
      <c r="D35" s="4" t="str">
        <f>CONCATENATE(HYPERLINK("CALLTO:%2B356%202789%208230", "+356 2789 8230"))</f>
        <v>+356 2789 8230</v>
      </c>
      <c r="E35" s="5" t="s">
        <v>2012</v>
      </c>
      <c r="F35" s="5" t="s">
        <v>2075</v>
      </c>
    </row>
    <row r="36" spans="1:6" x14ac:dyDescent="0.3">
      <c r="A36" s="2" t="s">
        <v>2523</v>
      </c>
      <c r="B36" s="2" t="s">
        <v>1901</v>
      </c>
      <c r="C36" s="3" t="s">
        <v>1951</v>
      </c>
      <c r="D36" s="2" t="str">
        <f>CONCATENATE(HYPERLINK("CALLTO:%2B356%202145%204379", "+356 2145 4379"))</f>
        <v>+356 2145 4379</v>
      </c>
      <c r="E36" s="3" t="s">
        <v>2013</v>
      </c>
      <c r="F36" s="3" t="s">
        <v>2076</v>
      </c>
    </row>
    <row r="37" spans="1:6" x14ac:dyDescent="0.3">
      <c r="A37" s="4" t="s">
        <v>2523</v>
      </c>
      <c r="B37" s="4" t="s">
        <v>1903</v>
      </c>
      <c r="C37" s="5" t="s">
        <v>1954</v>
      </c>
      <c r="D37" s="4" t="str">
        <f>CONCATENATE(HYPERLINK("CALLTO:%2B356%202125%200980", "+356 2125 0980"))</f>
        <v>+356 2125 0980</v>
      </c>
      <c r="E37" s="5" t="s">
        <v>2018</v>
      </c>
      <c r="F37" s="5" t="s">
        <v>2080</v>
      </c>
    </row>
    <row r="38" spans="1:6" x14ac:dyDescent="0.3">
      <c r="A38" s="2" t="s">
        <v>2523</v>
      </c>
      <c r="B38" s="2" t="s">
        <v>31</v>
      </c>
      <c r="C38" s="3" t="s">
        <v>57</v>
      </c>
      <c r="D38" s="2" t="str">
        <f>CONCATENATE(HYPERLINK("CALLTO:%2B356%202143%207403", "+356 2143 7403"))</f>
        <v>+356 2143 7403</v>
      </c>
      <c r="E38" s="3" t="s">
        <v>2019</v>
      </c>
      <c r="F38" s="3" t="s">
        <v>2081</v>
      </c>
    </row>
    <row r="39" spans="1:6" x14ac:dyDescent="0.3">
      <c r="A39" s="4" t="s">
        <v>2523</v>
      </c>
      <c r="B39" s="4" t="s">
        <v>1904</v>
      </c>
      <c r="C39" s="5" t="s">
        <v>1955</v>
      </c>
      <c r="D39" s="4" t="str">
        <f>CONCATENATE(HYPERLINK("CALLTO:%2B356%202123%208356", "+356 2123 8356"))</f>
        <v>+356 2123 8356</v>
      </c>
      <c r="E39" s="5" t="s">
        <v>2020</v>
      </c>
      <c r="F39" s="5" t="s">
        <v>2082</v>
      </c>
    </row>
    <row r="40" spans="1:6" x14ac:dyDescent="0.3">
      <c r="A40" s="2" t="s">
        <v>2523</v>
      </c>
      <c r="B40" s="2" t="s">
        <v>1906</v>
      </c>
      <c r="C40" s="3" t="s">
        <v>1957</v>
      </c>
      <c r="D40" s="2" t="str">
        <f>CONCATENATE(HYPERLINK("CALLTO:%2B356%202166%204414", "+356 2166 4414"))</f>
        <v>+356 2166 4414</v>
      </c>
      <c r="E40" s="3" t="s">
        <v>2022</v>
      </c>
      <c r="F40" s="3" t="s">
        <v>2083</v>
      </c>
    </row>
    <row r="41" spans="1:6" x14ac:dyDescent="0.3">
      <c r="A41" s="4" t="s">
        <v>2523</v>
      </c>
      <c r="B41" s="4" t="s">
        <v>1907</v>
      </c>
      <c r="C41" s="5" t="s">
        <v>1958</v>
      </c>
      <c r="D41" s="4" t="str">
        <f>CONCATENATE(HYPERLINK("CALLTO:%2B356%202279%204216", "+356 2279 4216"))</f>
        <v>+356 2279 4216</v>
      </c>
      <c r="E41" s="5" t="s">
        <v>2023</v>
      </c>
      <c r="F41" s="5" t="s">
        <v>938</v>
      </c>
    </row>
    <row r="42" spans="1:6" x14ac:dyDescent="0.3">
      <c r="A42" s="2" t="s">
        <v>2523</v>
      </c>
      <c r="B42" s="2" t="s">
        <v>1908</v>
      </c>
      <c r="C42" s="3" t="s">
        <v>576</v>
      </c>
      <c r="D42" s="2" t="str">
        <f>CONCATENATE(HYPERLINK("CALLTO:%2B356%202343%206000", "+356 2343 6000"))</f>
        <v>+356 2343 6000</v>
      </c>
      <c r="E42" s="3" t="s">
        <v>2024</v>
      </c>
      <c r="F42" s="3" t="s">
        <v>2084</v>
      </c>
    </row>
    <row r="43" spans="1:6" x14ac:dyDescent="0.3">
      <c r="A43" s="4" t="s">
        <v>2523</v>
      </c>
      <c r="B43" s="4" t="s">
        <v>1909</v>
      </c>
      <c r="C43" s="5" t="s">
        <v>914</v>
      </c>
      <c r="D43" s="4" t="str">
        <f>CONCATENATE(HYPERLINK("CALLTO:%2B356%202143%202863", "+356 2143 2863"))</f>
        <v>+356 2143 2863</v>
      </c>
      <c r="E43" s="5" t="s">
        <v>2025</v>
      </c>
      <c r="F43" s="5" t="s">
        <v>2085</v>
      </c>
    </row>
    <row r="44" spans="1:6" x14ac:dyDescent="0.3">
      <c r="A44" s="2" t="s">
        <v>2523</v>
      </c>
      <c r="B44" s="2" t="s">
        <v>1910</v>
      </c>
      <c r="C44" s="3" t="s">
        <v>1959</v>
      </c>
      <c r="D44" s="2" t="str">
        <f>CONCATENATE(HYPERLINK("CALLTO:%2B356%202155%204062", "+356 2155 4062"))</f>
        <v>+356 2155 4062</v>
      </c>
      <c r="E44" s="3" t="s">
        <v>2026</v>
      </c>
      <c r="F44" s="3" t="s">
        <v>2086</v>
      </c>
    </row>
    <row r="45" spans="1:6" x14ac:dyDescent="0.3">
      <c r="A45" s="4" t="s">
        <v>2523</v>
      </c>
      <c r="B45" s="4" t="s">
        <v>2525</v>
      </c>
      <c r="C45" s="5" t="s">
        <v>2528</v>
      </c>
      <c r="D45" s="4" t="str">
        <f>CONCATENATE(HYPERLINK("CALLTO:%2B356%209949%206702", "+356 9949 6702"))</f>
        <v>+356 9949 6702</v>
      </c>
      <c r="E45" s="5" t="s">
        <v>2531</v>
      </c>
      <c r="F45" s="4" t="s">
        <v>146</v>
      </c>
    </row>
    <row r="46" spans="1:6" x14ac:dyDescent="0.3">
      <c r="A46" s="2" t="s">
        <v>2523</v>
      </c>
      <c r="B46" s="2" t="s">
        <v>1911</v>
      </c>
      <c r="C46" s="3" t="s">
        <v>905</v>
      </c>
      <c r="D46" s="2" t="str">
        <f>CONCATENATE(HYPERLINK("CALLTO:%2B356%202343%206343", "+356 2343 6343"))</f>
        <v>+356 2343 6343</v>
      </c>
      <c r="E46" s="3" t="s">
        <v>2027</v>
      </c>
      <c r="F46" s="3" t="s">
        <v>946</v>
      </c>
    </row>
    <row r="47" spans="1:6" x14ac:dyDescent="0.3">
      <c r="A47" s="4" t="s">
        <v>2523</v>
      </c>
      <c r="B47" s="4" t="s">
        <v>1912</v>
      </c>
      <c r="C47" s="5" t="s">
        <v>1960</v>
      </c>
      <c r="D47" s="4" t="str">
        <f>CONCATENATE(HYPERLINK("CALLTO:%2B356%202124%201307", "+356 2124 1307"))</f>
        <v>+356 2124 1307</v>
      </c>
      <c r="E47" s="5" t="s">
        <v>2028</v>
      </c>
      <c r="F47" s="5" t="s">
        <v>2087</v>
      </c>
    </row>
    <row r="48" spans="1:6" x14ac:dyDescent="0.3">
      <c r="A48" s="2" t="s">
        <v>2523</v>
      </c>
      <c r="B48" s="2" t="s">
        <v>886</v>
      </c>
      <c r="C48" s="3" t="s">
        <v>904</v>
      </c>
      <c r="D48" s="2" t="str">
        <f>CONCATENATE(HYPERLINK("CALLTO:%2B356%202166%204949", "+356 2166 4949"))</f>
        <v>+356 2166 4949</v>
      </c>
      <c r="E48" s="3" t="s">
        <v>2032</v>
      </c>
      <c r="F48" s="3" t="s">
        <v>2090</v>
      </c>
    </row>
    <row r="49" spans="1:6" x14ac:dyDescent="0.3">
      <c r="A49" s="4" t="s">
        <v>2523</v>
      </c>
      <c r="B49" s="4" t="s">
        <v>1902</v>
      </c>
      <c r="C49" s="5" t="s">
        <v>1953</v>
      </c>
      <c r="D49" s="4" t="str">
        <f>CONCATENATE(HYPERLINK("CALLTO:%2B356%202180%200638", "+356 2180 0638"))</f>
        <v>+356 2180 0638</v>
      </c>
      <c r="E49" s="5" t="s">
        <v>2015</v>
      </c>
      <c r="F49" s="5" t="s">
        <v>2078</v>
      </c>
    </row>
    <row r="50" spans="1:6" x14ac:dyDescent="0.3">
      <c r="A50" s="2" t="s">
        <v>2523</v>
      </c>
      <c r="B50" s="2" t="s">
        <v>1914</v>
      </c>
      <c r="C50" s="3" t="s">
        <v>1961</v>
      </c>
      <c r="D50" s="2" t="str">
        <f>CONCATENATE(HYPERLINK("CALLTO:%2B356%202141%201197", "+356 2141 1197"))</f>
        <v>+356 2141 1197</v>
      </c>
      <c r="E50" s="3" t="s">
        <v>2030</v>
      </c>
      <c r="F50" s="2" t="s">
        <v>146</v>
      </c>
    </row>
    <row r="51" spans="1:6" x14ac:dyDescent="0.3">
      <c r="A51" s="4" t="s">
        <v>2523</v>
      </c>
      <c r="B51" s="4" t="s">
        <v>2526</v>
      </c>
      <c r="C51" s="5" t="s">
        <v>2529</v>
      </c>
      <c r="D51" s="4" t="str">
        <f>CONCATENATE(HYPERLINK("CALLTO:%2B356%202757%200057", "+356 2757 0057"))</f>
        <v>+356 2757 0057</v>
      </c>
      <c r="E51" s="5" t="s">
        <v>2532</v>
      </c>
      <c r="F51" s="4" t="s">
        <v>146</v>
      </c>
    </row>
    <row r="52" spans="1:6" x14ac:dyDescent="0.3">
      <c r="A52" s="2" t="s">
        <v>2523</v>
      </c>
      <c r="B52" s="2" t="s">
        <v>563</v>
      </c>
      <c r="C52" s="3" t="s">
        <v>577</v>
      </c>
      <c r="D52" s="2" t="str">
        <f>CONCATENATE(HYPERLINK("CALLTO:%2B356%202334%202000", "+356 2334 2000"))</f>
        <v>+356 2334 2000</v>
      </c>
      <c r="E52" s="3" t="s">
        <v>2016</v>
      </c>
      <c r="F52" s="3" t="s">
        <v>940</v>
      </c>
    </row>
    <row r="53" spans="1:6" x14ac:dyDescent="0.3">
      <c r="A53" s="4" t="s">
        <v>2523</v>
      </c>
      <c r="B53" s="4" t="s">
        <v>1916</v>
      </c>
      <c r="C53" s="5" t="s">
        <v>1964</v>
      </c>
      <c r="D53" s="4" t="str">
        <f>CONCATENATE(HYPERLINK("CALLTO:%2B356%202155%203611", "+356 2155 3611"))</f>
        <v>+356 2155 3611</v>
      </c>
      <c r="E53" s="5" t="s">
        <v>2033</v>
      </c>
      <c r="F53" s="5" t="s">
        <v>2092</v>
      </c>
    </row>
    <row r="54" spans="1:6" x14ac:dyDescent="0.3">
      <c r="A54" s="2" t="s">
        <v>2523</v>
      </c>
      <c r="B54" s="2"/>
      <c r="C54" s="2"/>
      <c r="D54" s="2"/>
      <c r="E54" s="2"/>
      <c r="F54" s="2"/>
    </row>
  </sheetData>
  <hyperlinks>
    <hyperlink ref="C3" r:id="rId1" tooltip="Send a mail to info@petroni.com.mt" xr:uid="{00000000-0004-0000-2800-000000000000}"/>
    <hyperlink ref="C4" r:id="rId2" tooltip="Send a mail to info@soundsmart.com.mt" xr:uid="{00000000-0004-0000-2800-000001000000}"/>
    <hyperlink ref="C5" r:id="rId3" tooltip="Send a mail to info@kcl.com.mt" xr:uid="{00000000-0004-0000-2800-000002000000}"/>
    <hyperlink ref="C6" r:id="rId4" tooltip="Send a mail to futurahomeappliances@gmail.com" xr:uid="{00000000-0004-0000-2800-000003000000}"/>
    <hyperlink ref="C7" r:id="rId5" tooltip="Send a mail to tabletsandmoreelectronics@yahoo.com" xr:uid="{00000000-0004-0000-2800-000004000000}"/>
    <hyperlink ref="C8" r:id="rId6" tooltip="Send a mail to camrugun@hotmail.com" xr:uid="{00000000-0004-0000-2800-000005000000}"/>
    <hyperlink ref="C9" r:id="rId7" tooltip="Send a mail to tagulinu@onvol.net" xr:uid="{00000000-0004-0000-2800-000006000000}"/>
    <hyperlink ref="C10" r:id="rId8" tooltip="Send a mail to etv@etvhomeline.com" xr:uid="{00000000-0004-0000-2800-000007000000}"/>
    <hyperlink ref="C11" r:id="rId9" tooltip="Send a mail to bakerspoint1@gmail.com" xr:uid="{00000000-0004-0000-2800-000008000000}"/>
    <hyperlink ref="C12" r:id="rId10" tooltip="Send a mail to caths@melita.com" xr:uid="{00000000-0004-0000-2800-000009000000}"/>
    <hyperlink ref="C13" r:id="rId11" tooltip="Send a mail to dpcomfortek@gmail.com" xr:uid="{00000000-0004-0000-2800-00000A000000}"/>
    <hyperlink ref="C14" r:id="rId12" tooltip="Send a mail to consigliohomeappliances@gmail.com" xr:uid="{00000000-0004-0000-2800-00000B000000}"/>
    <hyperlink ref="C15" r:id="rId13" tooltip="Send a mail to info@divine.com.mt" xr:uid="{00000000-0004-0000-2800-00000C000000}"/>
    <hyperlink ref="C16" r:id="rId14" tooltip="Send a mail to sales@flamingo.com.mt" xr:uid="{00000000-0004-0000-2800-00000D000000}"/>
    <hyperlink ref="C17" r:id="rId15" tooltip="Send a mail to info@forestals.com" xr:uid="{00000000-0004-0000-2800-00000E000000}"/>
    <hyperlink ref="C18" r:id="rId16" tooltip="Send a mail to freddies@onvol.net" xr:uid="{00000000-0004-0000-2800-00000F000000}"/>
    <hyperlink ref="C19" r:id="rId17" tooltip="Send a mail to gdatrade@waldonet.net.mt" xr:uid="{00000000-0004-0000-2800-000010000000}"/>
    <hyperlink ref="C20" r:id="rId18" tooltip="Send a mail to georgetvhifi@gmail.com" xr:uid="{00000000-0004-0000-2800-000011000000}"/>
    <hyperlink ref="C21" r:id="rId19" tooltip="Send a mail to info@hotpointmalta.com" xr:uid="{00000000-0004-0000-2800-000012000000}"/>
    <hyperlink ref="C22" r:id="rId20" tooltip="Send a mail to showroom@itc-malta.com" xr:uid="{00000000-0004-0000-2800-000013000000}"/>
    <hyperlink ref="C23" r:id="rId21" tooltip="Send a mail to info@oxfordhouse.com.mt" xr:uid="{00000000-0004-0000-2800-000014000000}"/>
    <hyperlink ref="C24" r:id="rId22" tooltip="Send a mail to refcold@maltanet.net" xr:uid="{00000000-0004-0000-2800-000015000000}"/>
    <hyperlink ref="C25" r:id="rId23" tooltip="Send a mail to rightdealcosp@onvol.net" xr:uid="{00000000-0004-0000-2800-000016000000}"/>
    <hyperlink ref="C26" r:id="rId24" tooltip="Send a mail to rotunda@maltanet.net" xr:uid="{00000000-0004-0000-2800-000017000000}"/>
    <hyperlink ref="C27" r:id="rId25" tooltip="Send a mail to info@topchoice.com.mt" xr:uid="{00000000-0004-0000-2800-000018000000}"/>
    <hyperlink ref="C28" r:id="rId26" tooltip="Send a mail to info@ultimate.com.mt" xr:uid="{00000000-0004-0000-2800-000019000000}"/>
    <hyperlink ref="C29" r:id="rId27" tooltip="Send a mail to x.treme@onvol.net" xr:uid="{00000000-0004-0000-2800-00001A000000}"/>
    <hyperlink ref="C30" r:id="rId28" tooltip="Send a mail to info@petroni.com.mt" xr:uid="{00000000-0004-0000-2800-00001B000000}"/>
    <hyperlink ref="C31" r:id="rId29" tooltip="Send a mail to info@soundsmart.com.mt" xr:uid="{00000000-0004-0000-2800-00001C000000}"/>
    <hyperlink ref="C32" r:id="rId30" tooltip="Send a mail to info@kcl.com.mt" xr:uid="{00000000-0004-0000-2800-00001D000000}"/>
    <hyperlink ref="C33" r:id="rId31" tooltip="Send a mail to futurahomeappliances@gmail.com" xr:uid="{00000000-0004-0000-2800-00001E000000}"/>
    <hyperlink ref="C34" r:id="rId32" tooltip="Send a mail to tabletsandmoreelectronics@yahoo.com" xr:uid="{00000000-0004-0000-2800-00001F000000}"/>
    <hyperlink ref="C35" r:id="rId33" tooltip="Send a mail to camrugun@hotmail.com" xr:uid="{00000000-0004-0000-2800-000020000000}"/>
    <hyperlink ref="C36" r:id="rId34" tooltip="Send a mail to tagulinu@onvol.net" xr:uid="{00000000-0004-0000-2800-000021000000}"/>
    <hyperlink ref="C37" r:id="rId35" tooltip="Send a mail to sales@jjscerri.com" xr:uid="{00000000-0004-0000-2800-000022000000}"/>
    <hyperlink ref="C38" r:id="rId36" tooltip="Send a mail to dpcomfortek@gmail.com" xr:uid="{00000000-0004-0000-2800-000023000000}"/>
    <hyperlink ref="C39" r:id="rId37" tooltip="Send a mail to consigliohomeappliances@gmail.com" xr:uid="{00000000-0004-0000-2800-000024000000}"/>
    <hyperlink ref="C40" r:id="rId38" tooltip="Send a mail to cutajarhifivideocentre@outlook.com" xr:uid="{00000000-0004-0000-2800-000025000000}"/>
    <hyperlink ref="C41" r:id="rId39" tooltip="Send a mail to sales@flamingo.com.mt" xr:uid="{00000000-0004-0000-2800-000026000000}"/>
    <hyperlink ref="C42" r:id="rId40" tooltip="Send a mail to info@forestals.com" xr:uid="{00000000-0004-0000-2800-000027000000}"/>
    <hyperlink ref="C43" r:id="rId41" tooltip="Send a mail to freddies@onvol.net" xr:uid="{00000000-0004-0000-2800-000028000000}"/>
    <hyperlink ref="C44" r:id="rId42" tooltip="Send a mail to gdatrade@waldonet.net.mt" xr:uid="{00000000-0004-0000-2800-000029000000}"/>
    <hyperlink ref="C45" r:id="rId43" tooltip="Send a mail to georgetvhifi@gmail.com" xr:uid="{00000000-0004-0000-2800-00002A000000}"/>
    <hyperlink ref="C46" r:id="rId44" tooltip="Send a mail to info@hotpointmalta.com" xr:uid="{00000000-0004-0000-2800-00002B000000}"/>
    <hyperlink ref="C47" r:id="rId45" tooltip="Send a mail to showroom@itc-malta.com" xr:uid="{00000000-0004-0000-2800-00002C000000}"/>
    <hyperlink ref="C48" r:id="rId46" tooltip="Send a mail to info@jshousehold.com" xr:uid="{00000000-0004-0000-2800-00002D000000}"/>
    <hyperlink ref="C49" r:id="rId47" tooltip="Send a mail to rightdealcosp@onvol.net" xr:uid="{00000000-0004-0000-2800-00002E000000}"/>
    <hyperlink ref="C50" r:id="rId48" tooltip="Send a mail to rotunda@maltanet.net" xr:uid="{00000000-0004-0000-2800-00002F000000}"/>
    <hyperlink ref="C51" r:id="rId49" tooltip="Send a mail to admin@stopshopmt.com" xr:uid="{00000000-0004-0000-2800-000030000000}"/>
    <hyperlink ref="C52" r:id="rId50" tooltip="Send a mail to info@topchoice.com.mt" xr:uid="{00000000-0004-0000-2800-000031000000}"/>
    <hyperlink ref="C53" r:id="rId51" tooltip="Send a mail to x.treme@onvol.net" xr:uid="{00000000-0004-0000-2800-000032000000}"/>
    <hyperlink ref="E2" r:id="rId52" tooltip="Search BLB 021 Qasam Industrijali, Bulebel, Zejtun, Malta ZTN 3000 on Google Maps" xr:uid="{00000000-0004-0000-2800-000033000000}"/>
    <hyperlink ref="E3" r:id="rId53" tooltip="Search Triq il-Wied ta' I-Imsida, Msida, Malta MSD 9022 on Google Maps" xr:uid="{00000000-0004-0000-2800-000034000000}"/>
    <hyperlink ref="E4" r:id="rId54" tooltip="Search Triq il-Kostituzzjoni, Mosta, Malta MST 9050 on Google Maps" xr:uid="{00000000-0004-0000-2800-000035000000}"/>
    <hyperlink ref="E5" r:id="rId55" tooltip="Search 22, Triq Sant' Elija, B'Kara, Malta BKR 2064 on Google Maps" xr:uid="{00000000-0004-0000-2800-000036000000}"/>
    <hyperlink ref="E6" r:id="rId56" tooltip="Search 220 Triq in-Naxxar, San Gwann, Malta SGN 9030 on Google Maps" xr:uid="{00000000-0004-0000-2800-000037000000}"/>
    <hyperlink ref="E7" r:id="rId57" tooltip="Search 12 Triq il-Hammieri, Qormi, Malta on Google Maps" xr:uid="{00000000-0004-0000-2800-000038000000}"/>
    <hyperlink ref="E8" r:id="rId58" tooltip="Search 18 Wesghat il-Knisja tan-Nattivita, Bormla, Malta BML 1650 on Google Maps" xr:uid="{00000000-0004-0000-2800-000039000000}"/>
    <hyperlink ref="E9" r:id="rId59" tooltip="Search 10 Misrah I' Isle Adam, Rabat, Malta RBT 1169 on Google Maps" xr:uid="{00000000-0004-0000-2800-00003A000000}"/>
    <hyperlink ref="E10" r:id="rId60" tooltip="Search Triq San Tumas, Luqa, Malta LQA 9031 on Google Maps" xr:uid="{00000000-0004-0000-2800-00003B000000}"/>
    <hyperlink ref="E11" r:id="rId61" tooltip="Search Triq it-Tabib Nikol Zammit, Siggiewi, Malta SHW 3075 on Google Maps" xr:uid="{00000000-0004-0000-2800-00003C000000}"/>
    <hyperlink ref="E12" r:id="rId62" tooltip="Search Triq il-Gzira, Malta GZR 1312 on Google Maps" xr:uid="{00000000-0004-0000-2800-00003D000000}"/>
    <hyperlink ref="E13" r:id="rId63" tooltip="Search Vjal I-Infiprndenza, Mosta on Google Maps" xr:uid="{00000000-0004-0000-2800-00003E000000}"/>
    <hyperlink ref="E14" r:id="rId64" tooltip="Search Triq Valetta, Mosta, Malta on Google Maps" xr:uid="{00000000-0004-0000-2800-00003F000000}"/>
    <hyperlink ref="E15" r:id="rId65" tooltip="Search Triq Gorg Borg Olivier, Victoria-Gozo, Gozo VCT 2514 on Google Maps" xr:uid="{00000000-0004-0000-2800-000040000000}"/>
    <hyperlink ref="E16" r:id="rId66" tooltip="Search Zone 5 Triq ll-Kanun Central Business District, Qormi, Malta CBD 5060 on Google Maps" xr:uid="{00000000-0004-0000-2800-000041000000}"/>
    <hyperlink ref="E17" r:id="rId67" tooltip="Search Zone 3 Triq L-Intornjatur Central Business District, B'Kara, Malta CBD 3050 on Google Maps" xr:uid="{00000000-0004-0000-2800-000042000000}"/>
    <hyperlink ref="E18" r:id="rId68" tooltip="Search Triq il-Kungress Ewkaristiku, Mosta on Google Maps" xr:uid="{00000000-0004-0000-2800-000043000000}"/>
    <hyperlink ref="E19" r:id="rId69" tooltip="Search 146 Triq Sant' Orsla Victoria-Gozo on Google Maps" xr:uid="{00000000-0004-0000-2800-000044000000}"/>
    <hyperlink ref="E20" r:id="rId70" tooltip="Search 191 Triq Hal Qormi, Marsa on Google Maps" xr:uid="{00000000-0004-0000-2800-000045000000}"/>
    <hyperlink ref="E21" r:id="rId71" tooltip="Search Triq il-Wied, B'Kara on Google Maps" xr:uid="{00000000-0004-0000-2800-000046000000}"/>
    <hyperlink ref="E22" r:id="rId72" tooltip="Search Triq Nazzjonali Blata L-Blajda, Hamrun, Malta HMR 9012 on Google Maps" xr:uid="{00000000-0004-0000-2800-000047000000}"/>
    <hyperlink ref="E23" r:id="rId73" tooltip="Search Zone 2 Triq L-Imdina Central Business District, B'Kara, Malta CBD 2010 on Google Maps" xr:uid="{00000000-0004-0000-2800-000048000000}"/>
    <hyperlink ref="E24" r:id="rId74" tooltip="Search Triq Fortunato Mizzi, Victoria-Gozo on Google Maps" xr:uid="{00000000-0004-0000-2800-000049000000}"/>
    <hyperlink ref="E25" r:id="rId75" tooltip="Search Misrah Gavino Gulia, Bormla on Google Maps" xr:uid="{00000000-0004-0000-2800-00004A000000}"/>
    <hyperlink ref="E26" r:id="rId76" tooltip="Search 7, 9 Rotunda Dept Stores Triq il-Kungress Ewkaristiku, Mosta on Google Maps" xr:uid="{00000000-0004-0000-2800-00004B000000}"/>
    <hyperlink ref="E27" r:id="rId77" tooltip="Search 280 Triq il-Kbira San Guzepp, Hamrun on Google Maps" xr:uid="{00000000-0004-0000-2800-00004C000000}"/>
    <hyperlink ref="E28" r:id="rId78" tooltip="Search Triq Salvu Busuttil, San Gwann on Google Maps" xr:uid="{00000000-0004-0000-2800-00004D000000}"/>
    <hyperlink ref="E29" r:id="rId79" tooltip="Search Triq Gorg Borg Olivier, Victoria-Gozo, Gozo VCT 2514 on Google Maps" xr:uid="{00000000-0004-0000-2800-00004E000000}"/>
    <hyperlink ref="E30" r:id="rId80" tooltip="Search Triq il-Wied ta' I-Imsida, Msida, Malta MSD 9022 on Google Maps" xr:uid="{00000000-0004-0000-2800-00004F000000}"/>
    <hyperlink ref="E31" r:id="rId81" tooltip="Search Triq il-Kostituzzjoni, Mosta, Malta MST 9050 on Google Maps" xr:uid="{00000000-0004-0000-2800-000050000000}"/>
    <hyperlink ref="E32" r:id="rId82" tooltip="Search 22, Triq Sant' Elija, B'Kara, Malta BKR 2064 on Google Maps" xr:uid="{00000000-0004-0000-2800-000051000000}"/>
    <hyperlink ref="E33" r:id="rId83" tooltip="Search 220 Triq in-Naxxar, San Gwann, Malta SGN 9030 on Google Maps" xr:uid="{00000000-0004-0000-2800-000052000000}"/>
    <hyperlink ref="E34" r:id="rId84" tooltip="Search 12 Triq il-Hammieri, Qormi, Malta on Google Maps" xr:uid="{00000000-0004-0000-2800-000053000000}"/>
    <hyperlink ref="E35" r:id="rId85" tooltip="Search 18 Wesghat il-Knisja tan-Nattivita, Bormla, Malta BML 1650 on Google Maps" xr:uid="{00000000-0004-0000-2800-000054000000}"/>
    <hyperlink ref="E36" r:id="rId86" tooltip="Search 10 Misrah I' Isle Adam, Rabat, Malta RBT 1169 on Google Maps" xr:uid="{00000000-0004-0000-2800-000055000000}"/>
    <hyperlink ref="E37" r:id="rId87" tooltip="Search Triq il-Kappillan Mifsud, Sta Venera on Google Maps" xr:uid="{00000000-0004-0000-2800-000056000000}"/>
    <hyperlink ref="E38" r:id="rId88" tooltip="Search Vjal I-Infiprndenza, Mosta on Google Maps" xr:uid="{00000000-0004-0000-2800-000057000000}"/>
    <hyperlink ref="E39" r:id="rId89" tooltip="Search Triq Valetta, Mosta, Malta on Google Maps" xr:uid="{00000000-0004-0000-2800-000058000000}"/>
    <hyperlink ref="E40" r:id="rId90" tooltip="Search 91 Triq is-Santwarju, Zabbar on Google Maps" xr:uid="{00000000-0004-0000-2800-000059000000}"/>
    <hyperlink ref="E41" r:id="rId91" tooltip="Search Zone 5 Triq ll-Kanun Central Business District, Qormi, Malta CBD 5060 on Google Maps" xr:uid="{00000000-0004-0000-2800-00005A000000}"/>
    <hyperlink ref="E42" r:id="rId92" tooltip="Search Zone 3 Triq L-Intornjatur Central Business District, B'Kara, Malta CBD 3050 on Google Maps" xr:uid="{00000000-0004-0000-2800-00005B000000}"/>
    <hyperlink ref="E43" r:id="rId93" tooltip="Search Triq il-Kungress Ewkaristiku, Mosta on Google Maps" xr:uid="{00000000-0004-0000-2800-00005C000000}"/>
    <hyperlink ref="E44" r:id="rId94" tooltip="Search 146 Triq Sant' Orsla Victoria-Gozo on Google Maps" xr:uid="{00000000-0004-0000-2800-00005D000000}"/>
    <hyperlink ref="E45" r:id="rId95" tooltip="Search 191 Triq Hal Qormi, Marsa on Google Maps" xr:uid="{00000000-0004-0000-2800-00005E000000}"/>
    <hyperlink ref="E46" r:id="rId96" tooltip="Search Triq il-Wied, B'Kara on Google Maps" xr:uid="{00000000-0004-0000-2800-00005F000000}"/>
    <hyperlink ref="E47" r:id="rId97" tooltip="Search Triq Nazzjonali Blata L-Blajda, Hamrun, Malta HMR 9012 on Google Maps" xr:uid="{00000000-0004-0000-2800-000060000000}"/>
    <hyperlink ref="E48" r:id="rId98" tooltip="Search 71 Triq il-Buqexrem, Fgura on Google Maps" xr:uid="{00000000-0004-0000-2800-000061000000}"/>
    <hyperlink ref="E49" r:id="rId99" tooltip="Search Misrah Gavino Gulia, Bormla on Google Maps" xr:uid="{00000000-0004-0000-2800-000062000000}"/>
    <hyperlink ref="E50" r:id="rId100" tooltip="Search 7, 9 Rotunda Dept Stores Triq il-Kungress Ewkaristiku, Mosta on Google Maps" xr:uid="{00000000-0004-0000-2800-000063000000}"/>
    <hyperlink ref="E51" r:id="rId101" tooltip="Search Triq il-Lampuki, San Pawl ll-Bahar on Google Maps" xr:uid="{00000000-0004-0000-2800-000064000000}"/>
    <hyperlink ref="E52" r:id="rId102" tooltip="Search 280 Triq il-Kbira San Guzepp, Hamrun on Google Maps" xr:uid="{00000000-0004-0000-2800-000065000000}"/>
    <hyperlink ref="E53" r:id="rId103" tooltip="Search Triq Gorg Borg Olivier, Victoria-Gozo, Gozo VCT 2514 on Google Maps" xr:uid="{00000000-0004-0000-2800-000066000000}"/>
    <hyperlink ref="F2" r:id="rId104" tooltip="Visit venturamalta.com" xr:uid="{00000000-0004-0000-2800-000067000000}"/>
    <hyperlink ref="F3" r:id="rId105" tooltip="Visit petroni.com.mt" xr:uid="{00000000-0004-0000-2800-000068000000}"/>
    <hyperlink ref="F4" r:id="rId106" tooltip="Visit soundsmart.com.mt" xr:uid="{00000000-0004-0000-2800-000069000000}"/>
    <hyperlink ref="F5" r:id="rId107" tooltip="Visit kcl.com.mt" xr:uid="{00000000-0004-0000-2800-00006A000000}"/>
    <hyperlink ref="F6" r:id="rId108" tooltip="Visit facebook.com/futurahomeappliances/" xr:uid="{00000000-0004-0000-2800-00006B000000}"/>
    <hyperlink ref="F7" r:id="rId109" tooltip="Visit tabletsandmoreelectronics.com" xr:uid="{00000000-0004-0000-2800-00006C000000}"/>
    <hyperlink ref="F8" r:id="rId110" tooltip="Visit facebook.com/akkwist" xr:uid="{00000000-0004-0000-2800-00006D000000}"/>
    <hyperlink ref="F9" r:id="rId111" tooltip="Visit facebook.com/TaGulinu/info?tab=page%5Cuinfo" xr:uid="{00000000-0004-0000-2800-00006E000000}"/>
    <hyperlink ref="F10" r:id="rId112" tooltip="Visit triplealuqa.com" xr:uid="{00000000-0004-0000-2800-00006F000000}"/>
    <hyperlink ref="F12" r:id="rId113" tooltip="Visit facebook.com/cathshome" xr:uid="{00000000-0004-0000-2800-000070000000}"/>
    <hyperlink ref="F13" r:id="rId114" tooltip="Visit fb.com/ComfortekMalta" xr:uid="{00000000-0004-0000-2800-000071000000}"/>
    <hyperlink ref="F14" r:id="rId115" tooltip="Visit consiglio.com.mt" xr:uid="{00000000-0004-0000-2800-000072000000}"/>
    <hyperlink ref="F15" r:id="rId116" tooltip="Visit divine.com.mt" xr:uid="{00000000-0004-0000-2800-000073000000}"/>
    <hyperlink ref="F16" r:id="rId117" tooltip="Visit flamingo.com.mt" xr:uid="{00000000-0004-0000-2800-000074000000}"/>
    <hyperlink ref="F17" r:id="rId118" tooltip="Visit foresaksgroup.com" xr:uid="{00000000-0004-0000-2800-000075000000}"/>
    <hyperlink ref="F18" r:id="rId119" tooltip="Visit facebook.com/people/Freddies-Household/100063498252557/?utm_source=Yellow&amp;utm_medium=Yellow-Website&amp;utm_campaign=Landing-Page#" xr:uid="{00000000-0004-0000-2800-000076000000}"/>
    <hyperlink ref="F19" r:id="rId120" tooltip="Visit gda.com.mt" xr:uid="{00000000-0004-0000-2800-000077000000}"/>
    <hyperlink ref="F21" r:id="rId121" tooltip="Visit hotpointmalta.com" xr:uid="{00000000-0004-0000-2800-000078000000}"/>
    <hyperlink ref="F22" r:id="rId122" tooltip="Visit itc-malta.com" xr:uid="{00000000-0004-0000-2800-000079000000}"/>
    <hyperlink ref="F23" r:id="rId123" tooltip="Visit oxfordhouse.com.mt" xr:uid="{00000000-0004-0000-2800-00007A000000}"/>
    <hyperlink ref="F24" r:id="rId124" tooltip="Visit refcold.com.mt" xr:uid="{00000000-0004-0000-2800-00007B000000}"/>
    <hyperlink ref="F25" r:id="rId125" tooltip="Visit rightdealmalta.com" xr:uid="{00000000-0004-0000-2800-00007C000000}"/>
    <hyperlink ref="F27" r:id="rId126" tooltip="Visit topchoice.com.mt" xr:uid="{00000000-0004-0000-2800-00007D000000}"/>
    <hyperlink ref="F28" r:id="rId127" tooltip="Visit ultimate.com.mt" xr:uid="{00000000-0004-0000-2800-00007E000000}"/>
    <hyperlink ref="F29" r:id="rId128" tooltip="Visit xtmalta.com" xr:uid="{00000000-0004-0000-2800-00007F000000}"/>
    <hyperlink ref="F30" r:id="rId129" tooltip="Visit petroni.com.mt" xr:uid="{00000000-0004-0000-2800-000080000000}"/>
    <hyperlink ref="F31" r:id="rId130" tooltip="Visit soundsmart.com.mt" xr:uid="{00000000-0004-0000-2800-000081000000}"/>
    <hyperlink ref="F32" r:id="rId131" tooltip="Visit kcl.com.mt" xr:uid="{00000000-0004-0000-2800-000082000000}"/>
    <hyperlink ref="F33" r:id="rId132" tooltip="Visit facebook.com/futurahomeappliances/" xr:uid="{00000000-0004-0000-2800-000083000000}"/>
    <hyperlink ref="F34" r:id="rId133" tooltip="Visit tabletsandmoreelectronics.com" xr:uid="{00000000-0004-0000-2800-000084000000}"/>
    <hyperlink ref="F35" r:id="rId134" tooltip="Visit facebook.com/akkwist" xr:uid="{00000000-0004-0000-2800-000085000000}"/>
    <hyperlink ref="F36" r:id="rId135" tooltip="Visit facebook.com/TaGulinu/info?tab=page%5Cuinfo" xr:uid="{00000000-0004-0000-2800-000086000000}"/>
    <hyperlink ref="F37" r:id="rId136" tooltip="Visit centrocasalinga.com" xr:uid="{00000000-0004-0000-2800-000087000000}"/>
    <hyperlink ref="F38" r:id="rId137" tooltip="Visit fb.com/ComfortekMalta" xr:uid="{00000000-0004-0000-2800-000088000000}"/>
    <hyperlink ref="F39" r:id="rId138" tooltip="Visit consiglio.com.mt" xr:uid="{00000000-0004-0000-2800-000089000000}"/>
    <hyperlink ref="F40" r:id="rId139" tooltip="Visit cutajarhifi.com" xr:uid="{00000000-0004-0000-2800-00008A000000}"/>
    <hyperlink ref="F41" r:id="rId140" tooltip="Visit flamingo.com.mt" xr:uid="{00000000-0004-0000-2800-00008B000000}"/>
    <hyperlink ref="F42" r:id="rId141" tooltip="Visit forestalsgroup.com" xr:uid="{00000000-0004-0000-2800-00008C000000}"/>
    <hyperlink ref="F43" r:id="rId142" tooltip="Visit facebook.com/people/Freddies-Household/100063498252557/?utm_source=Yellow&amp;utm_medium=Yellow-Website&amp;utm_campaign=Landing-Page#" xr:uid="{00000000-0004-0000-2800-00008D000000}"/>
    <hyperlink ref="F44" r:id="rId143" tooltip="Visit gda.com.mt" xr:uid="{00000000-0004-0000-2800-00008E000000}"/>
    <hyperlink ref="F46" r:id="rId144" tooltip="Visit hotpointmalta.com" xr:uid="{00000000-0004-0000-2800-00008F000000}"/>
    <hyperlink ref="F47" r:id="rId145" tooltip="Visit itc-malta.com" xr:uid="{00000000-0004-0000-2800-000090000000}"/>
    <hyperlink ref="F48" r:id="rId146" tooltip="Visit facebook.com/p/JS-Household-100063545924453/" xr:uid="{00000000-0004-0000-2800-000091000000}"/>
    <hyperlink ref="F49" r:id="rId147" tooltip="Visit rightdealmalta.com" xr:uid="{00000000-0004-0000-2800-000092000000}"/>
    <hyperlink ref="F52" r:id="rId148" tooltip="Visit topchoice.com.mt" xr:uid="{00000000-0004-0000-2800-000093000000}"/>
    <hyperlink ref="F53" r:id="rId149" tooltip="Visit xtmalta.com" xr:uid="{00000000-0004-0000-2800-000094000000}"/>
  </hyperlinks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0"/>
  <sheetViews>
    <sheetView workbookViewId="0"/>
  </sheetViews>
  <sheetFormatPr defaultRowHeight="14.4" x14ac:dyDescent="0.3"/>
  <cols>
    <col min="1" max="1" width="27.6640625" customWidth="1"/>
    <col min="2" max="2" width="21" customWidth="1"/>
    <col min="3" max="3" width="25.5546875" customWidth="1"/>
    <col min="4" max="4" width="18.6640625" customWidth="1"/>
    <col min="5" max="5" width="40.6640625" customWidth="1"/>
    <col min="6" max="6" width="27.5546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2533</v>
      </c>
      <c r="B2" s="2" t="s">
        <v>2536</v>
      </c>
      <c r="C2" s="3" t="s">
        <v>2545</v>
      </c>
      <c r="D2" s="2" t="str">
        <f>CONCATENATE(HYPERLINK("CALLTO:%2B356%202147%202000", "+356 2147 2000"))</f>
        <v>+356 2147 2000</v>
      </c>
      <c r="E2" s="3" t="s">
        <v>2551</v>
      </c>
      <c r="F2" s="3" t="s">
        <v>2558</v>
      </c>
    </row>
    <row r="3" spans="1:6" x14ac:dyDescent="0.3">
      <c r="A3" s="4" t="s">
        <v>2533</v>
      </c>
      <c r="B3" s="4" t="s">
        <v>2537</v>
      </c>
      <c r="C3" s="5" t="s">
        <v>2544</v>
      </c>
      <c r="D3" s="4" t="str">
        <f>CONCATENATE(HYPERLINK("CALLTO:%2B356%202166%200546", "+356 2166 0546"))</f>
        <v>+356 2166 0546</v>
      </c>
      <c r="E3" s="5" t="s">
        <v>2552</v>
      </c>
      <c r="F3" s="5" t="s">
        <v>2559</v>
      </c>
    </row>
    <row r="4" spans="1:6" x14ac:dyDescent="0.3">
      <c r="A4" s="2" t="s">
        <v>2533</v>
      </c>
      <c r="B4" s="2" t="s">
        <v>2538</v>
      </c>
      <c r="C4" s="3" t="s">
        <v>2546</v>
      </c>
      <c r="D4" s="2" t="str">
        <f>CONCATENATE(HYPERLINK("CALLTO:%2B356%209947%201937", "+356 9947 1937"))</f>
        <v>+356 9947 1937</v>
      </c>
      <c r="E4" s="3" t="s">
        <v>2553</v>
      </c>
      <c r="F4" s="3" t="s">
        <v>2560</v>
      </c>
    </row>
    <row r="5" spans="1:6" x14ac:dyDescent="0.3">
      <c r="A5" s="4" t="s">
        <v>2535</v>
      </c>
      <c r="B5" s="4" t="s">
        <v>2539</v>
      </c>
      <c r="C5" s="5" t="s">
        <v>2547</v>
      </c>
      <c r="D5" s="4" t="str">
        <f>CONCATENATE(HYPERLINK("CALLTO:%2B356%202122%207888", "+356 2122 7888"))</f>
        <v>+356 2122 7888</v>
      </c>
      <c r="E5" s="5" t="s">
        <v>2554</v>
      </c>
      <c r="F5" s="5" t="s">
        <v>2561</v>
      </c>
    </row>
    <row r="6" spans="1:6" x14ac:dyDescent="0.3">
      <c r="A6" s="2" t="s">
        <v>2533</v>
      </c>
      <c r="B6" s="2" t="s">
        <v>2517</v>
      </c>
      <c r="C6" s="3" t="s">
        <v>2518</v>
      </c>
      <c r="D6" s="2" t="str">
        <f>CONCATENATE(HYPERLINK("CALLTO:%2B356%207927%201448", "+356 7927 1448"))</f>
        <v>+356 7927 1448</v>
      </c>
      <c r="E6" s="3" t="s">
        <v>2519</v>
      </c>
      <c r="F6" s="3" t="s">
        <v>2521</v>
      </c>
    </row>
    <row r="7" spans="1:6" x14ac:dyDescent="0.3">
      <c r="A7" s="4" t="s">
        <v>2533</v>
      </c>
      <c r="B7" s="4" t="s">
        <v>2540</v>
      </c>
      <c r="C7" s="5" t="s">
        <v>2548</v>
      </c>
      <c r="D7" s="4" t="str">
        <f>CONCATENATE(HYPERLINK("CALLTO:%2B356%209949%200109", "+356 9949 0109"))</f>
        <v>+356 9949 0109</v>
      </c>
      <c r="E7" s="5" t="s">
        <v>2555</v>
      </c>
      <c r="F7" s="5" t="s">
        <v>2562</v>
      </c>
    </row>
    <row r="8" spans="1:6" x14ac:dyDescent="0.3">
      <c r="A8" s="2" t="s">
        <v>2533</v>
      </c>
      <c r="B8" s="2" t="s">
        <v>2541</v>
      </c>
      <c r="C8" s="3" t="s">
        <v>2549</v>
      </c>
      <c r="D8" s="2" t="str">
        <f>CONCATENATE(HYPERLINK("CALLTO:%2B356%202148%204305", "+356 2148 4305"))</f>
        <v>+356 2148 4305</v>
      </c>
      <c r="E8" s="3" t="s">
        <v>2556</v>
      </c>
      <c r="F8" s="3" t="s">
        <v>2563</v>
      </c>
    </row>
    <row r="9" spans="1:6" x14ac:dyDescent="0.3">
      <c r="A9" s="4" t="s">
        <v>2533</v>
      </c>
      <c r="B9" s="4" t="s">
        <v>2542</v>
      </c>
      <c r="C9" s="5" t="s">
        <v>1015</v>
      </c>
      <c r="D9" s="4" t="str">
        <f>CONCATENATE(HYPERLINK("CALLTO:%2B356%202137%207378", "+356 2137 7378"))</f>
        <v>+356 2137 7378</v>
      </c>
      <c r="E9" s="5" t="s">
        <v>1036</v>
      </c>
      <c r="F9" s="5" t="s">
        <v>1054</v>
      </c>
    </row>
    <row r="10" spans="1:6" x14ac:dyDescent="0.3">
      <c r="A10" s="2" t="s">
        <v>2533</v>
      </c>
      <c r="B10" s="2" t="s">
        <v>2543</v>
      </c>
      <c r="C10" s="3" t="s">
        <v>2550</v>
      </c>
      <c r="D10" s="2" t="str">
        <f>CONCATENATE(HYPERLINK("CALLTO:%2B356%207979%202552", "+356 7979 2552"))</f>
        <v>+356 7979 2552</v>
      </c>
      <c r="E10" s="2"/>
      <c r="F10" s="3" t="s">
        <v>2564</v>
      </c>
    </row>
  </sheetData>
  <hyperlinks>
    <hyperlink ref="C2" r:id="rId1" tooltip="Send a mail to solartechmalta@gmail.com" xr:uid="{00000000-0004-0000-2900-000000000000}"/>
    <hyperlink ref="C3" r:id="rId2" tooltip="Send a mail to info@recowatt.com" xr:uid="{00000000-0004-0000-2900-000001000000}"/>
    <hyperlink ref="C4" r:id="rId3" tooltip="Send a mail to info@signworldmalta.com" xr:uid="{00000000-0004-0000-2900-000002000000}"/>
    <hyperlink ref="C5" r:id="rId4" tooltip="Send a mail to ppl@pplmalta.com" xr:uid="{00000000-0004-0000-2900-000003000000}"/>
    <hyperlink ref="C6" r:id="rId5" tooltip="Send a mail to turbosigns@outlook.com" xr:uid="{00000000-0004-0000-2900-000004000000}"/>
    <hyperlink ref="C7" r:id="rId6" tooltip="Send a mail to info@justltdmalta.com" xr:uid="{00000000-0004-0000-2900-000005000000}"/>
    <hyperlink ref="C8" r:id="rId7" tooltip="Send a mail to admin@zaffarese.com" xr:uid="{00000000-0004-0000-2900-000006000000}"/>
    <hyperlink ref="C9" r:id="rId8" tooltip="Send a mail to info@grfmalta.com" xr:uid="{00000000-0004-0000-2900-000007000000}"/>
    <hyperlink ref="C10" r:id="rId9" tooltip="Send a mail to contact@opaque.mt" xr:uid="{00000000-0004-0000-2900-000008000000}"/>
    <hyperlink ref="E2" r:id="rId10" tooltip="Search 12, SolarTech, Triq il-Masgar_x000a_Qormi, QRM 3217, Malta on Google Maps" xr:uid="{00000000-0004-0000-2900-000009000000}"/>
    <hyperlink ref="E3" r:id="rId11" tooltip="Search Triq L-Imdina, Ħaż-Żebbuġ ZBG 9019, Malta on Google Maps" xr:uid="{00000000-0004-0000-2900-00000A000000}"/>
    <hyperlink ref="E4" r:id="rId12" tooltip="Search Triq il-Frangiskani, L-Imsida_x000a_MSD 1120, Malta on Google Maps" xr:uid="{00000000-0004-0000-2900-00000B000000}"/>
    <hyperlink ref="E5" r:id="rId13" tooltip="Search 112 Industrial Estate , Ħal Luqa, Malta on Google Maps" xr:uid="{00000000-0004-0000-2900-00000C000000}"/>
    <hyperlink ref="E6" r:id="rId14" tooltip="Search Parades Street, St Paul's Bay on Google Maps" xr:uid="{00000000-0004-0000-2900-00000D000000}"/>
    <hyperlink ref="E7" r:id="rId15" tooltip="Search 194, Luqa Briffa Street, Gzira GZR1504, Malta on Google Maps" xr:uid="{00000000-0004-0000-2900-00000E000000}"/>
    <hyperlink ref="E8" r:id="rId16" tooltip="Search CCG Building, Triq 3 Ta’ Settembru 1798_x000a_Zone 3, Central Business District, Birkirkara_x000a_CBD 3100 Malta on Google Maps" xr:uid="{00000000-0004-0000-2900-00000F000000}"/>
    <hyperlink ref="E9" r:id="rId17" tooltip="Search 117 Triq L-Assemblea Nazzjonali,_x000a_San Gwann SGN 3034, Malta on Google Maps" xr:uid="{00000000-0004-0000-2900-000010000000}"/>
    <hyperlink ref="F2" r:id="rId18" tooltip="Visit solartech.com.mt/" xr:uid="{00000000-0004-0000-2900-000011000000}"/>
    <hyperlink ref="F3" r:id="rId19" tooltip="Visit recowatt.com/" xr:uid="{00000000-0004-0000-2900-000012000000}"/>
    <hyperlink ref="F4" r:id="rId20" tooltip="Visit signworldmalta.com/" xr:uid="{00000000-0004-0000-2900-000013000000}"/>
    <hyperlink ref="F5" r:id="rId21" tooltip="Visit pplmalta.com/" xr:uid="{00000000-0004-0000-2900-000014000000}"/>
    <hyperlink ref="F6" r:id="rId22" tooltip="Visit turbosignsmalta.com/" xr:uid="{00000000-0004-0000-2900-000015000000}"/>
    <hyperlink ref="F7" r:id="rId23" tooltip="Visit justltdmalta.com/home.html" xr:uid="{00000000-0004-0000-2900-000016000000}"/>
    <hyperlink ref="F8" r:id="rId24" tooltip="Visit zaffarese.com/" xr:uid="{00000000-0004-0000-2900-000017000000}"/>
    <hyperlink ref="F9" r:id="rId25" tooltip="Visit grfmalta.com/" xr:uid="{00000000-0004-0000-2900-000018000000}"/>
    <hyperlink ref="F10" r:id="rId26" tooltip="Visit opaquemalta.com/" xr:uid="{00000000-0004-0000-2900-000019000000}"/>
  </hyperlinks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8"/>
  <sheetViews>
    <sheetView workbookViewId="0"/>
  </sheetViews>
  <sheetFormatPr defaultRowHeight="14.4" x14ac:dyDescent="0.3"/>
  <cols>
    <col min="1" max="1" width="6.33203125" customWidth="1"/>
    <col min="2" max="2" width="30.6640625" customWidth="1"/>
    <col min="3" max="3" width="33" customWidth="1"/>
    <col min="4" max="4" width="29.88671875" customWidth="1"/>
    <col min="5" max="5" width="79.6640625" customWidth="1"/>
    <col min="6" max="6" width="51.6640625" customWidth="1"/>
  </cols>
  <sheetData>
    <row r="1" spans="1:6" ht="18" x14ac:dyDescent="0.35">
      <c r="A1" s="1" t="s">
        <v>5384</v>
      </c>
      <c r="B1" s="1" t="s">
        <v>487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2557</v>
      </c>
      <c r="B2" s="2" t="s">
        <v>2566</v>
      </c>
      <c r="C2" s="3" t="s">
        <v>2584</v>
      </c>
      <c r="D2" s="2" t="str">
        <f>CONCATENATE(HYPERLINK("CALLTO:%2B356%202787%208700", "+356 2787 8700"))</f>
        <v>+356 2787 8700</v>
      </c>
      <c r="E2" s="3" t="s">
        <v>2604</v>
      </c>
      <c r="F2" s="3" t="s">
        <v>2621</v>
      </c>
    </row>
    <row r="3" spans="1:6" x14ac:dyDescent="0.3">
      <c r="A3" s="4" t="s">
        <v>2557</v>
      </c>
      <c r="B3" s="4" t="s">
        <v>2565</v>
      </c>
      <c r="C3" s="5" t="s">
        <v>2585</v>
      </c>
      <c r="D3" s="4" t="str">
        <f>CONCATENATE(HYPERLINK("CALLTO:%2B356%202122%202083", "+356 2122 2083"))</f>
        <v>+356 2122 2083</v>
      </c>
      <c r="E3" s="5" t="s">
        <v>2605</v>
      </c>
      <c r="F3" s="5" t="s">
        <v>2622</v>
      </c>
    </row>
    <row r="4" spans="1:6" x14ac:dyDescent="0.3">
      <c r="A4" s="2" t="s">
        <v>2557</v>
      </c>
      <c r="B4" s="2" t="s">
        <v>2567</v>
      </c>
      <c r="C4" s="3" t="s">
        <v>2586</v>
      </c>
      <c r="D4" s="2" t="str">
        <f>CONCATENATE(HYPERLINK("CALLTO:%2B356%202142%200540", "+356 2142 0540"), " / ", HYPERLINK("CALLTO:%2B356%209988%203988", "+356 9988 3988"))</f>
        <v>+356 2142 0540 / +356 9988 3988</v>
      </c>
      <c r="E4" s="3" t="s">
        <v>2606</v>
      </c>
      <c r="F4" s="3" t="s">
        <v>2624</v>
      </c>
    </row>
    <row r="5" spans="1:6" x14ac:dyDescent="0.3">
      <c r="A5" s="4" t="s">
        <v>2557</v>
      </c>
      <c r="B5" s="4" t="s">
        <v>2568</v>
      </c>
      <c r="C5" s="5" t="s">
        <v>2587</v>
      </c>
      <c r="D5" s="4" t="str">
        <f>CONCATENATE(HYPERLINK("CALLTO:%2B356%207943%204443", "+356 7943 4443"), " / ", HYPERLINK("CALLTO:%2B356%202143%204443", "+356 2143 4443"))</f>
        <v>+356 7943 4443 / +356 2143 4443</v>
      </c>
      <c r="E5" s="5" t="s">
        <v>2607</v>
      </c>
      <c r="F5" s="5" t="s">
        <v>2625</v>
      </c>
    </row>
    <row r="6" spans="1:6" x14ac:dyDescent="0.3">
      <c r="A6" s="2" t="s">
        <v>2557</v>
      </c>
      <c r="B6" s="2" t="s">
        <v>2569</v>
      </c>
      <c r="C6" s="3" t="s">
        <v>2588</v>
      </c>
      <c r="D6" s="2" t="str">
        <f>CONCATENATE(HYPERLINK("CALLTO:%2B356%207777%204083", "+356 7777 4083"))</f>
        <v>+356 7777 4083</v>
      </c>
      <c r="E6" s="3" t="s">
        <v>2608</v>
      </c>
      <c r="F6" s="3" t="s">
        <v>2626</v>
      </c>
    </row>
    <row r="7" spans="1:6" x14ac:dyDescent="0.3">
      <c r="A7" s="4" t="s">
        <v>2557</v>
      </c>
      <c r="B7" s="4" t="s">
        <v>2570</v>
      </c>
      <c r="C7" s="5" t="s">
        <v>2589</v>
      </c>
      <c r="D7" s="4" t="str">
        <f>CONCATENATE(HYPERLINK("CALLTO:%2B356%207943%207704", "+356 7943 7704"))</f>
        <v>+356 7943 7704</v>
      </c>
      <c r="E7" s="5" t="s">
        <v>2609</v>
      </c>
      <c r="F7" s="5" t="s">
        <v>2627</v>
      </c>
    </row>
    <row r="8" spans="1:6" x14ac:dyDescent="0.3">
      <c r="A8" s="2" t="s">
        <v>2557</v>
      </c>
      <c r="B8" s="2" t="s">
        <v>2571</v>
      </c>
      <c r="C8" s="3" t="s">
        <v>2590</v>
      </c>
      <c r="D8" s="2" t="str">
        <f>CONCATENATE(HYPERLINK("CALLTO:%2B356%202326%202000", "+356 2326 2000"))</f>
        <v>+356 2326 2000</v>
      </c>
      <c r="E8" s="3" t="s">
        <v>2263</v>
      </c>
      <c r="F8" s="3" t="s">
        <v>2628</v>
      </c>
    </row>
    <row r="9" spans="1:6" x14ac:dyDescent="0.3">
      <c r="A9" s="4" t="s">
        <v>2557</v>
      </c>
      <c r="B9" s="4" t="s">
        <v>955</v>
      </c>
      <c r="C9" s="5" t="s">
        <v>574</v>
      </c>
      <c r="D9" s="4" t="str">
        <f>CONCATENATE(HYPERLINK("CALLTO:%2B356%202169%202885", "+356 2169 2885"))</f>
        <v>+356 2169 2885</v>
      </c>
      <c r="E9" s="5" t="s">
        <v>2610</v>
      </c>
      <c r="F9" s="5" t="s">
        <v>2289</v>
      </c>
    </row>
    <row r="10" spans="1:6" x14ac:dyDescent="0.3">
      <c r="A10" s="2" t="s">
        <v>2557</v>
      </c>
      <c r="B10" s="2" t="s">
        <v>2572</v>
      </c>
      <c r="C10" s="3" t="s">
        <v>2591</v>
      </c>
      <c r="D10" s="2" t="str">
        <f>CONCATENATE(HYPERLINK("CALLTO:%2B356%202713%207364", "+356 2713 7364"))</f>
        <v>+356 2713 7364</v>
      </c>
      <c r="E10" s="3" t="s">
        <v>2258</v>
      </c>
      <c r="F10" s="3" t="s">
        <v>2629</v>
      </c>
    </row>
    <row r="11" spans="1:6" x14ac:dyDescent="0.3">
      <c r="A11" s="4" t="s">
        <v>2557</v>
      </c>
      <c r="B11" s="4" t="s">
        <v>1217</v>
      </c>
      <c r="C11" s="5" t="s">
        <v>1293</v>
      </c>
      <c r="D11" s="4" t="str">
        <f>CONCATENATE(HYPERLINK("CALLTO:%2B356%209935%207300", "+356 9935 7300"))</f>
        <v>+356 9935 7300</v>
      </c>
      <c r="E11" s="5" t="s">
        <v>2128</v>
      </c>
      <c r="F11" s="5" t="s">
        <v>2292</v>
      </c>
    </row>
    <row r="12" spans="1:6" x14ac:dyDescent="0.3">
      <c r="A12" s="2" t="s">
        <v>2557</v>
      </c>
      <c r="B12" s="2" t="s">
        <v>2573</v>
      </c>
      <c r="C12" s="3" t="s">
        <v>2592</v>
      </c>
      <c r="D12" s="2" t="str">
        <f>CONCATENATE(HYPERLINK("CALLTO:%2B356%209987%205265", "+356 9987 5265"))</f>
        <v>+356 9987 5265</v>
      </c>
      <c r="E12" s="3" t="s">
        <v>2611</v>
      </c>
      <c r="F12" s="3" t="s">
        <v>2630</v>
      </c>
    </row>
    <row r="13" spans="1:6" x14ac:dyDescent="0.3">
      <c r="A13" s="4" t="s">
        <v>2557</v>
      </c>
      <c r="B13" s="4" t="s">
        <v>2574</v>
      </c>
      <c r="C13" s="5" t="s">
        <v>2593</v>
      </c>
      <c r="D13" s="4" t="str">
        <f>CONCATENATE(HYPERLINK("CALLTO:%2B356%202549%205000", "+356 2549 5000"))</f>
        <v>+356 2549 5000</v>
      </c>
      <c r="E13" s="5" t="s">
        <v>2495</v>
      </c>
      <c r="F13" s="5" t="s">
        <v>2631</v>
      </c>
    </row>
    <row r="14" spans="1:6" x14ac:dyDescent="0.3">
      <c r="A14" s="2" t="s">
        <v>2557</v>
      </c>
      <c r="B14" s="2" t="s">
        <v>1538</v>
      </c>
      <c r="C14" s="3" t="s">
        <v>1624</v>
      </c>
      <c r="D14" s="2" t="str">
        <f>CONCATENATE(HYPERLINK("CALLTO:%2B356%209949%209925", "+356 9949 9925"))</f>
        <v>+356 9949 9925</v>
      </c>
      <c r="E14" s="3" t="s">
        <v>2612</v>
      </c>
      <c r="F14" s="3" t="s">
        <v>2288</v>
      </c>
    </row>
    <row r="15" spans="1:6" x14ac:dyDescent="0.3">
      <c r="A15" s="4" t="s">
        <v>2557</v>
      </c>
      <c r="B15" s="4" t="s">
        <v>2108</v>
      </c>
      <c r="C15" s="5" t="s">
        <v>2118</v>
      </c>
      <c r="D15" s="4" t="str">
        <f>CONCATENATE(HYPERLINK("CALLTO:%2B356%202141%206753", "+356 2141 6753"))</f>
        <v>+356 2141 6753</v>
      </c>
      <c r="E15" s="5" t="s">
        <v>2613</v>
      </c>
      <c r="F15" s="5" t="s">
        <v>2136</v>
      </c>
    </row>
    <row r="16" spans="1:6" x14ac:dyDescent="0.3">
      <c r="A16" s="2" t="s">
        <v>2557</v>
      </c>
      <c r="B16" s="2" t="s">
        <v>2159</v>
      </c>
      <c r="C16" s="3" t="s">
        <v>2594</v>
      </c>
      <c r="D16" s="2" t="str">
        <f>CONCATENATE(HYPERLINK("CALLTO:%2B356%202144%207347", "+356 2144 7347"))</f>
        <v>+356 2144 7347</v>
      </c>
      <c r="E16" s="3" t="s">
        <v>2614</v>
      </c>
      <c r="F16" s="3" t="s">
        <v>2632</v>
      </c>
    </row>
    <row r="17" spans="1:6" x14ac:dyDescent="0.3">
      <c r="A17" s="4" t="s">
        <v>2557</v>
      </c>
      <c r="B17" s="4" t="s">
        <v>2485</v>
      </c>
      <c r="C17" s="5" t="s">
        <v>2487</v>
      </c>
      <c r="D17" s="4" t="str">
        <f>CONCATENATE(HYPERLINK("CALLTO:%2B356%202148%205215", "+356 2148 5215"))</f>
        <v>+356 2148 5215</v>
      </c>
      <c r="E17" s="5" t="s">
        <v>2615</v>
      </c>
      <c r="F17" s="5" t="s">
        <v>2499</v>
      </c>
    </row>
    <row r="18" spans="1:6" x14ac:dyDescent="0.3">
      <c r="A18" s="2" t="s">
        <v>2557</v>
      </c>
      <c r="B18" s="2" t="s">
        <v>2575</v>
      </c>
      <c r="C18" s="3" t="s">
        <v>2595</v>
      </c>
      <c r="D18" s="2" t="str">
        <f>CONCATENATE(HYPERLINK("CALLTO:%2B356%202132%200433", "+356 2132 0433"))</f>
        <v>+356 2132 0433</v>
      </c>
      <c r="E18" s="3" t="s">
        <v>2616</v>
      </c>
      <c r="F18" s="3" t="s">
        <v>2633</v>
      </c>
    </row>
    <row r="19" spans="1:6" x14ac:dyDescent="0.3">
      <c r="A19" s="4" t="s">
        <v>2557</v>
      </c>
      <c r="B19" s="4" t="s">
        <v>1069</v>
      </c>
      <c r="C19" s="5" t="s">
        <v>1079</v>
      </c>
      <c r="D19" s="4" t="str">
        <f>CONCATENATE(HYPERLINK("CALLTO:%2B356%207774%205619", "+356 7774 5619"))</f>
        <v>+356 7774 5619</v>
      </c>
      <c r="E19" s="5" t="s">
        <v>2617</v>
      </c>
      <c r="F19" s="5" t="s">
        <v>1088</v>
      </c>
    </row>
    <row r="20" spans="1:6" x14ac:dyDescent="0.3">
      <c r="A20" s="2" t="s">
        <v>2557</v>
      </c>
      <c r="B20" s="2" t="s">
        <v>2576</v>
      </c>
      <c r="C20" s="3" t="s">
        <v>2596</v>
      </c>
      <c r="D20" s="2" t="str">
        <f>CONCATENATE(HYPERLINK("CALLTO:%2B356%207900%209947", "+356 7900 9947"))</f>
        <v>+356 7900 9947</v>
      </c>
      <c r="E20" s="3" t="s">
        <v>2618</v>
      </c>
      <c r="F20" s="3" t="s">
        <v>2634</v>
      </c>
    </row>
    <row r="21" spans="1:6" x14ac:dyDescent="0.3">
      <c r="A21" s="4" t="s">
        <v>2557</v>
      </c>
      <c r="B21" s="4" t="s">
        <v>2577</v>
      </c>
      <c r="C21" s="5" t="s">
        <v>2597</v>
      </c>
      <c r="D21" s="4" t="str">
        <f>CONCATENATE(HYPERLINK("CALLTO:%2B356%202144%203859", "+356 2144 3859"))</f>
        <v>+356 2144 3859</v>
      </c>
      <c r="E21" s="5" t="s">
        <v>2619</v>
      </c>
      <c r="F21" s="5" t="s">
        <v>2635</v>
      </c>
    </row>
    <row r="22" spans="1:6" x14ac:dyDescent="0.3">
      <c r="A22" s="2" t="s">
        <v>2557</v>
      </c>
      <c r="B22" s="2" t="s">
        <v>2578</v>
      </c>
      <c r="C22" s="3" t="s">
        <v>2598</v>
      </c>
      <c r="D22" s="2" t="str">
        <f>CONCATENATE(HYPERLINK("CALLTO:%2B356%202138%202595", "+356 2138 2595"))</f>
        <v>+356 2138 2595</v>
      </c>
      <c r="E22" s="3" t="s">
        <v>2620</v>
      </c>
      <c r="F22" s="3" t="s">
        <v>2636</v>
      </c>
    </row>
    <row r="23" spans="1:6" x14ac:dyDescent="0.3">
      <c r="A23" s="4" t="s">
        <v>2557</v>
      </c>
      <c r="B23" s="4" t="s">
        <v>2580</v>
      </c>
      <c r="C23" s="5" t="s">
        <v>2599</v>
      </c>
      <c r="D23" s="4" t="str">
        <f>CONCATENATE(HYPERLINK("CALLTO:%2B356%209996%200623", "+356 9996 0623"))</f>
        <v>+356 9996 0623</v>
      </c>
      <c r="E23" s="4"/>
      <c r="F23" s="5" t="s">
        <v>2637</v>
      </c>
    </row>
    <row r="24" spans="1:6" x14ac:dyDescent="0.3">
      <c r="A24" s="2" t="s">
        <v>2557</v>
      </c>
      <c r="B24" s="2" t="s">
        <v>2579</v>
      </c>
      <c r="C24" s="3" t="s">
        <v>2600</v>
      </c>
      <c r="D24" s="2" t="str">
        <f>CONCATENATE(HYPERLINK("CALLTO:%2B356%202034%201569", "+356 2034 1569"))</f>
        <v>+356 2034 1569</v>
      </c>
      <c r="E24" s="2"/>
      <c r="F24" s="3" t="s">
        <v>2638</v>
      </c>
    </row>
    <row r="25" spans="1:6" x14ac:dyDescent="0.3">
      <c r="A25" s="4" t="s">
        <v>2557</v>
      </c>
      <c r="B25" s="4" t="s">
        <v>1209</v>
      </c>
      <c r="C25" s="5" t="s">
        <v>1505</v>
      </c>
      <c r="D25" s="4" t="str">
        <f>CONCATENATE(HYPERLINK("CALLTO:%2B356%202331%204206", "+356 2331 4206"))</f>
        <v>+356 2331 4206</v>
      </c>
      <c r="E25" s="4"/>
      <c r="F25" s="5" t="s">
        <v>2639</v>
      </c>
    </row>
    <row r="26" spans="1:6" x14ac:dyDescent="0.3">
      <c r="A26" s="2" t="s">
        <v>2557</v>
      </c>
      <c r="B26" s="2" t="s">
        <v>2581</v>
      </c>
      <c r="C26" s="3" t="s">
        <v>2601</v>
      </c>
      <c r="D26" s="2" t="str">
        <f>CONCATENATE(HYPERLINK("CALLTO:%2B356%209947%206622", "+356 9947 6622"))</f>
        <v>+356 9947 6622</v>
      </c>
      <c r="E26" s="2"/>
      <c r="F26" s="3" t="s">
        <v>2640</v>
      </c>
    </row>
    <row r="27" spans="1:6" x14ac:dyDescent="0.3">
      <c r="A27" s="4" t="s">
        <v>2557</v>
      </c>
      <c r="B27" s="4" t="s">
        <v>2582</v>
      </c>
      <c r="C27" s="5" t="s">
        <v>2602</v>
      </c>
      <c r="D27" s="4" t="str">
        <f>CONCATENATE(HYPERLINK("CALLTO:%2B356%202347%202994", "+356 2347 2994"))</f>
        <v>+356 2347 2994</v>
      </c>
      <c r="E27" s="4"/>
      <c r="F27" s="5" t="s">
        <v>2641</v>
      </c>
    </row>
    <row r="28" spans="1:6" x14ac:dyDescent="0.3">
      <c r="A28" s="2"/>
      <c r="B28" s="2" t="s">
        <v>2583</v>
      </c>
      <c r="C28" s="3" t="s">
        <v>2603</v>
      </c>
      <c r="D28" s="2"/>
      <c r="E28" s="2"/>
      <c r="F28" s="3" t="s">
        <v>2642</v>
      </c>
    </row>
  </sheetData>
  <hyperlinks>
    <hyperlink ref="C2" r:id="rId1" tooltip="Send a mail to sales@blindsandmore.com.mt" xr:uid="{00000000-0004-0000-2A00-000000000000}"/>
    <hyperlink ref="C3" r:id="rId2" tooltip="Send a mail to info@sunlockblinds.com" xr:uid="{00000000-0004-0000-2A00-000001000000}"/>
    <hyperlink ref="C4" r:id="rId3" tooltip="Send a mail to info@gozoverticals.com" xr:uid="{00000000-0004-0000-2A00-000002000000}"/>
    <hyperlink ref="C5" r:id="rId4" tooltip="Send a mail to mghomeinteriorsltd@gmail.com" xr:uid="{00000000-0004-0000-2A00-000003000000}"/>
    <hyperlink ref="C6" r:id="rId5" tooltip="Send a mail to info@nigeldimech.com" xr:uid="{00000000-0004-0000-2A00-000004000000}"/>
    <hyperlink ref="C7" r:id="rId6" tooltip="Send a mail to sales@blinds4all.mt" xr:uid="{00000000-0004-0000-2A00-000005000000}"/>
    <hyperlink ref="C8" r:id="rId7" tooltip="Send a mail to kulurimalta@gmail.com" xr:uid="{00000000-0004-0000-2A00-000006000000}"/>
    <hyperlink ref="C9" r:id="rId8" tooltip="Send a mail to customercare@homemate.com.mt" xr:uid="{00000000-0004-0000-2A00-000007000000}"/>
    <hyperlink ref="C10" r:id="rId9" tooltip="Send a mail to info@bdblinds.mt" xr:uid="{00000000-0004-0000-2A00-000008000000}"/>
    <hyperlink ref="C11" r:id="rId10" tooltip="Send a mail to jysk@jysk.com.mt" xr:uid="{00000000-0004-0000-2A00-000009000000}"/>
    <hyperlink ref="C12" r:id="rId11" tooltip="Send a mail to hello@latenda.com.mt" xr:uid="{00000000-0004-0000-2A00-00000A000000}"/>
    <hyperlink ref="C13" r:id="rId12" tooltip="Send a mail to info@yourblindsmalta.com" xr:uid="{00000000-0004-0000-2A00-00000B000000}"/>
    <hyperlink ref="C14" r:id="rId13" tooltip="Send a mail to contactus@theatrium.com.mt" xr:uid="{00000000-0004-0000-2A00-00000C000000}"/>
    <hyperlink ref="C15" r:id="rId14" tooltip="Send a mail to info@vicalinteriors.com" xr:uid="{00000000-0004-0000-2A00-00000D000000}"/>
    <hyperlink ref="C16" r:id="rId15" tooltip="Send a mail to shop@megastore.com.mt" xr:uid="{00000000-0004-0000-2A00-00000E000000}"/>
    <hyperlink ref="C17" r:id="rId16" tooltip="Send a mail to info@bigbeninteriors.com.mt" xr:uid="{00000000-0004-0000-2A00-00000F000000}"/>
    <hyperlink ref="C18" r:id="rId17" tooltip="Send a mail to info@hml.com.mt" xr:uid="{00000000-0004-0000-2A00-000010000000}"/>
    <hyperlink ref="C19" r:id="rId18" tooltip="Send a mail to sales@dimech-ent.com" xr:uid="{00000000-0004-0000-2A00-000011000000}"/>
    <hyperlink ref="C20" r:id="rId19" tooltip="Send a mail to nblindsmalta@gmail.com" xr:uid="{00000000-0004-0000-2A00-000012000000}"/>
    <hyperlink ref="C21" r:id="rId20" tooltip="Send a mail to micasasolutions3@gmail.com" xr:uid="{00000000-0004-0000-2A00-000013000000}"/>
    <hyperlink ref="C22" r:id="rId21" tooltip="Send a mail to info@davidinteriors.com" xr:uid="{00000000-0004-0000-2A00-000014000000}"/>
    <hyperlink ref="C23" r:id="rId22" tooltip="Send a mail to sales@pvcmalta.com" xr:uid="{00000000-0004-0000-2A00-000015000000}"/>
    <hyperlink ref="C24" r:id="rId23" tooltip="Send a mail to zebrablindsmalta@gmail.com" xr:uid="{00000000-0004-0000-2A00-000016000000}"/>
    <hyperlink ref="C25" r:id="rId24" tooltip="Send a mail to sales@maltadiy.com" xr:uid="{00000000-0004-0000-2A00-000017000000}"/>
    <hyperlink ref="C26" r:id="rId25" tooltip="Send a mail to info@jbstores.com" xr:uid="{00000000-0004-0000-2A00-000018000000}"/>
    <hyperlink ref="C27" r:id="rId26" tooltip="Send a mail to infobudgetblindsmalta@gmail.com" xr:uid="{00000000-0004-0000-2A00-000019000000}"/>
    <hyperlink ref="C28" r:id="rId27" tooltip="Send a mail to info@royaltyscreens.com" xr:uid="{00000000-0004-0000-2A00-00001A000000}"/>
    <hyperlink ref="E2" r:id="rId28" tooltip="Search 41 Triq in-Naxxar, San Ġwann, Malta SGN 9030 on Google Maps" xr:uid="{00000000-0004-0000-2A00-00001B000000}"/>
    <hyperlink ref="E3" r:id="rId29" tooltip="Search Triq l-Imdina, Żebbuġ, ZBG 9016, Malta on Google Maps" xr:uid="{00000000-0004-0000-2A00-00001C000000}"/>
    <hyperlink ref="E4" r:id="rId30" tooltip="Search MG Home Interiors Ltd, 2 Triq San Tumas, Ħal Luqa on Google Maps" xr:uid="{00000000-0004-0000-2A00-00001D000000}"/>
    <hyperlink ref="E5" r:id="rId31" tooltip="Search KKW 721, Corradino _x000a_Industrial Estate_x000a_Paola, PLA 3000, Malta on Google Maps" xr:uid="{00000000-0004-0000-2A00-00001E000000}"/>
    <hyperlink ref="E6" r:id="rId32" tooltip="Search Mriehel, Malta on Google Maps" xr:uid="{00000000-0004-0000-2A00-00001F000000}"/>
    <hyperlink ref="E7" r:id="rId33" tooltip="Search Industrial Estate _x000a_Bulebel, Zejtun_x000a_ZTN 3000_x000a_Malta on Google Maps" xr:uid="{00000000-0004-0000-2A00-000020000000}"/>
    <hyperlink ref="E8" r:id="rId34" tooltip="Search Triq-Il Mosta, Lija, Malta on Google Maps" xr:uid="{00000000-0004-0000-2A00-000021000000}"/>
    <hyperlink ref="E9" r:id="rId35" tooltip="Search 58, Daddy’s Court Flat 1, Triq Il-Pitkali, Attard on Google Maps" xr:uid="{00000000-0004-0000-2A00-000022000000}"/>
    <hyperlink ref="E10" r:id="rId36" tooltip="Search The Atrium, Giovanni Felice Street, Zone 3, Central Business District, Birkirkara CBD 3120 on Google Maps" xr:uid="{00000000-0004-0000-2A00-000023000000}"/>
    <hyperlink ref="E11" r:id="rId37" tooltip="Search 84, Qormi Road, Hamrun on Google Maps" xr:uid="{00000000-0004-0000-2A00-000024000000}"/>
    <hyperlink ref="E12" r:id="rId38" tooltip="Search Warehouse No. 25, Hard Rocks Industrial Park, Burmarrad Road, Naxxar, Malta on Google Maps" xr:uid="{00000000-0004-0000-2A00-000025000000}"/>
    <hyperlink ref="E13" r:id="rId39" tooltip="Search Naxxar Road, Birkirkara,_x000a_Malta, BKR 9045 on Google Maps" xr:uid="{00000000-0004-0000-2A00-000026000000}"/>
    <hyperlink ref="E14" r:id="rId40" tooltip="Search HML Workshop, Cannon Road Qormi on Google Maps" xr:uid="{00000000-0004-0000-2A00-000027000000}"/>
    <hyperlink ref="E15" r:id="rId41" tooltip="Search Dimech Enterprises Ltd_x000a_Centre Point, Triq Valletta_x000a_Luqa _x000a_Malta LQA 1762 on Google Maps" xr:uid="{00000000-0004-0000-2A00-000028000000}"/>
    <hyperlink ref="E16" r:id="rId42" tooltip="Search 219, Sanctuary Street, Zabbar, Malta on Google Maps" xr:uid="{00000000-0004-0000-2A00-000029000000}"/>
    <hyperlink ref="E17" r:id="rId43" tooltip="Search 156 Triq Ganu, Birkirkara, Malta on Google Maps" xr:uid="{00000000-0004-0000-2A00-00002A000000}"/>
    <hyperlink ref="E18" r:id="rId44" tooltip="Search David Interiors, 161, St. Edwards Street, Qormi on Google Maps" xr:uid="{00000000-0004-0000-2A00-00002B000000}"/>
    <hyperlink ref="E19" r:id="rId45" tooltip="Search L, 52 Triq Il- Muzika, Iklin IKL 1091 on Google Maps" xr:uid="{00000000-0004-0000-2A00-00002C000000}"/>
    <hyperlink ref="E20" r:id="rId46" tooltip="Search JB Stores, JB House, Iklin Road, Iklin on Google Maps" xr:uid="{00000000-0004-0000-2A00-00002D000000}"/>
    <hyperlink ref="E21" r:id="rId47" tooltip="Search Triq-il Bufura l-Hamra, Mosta on Google Maps" xr:uid="{00000000-0004-0000-2A00-00002E000000}"/>
    <hyperlink ref="E22" r:id="rId48" tooltip="Search Zircon Suites Triq ta' Zejfa,Mosta, Malta. on Google Maps" xr:uid="{00000000-0004-0000-2A00-00002F000000}"/>
    <hyperlink ref="F2" r:id="rId49" tooltip="Visit blindsandmore.com.mt" xr:uid="{00000000-0004-0000-2A00-000030000000}"/>
    <hyperlink ref="F3" r:id="rId50" tooltip="Visit sunlockblinds.com" xr:uid="{00000000-0004-0000-2A00-000031000000}"/>
    <hyperlink ref="F4" r:id="rId51" tooltip="Visit gozoverticals.com/" xr:uid="{00000000-0004-0000-2A00-000032000000}"/>
    <hyperlink ref="F5" r:id="rId52" location="services" tooltip="Visit mghomeinteriors.com/#services" xr:uid="{00000000-0004-0000-2A00-000033000000}"/>
    <hyperlink ref="F6" r:id="rId53" tooltip="Visit nigeldimech.com/" xr:uid="{00000000-0004-0000-2A00-000034000000}"/>
    <hyperlink ref="F7" r:id="rId54" tooltip="Visit facebook.com/blinds4allmalta" xr:uid="{00000000-0004-0000-2A00-000035000000}"/>
    <hyperlink ref="F8" r:id="rId55" tooltip="Visit kulurimalta.com/" xr:uid="{00000000-0004-0000-2A00-000036000000}"/>
    <hyperlink ref="F9" r:id="rId56" tooltip="Visit homemate.com.mt/" xr:uid="{00000000-0004-0000-2A00-000037000000}"/>
    <hyperlink ref="F10" r:id="rId57" tooltip="Visit bdblinds.mt/" xr:uid="{00000000-0004-0000-2A00-000038000000}"/>
    <hyperlink ref="F11" r:id="rId58" tooltip="Visit jysk.com.mt/" xr:uid="{00000000-0004-0000-2A00-000039000000}"/>
    <hyperlink ref="F12" r:id="rId59" tooltip="Visit latenda.com.mt/" xr:uid="{00000000-0004-0000-2A00-00003A000000}"/>
    <hyperlink ref="F13" r:id="rId60" tooltip="Visit yourblindsmalta.com/" xr:uid="{00000000-0004-0000-2A00-00003B000000}"/>
    <hyperlink ref="F14" r:id="rId61" tooltip="Visit theatrium.com.mt/living" xr:uid="{00000000-0004-0000-2A00-00003C000000}"/>
    <hyperlink ref="F15" r:id="rId62" tooltip="Visit vicalinteriors.com/" xr:uid="{00000000-0004-0000-2A00-00003D000000}"/>
    <hyperlink ref="F16" r:id="rId63" tooltip="Visit megastore.com.mt/" xr:uid="{00000000-0004-0000-2A00-00003E000000}"/>
    <hyperlink ref="F17" r:id="rId64" tooltip="Visit bigbeninteriors.com.mt/" xr:uid="{00000000-0004-0000-2A00-00003F000000}"/>
    <hyperlink ref="F18" r:id="rId65" tooltip="Visit hml.com.mt/" xr:uid="{00000000-0004-0000-2A00-000040000000}"/>
    <hyperlink ref="F19" r:id="rId66" tooltip="Visit dimech-ent.com/" xr:uid="{00000000-0004-0000-2A00-000041000000}"/>
    <hyperlink ref="F20" r:id="rId67" tooltip="Visit facebook.com/nblindsmalta/?utm_source=chatgpt.com" xr:uid="{00000000-0004-0000-2A00-000042000000}"/>
    <hyperlink ref="F21" r:id="rId68" tooltip="Visit micasasolutions.eu/" xr:uid="{00000000-0004-0000-2A00-000043000000}"/>
    <hyperlink ref="F22" r:id="rId69" tooltip="Visit davidinteriors.com/en/home.htm" xr:uid="{00000000-0004-0000-2A00-000044000000}"/>
    <hyperlink ref="F23" r:id="rId70" tooltip="Visit pvcmalta.com/en/home.htm" xr:uid="{00000000-0004-0000-2A00-000045000000}"/>
    <hyperlink ref="F24" r:id="rId71" tooltip="Visit zebrablindsmalta.com/" xr:uid="{00000000-0004-0000-2A00-000046000000}"/>
    <hyperlink ref="F25" r:id="rId72" tooltip="Visit maltadiy.com/" xr:uid="{00000000-0004-0000-2A00-000047000000}"/>
    <hyperlink ref="F26" r:id="rId73" tooltip="Visit jbstoresonline.com/" xr:uid="{00000000-0004-0000-2A00-000048000000}"/>
    <hyperlink ref="F27" r:id="rId74" tooltip="Visit budgetblinds.mt/" xr:uid="{00000000-0004-0000-2A00-000049000000}"/>
    <hyperlink ref="F28" r:id="rId75" tooltip="Visit royaltyscreens.com/contact-us" xr:uid="{00000000-0004-0000-2A00-00004A000000}"/>
  </hyperlinks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58"/>
  <sheetViews>
    <sheetView workbookViewId="0"/>
  </sheetViews>
  <sheetFormatPr defaultRowHeight="14.4" x14ac:dyDescent="0.3"/>
  <cols>
    <col min="1" max="1" width="10.5546875" customWidth="1"/>
    <col min="2" max="2" width="33.44140625" customWidth="1"/>
    <col min="3" max="3" width="35.88671875" customWidth="1"/>
    <col min="4" max="4" width="45.33203125" customWidth="1"/>
    <col min="5" max="5" width="61.33203125" customWidth="1"/>
    <col min="6" max="6" width="144.33203125" customWidth="1"/>
  </cols>
  <sheetData>
    <row r="1" spans="1:6" ht="18" x14ac:dyDescent="0.35">
      <c r="A1" s="1" t="s">
        <v>2623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0</v>
      </c>
      <c r="B2" s="2" t="s">
        <v>2646</v>
      </c>
      <c r="C2" s="3" t="s">
        <v>2697</v>
      </c>
      <c r="D2" s="2" t="str">
        <f>CONCATENATE(HYPERLINK("CALLTO:%2B356%202144%205533", "+356 2144 5533"))</f>
        <v>+356 2144 5533</v>
      </c>
      <c r="E2" s="3" t="s">
        <v>2748</v>
      </c>
      <c r="F2" s="3" t="s">
        <v>2798</v>
      </c>
    </row>
    <row r="3" spans="1:6" x14ac:dyDescent="0.3">
      <c r="A3" s="4" t="s">
        <v>2643</v>
      </c>
      <c r="B3" s="4" t="s">
        <v>2647</v>
      </c>
      <c r="C3" s="5" t="s">
        <v>2698</v>
      </c>
      <c r="D3" s="4" t="str">
        <f>CONCATENATE(HYPERLINK("CALLTO:%2B356%207930%200112", "+356 7930 0112"), " / ", HYPERLINK("CALLTO:%2B356%209930%200112", "+356 9930 0112"))</f>
        <v>+356 7930 0112 / +356 9930 0112</v>
      </c>
      <c r="E3" s="5" t="s">
        <v>2749</v>
      </c>
      <c r="F3" s="5" t="s">
        <v>2799</v>
      </c>
    </row>
    <row r="4" spans="1:6" x14ac:dyDescent="0.3">
      <c r="A4" s="2" t="s">
        <v>2643</v>
      </c>
      <c r="B4" s="2" t="s">
        <v>2648</v>
      </c>
      <c r="C4" s="3" t="s">
        <v>2699</v>
      </c>
      <c r="D4" s="2" t="str">
        <f>CONCATENATE(HYPERLINK("CALLTO:%2B356%202131%208181", "+356 2131 8181"))</f>
        <v>+356 2131 8181</v>
      </c>
      <c r="E4" s="3" t="s">
        <v>2750</v>
      </c>
      <c r="F4" s="3" t="s">
        <v>2800</v>
      </c>
    </row>
    <row r="5" spans="1:6" x14ac:dyDescent="0.3">
      <c r="A5" s="4" t="s">
        <v>2643</v>
      </c>
      <c r="B5" s="4" t="s">
        <v>2650</v>
      </c>
      <c r="C5" s="5" t="s">
        <v>2700</v>
      </c>
      <c r="D5" s="4" t="str">
        <f>CONCATENATE(HYPERLINK("CALLTO:%2B356%207981%209905", "+356 7981 9905"))</f>
        <v>+356 7981 9905</v>
      </c>
      <c r="E5" s="5" t="s">
        <v>2751</v>
      </c>
      <c r="F5" s="5" t="s">
        <v>2801</v>
      </c>
    </row>
    <row r="6" spans="1:6" x14ac:dyDescent="0.3">
      <c r="A6" s="2" t="s">
        <v>2643</v>
      </c>
      <c r="B6" s="2" t="s">
        <v>2649</v>
      </c>
      <c r="C6" s="3" t="s">
        <v>2701</v>
      </c>
      <c r="D6" s="2" t="str">
        <f>CONCATENATE(HYPERLINK("CALLTO:%2B356%202122%207746", "+356 2122 7746"))</f>
        <v>+356 2122 7746</v>
      </c>
      <c r="E6" s="3" t="s">
        <v>2752</v>
      </c>
      <c r="F6" s="3" t="s">
        <v>2802</v>
      </c>
    </row>
    <row r="7" spans="1:6" x14ac:dyDescent="0.3">
      <c r="A7" s="4" t="s">
        <v>2643</v>
      </c>
      <c r="B7" s="4" t="s">
        <v>2651</v>
      </c>
      <c r="C7" s="5" t="s">
        <v>2702</v>
      </c>
      <c r="D7" s="4" t="str">
        <f>CONCATENATE(HYPERLINK("CALLTO:%2B356%207905%200568", "+356 7905 0568"))</f>
        <v>+356 7905 0568</v>
      </c>
      <c r="E7" s="5" t="s">
        <v>2753</v>
      </c>
      <c r="F7" s="5" t="s">
        <v>2803</v>
      </c>
    </row>
    <row r="8" spans="1:6" x14ac:dyDescent="0.3">
      <c r="A8" s="2" t="s">
        <v>2643</v>
      </c>
      <c r="B8" s="2" t="s">
        <v>2652</v>
      </c>
      <c r="C8" s="3" t="s">
        <v>2703</v>
      </c>
      <c r="D8" s="2" t="str">
        <f>CONCATENATE(HYPERLINK("CALLTO:%2B356%202248%204623", "+356 2248 4623"))</f>
        <v>+356 2248 4623</v>
      </c>
      <c r="E8" s="3" t="s">
        <v>2754</v>
      </c>
      <c r="F8" s="3" t="s">
        <v>2804</v>
      </c>
    </row>
    <row r="9" spans="1:6" x14ac:dyDescent="0.3">
      <c r="A9" s="4" t="s">
        <v>2644</v>
      </c>
      <c r="B9" s="4" t="s">
        <v>2646</v>
      </c>
      <c r="C9" s="5" t="s">
        <v>2697</v>
      </c>
      <c r="D9" s="4" t="str">
        <f>CONCATENATE(HYPERLINK("CALLTO:%2B356%202144%205533", "+356 2144 5533"))</f>
        <v>+356 2144 5533</v>
      </c>
      <c r="E9" s="5" t="s">
        <v>2748</v>
      </c>
      <c r="F9" s="5" t="s">
        <v>2798</v>
      </c>
    </row>
    <row r="10" spans="1:6" x14ac:dyDescent="0.3">
      <c r="A10" s="2" t="s">
        <v>2644</v>
      </c>
      <c r="B10" s="2" t="s">
        <v>2650</v>
      </c>
      <c r="C10" s="3" t="s">
        <v>2700</v>
      </c>
      <c r="D10" s="2" t="str">
        <f>CONCATENATE(HYPERLINK("CALLTO:%2B356%207981%209905", "+356 7981 9905"))</f>
        <v>+356 7981 9905</v>
      </c>
      <c r="E10" s="3" t="s">
        <v>2751</v>
      </c>
      <c r="F10" s="3" t="s">
        <v>2801</v>
      </c>
    </row>
    <row r="11" spans="1:6" x14ac:dyDescent="0.3">
      <c r="A11" s="4" t="s">
        <v>2644</v>
      </c>
      <c r="B11" s="4" t="s">
        <v>2647</v>
      </c>
      <c r="C11" s="5" t="s">
        <v>2698</v>
      </c>
      <c r="D11" s="4" t="str">
        <f>CONCATENATE(HYPERLINK("CALLTO:%2B356%207930%200112", "+356 7930 0112"), " / ", HYPERLINK("CALLTO:%2B356%209930%200112", "+356 9930 0112"))</f>
        <v>+356 7930 0112 / +356 9930 0112</v>
      </c>
      <c r="E11" s="5" t="s">
        <v>2749</v>
      </c>
      <c r="F11" s="5" t="s">
        <v>2799</v>
      </c>
    </row>
    <row r="12" spans="1:6" x14ac:dyDescent="0.3">
      <c r="A12" s="2" t="s">
        <v>2644</v>
      </c>
      <c r="B12" s="2" t="s">
        <v>2648</v>
      </c>
      <c r="C12" s="3" t="s">
        <v>2699</v>
      </c>
      <c r="D12" s="2" t="str">
        <f>CONCATENATE(HYPERLINK("CALLTO:%2B356%202131%208181", "+356 2131 8181"))</f>
        <v>+356 2131 8181</v>
      </c>
      <c r="E12" s="3" t="s">
        <v>2750</v>
      </c>
      <c r="F12" s="3" t="s">
        <v>2800</v>
      </c>
    </row>
    <row r="13" spans="1:6" x14ac:dyDescent="0.3">
      <c r="A13" s="4" t="s">
        <v>2644</v>
      </c>
      <c r="B13" s="4" t="s">
        <v>2653</v>
      </c>
      <c r="C13" s="5" t="s">
        <v>2704</v>
      </c>
      <c r="D13" s="4" t="str">
        <f>CONCATENATE(HYPERLINK("CALLTO:%2B356%202149%200758", "+356 2149 0758"))</f>
        <v>+356 2149 0758</v>
      </c>
      <c r="E13" s="5" t="s">
        <v>2755</v>
      </c>
      <c r="F13" s="5" t="s">
        <v>2805</v>
      </c>
    </row>
    <row r="14" spans="1:6" x14ac:dyDescent="0.3">
      <c r="A14" s="2" t="s">
        <v>2644</v>
      </c>
      <c r="B14" s="2" t="s">
        <v>2654</v>
      </c>
      <c r="C14" s="3" t="s">
        <v>2705</v>
      </c>
      <c r="D14" s="2" t="str">
        <f>CONCATENATE(HYPERLINK("CALLTO:%2B356%207999%206119", "+356 7999 6119"))</f>
        <v>+356 7999 6119</v>
      </c>
      <c r="E14" s="3" t="s">
        <v>2756</v>
      </c>
      <c r="F14" s="3" t="s">
        <v>2806</v>
      </c>
    </row>
    <row r="15" spans="1:6" x14ac:dyDescent="0.3">
      <c r="A15" s="4" t="s">
        <v>2644</v>
      </c>
      <c r="B15" s="4" t="s">
        <v>2655</v>
      </c>
      <c r="C15" s="5" t="s">
        <v>2706</v>
      </c>
      <c r="D15" s="4" t="str">
        <f>CONCATENATE(HYPERLINK("CALLTO:%2B356%207944%204378", "+356 7944 4378"))</f>
        <v>+356 7944 4378</v>
      </c>
      <c r="E15" s="5" t="s">
        <v>2757</v>
      </c>
      <c r="F15" s="4" t="s">
        <v>146</v>
      </c>
    </row>
    <row r="16" spans="1:6" x14ac:dyDescent="0.3">
      <c r="A16" s="2" t="s">
        <v>2644</v>
      </c>
      <c r="B16" s="2" t="s">
        <v>2656</v>
      </c>
      <c r="C16" s="3" t="s">
        <v>2707</v>
      </c>
      <c r="D16" s="2" t="str">
        <f>CONCATENATE(HYPERLINK("CALLTO:%2B356%209942%200739", "+356 9942 0739"))</f>
        <v>+356 9942 0739</v>
      </c>
      <c r="E16" s="3" t="s">
        <v>2758</v>
      </c>
      <c r="F16" s="2" t="s">
        <v>146</v>
      </c>
    </row>
    <row r="17" spans="1:6" x14ac:dyDescent="0.3">
      <c r="A17" s="4" t="s">
        <v>2644</v>
      </c>
      <c r="B17" s="4" t="s">
        <v>2657</v>
      </c>
      <c r="C17" s="5" t="s">
        <v>2708</v>
      </c>
      <c r="D17" s="4" t="str">
        <f>CONCATENATE(HYPERLINK("CALLTO:%2B356%207757%200570", "+356 7757 0570"))</f>
        <v>+356 7757 0570</v>
      </c>
      <c r="E17" s="5" t="s">
        <v>2759</v>
      </c>
      <c r="F17" s="5" t="s">
        <v>2807</v>
      </c>
    </row>
    <row r="18" spans="1:6" x14ac:dyDescent="0.3">
      <c r="A18" s="2" t="s">
        <v>2644</v>
      </c>
      <c r="B18" s="2" t="s">
        <v>2658</v>
      </c>
      <c r="C18" s="3" t="s">
        <v>2709</v>
      </c>
      <c r="D18" s="2" t="str">
        <f>CONCATENATE(HYPERLINK("CALLTO:%2B356%202148%203673", "+356 2148 3673"))</f>
        <v>+356 2148 3673</v>
      </c>
      <c r="E18" s="3" t="s">
        <v>2760</v>
      </c>
      <c r="F18" s="3" t="s">
        <v>2808</v>
      </c>
    </row>
    <row r="19" spans="1:6" x14ac:dyDescent="0.3">
      <c r="A19" s="4" t="s">
        <v>2644</v>
      </c>
      <c r="B19" s="4" t="s">
        <v>2659</v>
      </c>
      <c r="C19" s="5" t="s">
        <v>2710</v>
      </c>
      <c r="D19" s="4" t="str">
        <f>CONCATENATE(HYPERLINK("CALLTO:%2B356%202166%208022", "+356 2166 8022"))</f>
        <v>+356 2166 8022</v>
      </c>
      <c r="E19" s="5" t="s">
        <v>2761</v>
      </c>
      <c r="F19" s="5" t="s">
        <v>2809</v>
      </c>
    </row>
    <row r="20" spans="1:6" x14ac:dyDescent="0.3">
      <c r="A20" s="2" t="s">
        <v>2644</v>
      </c>
      <c r="B20" s="2" t="s">
        <v>2660</v>
      </c>
      <c r="C20" s="3" t="s">
        <v>2711</v>
      </c>
      <c r="D20" s="2" t="str">
        <f>CONCATENATE(HYPERLINK("CALLTO:%2B356%207959%204611", "+356 7959 4611"))</f>
        <v>+356 7959 4611</v>
      </c>
      <c r="E20" s="3" t="s">
        <v>2762</v>
      </c>
      <c r="F20" s="2" t="s">
        <v>146</v>
      </c>
    </row>
    <row r="21" spans="1:6" x14ac:dyDescent="0.3">
      <c r="A21" s="4" t="s">
        <v>2644</v>
      </c>
      <c r="B21" s="4" t="s">
        <v>2661</v>
      </c>
      <c r="C21" s="5" t="s">
        <v>2712</v>
      </c>
      <c r="D21" s="4" t="str">
        <f>CONCATENATE(HYPERLINK("CALLTO:%2B356%209942%204999", "+356 9942 4999"))</f>
        <v>+356 9942 4999</v>
      </c>
      <c r="E21" s="5" t="s">
        <v>2763</v>
      </c>
      <c r="F21" s="5" t="s">
        <v>2810</v>
      </c>
    </row>
    <row r="22" spans="1:6" x14ac:dyDescent="0.3">
      <c r="A22" s="2" t="s">
        <v>2644</v>
      </c>
      <c r="B22" s="2" t="s">
        <v>2662</v>
      </c>
      <c r="C22" s="3" t="s">
        <v>2713</v>
      </c>
      <c r="D22" s="2" t="str">
        <f>CONCATENATE(HYPERLINK("CALLTO:%2B356%209922%202759", "+356 9922 2759"))</f>
        <v>+356 9922 2759</v>
      </c>
      <c r="E22" s="3" t="s">
        <v>2764</v>
      </c>
      <c r="F22" s="3" t="s">
        <v>2811</v>
      </c>
    </row>
    <row r="23" spans="1:6" x14ac:dyDescent="0.3">
      <c r="A23" s="4" t="s">
        <v>2644</v>
      </c>
      <c r="B23" s="4" t="s">
        <v>2663</v>
      </c>
      <c r="C23" s="5" t="s">
        <v>2714</v>
      </c>
      <c r="D23" s="4" t="str">
        <f>CONCATENATE(HYPERLINK("CALLTO:%2B356%209946%206156", "+356 9946 6156"))</f>
        <v>+356 9946 6156</v>
      </c>
      <c r="E23" s="5" t="s">
        <v>2765</v>
      </c>
      <c r="F23" s="4" t="s">
        <v>146</v>
      </c>
    </row>
    <row r="24" spans="1:6" x14ac:dyDescent="0.3">
      <c r="A24" s="2" t="s">
        <v>2644</v>
      </c>
      <c r="B24" s="2" t="s">
        <v>2664</v>
      </c>
      <c r="C24" s="3" t="s">
        <v>2715</v>
      </c>
      <c r="D24" s="2" t="str">
        <f>CONCATENATE(HYPERLINK("CALLTO:%2B356%209990%203317", "+356 9990 3317"))</f>
        <v>+356 9990 3317</v>
      </c>
      <c r="E24" s="3" t="s">
        <v>2766</v>
      </c>
      <c r="F24" s="3" t="s">
        <v>2812</v>
      </c>
    </row>
    <row r="25" spans="1:6" x14ac:dyDescent="0.3">
      <c r="A25" s="4" t="s">
        <v>2644</v>
      </c>
      <c r="B25" s="4" t="s">
        <v>2665</v>
      </c>
      <c r="C25" s="5" t="s">
        <v>2716</v>
      </c>
      <c r="D25" s="4" t="str">
        <f>CONCATENATE(HYPERLINK("CALLTO:%2B356%207992%200158", "+356 7992 0158"))</f>
        <v>+356 7992 0158</v>
      </c>
      <c r="E25" s="5" t="s">
        <v>2767</v>
      </c>
      <c r="F25" s="5" t="s">
        <v>2813</v>
      </c>
    </row>
    <row r="26" spans="1:6" x14ac:dyDescent="0.3">
      <c r="A26" s="2" t="s">
        <v>2644</v>
      </c>
      <c r="B26" s="2" t="s">
        <v>2666</v>
      </c>
      <c r="C26" s="3" t="s">
        <v>2717</v>
      </c>
      <c r="D26" s="2" t="str">
        <f>CONCATENATE(HYPERLINK("CALLTO:%2B356%209942%201912", "+356 9942 1912"))</f>
        <v>+356 9942 1912</v>
      </c>
      <c r="E26" s="3" t="s">
        <v>2768</v>
      </c>
      <c r="F26" s="3" t="s">
        <v>2814</v>
      </c>
    </row>
    <row r="27" spans="1:6" x14ac:dyDescent="0.3">
      <c r="A27" s="4" t="s">
        <v>2644</v>
      </c>
      <c r="B27" s="4" t="s">
        <v>2667</v>
      </c>
      <c r="C27" s="5" t="s">
        <v>2718</v>
      </c>
      <c r="D27" s="4" t="str">
        <f>CONCATENATE(HYPERLINK("CALLTO:%2B356%209942%208635", "+356 9942 8635"))</f>
        <v>+356 9942 8635</v>
      </c>
      <c r="E27" s="5" t="s">
        <v>2769</v>
      </c>
      <c r="F27" s="5" t="s">
        <v>2815</v>
      </c>
    </row>
    <row r="28" spans="1:6" x14ac:dyDescent="0.3">
      <c r="A28" s="2" t="s">
        <v>2644</v>
      </c>
      <c r="B28" s="2" t="s">
        <v>2668</v>
      </c>
      <c r="C28" s="3" t="s">
        <v>2719</v>
      </c>
      <c r="D28" s="2" t="str">
        <f>CONCATENATE(HYPERLINK("CALLTO:%2B356%209999%203030", "+356 9999 3030"))</f>
        <v>+356 9999 3030</v>
      </c>
      <c r="E28" s="3" t="s">
        <v>2770</v>
      </c>
      <c r="F28" s="3" t="s">
        <v>2816</v>
      </c>
    </row>
    <row r="29" spans="1:6" x14ac:dyDescent="0.3">
      <c r="A29" s="4" t="s">
        <v>2644</v>
      </c>
      <c r="B29" s="4" t="s">
        <v>2669</v>
      </c>
      <c r="C29" s="5" t="s">
        <v>2720</v>
      </c>
      <c r="D29" s="4" t="str">
        <f>CONCATENATE(HYPERLINK("CALLTO:%2B356%207900%202878", "+356 7900 2878"))</f>
        <v>+356 7900 2878</v>
      </c>
      <c r="E29" s="5" t="s">
        <v>2771</v>
      </c>
      <c r="F29" s="5" t="s">
        <v>2817</v>
      </c>
    </row>
    <row r="30" spans="1:6" x14ac:dyDescent="0.3">
      <c r="A30" s="2" t="s">
        <v>2644</v>
      </c>
      <c r="B30" s="2" t="s">
        <v>2670</v>
      </c>
      <c r="C30" s="3" t="s">
        <v>2721</v>
      </c>
      <c r="D30" s="2" t="str">
        <f>CONCATENATE(HYPERLINK("CALLTO:%2B356%202152%204645", "+356 2152 4645"))</f>
        <v>+356 2152 4645</v>
      </c>
      <c r="E30" s="3" t="s">
        <v>2772</v>
      </c>
      <c r="F30" s="3" t="s">
        <v>2818</v>
      </c>
    </row>
    <row r="31" spans="1:6" x14ac:dyDescent="0.3">
      <c r="A31" s="4" t="s">
        <v>2644</v>
      </c>
      <c r="B31" s="4" t="s">
        <v>2671</v>
      </c>
      <c r="C31" s="5" t="s">
        <v>2722</v>
      </c>
      <c r="D31" s="4" t="str">
        <f>CONCATENATE(HYPERLINK("CALLTO:%2B356%202124%201318", "+356 2124 1318"))</f>
        <v>+356 2124 1318</v>
      </c>
      <c r="E31" s="5" t="s">
        <v>2773</v>
      </c>
      <c r="F31" s="4" t="s">
        <v>146</v>
      </c>
    </row>
    <row r="32" spans="1:6" x14ac:dyDescent="0.3">
      <c r="A32" s="2" t="s">
        <v>2644</v>
      </c>
      <c r="B32" s="2" t="s">
        <v>2672</v>
      </c>
      <c r="C32" s="3" t="s">
        <v>2723</v>
      </c>
      <c r="D32" s="2" t="str">
        <f>CONCATENATE(HYPERLINK("CALLTO:%2B356%209950%207809", "+356 9950 7809"))</f>
        <v>+356 9950 7809</v>
      </c>
      <c r="E32" s="3" t="s">
        <v>2774</v>
      </c>
      <c r="F32" s="3" t="s">
        <v>2819</v>
      </c>
    </row>
    <row r="33" spans="1:6" x14ac:dyDescent="0.3">
      <c r="A33" s="4" t="s">
        <v>2644</v>
      </c>
      <c r="B33" s="4" t="s">
        <v>2673</v>
      </c>
      <c r="C33" s="5" t="s">
        <v>2724</v>
      </c>
      <c r="D33" s="4" t="str">
        <f>CONCATENATE(HYPERLINK("CALLTO:%2B356%209944%206089", "+356 9944 6089"))</f>
        <v>+356 9944 6089</v>
      </c>
      <c r="E33" s="5" t="s">
        <v>2775</v>
      </c>
      <c r="F33" s="5" t="s">
        <v>2820</v>
      </c>
    </row>
    <row r="34" spans="1:6" x14ac:dyDescent="0.3">
      <c r="A34" s="2" t="s">
        <v>2644</v>
      </c>
      <c r="B34" s="2" t="s">
        <v>2651</v>
      </c>
      <c r="C34" s="3" t="s">
        <v>2702</v>
      </c>
      <c r="D34" s="2" t="str">
        <f>CONCATENATE(HYPERLINK("CALLTO:%2B356%207905%200568", "+356 7905 0568"))</f>
        <v>+356 7905 0568</v>
      </c>
      <c r="E34" s="3" t="s">
        <v>2753</v>
      </c>
      <c r="F34" s="3" t="s">
        <v>2803</v>
      </c>
    </row>
    <row r="35" spans="1:6" x14ac:dyDescent="0.3">
      <c r="A35" s="4" t="s">
        <v>2644</v>
      </c>
      <c r="B35" s="4" t="s">
        <v>2674</v>
      </c>
      <c r="C35" s="5" t="s">
        <v>2725</v>
      </c>
      <c r="D35" s="4" t="str">
        <f>CONCATENATE(HYPERLINK("CALLTO:%2B356%202124%209707", "+356 2124 9707"))</f>
        <v>+356 2124 9707</v>
      </c>
      <c r="E35" s="5" t="s">
        <v>2776</v>
      </c>
      <c r="F35" s="5" t="s">
        <v>2821</v>
      </c>
    </row>
    <row r="36" spans="1:6" x14ac:dyDescent="0.3">
      <c r="A36" s="2" t="s">
        <v>2644</v>
      </c>
      <c r="B36" s="2" t="s">
        <v>2675</v>
      </c>
      <c r="C36" s="3" t="s">
        <v>2726</v>
      </c>
      <c r="D36" s="2" t="str">
        <f>CONCATENATE(HYPERLINK("CALLTO:%2B356%202144%203538", "+356 2144 3538"))</f>
        <v>+356 2144 3538</v>
      </c>
      <c r="E36" s="3" t="s">
        <v>2777</v>
      </c>
      <c r="F36" s="3" t="s">
        <v>2822</v>
      </c>
    </row>
    <row r="37" spans="1:6" x14ac:dyDescent="0.3">
      <c r="A37" s="4" t="s">
        <v>2644</v>
      </c>
      <c r="B37" s="4" t="s">
        <v>2676</v>
      </c>
      <c r="C37" s="5" t="s">
        <v>2727</v>
      </c>
      <c r="D37" s="4" t="str">
        <f>CONCATENATE(HYPERLINK("CALLTO:%2B356%202760%205017", "+356 2760 5017"))</f>
        <v>+356 2760 5017</v>
      </c>
      <c r="E37" s="5" t="s">
        <v>2779</v>
      </c>
      <c r="F37" s="5" t="s">
        <v>2823</v>
      </c>
    </row>
    <row r="38" spans="1:6" x14ac:dyDescent="0.3">
      <c r="A38" s="2" t="s">
        <v>2644</v>
      </c>
      <c r="B38" s="2" t="s">
        <v>2677</v>
      </c>
      <c r="C38" s="3" t="s">
        <v>2728</v>
      </c>
      <c r="D38" s="2" t="str">
        <f>CONCATENATE(HYPERLINK("CALLTO:%2B356%202143%204400", "+356 2143 4400"))</f>
        <v>+356 2143 4400</v>
      </c>
      <c r="E38" s="3" t="s">
        <v>2778</v>
      </c>
      <c r="F38" s="3" t="s">
        <v>2824</v>
      </c>
    </row>
    <row r="39" spans="1:6" x14ac:dyDescent="0.3">
      <c r="A39" s="4" t="s">
        <v>2644</v>
      </c>
      <c r="B39" s="4" t="s">
        <v>2678</v>
      </c>
      <c r="C39" s="5" t="s">
        <v>2729</v>
      </c>
      <c r="D39" s="4" t="str">
        <f>CONCATENATE(HYPERLINK("CALLTO:%2B356%202144%204398", "+356 2144 4398"))</f>
        <v>+356 2144 4398</v>
      </c>
      <c r="E39" s="5" t="s">
        <v>2780</v>
      </c>
      <c r="F39" s="5" t="s">
        <v>2825</v>
      </c>
    </row>
    <row r="40" spans="1:6" x14ac:dyDescent="0.3">
      <c r="A40" s="2" t="s">
        <v>2644</v>
      </c>
      <c r="B40" s="2" t="s">
        <v>2679</v>
      </c>
      <c r="C40" s="3" t="s">
        <v>2730</v>
      </c>
      <c r="D40" s="2" t="str">
        <f>CONCATENATE(HYPERLINK("CALLTO:%2B356%202278%205200", "+356 2278 5200"))</f>
        <v>+356 2278 5200</v>
      </c>
      <c r="E40" s="3" t="s">
        <v>2781</v>
      </c>
      <c r="F40" s="3" t="s">
        <v>2826</v>
      </c>
    </row>
    <row r="41" spans="1:6" x14ac:dyDescent="0.3">
      <c r="A41" s="4" t="s">
        <v>2644</v>
      </c>
      <c r="B41" s="4" t="s">
        <v>2680</v>
      </c>
      <c r="C41" s="5" t="s">
        <v>2731</v>
      </c>
      <c r="D41" s="4" t="str">
        <f>CONCATENATE(HYPERLINK("CALLTO:%2B356%202146%203618", "+356 2146 3618"))</f>
        <v>+356 2146 3618</v>
      </c>
      <c r="E41" s="5" t="s">
        <v>2782</v>
      </c>
      <c r="F41" s="5" t="s">
        <v>2827</v>
      </c>
    </row>
    <row r="42" spans="1:6" x14ac:dyDescent="0.3">
      <c r="A42" s="2" t="s">
        <v>2644</v>
      </c>
      <c r="B42" s="2" t="s">
        <v>2681</v>
      </c>
      <c r="C42" s="3" t="s">
        <v>2732</v>
      </c>
      <c r="D42" s="2" t="str">
        <f>CONCATENATE(HYPERLINK("CALLTO:%2B356%209949%208033", "+356 9949 8033"))</f>
        <v>+356 9949 8033</v>
      </c>
      <c r="E42" s="3" t="s">
        <v>2783</v>
      </c>
      <c r="F42" s="3" t="s">
        <v>2828</v>
      </c>
    </row>
    <row r="43" spans="1:6" x14ac:dyDescent="0.3">
      <c r="A43" s="4" t="s">
        <v>2644</v>
      </c>
      <c r="B43" s="4" t="s">
        <v>2682</v>
      </c>
      <c r="C43" s="5" t="s">
        <v>2733</v>
      </c>
      <c r="D43" s="4" t="str">
        <f>CONCATENATE(HYPERLINK("CALLTO:%2B356%207979%203611", "+356 7979 3611"))</f>
        <v>+356 7979 3611</v>
      </c>
      <c r="E43" s="5" t="s">
        <v>2784</v>
      </c>
      <c r="F43" s="5" t="s">
        <v>2829</v>
      </c>
    </row>
    <row r="44" spans="1:6" x14ac:dyDescent="0.3">
      <c r="A44" s="2" t="s">
        <v>2644</v>
      </c>
      <c r="B44" s="2" t="s">
        <v>2683</v>
      </c>
      <c r="C44" s="3" t="s">
        <v>2734</v>
      </c>
      <c r="D44" s="2" t="str">
        <f>CONCATENATE(HYPERLINK("CALLTO:%2B356%207937%206112", "+356 7937 6112"), " / ", HYPERLINK("CALLTO:%2B356%202010%202121", "+356 2010 2121"), " / ", HYPERLINK("CALLTO:%2B356%207939%200636", "+356 7939 0636"))</f>
        <v>+356 7937 6112 / +356 2010 2121 / +356 7939 0636</v>
      </c>
      <c r="E44" s="3" t="s">
        <v>2785</v>
      </c>
      <c r="F44" s="3" t="s">
        <v>2830</v>
      </c>
    </row>
    <row r="45" spans="1:6" x14ac:dyDescent="0.3">
      <c r="A45" s="4" t="s">
        <v>2645</v>
      </c>
      <c r="B45" s="4" t="s">
        <v>2684</v>
      </c>
      <c r="C45" s="5" t="s">
        <v>2735</v>
      </c>
      <c r="D45" s="4" t="str">
        <f>CONCATENATE(HYPERLINK("CALLTO:%2B356%202138%200309", "+356 2138 0309"))</f>
        <v>+356 2138 0309</v>
      </c>
      <c r="E45" s="5" t="s">
        <v>2786</v>
      </c>
      <c r="F45" s="5" t="s">
        <v>2831</v>
      </c>
    </row>
    <row r="46" spans="1:6" x14ac:dyDescent="0.3">
      <c r="A46" s="2" t="s">
        <v>2645</v>
      </c>
      <c r="B46" s="2" t="s">
        <v>2685</v>
      </c>
      <c r="C46" s="3" t="s">
        <v>2736</v>
      </c>
      <c r="D46" s="2" t="str">
        <f>CONCATENATE(HYPERLINK("CALLTO:%2B356%202142%204750", "+356 2142 4750"))</f>
        <v>+356 2142 4750</v>
      </c>
      <c r="E46" s="3" t="s">
        <v>2787</v>
      </c>
      <c r="F46" s="3" t="s">
        <v>2832</v>
      </c>
    </row>
    <row r="47" spans="1:6" x14ac:dyDescent="0.3">
      <c r="A47" s="4" t="s">
        <v>2645</v>
      </c>
      <c r="B47" s="4" t="s">
        <v>2686</v>
      </c>
      <c r="C47" s="5" t="s">
        <v>2737</v>
      </c>
      <c r="D47" s="4" t="str">
        <f>CONCATENATE(HYPERLINK("CALLTO:%2B356%209948%206132", "+356 9948 6132"))</f>
        <v>+356 9948 6132</v>
      </c>
      <c r="E47" s="5" t="s">
        <v>2788</v>
      </c>
      <c r="F47" s="5" t="s">
        <v>2833</v>
      </c>
    </row>
    <row r="48" spans="1:6" x14ac:dyDescent="0.3">
      <c r="A48" s="2" t="s">
        <v>2645</v>
      </c>
      <c r="B48" s="2" t="s">
        <v>2687</v>
      </c>
      <c r="C48" s="3" t="s">
        <v>2738</v>
      </c>
      <c r="D48" s="2" t="str">
        <f>CONCATENATE(HYPERLINK("CALLTO:%2B356%202148%200500", "+356 2148 0500"))</f>
        <v>+356 2148 0500</v>
      </c>
      <c r="E48" s="3" t="s">
        <v>2789</v>
      </c>
      <c r="F48" s="3" t="s">
        <v>2834</v>
      </c>
    </row>
    <row r="49" spans="1:6" x14ac:dyDescent="0.3">
      <c r="A49" s="4" t="s">
        <v>2645</v>
      </c>
      <c r="B49" s="4" t="s">
        <v>2688</v>
      </c>
      <c r="C49" s="5" t="s">
        <v>2739</v>
      </c>
      <c r="D49" s="4" t="str">
        <f>CONCATENATE(HYPERLINK("CALLTO:%2B356%202734%209054", "+356 2734 9054"))</f>
        <v>+356 2734 9054</v>
      </c>
      <c r="E49" s="5" t="s">
        <v>2790</v>
      </c>
      <c r="F49" s="5" t="s">
        <v>2835</v>
      </c>
    </row>
    <row r="50" spans="1:6" x14ac:dyDescent="0.3">
      <c r="A50" s="2" t="s">
        <v>2645</v>
      </c>
      <c r="B50" s="2" t="s">
        <v>2689</v>
      </c>
      <c r="C50" s="3" t="s">
        <v>2740</v>
      </c>
      <c r="D50" s="2" t="str">
        <f>CONCATENATE(HYPERLINK("CALLTO:%2B356%209929%202730", "+356 9929 2730"))</f>
        <v>+356 9929 2730</v>
      </c>
      <c r="E50" s="3" t="s">
        <v>2791</v>
      </c>
      <c r="F50" s="3" t="s">
        <v>2836</v>
      </c>
    </row>
    <row r="51" spans="1:6" x14ac:dyDescent="0.3">
      <c r="A51" s="4" t="s">
        <v>2645</v>
      </c>
      <c r="B51" s="4" t="s">
        <v>2690</v>
      </c>
      <c r="C51" s="5" t="s">
        <v>2741</v>
      </c>
      <c r="D51" s="4" t="str">
        <f>CONCATENATE(HYPERLINK("CALLTO:%2B356%202167%205353", "+356 2167 5353"))</f>
        <v>+356 2167 5353</v>
      </c>
      <c r="E51" s="5" t="s">
        <v>2792</v>
      </c>
      <c r="F51" s="5" t="s">
        <v>2837</v>
      </c>
    </row>
    <row r="52" spans="1:6" x14ac:dyDescent="0.3">
      <c r="A52" s="2" t="s">
        <v>2645</v>
      </c>
      <c r="B52" s="2" t="s">
        <v>2691</v>
      </c>
      <c r="C52" s="3" t="s">
        <v>2742</v>
      </c>
      <c r="D52" s="2" t="str">
        <f>CONCATENATE(HYPERLINK("CALLTO:%2B356%207960%202611", "+356 7960 2611"))</f>
        <v>+356 7960 2611</v>
      </c>
      <c r="E52" s="3" t="s">
        <v>2793</v>
      </c>
      <c r="F52" s="3" t="s">
        <v>2838</v>
      </c>
    </row>
    <row r="53" spans="1:6" x14ac:dyDescent="0.3">
      <c r="A53" s="4" t="s">
        <v>2645</v>
      </c>
      <c r="B53" s="4" t="s">
        <v>2692</v>
      </c>
      <c r="C53" s="5" t="s">
        <v>2743</v>
      </c>
      <c r="D53" s="4" t="str">
        <f>CONCATENATE(HYPERLINK("CALLTO:%2B356%207940%204890", "+356 7940 4890"))</f>
        <v>+356 7940 4890</v>
      </c>
      <c r="E53" s="5" t="s">
        <v>2794</v>
      </c>
      <c r="F53" s="5" t="s">
        <v>2839</v>
      </c>
    </row>
    <row r="54" spans="1:6" x14ac:dyDescent="0.3">
      <c r="A54" s="2" t="s">
        <v>2645</v>
      </c>
      <c r="B54" s="2" t="s">
        <v>2693</v>
      </c>
      <c r="C54" s="3" t="s">
        <v>2744</v>
      </c>
      <c r="D54" s="2" t="str">
        <f>CONCATENATE(HYPERLINK("CALLTO:%2B356%202099%206609", "+356 2099 6609"))</f>
        <v>+356 2099 6609</v>
      </c>
      <c r="E54" s="3" t="s">
        <v>2795</v>
      </c>
      <c r="F54" s="3" t="s">
        <v>2840</v>
      </c>
    </row>
    <row r="55" spans="1:6" x14ac:dyDescent="0.3">
      <c r="A55" s="4" t="s">
        <v>2645</v>
      </c>
      <c r="B55" s="4" t="s">
        <v>2694</v>
      </c>
      <c r="C55" s="5" t="s">
        <v>2745</v>
      </c>
      <c r="D55" s="4" t="str">
        <f>CONCATENATE(HYPERLINK("CALLTO:%2B356%202716%207167", "+356 2716 7167"))</f>
        <v>+356 2716 7167</v>
      </c>
      <c r="E55" s="5" t="s">
        <v>2796</v>
      </c>
      <c r="F55" s="5" t="s">
        <v>2841</v>
      </c>
    </row>
    <row r="56" spans="1:6" x14ac:dyDescent="0.3">
      <c r="A56" s="2" t="s">
        <v>2645</v>
      </c>
      <c r="B56" s="2" t="s">
        <v>2695</v>
      </c>
      <c r="C56" s="3" t="s">
        <v>2746</v>
      </c>
      <c r="D56" s="2" t="str">
        <f>CONCATENATE(HYPERLINK("CALLTO:%2B356%202755%206650", "+356 2755 6650"))</f>
        <v>+356 2755 6650</v>
      </c>
      <c r="E56" s="2"/>
      <c r="F56" s="3" t="s">
        <v>2842</v>
      </c>
    </row>
    <row r="57" spans="1:6" x14ac:dyDescent="0.3">
      <c r="A57" s="4" t="s">
        <v>2645</v>
      </c>
      <c r="B57" s="4" t="s">
        <v>2696</v>
      </c>
      <c r="C57" s="5" t="s">
        <v>2747</v>
      </c>
      <c r="D57" s="4" t="str">
        <f>CONCATENATE(HYPERLINK("CALLTO:%2B356%209988%200528", "+356 9988 0528"))</f>
        <v>+356 9988 0528</v>
      </c>
      <c r="E57" s="4"/>
      <c r="F57" s="5" t="s">
        <v>2843</v>
      </c>
    </row>
    <row r="58" spans="1:6" x14ac:dyDescent="0.3">
      <c r="A58" s="2" t="s">
        <v>2645</v>
      </c>
      <c r="B58" s="2"/>
      <c r="C58" s="2"/>
      <c r="D58" s="2"/>
      <c r="E58" s="2"/>
      <c r="F58" s="2"/>
    </row>
  </sheetData>
  <hyperlinks>
    <hyperlink ref="C2" r:id="rId1" tooltip="Send a mail to info@jgrima.com" xr:uid="{00000000-0004-0000-2B00-000000000000}"/>
    <hyperlink ref="C3" r:id="rId2" tooltip="Send a mail to info@antifire.com.mt" xr:uid="{00000000-0004-0000-2B00-000001000000}"/>
    <hyperlink ref="C4" r:id="rId3" tooltip="Send a mail to info@aeco.com.mt" xr:uid="{00000000-0004-0000-2B00-000002000000}"/>
    <hyperlink ref="C5" r:id="rId4" tooltip="Send a mail to info@pdsecuritymalta.com" xr:uid="{00000000-0004-0000-2B00-000003000000}"/>
    <hyperlink ref="C6" r:id="rId5" tooltip="Send a mail to info@soteria.com.mt" xr:uid="{00000000-0004-0000-2B00-000004000000}"/>
    <hyperlink ref="C7" r:id="rId6" tooltip="Send a mail to info@elektroservices.com.mt" xr:uid="{00000000-0004-0000-2B00-000005000000}"/>
    <hyperlink ref="C8" r:id="rId7" tooltip="Send a mail to info@security.com.mt" xr:uid="{00000000-0004-0000-2B00-000006000000}"/>
    <hyperlink ref="C9" r:id="rId8" tooltip="Send a mail to info@jgrima.com" xr:uid="{00000000-0004-0000-2B00-000007000000}"/>
    <hyperlink ref="C10" r:id="rId9" tooltip="Send a mail to info@pdsecuritymalta.com" xr:uid="{00000000-0004-0000-2B00-000008000000}"/>
    <hyperlink ref="C11" r:id="rId10" tooltip="Send a mail to info@antifire.com.mt" xr:uid="{00000000-0004-0000-2B00-000009000000}"/>
    <hyperlink ref="C12" r:id="rId11" tooltip="Send a mail to info@aeco.com.mt" xr:uid="{00000000-0004-0000-2B00-00000A000000}"/>
    <hyperlink ref="C13" r:id="rId12" tooltip="Send a mail to info@alarmtechmalta.com" xr:uid="{00000000-0004-0000-2B00-00000B000000}"/>
    <hyperlink ref="C14" r:id="rId13" tooltip="Send a mail to info@cbsecuritymalta.com" xr:uid="{00000000-0004-0000-2B00-00000C000000}"/>
    <hyperlink ref="C15" r:id="rId14" tooltip="Send a mail to darren@d-tech.mt" xr:uid="{00000000-0004-0000-2B00-00000D000000}"/>
    <hyperlink ref="C16" r:id="rId15" tooltip="Send a mail to jmallia@vol.net.mt" xr:uid="{00000000-0004-0000-2B00-00000E000000}"/>
    <hyperlink ref="C17" r:id="rId16" tooltip="Send a mail to craudsecurity@gmail.com" xr:uid="{00000000-0004-0000-2B00-00000F000000}"/>
    <hyperlink ref="C18" r:id="rId17" tooltip="Send a mail to sales@dmicros.com.mt" xr:uid="{00000000-0004-0000-2B00-000010000000}"/>
    <hyperlink ref="C19" r:id="rId18" tooltip="Send a mail to info@darservicesmalta.com" xr:uid="{00000000-0004-0000-2B00-000011000000}"/>
    <hyperlink ref="C20" r:id="rId19" tooltip="Send a mail to dlc.cachia@gmail.com" xr:uid="{00000000-0004-0000-2B00-000012000000}"/>
    <hyperlink ref="C21" r:id="rId20" tooltip="Send a mail to info@eaglesecurity.com.mt" xr:uid="{00000000-0004-0000-2B00-000013000000}"/>
    <hyperlink ref="C22" r:id="rId21" tooltip="Send a mail to ecom@ecommalta.com" xr:uid="{00000000-0004-0000-2B00-000014000000}"/>
    <hyperlink ref="C23" r:id="rId22" tooltip="Send a mail to alarms@maltanet.net" xr:uid="{00000000-0004-0000-2B00-000015000000}"/>
    <hyperlink ref="C24" r:id="rId23" tooltip="Send a mail to sales@hc.com.mt" xr:uid="{00000000-0004-0000-2B00-000016000000}"/>
    <hyperlink ref="C25" r:id="rId24" tooltip="Send a mail to info@hisecurity.com" xr:uid="{00000000-0004-0000-2B00-000017000000}"/>
    <hyperlink ref="C26" r:id="rId25" tooltip="Send a mail to info@ijsolutions.net" xr:uid="{00000000-0004-0000-2B00-000018000000}"/>
    <hyperlink ref="C27" r:id="rId26" tooltip="Send a mail to info@ielmalta.com" xr:uid="{00000000-0004-0000-2B00-000019000000}"/>
    <hyperlink ref="C28" r:id="rId27" tooltip="Send a mail to info@ispyprojects.com" xr:uid="{00000000-0004-0000-2B00-00001A000000}"/>
    <hyperlink ref="C29" r:id="rId28" tooltip="Send a mail to info@misystemsmalta.com" xr:uid="{00000000-0004-0000-2B00-00001B000000}"/>
    <hyperlink ref="C30" r:id="rId29" tooltip="Send a mail to info@prosolutions.com.mt" xr:uid="{00000000-0004-0000-2B00-00001C000000}"/>
    <hyperlink ref="C31" r:id="rId30" tooltip="Send a mail to secom@onvol.net" xr:uid="{00000000-0004-0000-2B00-00001D000000}"/>
    <hyperlink ref="C32" r:id="rId31" tooltip="Send a mail to techadvance.security@gmail.com" xr:uid="{00000000-0004-0000-2B00-00001E000000}"/>
    <hyperlink ref="C33" r:id="rId32" tooltip="Send a mail to umsmalta@gmail.com" xr:uid="{00000000-0004-0000-2B00-00001F000000}"/>
    <hyperlink ref="C34" r:id="rId33" tooltip="Send a mail to info@elektroservices.com.mt" xr:uid="{00000000-0004-0000-2B00-000020000000}"/>
    <hyperlink ref="C35" r:id="rId34" tooltip="Send a mail to info@sml.com.mt" xr:uid="{00000000-0004-0000-2B00-000021000000}"/>
    <hyperlink ref="C36" r:id="rId35" tooltip="Send a mail to info@alberta.com.mt" xr:uid="{00000000-0004-0000-2B00-000022000000}"/>
    <hyperlink ref="C37" r:id="rId36" tooltip="Send a mail to info@focaltechmalta.com" xr:uid="{00000000-0004-0000-2B00-000023000000}"/>
    <hyperlink ref="C38" r:id="rId37" tooltip="Send a mail to info@masco.com.mt" xr:uid="{00000000-0004-0000-2B00-000024000000}"/>
    <hyperlink ref="C39" r:id="rId38" tooltip="Send a mail to info@securevision.com.mt" xr:uid="{00000000-0004-0000-2B00-000025000000}"/>
    <hyperlink ref="C40" r:id="rId39" tooltip="Send a mail to info@firetech.com.mt" xr:uid="{00000000-0004-0000-2B00-000026000000}"/>
    <hyperlink ref="C41" r:id="rId40" tooltip="Send a mail to info@securichmalta.com" xr:uid="{00000000-0004-0000-2B00-000027000000}"/>
    <hyperlink ref="C42" r:id="rId41" tooltip="Send a mail to kevin@cobrainstallations.com" xr:uid="{00000000-0004-0000-2B00-000028000000}"/>
    <hyperlink ref="C43" r:id="rId42" tooltip="Send a mail to info@czsmarttech.com" xr:uid="{00000000-0004-0000-2B00-000029000000}"/>
    <hyperlink ref="C44" r:id="rId43" tooltip="Send a mail to sales@aqsmed.com" xr:uid="{00000000-0004-0000-2B00-00002A000000}"/>
    <hyperlink ref="C45" r:id="rId44" tooltip="Send a mail to info@alternativetechnologies.com.mt" xr:uid="{00000000-0004-0000-2B00-00002B000000}"/>
    <hyperlink ref="C46" r:id="rId45" tooltip="Send a mail to info@solarsolutions.com.mt" xr:uid="{00000000-0004-0000-2B00-00002C000000}"/>
    <hyperlink ref="C47" r:id="rId46" tooltip="Send a mail to info@callejaformosaenergysaving.com" xr:uid="{00000000-0004-0000-2B00-00002D000000}"/>
    <hyperlink ref="C48" r:id="rId47" tooltip="Send a mail to info@powersolutions.com.mt" xr:uid="{00000000-0004-0000-2B00-00002E000000}"/>
    <hyperlink ref="C49" r:id="rId48" tooltip="Send a mail to cflgroupmalta@gmail.com" xr:uid="{00000000-0004-0000-2B00-00002F000000}"/>
    <hyperlink ref="C50" r:id="rId49" tooltip="Send a mail to josephspiteri.cs@gmail.com" xr:uid="{00000000-0004-0000-2B00-000030000000}"/>
    <hyperlink ref="C51" r:id="rId50" tooltip="Send a mail to sales@electrofixgroup.com" xr:uid="{00000000-0004-0000-2B00-000031000000}"/>
    <hyperlink ref="C52" r:id="rId51" tooltip="Send a mail to gozo.solar@gmail.com" xr:uid="{00000000-0004-0000-2B00-000032000000}"/>
    <hyperlink ref="C53" r:id="rId52" tooltip="Send a mail to jlcenergyhome@gmail.com" xr:uid="{00000000-0004-0000-2B00-000033000000}"/>
    <hyperlink ref="C54" r:id="rId53" tooltip="Send a mail to info@llt.com.mt" xr:uid="{00000000-0004-0000-2B00-000034000000}"/>
    <hyperlink ref="C55" r:id="rId54" tooltip="Send a mail to info@powerplusltd.com" xr:uid="{00000000-0004-0000-2B00-000035000000}"/>
    <hyperlink ref="C56" r:id="rId55" tooltip="Send a mail to info@unitenergysolar.com" xr:uid="{00000000-0004-0000-2B00-000036000000}"/>
    <hyperlink ref="C57" r:id="rId56" tooltip="Send a mail to info@virtuesolaris.com" xr:uid="{00000000-0004-0000-2B00-000037000000}"/>
    <hyperlink ref="E2" r:id="rId57" tooltip="Search 130, Triq Salvu Psaila, B'Kara on Google Maps" xr:uid="{00000000-0004-0000-2B00-000038000000}"/>
    <hyperlink ref="E3" r:id="rId58" tooltip="Search Triq il-Belt Valetta, Qormi on Google Maps" xr:uid="{00000000-0004-0000-2B00-000039000000}"/>
    <hyperlink ref="E4" r:id="rId59" tooltip="Search 10 Triq Amabile Sisner, Fgura on Google Maps" xr:uid="{00000000-0004-0000-2B00-00003A000000}"/>
    <hyperlink ref="E5" r:id="rId60" tooltip="Search 25 Triq il-Bennej, Mosta on Google Maps" xr:uid="{00000000-0004-0000-2B00-00003B000000}"/>
    <hyperlink ref="E6" r:id="rId61" tooltip="Search Dawert Hal Ghaxaq on Google Maps" xr:uid="{00000000-0004-0000-2B00-00003C000000}"/>
    <hyperlink ref="E7" r:id="rId62" tooltip="Search 347 Triq D’Argens, Il-Gżira on Google Maps" xr:uid="{00000000-0004-0000-2B00-00003D000000}"/>
    <hyperlink ref="E8" r:id="rId63" tooltip="Search 9 Triq in-Narcis, San Gwann on Google Maps" xr:uid="{00000000-0004-0000-2B00-00003E000000}"/>
    <hyperlink ref="E9" r:id="rId64" tooltip="Search 130, Triq Salvu Psaila, B'Kara on Google Maps" xr:uid="{00000000-0004-0000-2B00-00003F000000}"/>
    <hyperlink ref="E10" r:id="rId65" tooltip="Search 25 Triq il-Bennej, Mosta on Google Maps" xr:uid="{00000000-0004-0000-2B00-000040000000}"/>
    <hyperlink ref="E11" r:id="rId66" tooltip="Search Triq il-Belt Valetta, Qormi on Google Maps" xr:uid="{00000000-0004-0000-2B00-000041000000}"/>
    <hyperlink ref="E12" r:id="rId67" tooltip="Search 10 Triq Amabile Sisner, Fgura on Google Maps" xr:uid="{00000000-0004-0000-2B00-000042000000}"/>
    <hyperlink ref="E13" r:id="rId68" tooltip="Search Sub 901 Triq F S Caruana Qasam Industrijali, San Gwann on Google Maps" xr:uid="{00000000-0004-0000-2B00-000043000000}"/>
    <hyperlink ref="E14" r:id="rId69" tooltip="Search 40 Triq il-Konvoj Ta' Santa Marija, Mqabba on Google Maps" xr:uid="{00000000-0004-0000-2B00-000044000000}"/>
    <hyperlink ref="E15" r:id="rId70" tooltip="Search 258 Triq is-Sur, Fgura on Google Maps" xr:uid="{00000000-0004-0000-2B00-000045000000}"/>
    <hyperlink ref="E16" r:id="rId71" tooltip="Search Triq Felicia Abela, Zejtun on Google Maps" xr:uid="{00000000-0004-0000-2B00-000046000000}"/>
    <hyperlink ref="E17" r:id="rId72" tooltip="Search 168 Triq Bajada, Zabbar on Google Maps" xr:uid="{00000000-0004-0000-2B00-000047000000}"/>
    <hyperlink ref="E18" r:id="rId73" tooltip="Search BLB 017 Qasam Industijali, Bulebel, Zejtun on Google Maps" xr:uid="{00000000-0004-0000-2B00-000048000000}"/>
    <hyperlink ref="E19" r:id="rId74" tooltip="Search Triq il-Belt Valletta, Luqa on Google Maps" xr:uid="{00000000-0004-0000-2B00-000049000000}"/>
    <hyperlink ref="E20" r:id="rId75" tooltip="Search Triq in-Nafra, Naxxar on Google Maps" xr:uid="{00000000-0004-0000-2B00-00004A000000}"/>
    <hyperlink ref="E21" r:id="rId76" tooltip="Search 38 Triq I-Ixprunara, Ghajnsielem-Gozo on Google Maps" xr:uid="{00000000-0004-0000-2B00-00004B000000}"/>
    <hyperlink ref="E22" r:id="rId77" tooltip="Search Triq Adeodato Gatt, Zebbug on Google Maps" xr:uid="{00000000-0004-0000-2B00-00004C000000}"/>
    <hyperlink ref="E23" r:id="rId78" tooltip="Search 22 Triq il-Fieres, Tarxien on Google Maps" xr:uid="{00000000-0004-0000-2B00-00004D000000}"/>
    <hyperlink ref="E24" r:id="rId79" tooltip="Search 34, flat 1 Triq I-Egrett Isfar, Luqa on Google Maps" xr:uid="{00000000-0004-0000-2B00-00004E000000}"/>
    <hyperlink ref="E25" r:id="rId80" tooltip="Search 25 Triq il-Kullegg, Rabat on Google Maps" xr:uid="{00000000-0004-0000-2B00-00004F000000}"/>
    <hyperlink ref="E26" r:id="rId81" tooltip="Search Triq ir-Raghaj, Qormi on Google Maps" xr:uid="{00000000-0004-0000-2B00-000050000000}"/>
    <hyperlink ref="E27" r:id="rId82" tooltip="Search 28 Triq Gemma Portelli, Msida on Google Maps" xr:uid="{00000000-0004-0000-2B00-000051000000}"/>
    <hyperlink ref="E28" r:id="rId83" tooltip="Search Triq Geronimo Abos, Iklin on Google Maps" xr:uid="{00000000-0004-0000-2B00-000052000000}"/>
    <hyperlink ref="E29" r:id="rId84" tooltip="Search 24 Triq il-Kissier, Mosta on Google Maps" xr:uid="{00000000-0004-0000-2B00-000053000000}"/>
    <hyperlink ref="E30" r:id="rId85" tooltip="Search 127 l-etoile Triq il-Garni, Mellieha on Google Maps" xr:uid="{00000000-0004-0000-2B00-000054000000}"/>
    <hyperlink ref="E31" r:id="rId86" tooltip="Search 84 Triq Stiefnu Zefafa, Marsa on Google Maps" xr:uid="{00000000-0004-0000-2B00-000055000000}"/>
    <hyperlink ref="E32" r:id="rId87" tooltip="Search Triq il-Kbira, Lija on Google Maps" xr:uid="{00000000-0004-0000-2B00-000056000000}"/>
    <hyperlink ref="E33" r:id="rId88" tooltip="Search Garage 4 Triq Edgar Ferro, Pieta' on Google Maps" xr:uid="{00000000-0004-0000-2B00-000057000000}"/>
    <hyperlink ref="E34" r:id="rId89" tooltip="Search 347 Triq D’Argens, Il-Gżira on Google Maps" xr:uid="{00000000-0004-0000-2B00-000058000000}"/>
    <hyperlink ref="E35" r:id="rId90" tooltip="Search Blu Building, Qormi Road, Luqa on Google Maps" xr:uid="{00000000-0004-0000-2B00-000059000000}"/>
    <hyperlink ref="E36" r:id="rId91" tooltip="Search Triq San Gwakkin, Zone 3,_x000a_Central Business District, Birkirkara,_x000a_CBD 3030, Malta on Google Maps" xr:uid="{00000000-0004-0000-2B00-00005A000000}"/>
    <hyperlink ref="E37" r:id="rId92" tooltip="Search Focal Tech Malta_x000a_Triq Alfredo Cachia Zammit._x000a_Zejtun, Malta on Google Maps" xr:uid="{00000000-0004-0000-2B00-00005B000000}"/>
    <hyperlink ref="E38" r:id="rId93" tooltip="Search Masco House, Valletta Road, Mosta on Google Maps" xr:uid="{00000000-0004-0000-2B00-00005C000000}"/>
    <hyperlink ref="E39" r:id="rId94" tooltip="Search Securevision,_x000a_W.S Gauci Limited,_x000a_Wignacourt Street,_x000a_Birkirkara, BKR 4714,_x000a_Malta on Google Maps" xr:uid="{00000000-0004-0000-2B00-00005D000000}"/>
    <hyperlink ref="E40" r:id="rId95" tooltip="Search Zone 5, Central Business District,_x000a_99 Triq il-Mitħna, Qormi CBD 5090 on Google Maps" xr:uid="{00000000-0004-0000-2B00-00005E000000}"/>
    <hyperlink ref="E41" r:id="rId96" tooltip="Search Securich Co Ltd_x000a_121, Mdina Road, Zebbug on Google Maps" xr:uid="{00000000-0004-0000-2B00-00005F000000}"/>
    <hyperlink ref="E42" r:id="rId97" tooltip="Search 9 Triq F S Caruana, B'Kara on Google Maps" xr:uid="{00000000-0004-0000-2B00-000060000000}"/>
    <hyperlink ref="E43" r:id="rId98" tooltip="Search 1 triq Dun Guzepp Xerri, San Giljan on Google Maps" xr:uid="{00000000-0004-0000-2B00-000061000000}"/>
    <hyperlink ref="E44" r:id="rId99" tooltip="Search 2, 3 Triq tal-Balal Tax-Xwieki, Gharghur on Google Maps" xr:uid="{00000000-0004-0000-2B00-000062000000}"/>
    <hyperlink ref="E45" r:id="rId100" tooltip="Search Paradise Triq Fra Baskal, Zebbug-Gozo on Google Maps" xr:uid="{00000000-0004-0000-2B00-000063000000}"/>
    <hyperlink ref="E46" r:id="rId101" tooltip="Search Ciancio House, Zone 5 Triq ll-Kanun Central Business District, Qormi on Google Maps" xr:uid="{00000000-0004-0000-2B00-000064000000}"/>
    <hyperlink ref="E47" r:id="rId102" tooltip="Search 39 Triq il-Kwartin, Swieqi on Google Maps" xr:uid="{00000000-0004-0000-2B00-000065000000}"/>
    <hyperlink ref="E48" r:id="rId103" tooltip="Search 133 CSTS Ltd Triq il-Koppla, Fgura on Google Maps" xr:uid="{00000000-0004-0000-2B00-000066000000}"/>
    <hyperlink ref="E49" r:id="rId104" tooltip="Search Triq il-Burdnara, Qormi on Google Maps" xr:uid="{00000000-0004-0000-2B00-000067000000}"/>
    <hyperlink ref="E50" r:id="rId105" tooltip="Search Summer Set House Triq Dun Karlu Zimech Nadur-Gozo on Google Maps" xr:uid="{00000000-0004-0000-2B00-000068000000}"/>
    <hyperlink ref="E51" r:id="rId106" tooltip="Search 220 Triq Alfredo Cachia Zammit, Zejtun on Google Maps" xr:uid="{00000000-0004-0000-2B00-000069000000}"/>
    <hyperlink ref="E52" r:id="rId107" tooltip="Search Green Business Comples Triq il-Hofor, Qormi on Google Maps" xr:uid="{00000000-0004-0000-2B00-00006A000000}"/>
    <hyperlink ref="E53" r:id="rId108" tooltip="Search 20, Triq Pietru Xuereb, Pieta' on Google Maps" xr:uid="{00000000-0004-0000-2B00-00006B000000}"/>
    <hyperlink ref="E54" r:id="rId109" tooltip="Search 231 Triq il-Kungress Ewkaristiku, Mosta on Google Maps" xr:uid="{00000000-0004-0000-2B00-00006C000000}"/>
    <hyperlink ref="E55" r:id="rId110" tooltip="Search Sagra Famiglia Building Triq Mro Giorgio Zarb, Qormi on Google Maps" xr:uid="{00000000-0004-0000-2B00-00006D000000}"/>
    <hyperlink ref="F2" r:id="rId111" tooltip="Visit jgrima.com" xr:uid="{00000000-0004-0000-2B00-00006E000000}"/>
    <hyperlink ref="F3" r:id="rId112" tooltip="Visit antifire.com.mt" xr:uid="{00000000-0004-0000-2B00-00006F000000}"/>
    <hyperlink ref="F4" r:id="rId113" tooltip="Visit aeco.com.mt" xr:uid="{00000000-0004-0000-2B00-000070000000}"/>
    <hyperlink ref="F5" r:id="rId114" tooltip="Visit facebook.com/pdsec.malta?utm_source=Yellow&amp;utm_medium=Yellow-Website&amp;utm_campaign=Landing-Page#" xr:uid="{00000000-0004-0000-2B00-000071000000}"/>
    <hyperlink ref="F6" r:id="rId115" tooltip="Visit soteria.com.mt" xr:uid="{00000000-0004-0000-2B00-000072000000}"/>
    <hyperlink ref="F7" r:id="rId116" tooltip="Visit elektroservices.com.mt/" xr:uid="{00000000-0004-0000-2B00-000073000000}"/>
    <hyperlink ref="F8" r:id="rId117" tooltip="Visit securtek.com/home" xr:uid="{00000000-0004-0000-2B00-000074000000}"/>
    <hyperlink ref="F9" r:id="rId118" tooltip="Visit jgrima.com" xr:uid="{00000000-0004-0000-2B00-000075000000}"/>
    <hyperlink ref="F10" r:id="rId119" tooltip="Visit facebook.com/pdsec.malta?utm_source=Yellow&amp;utm_medium=Yellow-Website&amp;utm_campaign=Landing-Page#" xr:uid="{00000000-0004-0000-2B00-000076000000}"/>
    <hyperlink ref="F11" r:id="rId120" tooltip="Visit antifire.com.mt" xr:uid="{00000000-0004-0000-2B00-000077000000}"/>
    <hyperlink ref="F12" r:id="rId121" tooltip="Visit aeco.com.mt" xr:uid="{00000000-0004-0000-2B00-000078000000}"/>
    <hyperlink ref="F13" r:id="rId122" tooltip="Visit alarmtechmalta.com" xr:uid="{00000000-0004-0000-2B00-000079000000}"/>
    <hyperlink ref="F14" r:id="rId123" tooltip="Visit cbsecuritymalta.com" xr:uid="{00000000-0004-0000-2B00-00007A000000}"/>
    <hyperlink ref="F17" r:id="rId124" tooltip="Visit facebook.com/p/Craud-Security-100083313423806/" xr:uid="{00000000-0004-0000-2B00-00007B000000}"/>
    <hyperlink ref="F18" r:id="rId125" tooltip="Visit dedicatedmicros.com" xr:uid="{00000000-0004-0000-2B00-00007C000000}"/>
    <hyperlink ref="F19" r:id="rId126" tooltip="Visit darservicesmalta.com" xr:uid="{00000000-0004-0000-2B00-00007D000000}"/>
    <hyperlink ref="F21" r:id="rId127" tooltip="Visit eaglesecurity.com.mt" xr:uid="{00000000-0004-0000-2B00-00007E000000}"/>
    <hyperlink ref="F22" r:id="rId128" tooltip="Visit ecommalta.com" xr:uid="{00000000-0004-0000-2B00-00007F000000}"/>
    <hyperlink ref="F24" r:id="rId129" tooltip="Visit facebook.com/hcinstallationsltd/" xr:uid="{00000000-0004-0000-2B00-000080000000}"/>
    <hyperlink ref="F25" r:id="rId130" tooltip="Visit facebook.com/hisecmalta/" xr:uid="{00000000-0004-0000-2B00-000081000000}"/>
    <hyperlink ref="F26" r:id="rId131" tooltip="Visit ijsolutions.net" xr:uid="{00000000-0004-0000-2B00-000082000000}"/>
    <hyperlink ref="F27" r:id="rId132" tooltip="Visit ielsecuritymalta.com" xr:uid="{00000000-0004-0000-2B00-000083000000}"/>
    <hyperlink ref="F28" r:id="rId133" tooltip="Visit ispyprojects.com" xr:uid="{00000000-0004-0000-2B00-000084000000}"/>
    <hyperlink ref="F29" r:id="rId134" tooltip="Visit facebook.com/misystemsmalta/" xr:uid="{00000000-0004-0000-2B00-000085000000}"/>
    <hyperlink ref="F30" r:id="rId135" tooltip="Visit prosolutions.com.mt" xr:uid="{00000000-0004-0000-2B00-000086000000}"/>
    <hyperlink ref="F32" r:id="rId136" tooltip="Visit facebook.com/p/Tech-Advance-100063610688391/" xr:uid="{00000000-0004-0000-2B00-000087000000}"/>
    <hyperlink ref="F33" r:id="rId137" tooltip="Visit universalmicrosecurity.com" xr:uid="{00000000-0004-0000-2B00-000088000000}"/>
    <hyperlink ref="F34" r:id="rId138" tooltip="Visit elektroservices.com.mt/" xr:uid="{00000000-0004-0000-2B00-000089000000}"/>
    <hyperlink ref="F35" r:id="rId139" tooltip="Visit intercoms.com.mt/" xr:uid="{00000000-0004-0000-2B00-00008A000000}"/>
    <hyperlink ref="F36" r:id="rId140" tooltip="Visit alberta.com.mt/products-and-services/cctv-systems-for-your-home/" xr:uid="{00000000-0004-0000-2B00-00008B000000}"/>
    <hyperlink ref="F37" r:id="rId141" tooltip="Visit focaltechmalta.com/solutions/safire-smart-cctv/" xr:uid="{00000000-0004-0000-2B00-00008C000000}"/>
    <hyperlink ref="F38" r:id="rId142" tooltip="Visit masco.com.mt/contact-us/" xr:uid="{00000000-0004-0000-2B00-00008D000000}"/>
    <hyperlink ref="F39" r:id="rId143" tooltip="Visit securevision.com.mt/sv/product-category/security/cctv/" xr:uid="{00000000-0004-0000-2B00-00008E000000}"/>
    <hyperlink ref="F40" r:id="rId144" tooltip="Visit firetech.com.mt/about-us" xr:uid="{00000000-0004-0000-2B00-00008F000000}"/>
    <hyperlink ref="F41" r:id="rId145" tooltip="Visit securichmalta.com/en/services/services/5/cctv-cameras.htm" xr:uid="{00000000-0004-0000-2B00-000090000000}"/>
    <hyperlink ref="F42" r:id="rId146" tooltip="Visit cobrainstallations.com/" xr:uid="{00000000-0004-0000-2B00-000091000000}"/>
    <hyperlink ref="F43" r:id="rId147" tooltip="Visit czsmarttech.com/" xr:uid="{00000000-0004-0000-2B00-000092000000}"/>
    <hyperlink ref="F44" r:id="rId148" tooltip="Visit aqsmed.com" xr:uid="{00000000-0004-0000-2B00-000093000000}"/>
    <hyperlink ref="F45" r:id="rId149" tooltip="Visit alternativetechnologies.com.mt" xr:uid="{00000000-0004-0000-2B00-000094000000}"/>
    <hyperlink ref="F46" r:id="rId150" tooltip="Visit solarsolutions.com.mt" xr:uid="{00000000-0004-0000-2B00-000095000000}"/>
    <hyperlink ref="F47" r:id="rId151" tooltip="Visit callejaformosaenergysaving.com" xr:uid="{00000000-0004-0000-2B00-000096000000}"/>
    <hyperlink ref="F48" r:id="rId152" tooltip="Visit powersolutions.com.mt" xr:uid="{00000000-0004-0000-2B00-000097000000}"/>
    <hyperlink ref="F49" r:id="rId153" tooltip="Visit cflgroupmalta.com" xr:uid="{00000000-0004-0000-2B00-000098000000}"/>
    <hyperlink ref="F50" r:id="rId154" tooltip="Visit csts-malta.com" xr:uid="{00000000-0004-0000-2B00-000099000000}"/>
    <hyperlink ref="F51" r:id="rId155" tooltip="Visit electrofixgroup.com" xr:uid="{00000000-0004-0000-2B00-00009A000000}"/>
    <hyperlink ref="F52" r:id="rId156" tooltip="Visit facebook.com/p/Gozo-Solar-Energy-Solar-Panels-and-Solar-Water-Heaters-100057213680113/" xr:uid="{00000000-0004-0000-2B00-00009B000000}"/>
    <hyperlink ref="F53" r:id="rId157" tooltip="Visit facebook.com/people/JLC-energy-home/100063454366944/?fref=ts%3Futm_source%3DYellow&amp;utm_medium=Yellow-Website&amp;utm_campaign=Landing-Page#" xr:uid="{00000000-0004-0000-2B00-00009C000000}"/>
    <hyperlink ref="F54" r:id="rId158" tooltip="Visit llt.com.mt" xr:uid="{00000000-0004-0000-2B00-00009D000000}"/>
    <hyperlink ref="F55" r:id="rId159" tooltip="Visit powerplus.com" xr:uid="{00000000-0004-0000-2B00-00009E000000}"/>
    <hyperlink ref="F56" r:id="rId160" tooltip="Visit unitenergysolar.com" xr:uid="{00000000-0004-0000-2B00-00009F000000}"/>
    <hyperlink ref="F57" r:id="rId161" tooltip="Visit virtuesolaris.com" xr:uid="{00000000-0004-0000-2B00-0000A0000000}"/>
  </hyperlinks>
  <pageMargins left="0.75" right="0.75" top="0.75" bottom="0.5" header="0.5" footer="0.7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32"/>
  <sheetViews>
    <sheetView workbookViewId="0"/>
  </sheetViews>
  <sheetFormatPr defaultRowHeight="14.4" x14ac:dyDescent="0.3"/>
  <cols>
    <col min="1" max="1" width="10.44140625" customWidth="1"/>
    <col min="2" max="2" width="38.6640625" customWidth="1"/>
    <col min="3" max="3" width="33.6640625" customWidth="1"/>
    <col min="4" max="4" width="18.6640625" customWidth="1"/>
    <col min="5" max="5" width="57" customWidth="1"/>
    <col min="6" max="6" width="31.441406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2797</v>
      </c>
      <c r="B2" s="2" t="s">
        <v>2844</v>
      </c>
      <c r="C2" s="3" t="s">
        <v>2867</v>
      </c>
      <c r="D2" s="2" t="str">
        <f>CONCATENATE(HYPERLINK("CALLTO:%2B356%206216%2050127", "+356 6216 50127"))</f>
        <v>+356 6216 50127</v>
      </c>
      <c r="E2" s="3" t="s">
        <v>2886</v>
      </c>
      <c r="F2" s="3" t="s">
        <v>2900</v>
      </c>
    </row>
    <row r="3" spans="1:6" x14ac:dyDescent="0.3">
      <c r="A3" s="4" t="s">
        <v>2797</v>
      </c>
      <c r="B3" s="4" t="s">
        <v>2845</v>
      </c>
      <c r="C3" s="5" t="s">
        <v>2388</v>
      </c>
      <c r="D3" s="4" t="str">
        <f>CONCATENATE(HYPERLINK("CALLTO:%2B356%202169%203446", "+356 2169 3446"))</f>
        <v>+356 2169 3446</v>
      </c>
      <c r="E3" s="5" t="s">
        <v>2887</v>
      </c>
      <c r="F3" s="5" t="s">
        <v>2455</v>
      </c>
    </row>
    <row r="4" spans="1:6" x14ac:dyDescent="0.3">
      <c r="A4" s="2" t="s">
        <v>2797</v>
      </c>
      <c r="B4" s="2" t="s">
        <v>2846</v>
      </c>
      <c r="C4" s="3" t="s">
        <v>6</v>
      </c>
      <c r="D4" s="2" t="str">
        <f>CONCATENATE(HYPERLINK("CALLTO:%2B356%202157%200332", "+356 2157 0332"))</f>
        <v>+356 2157 0332</v>
      </c>
      <c r="E4" s="3" t="s">
        <v>2888</v>
      </c>
      <c r="F4" s="3" t="s">
        <v>2901</v>
      </c>
    </row>
    <row r="5" spans="1:6" x14ac:dyDescent="0.3">
      <c r="A5" s="4" t="s">
        <v>2797</v>
      </c>
      <c r="B5" s="4" t="s">
        <v>2847</v>
      </c>
      <c r="C5" s="5" t="s">
        <v>2868</v>
      </c>
      <c r="D5" s="4" t="str">
        <f>CONCATENATE(HYPERLINK("CALLTO:%2B356%202141%209788", "+356 2141 9788"))</f>
        <v>+356 2141 9788</v>
      </c>
      <c r="E5" s="5" t="s">
        <v>2889</v>
      </c>
      <c r="F5" s="5" t="s">
        <v>2902</v>
      </c>
    </row>
    <row r="6" spans="1:6" x14ac:dyDescent="0.3">
      <c r="A6" s="2" t="s">
        <v>2797</v>
      </c>
      <c r="B6" s="2" t="s">
        <v>2848</v>
      </c>
      <c r="C6" s="3" t="s">
        <v>2870</v>
      </c>
      <c r="D6" s="2" t="str">
        <f>CONCATENATE(HYPERLINK("CALLTO:%2B356%209946%200050", "+356 9946 0050"))</f>
        <v>+356 9946 0050</v>
      </c>
      <c r="E6" s="3" t="s">
        <v>2890</v>
      </c>
      <c r="F6" s="3" t="s">
        <v>2903</v>
      </c>
    </row>
    <row r="7" spans="1:6" x14ac:dyDescent="0.3">
      <c r="A7" s="4" t="s">
        <v>2797</v>
      </c>
      <c r="B7" s="4" t="s">
        <v>2849</v>
      </c>
      <c r="C7" s="5" t="s">
        <v>2869</v>
      </c>
      <c r="D7" s="4" t="str">
        <f>CONCATENATE(HYPERLINK("CALLTO:%2B356%207720%203556", "+356 7720 3556"))</f>
        <v>+356 7720 3556</v>
      </c>
      <c r="E7" s="5" t="s">
        <v>2891</v>
      </c>
      <c r="F7" s="5" t="s">
        <v>2899</v>
      </c>
    </row>
    <row r="8" spans="1:6" x14ac:dyDescent="0.3">
      <c r="A8" s="2" t="s">
        <v>2797</v>
      </c>
      <c r="B8" s="2" t="s">
        <v>2850</v>
      </c>
      <c r="C8" s="3" t="s">
        <v>2871</v>
      </c>
      <c r="D8" s="2" t="str">
        <f>CONCATENATE(HYPERLINK("CALLTO:%2B356%202742%202892", "+356 2742 2892"))</f>
        <v>+356 2742 2892</v>
      </c>
      <c r="E8" s="3" t="s">
        <v>2892</v>
      </c>
      <c r="F8" s="3" t="s">
        <v>2905</v>
      </c>
    </row>
    <row r="9" spans="1:6" x14ac:dyDescent="0.3">
      <c r="A9" s="4" t="s">
        <v>2797</v>
      </c>
      <c r="B9" s="4" t="s">
        <v>2851</v>
      </c>
      <c r="C9" s="5" t="s">
        <v>2872</v>
      </c>
      <c r="D9" s="4" t="str">
        <f>CONCATENATE(HYPERLINK("CALLTO:%2B356%202731%202222", "+356 2731 2222"))</f>
        <v>+356 2731 2222</v>
      </c>
      <c r="E9" s="5" t="s">
        <v>2893</v>
      </c>
      <c r="F9" s="5" t="s">
        <v>2906</v>
      </c>
    </row>
    <row r="10" spans="1:6" x14ac:dyDescent="0.3">
      <c r="A10" s="2" t="s">
        <v>2797</v>
      </c>
      <c r="B10" s="2" t="s">
        <v>2852</v>
      </c>
      <c r="C10" s="3" t="s">
        <v>2873</v>
      </c>
      <c r="D10" s="2" t="str">
        <f>CONCATENATE(HYPERLINK("CALLTO:%2B356%209947%207271", "+356 9947 7271"))</f>
        <v>+356 9947 7271</v>
      </c>
      <c r="E10" s="3" t="s">
        <v>2894</v>
      </c>
      <c r="F10" s="3" t="s">
        <v>2907</v>
      </c>
    </row>
    <row r="11" spans="1:6" x14ac:dyDescent="0.3">
      <c r="A11" s="4" t="s">
        <v>2797</v>
      </c>
      <c r="B11" s="4" t="s">
        <v>2853</v>
      </c>
      <c r="C11" s="5" t="s">
        <v>2874</v>
      </c>
      <c r="D11" s="4" t="str">
        <f>CONCATENATE(HYPERLINK("CALLTO:%2B356%202122%202737", "+356 2122 2737"))</f>
        <v>+356 2122 2737</v>
      </c>
      <c r="E11" s="5" t="s">
        <v>2895</v>
      </c>
      <c r="F11" s="5" t="s">
        <v>2908</v>
      </c>
    </row>
    <row r="12" spans="1:6" x14ac:dyDescent="0.3">
      <c r="A12" s="2" t="s">
        <v>2797</v>
      </c>
      <c r="B12" s="2" t="s">
        <v>2854</v>
      </c>
      <c r="C12" s="3" t="s">
        <v>2875</v>
      </c>
      <c r="D12" s="2" t="str">
        <f>CONCATENATE(HYPERLINK("CALLTO:%2B356%202133%202640", "+356 2133 2640"))</f>
        <v>+356 2133 2640</v>
      </c>
      <c r="E12" s="3" t="s">
        <v>2896</v>
      </c>
      <c r="F12" s="2" t="s">
        <v>146</v>
      </c>
    </row>
    <row r="13" spans="1:6" x14ac:dyDescent="0.3">
      <c r="A13" s="4" t="s">
        <v>2797</v>
      </c>
      <c r="B13" s="4" t="s">
        <v>2855</v>
      </c>
      <c r="C13" s="5" t="s">
        <v>2877</v>
      </c>
      <c r="D13" s="4" t="str">
        <f>CONCATENATE(HYPERLINK("CALLTO:%2B356%202700%202218", "+356 2700 2218"))</f>
        <v>+356 2700 2218</v>
      </c>
      <c r="E13" s="5" t="s">
        <v>2897</v>
      </c>
      <c r="F13" s="4" t="s">
        <v>146</v>
      </c>
    </row>
    <row r="14" spans="1:6" x14ac:dyDescent="0.3">
      <c r="A14" s="2" t="s">
        <v>2797</v>
      </c>
      <c r="B14" s="2" t="s">
        <v>2856</v>
      </c>
      <c r="C14" s="3" t="s">
        <v>2876</v>
      </c>
      <c r="D14" s="2" t="str">
        <f>CONCATENATE(HYPERLINK("CALLTO:%2B356%202141%207771", "+356 2141 7771"))</f>
        <v>+356 2141 7771</v>
      </c>
      <c r="E14" s="3" t="s">
        <v>2898</v>
      </c>
      <c r="F14" s="3" t="s">
        <v>2909</v>
      </c>
    </row>
    <row r="15" spans="1:6" x14ac:dyDescent="0.3">
      <c r="A15" s="4" t="s">
        <v>2797</v>
      </c>
      <c r="B15" s="4" t="s">
        <v>1248</v>
      </c>
      <c r="C15" s="5" t="s">
        <v>1319</v>
      </c>
      <c r="D15" s="4" t="str">
        <f>CONCATENATE(HYPERLINK("CALLTO:%2B356%202167%206627", "+356 2167 6627"))</f>
        <v>+356 2167 6627</v>
      </c>
      <c r="E15" s="5" t="s">
        <v>2427</v>
      </c>
      <c r="F15" s="5" t="s">
        <v>2910</v>
      </c>
    </row>
    <row r="16" spans="1:6" x14ac:dyDescent="0.3">
      <c r="A16" s="2" t="s">
        <v>2797</v>
      </c>
      <c r="B16" s="2" t="s">
        <v>2857</v>
      </c>
      <c r="C16" s="3" t="s">
        <v>66</v>
      </c>
      <c r="D16" s="2"/>
      <c r="E16" s="2"/>
      <c r="F16" s="3" t="s">
        <v>91</v>
      </c>
    </row>
    <row r="17" spans="1:6" x14ac:dyDescent="0.3">
      <c r="A17" s="4" t="s">
        <v>2797</v>
      </c>
      <c r="B17" s="4" t="s">
        <v>955</v>
      </c>
      <c r="C17" s="5" t="s">
        <v>574</v>
      </c>
      <c r="D17" s="4"/>
      <c r="E17" s="4"/>
      <c r="F17" s="4"/>
    </row>
    <row r="18" spans="1:6" x14ac:dyDescent="0.3">
      <c r="A18" s="2" t="s">
        <v>2797</v>
      </c>
      <c r="B18" s="2" t="s">
        <v>2858</v>
      </c>
      <c r="C18" s="3" t="s">
        <v>2878</v>
      </c>
      <c r="D18" s="2"/>
      <c r="E18" s="2"/>
      <c r="F18" s="2"/>
    </row>
    <row r="19" spans="1:6" x14ac:dyDescent="0.3">
      <c r="A19" s="4" t="s">
        <v>2797</v>
      </c>
      <c r="B19" s="4" t="s">
        <v>563</v>
      </c>
      <c r="C19" s="5" t="s">
        <v>577</v>
      </c>
      <c r="D19" s="4"/>
      <c r="E19" s="4"/>
      <c r="F19" s="4"/>
    </row>
    <row r="20" spans="1:6" x14ac:dyDescent="0.3">
      <c r="A20" s="2" t="s">
        <v>2797</v>
      </c>
      <c r="B20" s="2" t="s">
        <v>2859</v>
      </c>
      <c r="C20" s="3" t="s">
        <v>2879</v>
      </c>
      <c r="D20" s="2"/>
      <c r="E20" s="2"/>
      <c r="F20" s="2"/>
    </row>
    <row r="21" spans="1:6" x14ac:dyDescent="0.3">
      <c r="A21" s="4" t="s">
        <v>2797</v>
      </c>
      <c r="B21" s="4" t="s">
        <v>2860</v>
      </c>
      <c r="C21" s="5" t="s">
        <v>511</v>
      </c>
      <c r="D21" s="4"/>
      <c r="E21" s="4"/>
      <c r="F21" s="4"/>
    </row>
    <row r="22" spans="1:6" x14ac:dyDescent="0.3">
      <c r="A22" s="2" t="s">
        <v>2797</v>
      </c>
      <c r="B22" s="2" t="s">
        <v>493</v>
      </c>
      <c r="C22" s="3" t="s">
        <v>1515</v>
      </c>
      <c r="D22" s="2"/>
      <c r="E22" s="2"/>
      <c r="F22" s="2"/>
    </row>
    <row r="23" spans="1:6" x14ac:dyDescent="0.3">
      <c r="A23" s="4" t="s">
        <v>2797</v>
      </c>
      <c r="B23" s="4" t="s">
        <v>1502</v>
      </c>
      <c r="C23" s="5" t="s">
        <v>2880</v>
      </c>
      <c r="D23" s="4"/>
      <c r="E23" s="4"/>
      <c r="F23" s="4"/>
    </row>
    <row r="24" spans="1:6" x14ac:dyDescent="0.3">
      <c r="A24" s="2" t="s">
        <v>2797</v>
      </c>
      <c r="B24" s="2" t="s">
        <v>2861</v>
      </c>
      <c r="C24" s="3" t="s">
        <v>2881</v>
      </c>
      <c r="D24" s="2"/>
      <c r="E24" s="2"/>
      <c r="F24" s="2"/>
    </row>
    <row r="25" spans="1:6" x14ac:dyDescent="0.3">
      <c r="A25" s="4" t="s">
        <v>2797</v>
      </c>
      <c r="B25" s="4" t="s">
        <v>1907</v>
      </c>
      <c r="C25" s="5" t="s">
        <v>2882</v>
      </c>
      <c r="D25" s="4"/>
      <c r="E25" s="4"/>
      <c r="F25" s="4"/>
    </row>
    <row r="26" spans="1:6" x14ac:dyDescent="0.3">
      <c r="A26" s="2" t="s">
        <v>2797</v>
      </c>
      <c r="B26" s="2" t="s">
        <v>2862</v>
      </c>
      <c r="C26" s="3" t="s">
        <v>1291</v>
      </c>
      <c r="D26" s="2"/>
      <c r="E26" s="2"/>
      <c r="F26" s="2"/>
    </row>
    <row r="27" spans="1:6" x14ac:dyDescent="0.3">
      <c r="A27" s="4" t="s">
        <v>2797</v>
      </c>
      <c r="B27" s="4" t="s">
        <v>2863</v>
      </c>
      <c r="C27" s="5" t="s">
        <v>965</v>
      </c>
      <c r="D27" s="4"/>
      <c r="E27" s="4"/>
      <c r="F27" s="4"/>
    </row>
    <row r="28" spans="1:6" x14ac:dyDescent="0.3">
      <c r="A28" s="2" t="s">
        <v>2797</v>
      </c>
      <c r="B28" s="2" t="s">
        <v>2864</v>
      </c>
      <c r="C28" s="3" t="s">
        <v>2884</v>
      </c>
      <c r="D28" s="2"/>
      <c r="E28" s="2"/>
      <c r="F28" s="2"/>
    </row>
    <row r="29" spans="1:6" x14ac:dyDescent="0.3">
      <c r="A29" s="4" t="s">
        <v>2797</v>
      </c>
      <c r="B29" s="4" t="s">
        <v>2865</v>
      </c>
      <c r="C29" s="5" t="s">
        <v>2883</v>
      </c>
      <c r="D29" s="4"/>
      <c r="E29" s="4"/>
      <c r="F29" s="4"/>
    </row>
    <row r="30" spans="1:6" x14ac:dyDescent="0.3">
      <c r="A30" s="2" t="s">
        <v>2797</v>
      </c>
      <c r="B30" s="2" t="s">
        <v>492</v>
      </c>
      <c r="C30" s="3" t="s">
        <v>2885</v>
      </c>
      <c r="D30" s="2"/>
      <c r="E30" s="2"/>
      <c r="F30" s="2"/>
    </row>
    <row r="31" spans="1:6" x14ac:dyDescent="0.3">
      <c r="A31" s="4" t="s">
        <v>2797</v>
      </c>
      <c r="B31" s="4" t="s">
        <v>2866</v>
      </c>
      <c r="C31" s="5" t="s">
        <v>1963</v>
      </c>
      <c r="D31" s="4"/>
      <c r="E31" s="4"/>
      <c r="F31" s="4"/>
    </row>
    <row r="32" spans="1:6" x14ac:dyDescent="0.3">
      <c r="A32" s="2" t="s">
        <v>2797</v>
      </c>
      <c r="B32" s="2" t="s">
        <v>1915</v>
      </c>
      <c r="C32" s="2"/>
      <c r="D32" s="2"/>
      <c r="E32" s="2"/>
      <c r="F32" s="2"/>
    </row>
  </sheetData>
  <hyperlinks>
    <hyperlink ref="C2" r:id="rId1" tooltip="Send a mail to info@idroplastmalta.com" xr:uid="{00000000-0004-0000-2C00-000000000000}"/>
    <hyperlink ref="C3" r:id="rId2" tooltip="Send a mail to info@khsmalta.com" xr:uid="{00000000-0004-0000-2C00-000001000000}"/>
    <hyperlink ref="C4" r:id="rId3" tooltip="Send a mail to info@micalleffibreglassworks.com" xr:uid="{00000000-0004-0000-2C00-000002000000}"/>
    <hyperlink ref="C5" r:id="rId4" tooltip="Send a mail to james@framegrip.com" xr:uid="{00000000-0004-0000-2C00-000003000000}"/>
    <hyperlink ref="C6" r:id="rId5" tooltip="Send a mail to info@jwtcaruana.com" xr:uid="{00000000-0004-0000-2C00-000004000000}"/>
    <hyperlink ref="C7" r:id="rId6" tooltip="Send a mail to thehardwarestoremalta@gmail.com" xr:uid="{00000000-0004-0000-2C00-000005000000}"/>
    <hyperlink ref="C8" r:id="rId7" tooltip="Send a mail to rironmongomery@onvol.net" xr:uid="{00000000-0004-0000-2C00-000006000000}"/>
    <hyperlink ref="C9" r:id="rId8" tooltip="Send a mail to deguara24@gmail.com" xr:uid="{00000000-0004-0000-2C00-000007000000}"/>
    <hyperlink ref="C10" r:id="rId9" tooltip="Send a mail to wcardonatrading@gmail.com" xr:uid="{00000000-0004-0000-2C00-000008000000}"/>
    <hyperlink ref="C11" r:id="rId10" tooltip="Send a mail to jcironmongomery@mail.com" xr:uid="{00000000-0004-0000-2C00-000009000000}"/>
    <hyperlink ref="C12" r:id="rId11" tooltip="Send a mail to alldecor@maltanet.net" xr:uid="{00000000-0004-0000-2C00-00000A000000}"/>
    <hyperlink ref="C13" r:id="rId12" tooltip="Send a mail to kevinbartololtd@gmail.com" xr:uid="{00000000-0004-0000-2C00-00000B000000}"/>
    <hyperlink ref="C14" r:id="rId13" tooltip="Send a mail to info@afs.com.mt" xr:uid="{00000000-0004-0000-2C00-00000C000000}"/>
    <hyperlink ref="C15" r:id="rId14" tooltip="Send a mail to info@fbpmalta.com" xr:uid="{00000000-0004-0000-2C00-00000D000000}"/>
    <hyperlink ref="C16" r:id="rId15" tooltip="Send a mail to sales@midea.mt" xr:uid="{00000000-0004-0000-2C00-00000E000000}"/>
    <hyperlink ref="C17" r:id="rId16" tooltip="Send a mail to customercare@homemate.com.mt" xr:uid="{00000000-0004-0000-2C00-00000F000000}"/>
    <hyperlink ref="C18" r:id="rId17" tooltip="Send a mail to office@tesy.com" xr:uid="{00000000-0004-0000-2C00-000010000000}"/>
    <hyperlink ref="C19" r:id="rId18" tooltip="Send a mail to info@topchoice.com.mt" xr:uid="{00000000-0004-0000-2C00-000011000000}"/>
    <hyperlink ref="C20" r:id="rId19" tooltip="Send a mail to info@atlanticwaterheaters.com.mt" xr:uid="{00000000-0004-0000-2C00-000012000000}"/>
    <hyperlink ref="C21" r:id="rId20" tooltip="Send a mail to info@digitalzone.com.mt" xr:uid="{00000000-0004-0000-2C00-000013000000}"/>
    <hyperlink ref="C22" r:id="rId21" tooltip="Send a mail to info@bigmatmalta.com" xr:uid="{00000000-0004-0000-2C00-000014000000}"/>
    <hyperlink ref="C23" r:id="rId22" tooltip="Send a mail to info@thermex.com.mt" xr:uid="{00000000-0004-0000-2C00-000015000000}"/>
    <hyperlink ref="C24" r:id="rId23" tooltip="Send a mail to sales@flamingo.mt" xr:uid="{00000000-0004-0000-2C00-000016000000}"/>
    <hyperlink ref="C25" r:id="rId24" tooltip="Send a mail to info@btmalta.com" xr:uid="{00000000-0004-0000-2C00-000017000000}"/>
    <hyperlink ref="C26" r:id="rId25" tooltip="Send a mail to sales@carinibathrooms.com" xr:uid="{00000000-0004-0000-2C00-000018000000}"/>
    <hyperlink ref="C27" r:id="rId26" tooltip="Send a mail to info@prochimps.com" xr:uid="{00000000-0004-0000-2C00-000019000000}"/>
    <hyperlink ref="C28" r:id="rId27" tooltip="Send a mail to info@tarcisiocaruana.com" xr:uid="{00000000-0004-0000-2C00-00001A000000}"/>
    <hyperlink ref="C29" r:id="rId28" tooltip="Send a mail to team-b2b@atoz.com.mt" xr:uid="{00000000-0004-0000-2C00-00001B000000}"/>
    <hyperlink ref="C30" r:id="rId29" tooltip="Send a mail to info@attardsmalta.com" xr:uid="{00000000-0004-0000-2C00-00001C000000}"/>
    <hyperlink ref="C31" r:id="rId30" tooltip="Send a mail to info@divine.com.mt" xr:uid="{00000000-0004-0000-2C00-00001D000000}"/>
    <hyperlink ref="E2" r:id="rId31" tooltip="Search Factory MRA014, Qasam Industrijali, Marsa, Malta on Google Maps" xr:uid="{00000000-0004-0000-2C00-00001E000000}"/>
    <hyperlink ref="E3" r:id="rId32" tooltip="Search 54, Castaldi Street, Żabbar ZBR1453, Malta on Google Maps" xr:uid="{00000000-0004-0000-2C00-00001F000000}"/>
    <hyperlink ref="E4" r:id="rId33" tooltip="Search 7, Sun Down Yard, Triq il-Burmarrad, Naxxar, Malta NXR 6345 on Google Maps" xr:uid="{00000000-0004-0000-2C00-000020000000}"/>
    <hyperlink ref="E5" r:id="rId34" tooltip="Search Triq Il-Mosta, Hal Lija, Malta LJA 9010 on Google Maps" xr:uid="{00000000-0004-0000-2C00-000021000000}"/>
    <hyperlink ref="E6" r:id="rId35" tooltip="Search Caruana Farm, Triq it-Tnax Ta' Mejju, Żebbuġ, ZBG 1281, Malta on Google Maps" xr:uid="{00000000-0004-0000-2C00-000022000000}"/>
    <hyperlink ref="E7" r:id="rId36" tooltip="Search 31 Triq il-Witja ,_x000a_Tarxien, Malta TXN 2296 on Google Maps" xr:uid="{00000000-0004-0000-2C00-000023000000}"/>
    <hyperlink ref="E8" r:id="rId37" tooltip="Search 222, 224 Vjal il-Wiehed U Ghoxrin Ta’ Settembru ,_x000a_Naxxar, Malta NXR 1012 on Google Maps" xr:uid="{00000000-0004-0000-2C00-000024000000}"/>
    <hyperlink ref="E9" r:id="rId38" tooltip="Search Triq il-Klin ,_x000a_Iklin, Malta IKL 1032 on Google Maps" xr:uid="{00000000-0004-0000-2C00-000025000000}"/>
    <hyperlink ref="E10" r:id="rId39" tooltip="Search 242 Triq l-Imdina ,_x000a_Qormi, Malta QRM 9014 on Google Maps" xr:uid="{00000000-0004-0000-2C00-000026000000}"/>
    <hyperlink ref="E11" r:id="rId40" tooltip="Search 9 Triq Dun Nerik Cordina Perez ,_x000a_Hamrun, Malta HMR 2101 on Google Maps" xr:uid="{00000000-0004-0000-2C00-000027000000}"/>
    <hyperlink ref="E12" r:id="rId41" tooltip="Search 166 Triq il-Kullegg L-Antik ,_x000a_Sliema, Malta SLM 1373 on Google Maps" xr:uid="{00000000-0004-0000-2C00-000028000000}"/>
    <hyperlink ref="E13" r:id="rId42" tooltip="Search 16 Triq Sant’ Antnin ,_x000a_M’Skala, Malta MSK 9058 on Google Maps" xr:uid="{00000000-0004-0000-2C00-000029000000}"/>
    <hyperlink ref="E14" r:id="rId43" tooltip="Search Triq L-Imdina, Ħ'Attard, Malta on Google Maps" xr:uid="{00000000-0004-0000-2C00-00002A000000}"/>
    <hyperlink ref="E15" r:id="rId44" tooltip="Search 139, Bajada Street, Zabbar, Malta on Google Maps" xr:uid="{00000000-0004-0000-2C00-00002B000000}"/>
    <hyperlink ref="F2" r:id="rId45" tooltip="Visit idroplastmalta.com" xr:uid="{00000000-0004-0000-2C00-00002C000000}"/>
    <hyperlink ref="F3" r:id="rId46" tooltip="Visit khsmalta.com" xr:uid="{00000000-0004-0000-2C00-00002D000000}"/>
    <hyperlink ref="F4" r:id="rId47" tooltip="Visit micalleffibreglassworks.com" xr:uid="{00000000-0004-0000-2C00-00002E000000}"/>
    <hyperlink ref="F5" r:id="rId48" tooltip="Visit framegrip.com" xr:uid="{00000000-0004-0000-2C00-00002F000000}"/>
    <hyperlink ref="F6" r:id="rId49" tooltip="Visit jwtcaruana.com" xr:uid="{00000000-0004-0000-2C00-000030000000}"/>
    <hyperlink ref="F7" r:id="rId50" tooltip="Visit thehardwarestoremalta.com/" xr:uid="{00000000-0004-0000-2C00-000031000000}"/>
    <hyperlink ref="F8" r:id="rId51" tooltip="Visit richiesironmongerymalta.com" xr:uid="{00000000-0004-0000-2C00-000032000000}"/>
    <hyperlink ref="F9" r:id="rId52" tooltip="Visit facebook.com/1675915686031114" xr:uid="{00000000-0004-0000-2C00-000033000000}"/>
    <hyperlink ref="F10" r:id="rId53" tooltip="Visit wcardonatrading.com/" xr:uid="{00000000-0004-0000-2C00-000034000000}"/>
    <hyperlink ref="F11" r:id="rId54" tooltip="Visit jcironmongery.com" xr:uid="{00000000-0004-0000-2C00-000035000000}"/>
    <hyperlink ref="F14" r:id="rId55" tooltip="Visit facebook.com/afsmalta/" xr:uid="{00000000-0004-0000-2C00-000036000000}"/>
    <hyperlink ref="F15" r:id="rId56" tooltip="Visit fbpmalta.com/" xr:uid="{00000000-0004-0000-2C00-000037000000}"/>
    <hyperlink ref="F16" r:id="rId57" tooltip="Visit midea.mt/contact/" xr:uid="{00000000-0004-0000-2C00-000038000000}"/>
  </hyperlinks>
  <pageMargins left="0.75" right="0.75" top="0.75" bottom="0.5" header="0.5" footer="0.7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5"/>
  <sheetViews>
    <sheetView workbookViewId="0"/>
  </sheetViews>
  <sheetFormatPr defaultRowHeight="14.4" x14ac:dyDescent="0.3"/>
  <cols>
    <col min="1" max="1" width="12" customWidth="1"/>
    <col min="2" max="2" width="22.6640625" customWidth="1"/>
    <col min="3" max="3" width="18.109375" customWidth="1"/>
    <col min="4" max="4" width="34.109375" customWidth="1"/>
    <col min="5" max="5" width="10.88671875" customWidth="1"/>
    <col min="6" max="6" width="10.44140625" customWidth="1"/>
  </cols>
  <sheetData>
    <row r="1" spans="1:6" ht="18" x14ac:dyDescent="0.35">
      <c r="A1" s="1" t="s">
        <v>5384</v>
      </c>
      <c r="B1" s="1" t="s">
        <v>487</v>
      </c>
      <c r="C1" s="1" t="s">
        <v>828</v>
      </c>
      <c r="D1" s="1" t="s">
        <v>507</v>
      </c>
      <c r="E1" s="1" t="s">
        <v>5386</v>
      </c>
      <c r="F1" s="1" t="s">
        <v>20</v>
      </c>
    </row>
    <row r="2" spans="1:6" x14ac:dyDescent="0.3">
      <c r="A2" s="2" t="s">
        <v>2911</v>
      </c>
      <c r="B2" s="2" t="s">
        <v>2904</v>
      </c>
      <c r="C2" s="2" t="str">
        <f>CONCATENATE(HYPERLINK("CALLTO:%2B356%209950%200549", "+356 9950 0549"))</f>
        <v>+356 9950 0549</v>
      </c>
      <c r="D2" s="3" t="s">
        <v>2934</v>
      </c>
      <c r="E2" s="2"/>
      <c r="F2" s="2"/>
    </row>
    <row r="3" spans="1:6" x14ac:dyDescent="0.3">
      <c r="A3" s="4" t="s">
        <v>2911</v>
      </c>
      <c r="B3" s="4" t="s">
        <v>2912</v>
      </c>
      <c r="C3" s="4" t="str">
        <f>CONCATENATE(HYPERLINK("CALLTO:%2B356%207931%201095", "+356 7931 1095"))</f>
        <v>+356 7931 1095</v>
      </c>
      <c r="D3" s="5" t="s">
        <v>2935</v>
      </c>
      <c r="E3" s="4"/>
      <c r="F3" s="4"/>
    </row>
    <row r="4" spans="1:6" x14ac:dyDescent="0.3">
      <c r="A4" s="2" t="s">
        <v>2911</v>
      </c>
      <c r="B4" s="2" t="s">
        <v>2913</v>
      </c>
      <c r="C4" s="2" t="str">
        <f>CONCATENATE(HYPERLINK("CALLTO:%2B356%209985%205109", "+356 9985 5109"))</f>
        <v>+356 9985 5109</v>
      </c>
      <c r="D4" s="3" t="s">
        <v>2936</v>
      </c>
      <c r="E4" s="2"/>
      <c r="F4" s="2"/>
    </row>
    <row r="5" spans="1:6" x14ac:dyDescent="0.3">
      <c r="A5" s="4" t="s">
        <v>2911</v>
      </c>
      <c r="B5" s="4" t="s">
        <v>2914</v>
      </c>
      <c r="C5" s="4" t="str">
        <f>CONCATENATE(HYPERLINK("CALLTO:%2B356%207707%202101", "+356 7707 2101"))</f>
        <v>+356 7707 2101</v>
      </c>
      <c r="D5" s="5" t="s">
        <v>2937</v>
      </c>
      <c r="E5" s="4"/>
      <c r="F5" s="4"/>
    </row>
    <row r="6" spans="1:6" x14ac:dyDescent="0.3">
      <c r="A6" s="2" t="s">
        <v>2911</v>
      </c>
      <c r="B6" s="2" t="s">
        <v>2915</v>
      </c>
      <c r="C6" s="2" t="str">
        <f>CONCATENATE(HYPERLINK("CALLTO:%2B356%207909%202549", "+356 7909 2549"))</f>
        <v>+356 7909 2549</v>
      </c>
      <c r="D6" s="3" t="s">
        <v>2938</v>
      </c>
      <c r="E6" s="2"/>
      <c r="F6" s="2"/>
    </row>
    <row r="7" spans="1:6" x14ac:dyDescent="0.3">
      <c r="A7" s="4" t="s">
        <v>2911</v>
      </c>
      <c r="B7" s="4" t="s">
        <v>2916</v>
      </c>
      <c r="C7" s="4" t="str">
        <f>CONCATENATE(HYPERLINK("CALLTO:%2B356%207997%203333", "+356 7997 3333"))</f>
        <v>+356 7997 3333</v>
      </c>
      <c r="D7" s="5" t="s">
        <v>2939</v>
      </c>
      <c r="E7" s="4"/>
      <c r="F7" s="4"/>
    </row>
    <row r="8" spans="1:6" x14ac:dyDescent="0.3">
      <c r="A8" s="2" t="s">
        <v>2911</v>
      </c>
      <c r="B8" s="2" t="s">
        <v>2917</v>
      </c>
      <c r="C8" s="2" t="str">
        <f>CONCATENATE(HYPERLINK("CALLTO:%2B356%207977%202255", "+356 7977 2255"))</f>
        <v>+356 7977 2255</v>
      </c>
      <c r="D8" s="3" t="s">
        <v>2941</v>
      </c>
      <c r="E8" s="2"/>
      <c r="F8" s="2"/>
    </row>
    <row r="9" spans="1:6" x14ac:dyDescent="0.3">
      <c r="A9" s="4" t="s">
        <v>2911</v>
      </c>
      <c r="B9" s="4" t="s">
        <v>2911</v>
      </c>
      <c r="C9" s="4" t="str">
        <f>CONCATENATE(HYPERLINK("CALLTO:%2B356%207988%207194", "+356 7988 7194"))</f>
        <v>+356 7988 7194</v>
      </c>
      <c r="D9" s="5" t="s">
        <v>2940</v>
      </c>
      <c r="E9" s="4"/>
      <c r="F9" s="4"/>
    </row>
    <row r="10" spans="1:6" x14ac:dyDescent="0.3">
      <c r="A10" s="2" t="s">
        <v>2911</v>
      </c>
      <c r="B10" s="2" t="s">
        <v>2918</v>
      </c>
      <c r="C10" s="2" t="str">
        <f>CONCATENATE(HYPERLINK("CALLTO:%2B356%207905%201114", "+356 7905 1114"))</f>
        <v>+356 7905 1114</v>
      </c>
      <c r="D10" s="3" t="s">
        <v>2942</v>
      </c>
      <c r="E10" s="2"/>
      <c r="F10" s="2"/>
    </row>
    <row r="11" spans="1:6" x14ac:dyDescent="0.3">
      <c r="A11" s="4" t="s">
        <v>2911</v>
      </c>
      <c r="B11" s="4" t="s">
        <v>2919</v>
      </c>
      <c r="C11" s="4" t="str">
        <f>CONCATENATE(HYPERLINK("CALLTO:%2B356%209971%208489", "+356 9971 8489"))</f>
        <v>+356 9971 8489</v>
      </c>
      <c r="D11" s="5" t="s">
        <v>2943</v>
      </c>
      <c r="E11" s="4"/>
      <c r="F11" s="4"/>
    </row>
    <row r="12" spans="1:6" x14ac:dyDescent="0.3">
      <c r="A12" s="2" t="s">
        <v>2911</v>
      </c>
      <c r="B12" s="2" t="s">
        <v>2920</v>
      </c>
      <c r="C12" s="2" t="str">
        <f>CONCATENATE(HYPERLINK("CALLTO:%2B356%207939%204677", "+356 7939 4677"))</f>
        <v>+356 7939 4677</v>
      </c>
      <c r="D12" s="3" t="s">
        <v>2944</v>
      </c>
      <c r="E12" s="2"/>
      <c r="F12" s="2"/>
    </row>
    <row r="13" spans="1:6" x14ac:dyDescent="0.3">
      <c r="A13" s="4" t="s">
        <v>2911</v>
      </c>
      <c r="B13" s="4" t="s">
        <v>2921</v>
      </c>
      <c r="C13" s="4" t="str">
        <f>CONCATENATE(HYPERLINK("CALLTO:%2B356%209901%202340", "+356 9901 2340"))</f>
        <v>+356 9901 2340</v>
      </c>
      <c r="D13" s="5" t="s">
        <v>2945</v>
      </c>
      <c r="E13" s="4"/>
      <c r="F13" s="4"/>
    </row>
    <row r="14" spans="1:6" x14ac:dyDescent="0.3">
      <c r="A14" s="2" t="s">
        <v>2911</v>
      </c>
      <c r="B14" s="2" t="s">
        <v>2922</v>
      </c>
      <c r="C14" s="2"/>
      <c r="D14" s="3" t="s">
        <v>2946</v>
      </c>
      <c r="E14" s="2"/>
      <c r="F14" s="2"/>
    </row>
    <row r="15" spans="1:6" x14ac:dyDescent="0.3">
      <c r="A15" s="4" t="s">
        <v>2911</v>
      </c>
      <c r="B15" s="4" t="s">
        <v>2923</v>
      </c>
      <c r="C15" s="4"/>
      <c r="D15" s="5" t="s">
        <v>2947</v>
      </c>
      <c r="E15" s="4"/>
      <c r="F15" s="4"/>
    </row>
    <row r="16" spans="1:6" x14ac:dyDescent="0.3">
      <c r="A16" s="2" t="s">
        <v>2911</v>
      </c>
      <c r="B16" s="2" t="s">
        <v>2924</v>
      </c>
      <c r="C16" s="2"/>
      <c r="D16" s="3" t="s">
        <v>2948</v>
      </c>
      <c r="E16" s="2"/>
      <c r="F16" s="2"/>
    </row>
    <row r="17" spans="1:6" x14ac:dyDescent="0.3">
      <c r="A17" s="4" t="s">
        <v>2911</v>
      </c>
      <c r="B17" s="4" t="s">
        <v>2925</v>
      </c>
      <c r="C17" s="4"/>
      <c r="D17" s="5" t="s">
        <v>2949</v>
      </c>
      <c r="E17" s="4"/>
      <c r="F17" s="4"/>
    </row>
    <row r="18" spans="1:6" x14ac:dyDescent="0.3">
      <c r="A18" s="2" t="s">
        <v>2911</v>
      </c>
      <c r="B18" s="2" t="s">
        <v>2926</v>
      </c>
      <c r="C18" s="2"/>
      <c r="D18" s="3" t="s">
        <v>2950</v>
      </c>
      <c r="E18" s="2"/>
      <c r="F18" s="2"/>
    </row>
    <row r="19" spans="1:6" x14ac:dyDescent="0.3">
      <c r="A19" s="4" t="s">
        <v>2911</v>
      </c>
      <c r="B19" s="4" t="s">
        <v>2927</v>
      </c>
      <c r="C19" s="4"/>
      <c r="D19" s="5" t="s">
        <v>2951</v>
      </c>
      <c r="E19" s="4"/>
      <c r="F19" s="4"/>
    </row>
    <row r="20" spans="1:6" x14ac:dyDescent="0.3">
      <c r="A20" s="2" t="s">
        <v>2911</v>
      </c>
      <c r="B20" s="2" t="s">
        <v>2928</v>
      </c>
      <c r="C20" s="2"/>
      <c r="D20" s="3" t="s">
        <v>2952</v>
      </c>
      <c r="E20" s="2"/>
      <c r="F20" s="2"/>
    </row>
    <row r="21" spans="1:6" x14ac:dyDescent="0.3">
      <c r="A21" s="4" t="s">
        <v>2911</v>
      </c>
      <c r="B21" s="4" t="s">
        <v>2929</v>
      </c>
      <c r="C21" s="4"/>
      <c r="D21" s="5" t="s">
        <v>2953</v>
      </c>
      <c r="E21" s="4"/>
      <c r="F21" s="4"/>
    </row>
    <row r="22" spans="1:6" x14ac:dyDescent="0.3">
      <c r="A22" s="2" t="s">
        <v>2911</v>
      </c>
      <c r="B22" s="2" t="s">
        <v>2930</v>
      </c>
      <c r="C22" s="2"/>
      <c r="D22" s="3" t="s">
        <v>2954</v>
      </c>
      <c r="E22" s="2"/>
      <c r="F22" s="2"/>
    </row>
    <row r="23" spans="1:6" x14ac:dyDescent="0.3">
      <c r="A23" s="4" t="s">
        <v>2911</v>
      </c>
      <c r="B23" s="4" t="s">
        <v>2931</v>
      </c>
      <c r="C23" s="4"/>
      <c r="D23" s="5" t="s">
        <v>2955</v>
      </c>
      <c r="E23" s="4"/>
      <c r="F23" s="4"/>
    </row>
    <row r="24" spans="1:6" x14ac:dyDescent="0.3">
      <c r="A24" s="2" t="s">
        <v>2911</v>
      </c>
      <c r="B24" s="2" t="s">
        <v>2932</v>
      </c>
      <c r="C24" s="2"/>
      <c r="D24" s="3" t="s">
        <v>2956</v>
      </c>
      <c r="E24" s="2"/>
      <c r="F24" s="2"/>
    </row>
    <row r="25" spans="1:6" x14ac:dyDescent="0.3">
      <c r="A25" s="4" t="s">
        <v>2911</v>
      </c>
      <c r="B25" s="4" t="s">
        <v>2933</v>
      </c>
      <c r="C25" s="4"/>
      <c r="D25" s="5" t="s">
        <v>2957</v>
      </c>
      <c r="E25" s="4"/>
      <c r="F25" s="4"/>
    </row>
  </sheetData>
  <hyperlinks>
    <hyperlink ref="D2" r:id="rId1" tooltip="Send a mail to info@maksengmalta.com" xr:uid="{00000000-0004-0000-2D00-000000000000}"/>
    <hyperlink ref="D3" r:id="rId2" tooltip="Send a mail to marlon1790@hotmail.com" xr:uid="{00000000-0004-0000-2D00-000001000000}"/>
    <hyperlink ref="D4" r:id="rId3" tooltip="Send a mail to info@retrofit.com.mt" xr:uid="{00000000-0004-0000-2D00-000002000000}"/>
    <hyperlink ref="D5" r:id="rId4" tooltip="Send a mail to info@architworks.com" xr:uid="{00000000-0004-0000-2D00-000003000000}"/>
    <hyperlink ref="D6" r:id="rId5" tooltip="Send a mail to rdcmalta@gmail.com" xr:uid="{00000000-0004-0000-2D00-000004000000}"/>
    <hyperlink ref="D7" r:id="rId6" tooltip="Send a mail to sitetechnicalofficermalta@gmail.com" xr:uid="{00000000-0004-0000-2D00-000005000000}"/>
    <hyperlink ref="D8" r:id="rId7" tooltip="Send a mail to daniel@dpa.com.mt" xr:uid="{00000000-0004-0000-2D00-000006000000}"/>
    <hyperlink ref="D9" r:id="rId8" tooltip="Send a mail to info@stoservicesltd.com" xr:uid="{00000000-0004-0000-2D00-000007000000}"/>
    <hyperlink ref="D10" r:id="rId9" tooltip="Send a mail to iagius@aiesltd.com" xr:uid="{00000000-0004-0000-2D00-000008000000}"/>
    <hyperlink ref="D11" r:id="rId10" tooltip="Send a mail to akarchistudio@gmail.com" xr:uid="{00000000-0004-0000-2D00-000009000000}"/>
    <hyperlink ref="D12" r:id="rId11" tooltip="Send a mail to adrian180690@gmail.com" xr:uid="{00000000-0004-0000-2D00-00000A000000}"/>
    <hyperlink ref="D13" r:id="rId12" tooltip="Send a mail to ap@paceadam.com" xr:uid="{00000000-0004-0000-2D00-00000B000000}"/>
    <hyperlink ref="D14" r:id="rId13" tooltip="Send a mail to alexander.sammut.16@gmail.com" xr:uid="{00000000-0004-0000-2D00-00000C000000}"/>
    <hyperlink ref="D15" r:id="rId14" tooltip="Send a mail to antoinebrincat.mlt@gmail.com" xr:uid="{00000000-0004-0000-2D00-00000D000000}"/>
    <hyperlink ref="D16" r:id="rId15" tooltip="Send a mail to antdormic@gmail.com" xr:uid="{00000000-0004-0000-2D00-00000E000000}"/>
    <hyperlink ref="D17" r:id="rId16" tooltip="Send a mail to cg@techman.com.mt" xr:uid="{00000000-0004-0000-2D00-00000F000000}"/>
    <hyperlink ref="D18" r:id="rId17" tooltip="Send a mail to christian.attard@gmail.com" xr:uid="{00000000-0004-0000-2D00-000010000000}"/>
    <hyperlink ref="D19" r:id="rId18" tooltip="Send a mail to cfperit@gmail.com" xr:uid="{00000000-0004-0000-2D00-000011000000}"/>
    <hyperlink ref="D20" r:id="rId19" tooltip="Send a mail to claireghigo@gmail.com" xr:uid="{00000000-0004-0000-2D00-000012000000}"/>
    <hyperlink ref="D21" r:id="rId20" tooltip="Send a mail to clayton.zammit@yahoo.com" xr:uid="{00000000-0004-0000-2D00-000013000000}"/>
    <hyperlink ref="D22" r:id="rId21" tooltip="Send a mail to ingdarioespo@gmail.com" xr:uid="{00000000-0004-0000-2D00-000014000000}"/>
    <hyperlink ref="D23" r:id="rId22" tooltip="Send a mail to enwar27699@gmail.com" xr:uid="{00000000-0004-0000-2D00-000015000000}"/>
    <hyperlink ref="D24" r:id="rId23" tooltip="Send a mail to gorgcauchi@gmail.com" xr:uid="{00000000-0004-0000-2D00-000016000000}"/>
    <hyperlink ref="D25" r:id="rId24" tooltip="Send a mail to xuereb.george@gmail.com" xr:uid="{00000000-0004-0000-2D00-000017000000}"/>
  </hyperlinks>
  <pageMargins left="0.75" right="0.75" top="0.75" bottom="0.5" header="0.5" footer="0.7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"/>
  <sheetViews>
    <sheetView workbookViewId="0"/>
  </sheetViews>
  <sheetFormatPr defaultRowHeight="14.4" x14ac:dyDescent="0.3"/>
  <cols>
    <col min="1" max="1" width="11.88671875" customWidth="1"/>
    <col min="2" max="2" width="27" customWidth="1"/>
    <col min="3" max="3" width="18.109375" customWidth="1"/>
    <col min="4" max="4" width="23.6640625" customWidth="1"/>
    <col min="5" max="5" width="10.88671875" customWidth="1"/>
    <col min="6" max="6" width="43.33203125" customWidth="1"/>
  </cols>
  <sheetData>
    <row r="1" spans="1:6" ht="18" x14ac:dyDescent="0.35">
      <c r="A1" s="1" t="s">
        <v>5384</v>
      </c>
      <c r="B1" s="1" t="s">
        <v>487</v>
      </c>
      <c r="C1" s="1" t="s">
        <v>828</v>
      </c>
      <c r="D1" s="1" t="s">
        <v>507</v>
      </c>
      <c r="E1" s="1" t="s">
        <v>5386</v>
      </c>
      <c r="F1" s="1" t="s">
        <v>20</v>
      </c>
    </row>
    <row r="2" spans="1:6" x14ac:dyDescent="0.3">
      <c r="A2" s="2" t="s">
        <v>2958</v>
      </c>
      <c r="B2" s="2" t="s">
        <v>2959</v>
      </c>
      <c r="C2" s="2" t="str">
        <f>CONCATENATE(HYPERLINK("CALLTO:%2B356%209951%201239", "+356 9951 1239"))</f>
        <v>+356 9951 1239</v>
      </c>
      <c r="D2" s="3" t="s">
        <v>2960</v>
      </c>
      <c r="E2" s="2"/>
      <c r="F2" s="3" t="s">
        <v>2962</v>
      </c>
    </row>
  </sheetData>
  <hyperlinks>
    <hyperlink ref="D2" r:id="rId1" tooltip="Send a mail to aplusmep.ce@gmail.com" xr:uid="{00000000-0004-0000-2E00-000000000000}"/>
    <hyperlink ref="F2" r:id="rId2" tooltip="Visit facebook.com/profile.php?id=61571161208722" xr:uid="{00000000-0004-0000-2E00-000001000000}"/>
  </hyperlinks>
  <pageMargins left="0.75" right="0.75" top="0.75" bottom="0.5" header="0.5" footer="0.7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9"/>
  <sheetViews>
    <sheetView workbookViewId="0"/>
  </sheetViews>
  <sheetFormatPr defaultRowHeight="14.4" x14ac:dyDescent="0.3"/>
  <cols>
    <col min="1" max="1" width="25.88671875" customWidth="1"/>
    <col min="2" max="2" width="25.6640625" customWidth="1"/>
    <col min="3" max="3" width="18.6640625" customWidth="1"/>
    <col min="4" max="4" width="27.88671875" customWidth="1"/>
    <col min="5" max="5" width="49" customWidth="1"/>
    <col min="6" max="6" width="18.88671875" customWidth="1"/>
  </cols>
  <sheetData>
    <row r="1" spans="1:6" ht="18" x14ac:dyDescent="0.35">
      <c r="A1" s="1" t="s">
        <v>5384</v>
      </c>
      <c r="B1" s="1" t="s">
        <v>2196</v>
      </c>
      <c r="C1" s="1" t="s">
        <v>525</v>
      </c>
      <c r="D1" s="1" t="s">
        <v>507</v>
      </c>
      <c r="E1" s="1" t="s">
        <v>5386</v>
      </c>
      <c r="F1" s="1" t="s">
        <v>532</v>
      </c>
    </row>
    <row r="2" spans="1:6" x14ac:dyDescent="0.3">
      <c r="A2" s="2" t="s">
        <v>2963</v>
      </c>
      <c r="B2" s="2" t="s">
        <v>2964</v>
      </c>
      <c r="C2" s="2" t="str">
        <f>CONCATENATE(HYPERLINK("CALLTO:%2B356%202741%203490", "+356 2741 3490"))</f>
        <v>+356 2741 3490</v>
      </c>
      <c r="D2" s="3" t="s">
        <v>2982</v>
      </c>
      <c r="E2" s="3" t="s">
        <v>3000</v>
      </c>
      <c r="F2" s="3" t="s">
        <v>3019</v>
      </c>
    </row>
    <row r="3" spans="1:6" x14ac:dyDescent="0.3">
      <c r="A3" s="4" t="s">
        <v>2963</v>
      </c>
      <c r="B3" s="4" t="s">
        <v>2965</v>
      </c>
      <c r="C3" s="4" t="str">
        <f>CONCATENATE(HYPERLINK("CALLTO:%2B356%202733%202198", "+356 2733 2198"))</f>
        <v>+356 2733 2198</v>
      </c>
      <c r="D3" s="5" t="s">
        <v>2983</v>
      </c>
      <c r="E3" s="5" t="s">
        <v>3001</v>
      </c>
      <c r="F3" s="5" t="s">
        <v>3020</v>
      </c>
    </row>
    <row r="4" spans="1:6" x14ac:dyDescent="0.3">
      <c r="A4" s="2" t="s">
        <v>2963</v>
      </c>
      <c r="B4" s="2" t="s">
        <v>2966</v>
      </c>
      <c r="C4" s="2" t="str">
        <f>CONCATENATE(HYPERLINK("CALLTO:%2B356%202145%200395", "+356 2145 0395"))</f>
        <v>+356 2145 0395</v>
      </c>
      <c r="D4" s="3" t="s">
        <v>2985</v>
      </c>
      <c r="E4" s="3" t="s">
        <v>3002</v>
      </c>
      <c r="F4" s="3" t="s">
        <v>3021</v>
      </c>
    </row>
    <row r="5" spans="1:6" x14ac:dyDescent="0.3">
      <c r="A5" s="4" t="s">
        <v>2963</v>
      </c>
      <c r="B5" s="4" t="s">
        <v>2967</v>
      </c>
      <c r="C5" s="4" t="str">
        <f>CONCATENATE(HYPERLINK("CALLTO:%2B356%202180%207030", "+356 2180 7030"))</f>
        <v>+356 2180 7030</v>
      </c>
      <c r="D5" s="5" t="s">
        <v>2984</v>
      </c>
      <c r="E5" s="5" t="s">
        <v>3003</v>
      </c>
      <c r="F5" s="5" t="s">
        <v>3022</v>
      </c>
    </row>
    <row r="6" spans="1:6" x14ac:dyDescent="0.3">
      <c r="A6" s="2" t="s">
        <v>2963</v>
      </c>
      <c r="B6" s="2" t="s">
        <v>2968</v>
      </c>
      <c r="C6" s="2" t="str">
        <f>CONCATENATE(HYPERLINK("CALLTO:%2B356%202134%201697", "+356 2134 1697"))</f>
        <v>+356 2134 1697</v>
      </c>
      <c r="D6" s="3" t="s">
        <v>2986</v>
      </c>
      <c r="E6" s="3" t="s">
        <v>3004</v>
      </c>
      <c r="F6" s="3" t="s">
        <v>3023</v>
      </c>
    </row>
    <row r="7" spans="1:6" x14ac:dyDescent="0.3">
      <c r="A7" s="4" t="s">
        <v>2963</v>
      </c>
      <c r="B7" s="4" t="s">
        <v>2969</v>
      </c>
      <c r="C7" s="4" t="str">
        <f>CONCATENATE(HYPERLINK("CALLTO:%2B356%209949%202362", "+356 9949 2362"))</f>
        <v>+356 9949 2362</v>
      </c>
      <c r="D7" s="5" t="s">
        <v>2987</v>
      </c>
      <c r="E7" s="5" t="s">
        <v>3005</v>
      </c>
      <c r="F7" s="5" t="s">
        <v>3024</v>
      </c>
    </row>
    <row r="8" spans="1:6" x14ac:dyDescent="0.3">
      <c r="A8" s="2" t="s">
        <v>2963</v>
      </c>
      <c r="B8" s="2" t="s">
        <v>2970</v>
      </c>
      <c r="C8" s="2" t="str">
        <f>CONCATENATE(HYPERLINK("CALLTO:%2B356%209908%206442", "+356 9908 6442"))</f>
        <v>+356 9908 6442</v>
      </c>
      <c r="D8" s="3" t="s">
        <v>2988</v>
      </c>
      <c r="E8" s="3" t="s">
        <v>3007</v>
      </c>
      <c r="F8" s="3" t="s">
        <v>3025</v>
      </c>
    </row>
    <row r="9" spans="1:6" x14ac:dyDescent="0.3">
      <c r="A9" s="4" t="s">
        <v>2963</v>
      </c>
      <c r="B9" s="4" t="s">
        <v>2971</v>
      </c>
      <c r="C9" s="4" t="str">
        <f>CONCATENATE(HYPERLINK("CALLTO:%2B356%209922%209391", "+356 9922 9391"))</f>
        <v>+356 9922 9391</v>
      </c>
      <c r="D9" s="5" t="s">
        <v>2989</v>
      </c>
      <c r="E9" s="5" t="s">
        <v>3006</v>
      </c>
      <c r="F9" s="5" t="s">
        <v>3026</v>
      </c>
    </row>
    <row r="10" spans="1:6" x14ac:dyDescent="0.3">
      <c r="A10" s="2" t="s">
        <v>2963</v>
      </c>
      <c r="B10" s="2" t="s">
        <v>2972</v>
      </c>
      <c r="C10" s="2" t="str">
        <f>CONCATENATE(HYPERLINK("CALLTO:%2B356%202145%205220", "+356 2145 5220"))</f>
        <v>+356 2145 5220</v>
      </c>
      <c r="D10" s="3" t="s">
        <v>2990</v>
      </c>
      <c r="E10" s="3" t="s">
        <v>3008</v>
      </c>
      <c r="F10" s="3" t="s">
        <v>3027</v>
      </c>
    </row>
    <row r="11" spans="1:6" x14ac:dyDescent="0.3">
      <c r="A11" s="4" t="s">
        <v>2963</v>
      </c>
      <c r="B11" s="4" t="s">
        <v>2973</v>
      </c>
      <c r="C11" s="4" t="str">
        <f>CONCATENATE(HYPERLINK("CALLTO:%2B356%202381%202381", "+356 2381 2381"))</f>
        <v>+356 2381 2381</v>
      </c>
      <c r="D11" s="5" t="s">
        <v>2991</v>
      </c>
      <c r="E11" s="5" t="s">
        <v>3009</v>
      </c>
      <c r="F11" s="5" t="s">
        <v>3028</v>
      </c>
    </row>
    <row r="12" spans="1:6" x14ac:dyDescent="0.3">
      <c r="A12" s="2" t="s">
        <v>2963</v>
      </c>
      <c r="B12" s="2" t="s">
        <v>2974</v>
      </c>
      <c r="C12" s="2" t="str">
        <f>CONCATENATE(HYPERLINK("CALLTO:%2B356%202144%202914", "+356 2144 2914"))</f>
        <v>+356 2144 2914</v>
      </c>
      <c r="D12" s="3" t="s">
        <v>2992</v>
      </c>
      <c r="E12" s="3" t="s">
        <v>3010</v>
      </c>
      <c r="F12" s="3" t="s">
        <v>3029</v>
      </c>
    </row>
    <row r="13" spans="1:6" x14ac:dyDescent="0.3">
      <c r="A13" s="4" t="s">
        <v>2963</v>
      </c>
      <c r="B13" s="4" t="s">
        <v>2975</v>
      </c>
      <c r="C13" s="4" t="str">
        <f>CONCATENATE(HYPERLINK("CALLTO:%2B356%202146%206866", "+356 2146 6866"))</f>
        <v>+356 2146 6866</v>
      </c>
      <c r="D13" s="5" t="s">
        <v>2993</v>
      </c>
      <c r="E13" s="5" t="s">
        <v>3011</v>
      </c>
      <c r="F13" s="5" t="s">
        <v>3030</v>
      </c>
    </row>
    <row r="14" spans="1:6" x14ac:dyDescent="0.3">
      <c r="A14" s="2" t="s">
        <v>2963</v>
      </c>
      <c r="B14" s="2" t="s">
        <v>2976</v>
      </c>
      <c r="C14" s="2" t="str">
        <f>CONCATENATE(HYPERLINK("CALLTO:%2B356%202157%205392", "+356 2157 5392"))</f>
        <v>+356 2157 5392</v>
      </c>
      <c r="D14" s="3" t="s">
        <v>2995</v>
      </c>
      <c r="E14" s="3" t="s">
        <v>3012</v>
      </c>
      <c r="F14" s="3" t="s">
        <v>3031</v>
      </c>
    </row>
    <row r="15" spans="1:6" x14ac:dyDescent="0.3">
      <c r="A15" s="4" t="s">
        <v>2963</v>
      </c>
      <c r="B15" s="4" t="s">
        <v>2977</v>
      </c>
      <c r="C15" s="4" t="str">
        <f>CONCATENATE(HYPERLINK("CALLTO:%2B356%202248%207118", "+356 2248 7118"))</f>
        <v>+356 2248 7118</v>
      </c>
      <c r="D15" s="5" t="s">
        <v>2994</v>
      </c>
      <c r="E15" s="5" t="s">
        <v>3013</v>
      </c>
      <c r="F15" s="4"/>
    </row>
    <row r="16" spans="1:6" x14ac:dyDescent="0.3">
      <c r="A16" s="2" t="s">
        <v>2963</v>
      </c>
      <c r="B16" s="2" t="s">
        <v>2978</v>
      </c>
      <c r="C16" s="2" t="str">
        <f>CONCATENATE(HYPERLINK("CALLTO:%2B356%202134%206535", "+356 2134 6535"))</f>
        <v>+356 2134 6535</v>
      </c>
      <c r="D16" s="3" t="s">
        <v>2996</v>
      </c>
      <c r="E16" s="3" t="s">
        <v>3014</v>
      </c>
      <c r="F16" s="2"/>
    </row>
    <row r="17" spans="1:6" x14ac:dyDescent="0.3">
      <c r="A17" s="4" t="s">
        <v>2963</v>
      </c>
      <c r="B17" s="4" t="s">
        <v>2979</v>
      </c>
      <c r="C17" s="4" t="str">
        <f>CONCATENATE(HYPERLINK("CALLTO:%2B356%202125%202206", "+356 2125 2206"))</f>
        <v>+356 2125 2206</v>
      </c>
      <c r="D17" s="5" t="s">
        <v>2997</v>
      </c>
      <c r="E17" s="5" t="s">
        <v>3015</v>
      </c>
      <c r="F17" s="4"/>
    </row>
    <row r="18" spans="1:6" x14ac:dyDescent="0.3">
      <c r="A18" s="2" t="s">
        <v>2963</v>
      </c>
      <c r="B18" s="2" t="s">
        <v>2980</v>
      </c>
      <c r="C18" s="2" t="str">
        <f>CONCATENATE(HYPERLINK("CALLTO:%2B356%202741%203490", "+356 2741 3490"))</f>
        <v>+356 2741 3490</v>
      </c>
      <c r="D18" s="3" t="s">
        <v>2998</v>
      </c>
      <c r="E18" s="3" t="s">
        <v>3016</v>
      </c>
      <c r="F18" s="2"/>
    </row>
    <row r="19" spans="1:6" x14ac:dyDescent="0.3">
      <c r="A19" s="4" t="s">
        <v>2961</v>
      </c>
      <c r="B19" s="4" t="s">
        <v>2981</v>
      </c>
      <c r="C19" s="4" t="str">
        <f>CONCATENATE(HYPERLINK("CALLTO:%2B356%202731%204593", "+356 2731 4593"))</f>
        <v>+356 2731 4593</v>
      </c>
      <c r="D19" s="5" t="s">
        <v>2999</v>
      </c>
      <c r="E19" s="5" t="s">
        <v>3017</v>
      </c>
      <c r="F19" s="4"/>
    </row>
  </sheetData>
  <hyperlinks>
    <hyperlink ref="D2" r:id="rId1" tooltip="Send a mail to info@dslifts.com" xr:uid="{00000000-0004-0000-2F00-000000000000}"/>
    <hyperlink ref="D3" r:id="rId2" tooltip="Send a mail to groffelifts@gmail.com" xr:uid="{00000000-0004-0000-2F00-000001000000}"/>
    <hyperlink ref="D4" r:id="rId3" tooltip="Send a mail to info@apexlifts.com.mt" xr:uid="{00000000-0004-0000-2F00-000002000000}"/>
    <hyperlink ref="D5" r:id="rId4" tooltip="Send a mail to info@etralia.com" xr:uid="{00000000-0004-0000-2F00-000003000000}"/>
    <hyperlink ref="D6" r:id="rId5" tooltip="Send a mail to info@titan.mizzi.com.mt" xr:uid="{00000000-0004-0000-2F00-000004000000}"/>
    <hyperlink ref="D7" r:id="rId6" tooltip="Send a mail to eniliftmalta@gmail.com" xr:uid="{00000000-0004-0000-2F00-000005000000}"/>
    <hyperlink ref="D8" r:id="rId7" tooltip="Send a mail to air‑tro_service@outlook.com" xr:uid="{00000000-0004-0000-2F00-000006000000}"/>
    <hyperlink ref="D9" r:id="rId8" tooltip="Send a mail to bertulifting@gmail.com" xr:uid="{00000000-0004-0000-2F00-000007000000}"/>
    <hyperlink ref="D10" r:id="rId9" tooltip="Send a mail to info@highriselifts.com" xr:uid="{00000000-0004-0000-2F00-000008000000}"/>
    <hyperlink ref="D11" r:id="rId10" tooltip="Send a mail to enquiries@pantalesco.com" xr:uid="{00000000-0004-0000-2F00-000009000000}"/>
    <hyperlink ref="D12" r:id="rId11" tooltip="Send a mail to info_malta@schindler.com" xr:uid="{00000000-0004-0000-2F00-00000A000000}"/>
    <hyperlink ref="D13" r:id="rId12" tooltip="Send a mail to sales@elevaliftsmalta.com" xr:uid="{00000000-0004-0000-2F00-00000B000000}"/>
    <hyperlink ref="D14" r:id="rId13" tooltip="Send a mail to info@sslifts.com" xr:uid="{00000000-0004-0000-2F00-00000C000000}"/>
    <hyperlink ref="D15" r:id="rId14" tooltip="Send a mail to info.mt@otis.com" xr:uid="{00000000-0004-0000-2F00-00000D000000}"/>
    <hyperlink ref="D16" r:id="rId15" tooltip="Send a mail to info@igmlifts.com" xr:uid="{00000000-0004-0000-2F00-00000E000000}"/>
    <hyperlink ref="D17" r:id="rId16" tooltip="Send a mail to info@liftservices.com.mt" xr:uid="{00000000-0004-0000-2F00-00000F000000}"/>
    <hyperlink ref="D18" r:id="rId17" tooltip="Send a mail to info@elevation.mt" xr:uid="{00000000-0004-0000-2F00-000010000000}"/>
    <hyperlink ref="D19" r:id="rId18" tooltip="Send a mail to info@qualitymalta.com" xr:uid="{00000000-0004-0000-2F00-000011000000}"/>
    <hyperlink ref="E2" r:id="rId19" tooltip="Search Vjal il‑Wieħed u Għoxrin ta' Settembru, Naxxar on Google Maps" xr:uid="{00000000-0004-0000-2F00-000012000000}"/>
    <hyperlink ref="E3" r:id="rId20" tooltip="Search 5/3, Triq l‑Imsida, Gżira GZR 1401 on Google Maps" xr:uid="{00000000-0004-0000-2F00-000013000000}"/>
    <hyperlink ref="E4" r:id="rId21" tooltip="Search 14, Triq San Mikiel, Rabat RBT 2440 on Google Maps" xr:uid="{00000000-0004-0000-2F00-000014000000}"/>
    <hyperlink ref="E5" r:id="rId22" tooltip="Search 39, Triq San Ġakmu, Luqa LQA 1892 on Google Maps" xr:uid="{00000000-0004-0000-2F00-000015000000}"/>
    <hyperlink ref="E6" r:id="rId23" tooltip="Search The Lyric, Triq Antonio Bosio, L‑Imsida on Google Maps" xr:uid="{00000000-0004-0000-2F00-000016000000}"/>
    <hyperlink ref="E7" r:id="rId24" tooltip="Search Triq San Filippu, Mġarr/M’najdra? on Google Maps" xr:uid="{00000000-0004-0000-2F00-000017000000}"/>
    <hyperlink ref="E8" r:id="rId25" tooltip="Search Triq il‑Gudja, Ħal Għaxaq on Google Maps" xr:uid="{00000000-0004-0000-2F00-000018000000}"/>
    <hyperlink ref="E9" r:id="rId26" tooltip="Search Triq Piscopo Macedonia, San Pawl il‑Baħar on Google Maps" xr:uid="{00000000-0004-0000-2F00-000019000000}"/>
    <hyperlink ref="E10" r:id="rId27" tooltip="Search Factory LQA 5/6/7, Luqa Industrial Estate on Google Maps" xr:uid="{00000000-0004-0000-2F00-00001A000000}"/>
    <hyperlink ref="E11" r:id="rId28" tooltip="Search Panta House, Triq il‑Wied ta' l‑Imsida on Google Maps" xr:uid="{00000000-0004-0000-2F00-00001B000000}"/>
    <hyperlink ref="E12" r:id="rId29" tooltip="Search 2, Triq Roger Debattista, Hamrun HMR 1271 on Google Maps" xr:uid="{00000000-0004-0000-2F00-00001C000000}"/>
    <hyperlink ref="E13" r:id="rId30" tooltip="Search Mdina Bastions Block A, Triq Michael Bonnici, Żebbuġ on Google Maps" xr:uid="{00000000-0004-0000-2F00-00001D000000}"/>
    <hyperlink ref="E14" r:id="rId31" tooltip="Search S.S. Lifts Orona,_x000a_13, Triq it-Turisti_x000a_Qawra, SPB1028_x000a_Malta on Google Maps" xr:uid="{00000000-0004-0000-2F00-00001E000000}"/>
    <hyperlink ref="E15" r:id="rId32" tooltip="Search MRA048D, Industrial Estate,_x000a_Marsa, MRS3000, Malta on Google Maps" xr:uid="{00000000-0004-0000-2F00-00001F000000}"/>
    <hyperlink ref="E16" r:id="rId33" tooltip="Search I G M Lift Supplies &amp; Services_x000a_Triq Moroni ,_x000a_Sliema Malta SLM 1210 on Google Maps" xr:uid="{00000000-0004-0000-2F00-000020000000}"/>
    <hyperlink ref="E17" r:id="rId34" tooltip="Search Factory A25F,_x000a_Marsa Industrial Estate, Malta on Google Maps" xr:uid="{00000000-0004-0000-2F00-000021000000}"/>
    <hyperlink ref="E18" r:id="rId35" tooltip="Search Elevation Ltd_x000a_Upper A12 Midland Industrial Estate_x000a_Triq Burmarrad Naxxar, NXR 6345_x000a_Malta on Google Maps" xr:uid="{00000000-0004-0000-2F00-000022000000}"/>
    <hyperlink ref="E19" r:id="rId36" tooltip="Search Joedi Graziella Apartments, Triq l‑Iskola, Imśida on Google Maps" xr:uid="{00000000-0004-0000-2F00-000023000000}"/>
    <hyperlink ref="F2" r:id="rId37" tooltip="Visit dslifts.com" xr:uid="{00000000-0004-0000-2F00-000024000000}"/>
    <hyperlink ref="F3" r:id="rId38" tooltip="Visit apexlifts.com.mt" xr:uid="{00000000-0004-0000-2F00-000025000000}"/>
    <hyperlink ref="F4" r:id="rId39" tooltip="Visit etralia.com" xr:uid="{00000000-0004-0000-2F00-000026000000}"/>
    <hyperlink ref="F5" r:id="rId40" tooltip="Visit titan.com.mt" xr:uid="{00000000-0004-0000-2F00-000027000000}"/>
    <hyperlink ref="F6" r:id="rId41" tooltip="Visit eni-lift.com" xr:uid="{00000000-0004-0000-2F00-000028000000}"/>
    <hyperlink ref="F7" r:id="rId42" tooltip="Visit bertulifting.com.mt" xr:uid="{00000000-0004-0000-2F00-000029000000}"/>
    <hyperlink ref="F8" r:id="rId43" tooltip="Visit highriselifts.com" xr:uid="{00000000-0004-0000-2F00-00002A000000}"/>
    <hyperlink ref="F9" r:id="rId44" tooltip="Visit pantalesco.com" xr:uid="{00000000-0004-0000-2F00-00002B000000}"/>
    <hyperlink ref="F10" r:id="rId45" tooltip="Visit sslifts.com/" xr:uid="{00000000-0004-0000-2F00-00002C000000}"/>
    <hyperlink ref="F11" r:id="rId46" tooltip="Visit vertibus.com/" xr:uid="{00000000-0004-0000-2F00-00002D000000}"/>
    <hyperlink ref="F12" r:id="rId47" tooltip="Visit igmlifts.com/" xr:uid="{00000000-0004-0000-2F00-00002E000000}"/>
    <hyperlink ref="F13" r:id="rId48" tooltip="Visit liftservices.com.mt/" xr:uid="{00000000-0004-0000-2F00-00002F000000}"/>
    <hyperlink ref="F14" r:id="rId49" tooltip="Visit elevation.mt/" xr:uid="{00000000-0004-0000-2F00-000030000000}"/>
  </hyperlinks>
  <pageMargins left="0.75" right="0.75" top="0.75" bottom="0.5" header="0.5" footer="0.7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6"/>
  <sheetViews>
    <sheetView workbookViewId="0"/>
  </sheetViews>
  <sheetFormatPr defaultRowHeight="14.4" x14ac:dyDescent="0.3"/>
  <cols>
    <col min="1" max="1" width="9" customWidth="1"/>
    <col min="2" max="2" width="26.109375" customWidth="1"/>
    <col min="3" max="3" width="31.6640625" customWidth="1"/>
    <col min="4" max="4" width="29.88671875" customWidth="1"/>
    <col min="5" max="5" width="35.44140625" customWidth="1"/>
    <col min="6" max="6" width="33.10937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3018</v>
      </c>
      <c r="B2" s="2" t="s">
        <v>3033</v>
      </c>
      <c r="C2" s="3" t="s">
        <v>3036</v>
      </c>
      <c r="D2" s="2" t="str">
        <f>CONCATENATE(HYPERLINK("CALLTO:%2B356%202144%201611", "+356 2144 1611"), " / ", HYPERLINK("CALLTO:%2B356%207777%204240", "+356 7777 4240"))</f>
        <v>+356 2144 1611 / +356 7777 4240</v>
      </c>
      <c r="E2" s="3" t="s">
        <v>3039</v>
      </c>
      <c r="F2" s="3" t="s">
        <v>3042</v>
      </c>
    </row>
    <row r="3" spans="1:6" x14ac:dyDescent="0.3">
      <c r="A3" s="4" t="s">
        <v>3018</v>
      </c>
      <c r="B3" s="4" t="s">
        <v>2151</v>
      </c>
      <c r="C3" s="5" t="s">
        <v>1638</v>
      </c>
      <c r="D3" s="4" t="str">
        <f>CONCATENATE(HYPERLINK("CALLTO:%2B356%202095%209595", "+356 2095 9595"))</f>
        <v>+356 2095 9595</v>
      </c>
      <c r="E3" s="5" t="s">
        <v>2165</v>
      </c>
      <c r="F3" s="5" t="s">
        <v>2173</v>
      </c>
    </row>
    <row r="4" spans="1:6" x14ac:dyDescent="0.3">
      <c r="A4" s="2" t="s">
        <v>3018</v>
      </c>
      <c r="B4" s="2" t="s">
        <v>3034</v>
      </c>
      <c r="C4" s="3" t="s">
        <v>3037</v>
      </c>
      <c r="D4" s="2" t="str">
        <f>CONCATENATE(HYPERLINK("CALLTO:%2B356%202144%207379", "+356 2144 7379"))</f>
        <v>+356 2144 7379</v>
      </c>
      <c r="E4" s="3" t="s">
        <v>3040</v>
      </c>
      <c r="F4" s="3" t="s">
        <v>3043</v>
      </c>
    </row>
    <row r="5" spans="1:6" x14ac:dyDescent="0.3">
      <c r="A5" s="4" t="s">
        <v>3032</v>
      </c>
      <c r="B5" s="4" t="s">
        <v>2156</v>
      </c>
      <c r="C5" s="5" t="s">
        <v>2162</v>
      </c>
      <c r="D5" s="4" t="str">
        <f>CONCATENATE(HYPERLINK("CALLTO:%2B356%202277%203000", "+356 2277 3000"))</f>
        <v>+356 2277 3000</v>
      </c>
      <c r="E5" s="5" t="s">
        <v>1341</v>
      </c>
      <c r="F5" s="5" t="s">
        <v>2177</v>
      </c>
    </row>
    <row r="6" spans="1:6" x14ac:dyDescent="0.3">
      <c r="A6" s="2"/>
      <c r="B6" s="2" t="s">
        <v>3035</v>
      </c>
      <c r="C6" s="2"/>
      <c r="D6" s="2"/>
      <c r="E6" s="2"/>
      <c r="F6" s="2"/>
    </row>
  </sheetData>
  <hyperlinks>
    <hyperlink ref="C2" r:id="rId1" tooltip="Send a mail to info@madumahomeinteriors.com" xr:uid="{00000000-0004-0000-3000-000000000000}"/>
    <hyperlink ref="C3" r:id="rId2" tooltip="Send a mail to info@brands.com.mt" xr:uid="{00000000-0004-0000-3000-000001000000}"/>
    <hyperlink ref="C4" r:id="rId3" tooltip="Send a mail to tuttoparquetmalta@gmail.com" xr:uid="{00000000-0004-0000-3000-000002000000}"/>
    <hyperlink ref="C5" r:id="rId4" tooltip="Send a mail to info@vivendo.mt" xr:uid="{00000000-0004-0000-3000-000003000000}"/>
    <hyperlink ref="E2" r:id="rId5" tooltip="Search 12, Triq il-Parroċċa _x000a_SVR 1262_x000a_Santa Venera on Google Maps" xr:uid="{00000000-0004-0000-3000-000004000000}"/>
    <hyperlink ref="E3" r:id="rId6" tooltip="Search Triq tal-Balal, San Gwann, Malta on Google Maps" xr:uid="{00000000-0004-0000-3000-000005000000}"/>
    <hyperlink ref="E4" r:id="rId7" tooltip="Search 10, Triq Dun Karm_x000a_Birkirkara, Malta on Google Maps" xr:uid="{00000000-0004-0000-3000-000006000000}"/>
    <hyperlink ref="E5" r:id="rId8" tooltip="Search Mdina Road, Qormi, QRM 9011, Malta on Google Maps" xr:uid="{00000000-0004-0000-3000-000007000000}"/>
    <hyperlink ref="F2" r:id="rId9" tooltip="Visit madumahomeinteriors.com/" xr:uid="{00000000-0004-0000-3000-000008000000}"/>
    <hyperlink ref="F3" r:id="rId10" tooltip="Visit brands.com.mt/" xr:uid="{00000000-0004-0000-3000-000009000000}"/>
    <hyperlink ref="F4" r:id="rId11" tooltip="Visit tuttoparquetmalta.com/index.html" xr:uid="{00000000-0004-0000-3000-00000A000000}"/>
    <hyperlink ref="F5" r:id="rId12" tooltip="Visit vivendo.mt/" xr:uid="{00000000-0004-0000-3000-00000B000000}"/>
  </hyperlinks>
  <pageMargins left="0.75" right="0.75" top="0.75" bottom="0.5" header="0.5" footer="0.7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42"/>
  <sheetViews>
    <sheetView workbookViewId="0"/>
  </sheetViews>
  <sheetFormatPr defaultRowHeight="14.4" x14ac:dyDescent="0.3"/>
  <cols>
    <col min="1" max="1" width="30.6640625" customWidth="1"/>
    <col min="2" max="2" width="27.6640625" customWidth="1"/>
    <col min="3" max="3" width="29" customWidth="1"/>
    <col min="4" max="4" width="21" customWidth="1"/>
    <col min="5" max="5" width="102.6640625" customWidth="1"/>
    <col min="6" max="6" width="30.44140625" customWidth="1"/>
  </cols>
  <sheetData>
    <row r="1" spans="1:6" ht="18" x14ac:dyDescent="0.35">
      <c r="A1" s="1" t="s">
        <v>3041</v>
      </c>
      <c r="B1" s="1" t="s">
        <v>3055</v>
      </c>
      <c r="C1" s="1" t="s">
        <v>3083</v>
      </c>
      <c r="D1" s="1" t="s">
        <v>3110</v>
      </c>
      <c r="E1" s="1" t="s">
        <v>3112</v>
      </c>
      <c r="F1" s="1" t="s">
        <v>3137</v>
      </c>
    </row>
    <row r="2" spans="1:6" x14ac:dyDescent="0.3">
      <c r="A2" s="2" t="s">
        <v>3045</v>
      </c>
      <c r="B2" s="2" t="s">
        <v>3056</v>
      </c>
      <c r="C2" s="3" t="s">
        <v>3084</v>
      </c>
      <c r="D2" s="2" t="str">
        <f>CONCATENATE(HYPERLINK("CALLTO:%2B356%209942%201140", "+356 9942 1140"))</f>
        <v>+356 9942 1140</v>
      </c>
      <c r="E2" s="3" t="s">
        <v>3113</v>
      </c>
      <c r="F2" s="2" t="s">
        <v>146</v>
      </c>
    </row>
    <row r="3" spans="1:6" x14ac:dyDescent="0.3">
      <c r="A3" s="4" t="s">
        <v>3045</v>
      </c>
      <c r="B3" s="4" t="s">
        <v>3057</v>
      </c>
      <c r="C3" s="5" t="s">
        <v>3085</v>
      </c>
      <c r="D3" s="4" t="str">
        <f>CONCATENATE(HYPERLINK("CALLTO:%2B356%207947%208840", "+356 7947 8840"))</f>
        <v>+356 7947 8840</v>
      </c>
      <c r="E3" s="5" t="s">
        <v>3114</v>
      </c>
      <c r="F3" s="4" t="s">
        <v>146</v>
      </c>
    </row>
    <row r="4" spans="1:6" x14ac:dyDescent="0.3">
      <c r="A4" s="2" t="s">
        <v>3045</v>
      </c>
      <c r="B4" s="2" t="s">
        <v>3058</v>
      </c>
      <c r="C4" s="3" t="s">
        <v>3086</v>
      </c>
      <c r="D4" s="2" t="str">
        <f>CONCATENATE(HYPERLINK("CALLTO:%2B356%209982%202287", "+356 9982 2287"))</f>
        <v>+356 9982 2287</v>
      </c>
      <c r="E4" s="3" t="s">
        <v>3115</v>
      </c>
      <c r="F4" s="2" t="s">
        <v>146</v>
      </c>
    </row>
    <row r="5" spans="1:6" x14ac:dyDescent="0.3">
      <c r="A5" s="4" t="s">
        <v>3045</v>
      </c>
      <c r="B5" s="4" t="s">
        <v>3059</v>
      </c>
      <c r="C5" s="5" t="s">
        <v>3087</v>
      </c>
      <c r="D5" s="4" t="str">
        <f>CONCATENATE(HYPERLINK("CALLTO:%2B356%209986%200593", "+356 9986 0593"))</f>
        <v>+356 9986 0593</v>
      </c>
      <c r="E5" s="5" t="s">
        <v>3116</v>
      </c>
      <c r="F5" s="4" t="s">
        <v>146</v>
      </c>
    </row>
    <row r="6" spans="1:6" x14ac:dyDescent="0.3">
      <c r="A6" s="2" t="s">
        <v>3045</v>
      </c>
      <c r="B6" s="2" t="s">
        <v>3060</v>
      </c>
      <c r="C6" s="3" t="s">
        <v>3088</v>
      </c>
      <c r="D6" s="2" t="str">
        <f>CONCATENATE(HYPERLINK("CALLTO:%2B356%209909%209033", "+356 9909 9033"))</f>
        <v>+356 9909 9033</v>
      </c>
      <c r="E6" s="3" t="s">
        <v>3117</v>
      </c>
      <c r="F6" s="2" t="s">
        <v>146</v>
      </c>
    </row>
    <row r="7" spans="1:6" x14ac:dyDescent="0.3">
      <c r="A7" s="4" t="s">
        <v>3045</v>
      </c>
      <c r="B7" s="4" t="s">
        <v>3061</v>
      </c>
      <c r="C7" s="5" t="s">
        <v>3089</v>
      </c>
      <c r="D7" s="4" t="str">
        <f>CONCATENATE(HYPERLINK("CALLTO:%2B356%209949%206072", "+356 9949 6072"))</f>
        <v>+356 9949 6072</v>
      </c>
      <c r="E7" s="5" t="s">
        <v>3118</v>
      </c>
      <c r="F7" s="4" t="s">
        <v>146</v>
      </c>
    </row>
    <row r="8" spans="1:6" x14ac:dyDescent="0.3">
      <c r="A8" s="2" t="s">
        <v>3045</v>
      </c>
      <c r="B8" s="2" t="s">
        <v>3062</v>
      </c>
      <c r="C8" s="3" t="s">
        <v>3090</v>
      </c>
      <c r="D8" s="2" t="str">
        <f>CONCATENATE(HYPERLINK("CALLTO:%2B356%207985%209114", "+356 7985 9114"))</f>
        <v>+356 7985 9114</v>
      </c>
      <c r="E8" s="3" t="s">
        <v>3119</v>
      </c>
      <c r="F8" s="3" t="s">
        <v>3138</v>
      </c>
    </row>
    <row r="9" spans="1:6" x14ac:dyDescent="0.3">
      <c r="A9" s="4" t="s">
        <v>3045</v>
      </c>
      <c r="B9" s="4" t="s">
        <v>3063</v>
      </c>
      <c r="C9" s="5" t="s">
        <v>3091</v>
      </c>
      <c r="D9" s="4" t="str">
        <f>CONCATENATE(HYPERLINK("CALLTO:%2B356%209947%206679", "+356 9947 6679"))</f>
        <v>+356 9947 6679</v>
      </c>
      <c r="E9" s="5" t="s">
        <v>3120</v>
      </c>
      <c r="F9" s="4" t="s">
        <v>146</v>
      </c>
    </row>
    <row r="10" spans="1:6" x14ac:dyDescent="0.3">
      <c r="A10" s="2" t="s">
        <v>3045</v>
      </c>
      <c r="B10" s="2" t="s">
        <v>3064</v>
      </c>
      <c r="C10" s="3" t="s">
        <v>3093</v>
      </c>
      <c r="D10" s="2" t="str">
        <f>CONCATENATE(HYPERLINK("CALLTO:%2B356%207780%203904", "+356 7780 3904"))</f>
        <v>+356 7780 3904</v>
      </c>
      <c r="E10" s="3" t="s">
        <v>3121</v>
      </c>
      <c r="F10" s="2" t="s">
        <v>146</v>
      </c>
    </row>
    <row r="11" spans="1:6" x14ac:dyDescent="0.3">
      <c r="A11" s="4" t="s">
        <v>3045</v>
      </c>
      <c r="B11" s="4" t="s">
        <v>3065</v>
      </c>
      <c r="C11" s="5" t="s">
        <v>3094</v>
      </c>
      <c r="D11" s="4" t="str">
        <f>CONCATENATE(HYPERLINK("CALLTO:%2B356%207944%201229", "+356 7944 1229"))</f>
        <v>+356 7944 1229</v>
      </c>
      <c r="E11" s="5" t="s">
        <v>3122</v>
      </c>
      <c r="F11" s="4" t="s">
        <v>146</v>
      </c>
    </row>
    <row r="12" spans="1:6" x14ac:dyDescent="0.3">
      <c r="A12" s="2" t="s">
        <v>3045</v>
      </c>
      <c r="B12" s="2" t="s">
        <v>3066</v>
      </c>
      <c r="C12" s="3" t="s">
        <v>3092</v>
      </c>
      <c r="D12" s="2" t="str">
        <f>CONCATENATE(HYPERLINK("CALLTO:%2B356%207926%208690", "+356 7926 8690"))</f>
        <v>+356 7926 8690</v>
      </c>
      <c r="E12" s="3" t="s">
        <v>3123</v>
      </c>
      <c r="F12" s="2" t="s">
        <v>146</v>
      </c>
    </row>
    <row r="13" spans="1:6" x14ac:dyDescent="0.3">
      <c r="A13" s="4" t="s">
        <v>3045</v>
      </c>
      <c r="B13" s="4" t="s">
        <v>685</v>
      </c>
      <c r="C13" s="5" t="s">
        <v>3095</v>
      </c>
      <c r="D13" s="4" t="str">
        <f>CONCATENATE(HYPERLINK("CALLTO:%2B356%202149%206742", "+356 2149 6742"))</f>
        <v>+356 2149 6742</v>
      </c>
      <c r="E13" s="5" t="s">
        <v>3124</v>
      </c>
      <c r="F13" s="4" t="s">
        <v>146</v>
      </c>
    </row>
    <row r="14" spans="1:6" x14ac:dyDescent="0.3">
      <c r="A14" s="2" t="s">
        <v>3045</v>
      </c>
      <c r="B14" s="2" t="s">
        <v>3067</v>
      </c>
      <c r="C14" s="3" t="s">
        <v>3096</v>
      </c>
      <c r="D14" s="2" t="str">
        <f>CONCATENATE(HYPERLINK("CALLTO:%2B356%209945%209892", "+356 9945 9892"))</f>
        <v>+356 9945 9892</v>
      </c>
      <c r="E14" s="3" t="s">
        <v>3125</v>
      </c>
      <c r="F14" s="2" t="s">
        <v>146</v>
      </c>
    </row>
    <row r="15" spans="1:6" x14ac:dyDescent="0.3">
      <c r="A15" s="4" t="s">
        <v>3045</v>
      </c>
      <c r="B15" s="4" t="s">
        <v>3068</v>
      </c>
      <c r="C15" s="5" t="s">
        <v>3097</v>
      </c>
      <c r="D15" s="4" t="str">
        <f>CONCATENATE(HYPERLINK("CALLTO:%2B356%209984%206386", "+356 9984 6386"))</f>
        <v>+356 9984 6386</v>
      </c>
      <c r="E15" s="5" t="s">
        <v>3126</v>
      </c>
      <c r="F15" s="4" t="s">
        <v>146</v>
      </c>
    </row>
    <row r="16" spans="1:6" x14ac:dyDescent="0.3">
      <c r="A16" s="2" t="s">
        <v>3045</v>
      </c>
      <c r="B16" s="2" t="s">
        <v>3069</v>
      </c>
      <c r="C16" s="3" t="s">
        <v>3098</v>
      </c>
      <c r="D16" s="2" t="str">
        <f>CONCATENATE(HYPERLINK("CALLTO:%2B356%209988%203005", "+356 9988 3005"))</f>
        <v>+356 9988 3005</v>
      </c>
      <c r="E16" s="3" t="s">
        <v>3127</v>
      </c>
      <c r="F16" s="2" t="s">
        <v>146</v>
      </c>
    </row>
    <row r="17" spans="1:6" x14ac:dyDescent="0.3">
      <c r="A17" s="4" t="s">
        <v>3045</v>
      </c>
      <c r="B17" s="4" t="s">
        <v>3070</v>
      </c>
      <c r="C17" s="5" t="s">
        <v>3099</v>
      </c>
      <c r="D17" s="4" t="str">
        <f>CONCATENATE(HYPERLINK("CALLTO:%2B356%209956%202994", "+356 9956 2994"))</f>
        <v>+356 9956 2994</v>
      </c>
      <c r="E17" s="5" t="s">
        <v>3128</v>
      </c>
      <c r="F17" s="4" t="s">
        <v>146</v>
      </c>
    </row>
    <row r="18" spans="1:6" x14ac:dyDescent="0.3">
      <c r="A18" s="2" t="s">
        <v>3045</v>
      </c>
      <c r="B18" s="2" t="s">
        <v>3071</v>
      </c>
      <c r="C18" s="3" t="s">
        <v>796</v>
      </c>
      <c r="D18" s="2" t="str">
        <f>CONCATENATE(HYPERLINK("CALLTO:%2B356%207777%201522", "+356 7777 1522"))</f>
        <v>+356 7777 1522</v>
      </c>
      <c r="E18" s="3" t="s">
        <v>3129</v>
      </c>
      <c r="F18" s="2" t="s">
        <v>146</v>
      </c>
    </row>
    <row r="19" spans="1:6" x14ac:dyDescent="0.3">
      <c r="A19" s="4" t="s">
        <v>3045</v>
      </c>
      <c r="B19" s="4" t="s">
        <v>3072</v>
      </c>
      <c r="C19" s="5" t="s">
        <v>3100</v>
      </c>
      <c r="D19" s="4" t="str">
        <f>CONCATENATE(HYPERLINK("CALLTO:%2B356%209958%204175", "+356 9958 4175"))</f>
        <v>+356 9958 4175</v>
      </c>
      <c r="E19" s="5" t="s">
        <v>3130</v>
      </c>
      <c r="F19" s="4" t="s">
        <v>146</v>
      </c>
    </row>
    <row r="20" spans="1:6" x14ac:dyDescent="0.3">
      <c r="A20" s="2" t="s">
        <v>3045</v>
      </c>
      <c r="B20" s="2" t="s">
        <v>3073</v>
      </c>
      <c r="C20" s="3" t="s">
        <v>3101</v>
      </c>
      <c r="D20" s="2" t="str">
        <f>CONCATENATE(HYPERLINK("CALLTO:%2B356%209948%206377", "+356 9948 6377"))</f>
        <v>+356 9948 6377</v>
      </c>
      <c r="E20" s="2" t="s">
        <v>146</v>
      </c>
      <c r="F20" s="2" t="s">
        <v>146</v>
      </c>
    </row>
    <row r="21" spans="1:6" x14ac:dyDescent="0.3">
      <c r="A21" s="4" t="s">
        <v>3045</v>
      </c>
      <c r="B21" s="4" t="s">
        <v>3074</v>
      </c>
      <c r="C21" s="5" t="s">
        <v>3050</v>
      </c>
      <c r="D21" s="4" t="str">
        <f>CONCATENATE(HYPERLINK("CALLTO:%2B356%209980%206762", "+356 9980 6762"))</f>
        <v>+356 9980 6762</v>
      </c>
      <c r="E21" s="5" t="s">
        <v>3131</v>
      </c>
      <c r="F21" s="4" t="s">
        <v>146</v>
      </c>
    </row>
    <row r="22" spans="1:6" x14ac:dyDescent="0.3">
      <c r="A22" s="2" t="s">
        <v>3045</v>
      </c>
      <c r="B22" s="2" t="s">
        <v>3075</v>
      </c>
      <c r="C22" s="3" t="s">
        <v>3102</v>
      </c>
      <c r="D22" s="2" t="str">
        <f>CONCATENATE(HYPERLINK("CALLTO:%2B356%209979%209124", "+356 9979 9124"))</f>
        <v>+356 9979 9124</v>
      </c>
      <c r="E22" s="3" t="s">
        <v>3133</v>
      </c>
      <c r="F22" s="2" t="s">
        <v>146</v>
      </c>
    </row>
    <row r="23" spans="1:6" x14ac:dyDescent="0.3">
      <c r="A23" s="4" t="s">
        <v>3045</v>
      </c>
      <c r="B23" s="4" t="s">
        <v>3076</v>
      </c>
      <c r="C23" s="5" t="s">
        <v>3103</v>
      </c>
      <c r="D23" s="4" t="str">
        <f>CONCATENATE(HYPERLINK("CALLTO:%2B356%209945%204749", "+356 9945 4749"))</f>
        <v>+356 9945 4749</v>
      </c>
      <c r="E23" s="5" t="s">
        <v>3132</v>
      </c>
      <c r="F23" s="4" t="s">
        <v>146</v>
      </c>
    </row>
    <row r="24" spans="1:6" x14ac:dyDescent="0.3">
      <c r="A24" s="2" t="s">
        <v>3045</v>
      </c>
      <c r="B24" s="2" t="s">
        <v>3077</v>
      </c>
      <c r="C24" s="3" t="s">
        <v>3104</v>
      </c>
      <c r="D24" s="2" t="str">
        <f>CONCATENATE(HYPERLINK("CALLTO:%2B356%202141%207115", "+356 2141 7115"))</f>
        <v>+356 2141 7115</v>
      </c>
      <c r="E24" s="2" t="s">
        <v>146</v>
      </c>
      <c r="F24" s="2" t="s">
        <v>146</v>
      </c>
    </row>
    <row r="25" spans="1:6" x14ac:dyDescent="0.3">
      <c r="A25" s="4" t="s">
        <v>3045</v>
      </c>
      <c r="B25" s="4" t="s">
        <v>3078</v>
      </c>
      <c r="C25" s="5" t="s">
        <v>3105</v>
      </c>
      <c r="D25" s="4" t="str">
        <f>CONCATENATE(HYPERLINK("CALLTO:%2B356%207744%204949", "+356 7744 4949"))</f>
        <v>+356 7744 4949</v>
      </c>
      <c r="E25" s="5" t="s">
        <v>3134</v>
      </c>
      <c r="F25" s="4" t="s">
        <v>146</v>
      </c>
    </row>
    <row r="26" spans="1:6" x14ac:dyDescent="0.3">
      <c r="A26" s="2" t="s">
        <v>3045</v>
      </c>
      <c r="B26" s="2" t="s">
        <v>3079</v>
      </c>
      <c r="C26" s="3" t="s">
        <v>3106</v>
      </c>
      <c r="D26" s="2" t="str">
        <f>CONCATENATE(HYPERLINK("CALLTO:%2B356%209905%204441", "+356 9905 4441"))</f>
        <v>+356 9905 4441</v>
      </c>
      <c r="E26" s="3" t="s">
        <v>1366</v>
      </c>
      <c r="F26" s="3" t="s">
        <v>3140</v>
      </c>
    </row>
    <row r="27" spans="1:6" x14ac:dyDescent="0.3">
      <c r="A27" s="4" t="s">
        <v>3044</v>
      </c>
      <c r="B27" s="4" t="s">
        <v>846</v>
      </c>
      <c r="C27" s="5" t="s">
        <v>855</v>
      </c>
      <c r="D27" s="4" t="str">
        <f>CONCATENATE(HYPERLINK("CALLTO:%2B356%202141%207596", "+356 2141 7596"))</f>
        <v>+356 2141 7596</v>
      </c>
      <c r="E27" s="5" t="s">
        <v>1040</v>
      </c>
      <c r="F27" s="5" t="s">
        <v>1057</v>
      </c>
    </row>
    <row r="28" spans="1:6" x14ac:dyDescent="0.3">
      <c r="A28" s="2" t="s">
        <v>3045</v>
      </c>
      <c r="B28" s="2" t="s">
        <v>996</v>
      </c>
      <c r="C28" s="3" t="s">
        <v>1018</v>
      </c>
      <c r="D28" s="2" t="str">
        <f>CONCATENATE(HYPERLINK("CALLTO:%2B356%209947%202226", "+356 9947 2226"))</f>
        <v>+356 9947 2226</v>
      </c>
      <c r="E28" s="3" t="s">
        <v>1716</v>
      </c>
      <c r="F28" s="3" t="s">
        <v>1806</v>
      </c>
    </row>
    <row r="29" spans="1:6" x14ac:dyDescent="0.3">
      <c r="A29" s="4" t="s">
        <v>3045</v>
      </c>
      <c r="B29" s="4" t="s">
        <v>1548</v>
      </c>
      <c r="C29" s="5" t="s">
        <v>1633</v>
      </c>
      <c r="D29" s="4" t="str">
        <f>CONCATENATE(HYPERLINK("CALLTO:%2B356%202131%200334", "+356 2131 0334"))</f>
        <v>+356 2131 0334</v>
      </c>
      <c r="E29" s="5" t="s">
        <v>3135</v>
      </c>
      <c r="F29" s="5" t="s">
        <v>3141</v>
      </c>
    </row>
    <row r="30" spans="1:6" x14ac:dyDescent="0.3">
      <c r="A30" s="2" t="s">
        <v>3045</v>
      </c>
      <c r="B30" s="2" t="s">
        <v>3080</v>
      </c>
      <c r="C30" s="3" t="s">
        <v>3107</v>
      </c>
      <c r="D30" s="2" t="str">
        <f>CONCATENATE(HYPERLINK("CALLTO:%2B356%209965%204837", "+356 9965 4837"))</f>
        <v>+356 9965 4837</v>
      </c>
      <c r="E30" s="3" t="s">
        <v>3136</v>
      </c>
      <c r="F30" s="3" t="s">
        <v>3142</v>
      </c>
    </row>
    <row r="31" spans="1:6" x14ac:dyDescent="0.3">
      <c r="A31" s="4" t="s">
        <v>3045</v>
      </c>
      <c r="B31" s="4" t="s">
        <v>3081</v>
      </c>
      <c r="C31" s="5" t="s">
        <v>3108</v>
      </c>
      <c r="D31" s="4" t="str">
        <f>CONCATENATE(HYPERLINK("CALLTO:%2B356%209942%202632", "+356 9942 2632"))</f>
        <v>+356 9942 2632</v>
      </c>
      <c r="E31" s="5" t="s">
        <v>1419</v>
      </c>
      <c r="F31" s="5" t="s">
        <v>3143</v>
      </c>
    </row>
    <row r="32" spans="1:6" x14ac:dyDescent="0.3">
      <c r="A32" s="2" t="s">
        <v>3046</v>
      </c>
      <c r="B32" s="2" t="s">
        <v>3082</v>
      </c>
      <c r="C32" s="3" t="s">
        <v>3109</v>
      </c>
      <c r="D32" s="2" t="str">
        <f>CONCATENATE(HYPERLINK("CALLTO:%2B356%207709%202277", "+356 7709 2277"))</f>
        <v>+356 7709 2277</v>
      </c>
      <c r="E32" s="2"/>
      <c r="F32" s="3" t="s">
        <v>875</v>
      </c>
    </row>
    <row r="33" spans="1:6" x14ac:dyDescent="0.3">
      <c r="A33" s="4" t="s">
        <v>3046</v>
      </c>
      <c r="B33" s="4" t="s">
        <v>851</v>
      </c>
      <c r="C33" s="5" t="s">
        <v>860</v>
      </c>
      <c r="D33" s="4" t="str">
        <f>CONCATENATE(HYPERLINK("CALLTO:%2B356%202146%208770", "+356 2146 8770"))</f>
        <v>+356 2146 8770</v>
      </c>
      <c r="E33" s="4"/>
      <c r="F33" s="4"/>
    </row>
    <row r="34" spans="1:6" x14ac:dyDescent="0.3">
      <c r="A34" s="2" t="s">
        <v>3047</v>
      </c>
      <c r="B34" s="2"/>
      <c r="C34" s="2"/>
      <c r="D34" s="2"/>
      <c r="E34" s="2"/>
      <c r="F34" s="2"/>
    </row>
    <row r="35" spans="1:6" x14ac:dyDescent="0.3">
      <c r="A35" s="4" t="s">
        <v>718</v>
      </c>
      <c r="B35" s="4"/>
      <c r="C35" s="4"/>
      <c r="D35" s="4"/>
      <c r="E35" s="4"/>
      <c r="F35" s="4"/>
    </row>
    <row r="36" spans="1:6" x14ac:dyDescent="0.3">
      <c r="A36" s="2" t="s">
        <v>3048</v>
      </c>
      <c r="B36" s="2"/>
      <c r="C36" s="2"/>
      <c r="D36" s="2"/>
      <c r="E36" s="2"/>
      <c r="F36" s="2"/>
    </row>
    <row r="37" spans="1:6" x14ac:dyDescent="0.3">
      <c r="A37" s="4" t="s">
        <v>3049</v>
      </c>
      <c r="B37" s="4"/>
      <c r="C37" s="4"/>
      <c r="D37" s="4"/>
      <c r="E37" s="4"/>
      <c r="F37" s="4"/>
    </row>
    <row r="38" spans="1:6" x14ac:dyDescent="0.3">
      <c r="A38" s="2" t="s">
        <v>3050</v>
      </c>
      <c r="B38" s="2"/>
      <c r="C38" s="2"/>
      <c r="D38" s="2"/>
      <c r="E38" s="2"/>
      <c r="F38" s="2"/>
    </row>
    <row r="39" spans="1:6" x14ac:dyDescent="0.3">
      <c r="A39" s="4" t="s">
        <v>3051</v>
      </c>
      <c r="B39" s="4"/>
      <c r="C39" s="4"/>
      <c r="D39" s="4"/>
      <c r="E39" s="4"/>
      <c r="F39" s="4"/>
    </row>
    <row r="40" spans="1:6" x14ac:dyDescent="0.3">
      <c r="A40" s="2" t="s">
        <v>3052</v>
      </c>
      <c r="B40" s="2"/>
      <c r="C40" s="2"/>
      <c r="D40" s="2"/>
      <c r="E40" s="2"/>
      <c r="F40" s="2"/>
    </row>
    <row r="41" spans="1:6" x14ac:dyDescent="0.3">
      <c r="A41" s="4" t="s">
        <v>3053</v>
      </c>
      <c r="B41" s="4"/>
      <c r="C41" s="4"/>
      <c r="D41" s="4"/>
      <c r="E41" s="4"/>
      <c r="F41" s="4"/>
    </row>
    <row r="42" spans="1:6" x14ac:dyDescent="0.3">
      <c r="A42" s="2" t="s">
        <v>3054</v>
      </c>
      <c r="B42" s="2"/>
      <c r="C42" s="2"/>
      <c r="D42" s="2"/>
      <c r="E42" s="2"/>
      <c r="F42" s="2"/>
    </row>
  </sheetData>
  <hyperlinks>
    <hyperlink ref="C2" r:id="rId1" tooltip="Send a mail to bgalea11@gmail.com" xr:uid="{00000000-0004-0000-3100-000000000000}"/>
    <hyperlink ref="C3" r:id="rId2" tooltip="Send a mail to cmkazammit@gmail.com" xr:uid="{00000000-0004-0000-3100-000001000000}"/>
    <hyperlink ref="C4" r:id="rId3" tooltip="Send a mail to info@skirting.com.mt" xr:uid="{00000000-0004-0000-3100-000002000000}"/>
    <hyperlink ref="C5" r:id="rId4" tooltip="Send a mail to gabjean@gmail.com" xr:uid="{00000000-0004-0000-3100-000003000000}"/>
    <hyperlink ref="C6" r:id="rId5" tooltip="Send a mail to jamal82aljanid82@gmail.com" xr:uid="{00000000-0004-0000-3100-000004000000}"/>
    <hyperlink ref="C7" r:id="rId6" tooltip="Send a mail to tonytilelayer@hotmail.com" xr:uid="{00000000-0004-0000-3100-000005000000}"/>
    <hyperlink ref="C8" r:id="rId7" tooltip="Send a mail to ivan.busu@hotmail.com" xr:uid="{00000000-0004-0000-3100-000006000000}"/>
    <hyperlink ref="C9" r:id="rId8" tooltip="Send a mail to charliegrech65@gmail.com" xr:uid="{00000000-0004-0000-3100-000007000000}"/>
    <hyperlink ref="C10" r:id="rId9" tooltip="Send a mail to damirsujak77@gmail.com" xr:uid="{00000000-0004-0000-3100-000008000000}"/>
    <hyperlink ref="C11" r:id="rId10" tooltip="Send a mail to leldor@onvol.net" xr:uid="{00000000-0004-0000-3100-000009000000}"/>
    <hyperlink ref="C12" r:id="rId11" tooltip="Send a mail to fjtiles@gmail.com" xr:uid="{00000000-0004-0000-3100-00000A000000}"/>
    <hyperlink ref="C13" r:id="rId12" tooltip="Send a mail to info@floorsofstone.com.mt" xr:uid="{00000000-0004-0000-3100-00000B000000}"/>
    <hyperlink ref="C14" r:id="rId13" tooltip="Send a mail to gorggalea@gmail.com" xr:uid="{00000000-0004-0000-3100-00000C000000}"/>
    <hyperlink ref="C15" r:id="rId14" tooltip="Send a mail to salibatilelayer@gmail.com" xr:uid="{00000000-0004-0000-3100-00000D000000}"/>
    <hyperlink ref="C16" r:id="rId15" tooltip="Send a mail to frankiec029@gmail.com" xr:uid="{00000000-0004-0000-3100-00000E000000}"/>
    <hyperlink ref="C17" r:id="rId16" tooltip="Send a mail to malta.tiling@gmail.com" xr:uid="{00000000-0004-0000-3100-00000F000000}"/>
    <hyperlink ref="C18" r:id="rId17" tooltip="Send a mail to contact@kibitec.com" xr:uid="{00000000-0004-0000-3100-000010000000}"/>
    <hyperlink ref="C19" r:id="rId18" tooltip="Send a mail to siamnd1985@gmail.com" xr:uid="{00000000-0004-0000-3100-000011000000}"/>
    <hyperlink ref="C20" r:id="rId19" tooltip="Send a mail to stephentilelayer@gmail.com" xr:uid="{00000000-0004-0000-3100-000012000000}"/>
    <hyperlink ref="C21" r:id="rId20" tooltip="Send a mail to zltcontractor@gmail.com" xr:uid="{00000000-0004-0000-3100-000013000000}"/>
    <hyperlink ref="C22" r:id="rId21" tooltip="Send a mail to edfinishings1@gmail.com" xr:uid="{00000000-0004-0000-3100-000014000000}"/>
    <hyperlink ref="C23" r:id="rId22" tooltip="Send a mail to clifton_tilelaying@hotmail.com" xr:uid="{00000000-0004-0000-3100-000015000000}"/>
    <hyperlink ref="C24" r:id="rId23" tooltip="Send a mail to jevgatt@maltanet.net" xr:uid="{00000000-0004-0000-3100-000016000000}"/>
    <hyperlink ref="C25" r:id="rId24" tooltip="Send a mail to tilingforfuture@gmail.com" xr:uid="{00000000-0004-0000-3100-000017000000}"/>
    <hyperlink ref="C26" r:id="rId25" tooltip="Send a mail to chantellemizzi@hotmail.com" xr:uid="{00000000-0004-0000-3100-000018000000}"/>
    <hyperlink ref="C27" r:id="rId26" tooltip="Send a mail to info@absolute.com.mt" xr:uid="{00000000-0004-0000-3100-000019000000}"/>
    <hyperlink ref="C28" r:id="rId27" tooltip="Send a mail to alex@gad.com.mt" xr:uid="{00000000-0004-0000-3100-00001A000000}"/>
    <hyperlink ref="C29" r:id="rId28" tooltip="Send a mail to info@promaninteriors.com" xr:uid="{00000000-0004-0000-3100-00001B000000}"/>
    <hyperlink ref="C30" r:id="rId29" tooltip="Send a mail to tresortradingltd@gmail.com" xr:uid="{00000000-0004-0000-3100-00001C000000}"/>
    <hyperlink ref="C31" r:id="rId30" tooltip="Send a mail to showtiles@gmail.com" xr:uid="{00000000-0004-0000-3100-00001D000000}"/>
    <hyperlink ref="C32" r:id="rId31" tooltip="Send a mail to info@rgroupmt.com" xr:uid="{00000000-0004-0000-3100-00001E000000}"/>
    <hyperlink ref="C33" r:id="rId32" tooltip="Send a mail to info@mrcd.com.mt" xr:uid="{00000000-0004-0000-3100-00001F000000}"/>
    <hyperlink ref="E2" r:id="rId33" tooltip="Search Triq John Michael Testa Tal-Handaq ,_x000a_Qormi, Malta QRM 4000 on Google Maps" xr:uid="{00000000-0004-0000-3100-000020000000}"/>
    <hyperlink ref="E3" r:id="rId34" tooltip="Search 19 Garage Katarina Triq Santa Klementina ,_x000a_Zurrieq, Malta ZRQ 2510 on Google Maps" xr:uid="{00000000-0004-0000-3100-000021000000}"/>
    <hyperlink ref="E4" r:id="rId35" tooltip="Search Private Road, Garage 4, 5 &amp; 6 Triq l-Irham ,_x000a_Qormi, Malta on Google Maps" xr:uid="{00000000-0004-0000-3100-000022000000}"/>
    <hyperlink ref="E5" r:id="rId36" tooltip="Search 6 Montana Triq il-Qamh ,_x000a_Mellieha, Malta MLH 1761 on Google Maps" xr:uid="{00000000-0004-0000-3100-000023000000}"/>
    <hyperlink ref="E6" r:id="rId37" tooltip="Search 13 Helen Flat 3 Triq Joe Sciberras ,_x000a_Hamrun, Malta HMR 1550 on Google Maps" xr:uid="{00000000-0004-0000-3100-000024000000}"/>
    <hyperlink ref="E7" r:id="rId38" tooltip="Search 12 Windrush T/G fi triq it-Turretta ,_x000a_Dingli, Malta DGL 1731 on Google Maps" xr:uid="{00000000-0004-0000-3100-000025000000}"/>
    <hyperlink ref="E8" r:id="rId39" tooltip="Search Trejqet il-Beatu Dun Gorg Preca ,_x000a_Pembroke, Malta PBK 1460 on Google Maps" xr:uid="{00000000-0004-0000-3100-000026000000}"/>
    <hyperlink ref="E9" r:id="rId40" tooltip="Search 22 April May Triq Gorg Borg ,_x000a_Qormi, Malta QRM 1943 on Google Maps" xr:uid="{00000000-0004-0000-3100-000027000000}"/>
    <hyperlink ref="E10" r:id="rId41" tooltip="Search 35 Trilogy, Flt 1 Triq Ganni Bonnici ,_x000a_Zebbug, Malta ZBG 2507 on Google Maps" xr:uid="{00000000-0004-0000-3100-000028000000}"/>
    <hyperlink ref="E11" r:id="rId42" tooltip="Search Divine Mercy Triq Pawlu Balzan ,_x000a_Zebbug, Malta ZBG 1490 on Google Maps" xr:uid="{00000000-0004-0000-3100-000029000000}"/>
    <hyperlink ref="E12" r:id="rId43" tooltip="Search Triq il-Bronja ,_x000a_Zurrieq, Malta on Google Maps" xr:uid="{00000000-0004-0000-3100-00002A000000}"/>
    <hyperlink ref="E13" r:id="rId44" tooltip="Search 115 Triq il-Wied Ta’ L-Imsida ,_x000a_B’Kara, Malta BKR 9021 on Google Maps" xr:uid="{00000000-0004-0000-3100-00002B000000}"/>
    <hyperlink ref="E14" r:id="rId45" tooltip="Search 58 Triq Dun Gwann Pullicino ,_x000a_Mosta, Malta MST 2703 on Google Maps" xr:uid="{00000000-0004-0000-3100-00002C000000}"/>
    <hyperlink ref="E15" r:id="rId46" tooltip="Search Żejtun, Malta on Google Maps" xr:uid="{00000000-0004-0000-3100-00002D000000}"/>
    <hyperlink ref="E16" r:id="rId47" tooltip="Search Kerċem, Gozo on Google Maps" xr:uid="{00000000-0004-0000-3100-00002E000000}"/>
    <hyperlink ref="E17" r:id="rId48" tooltip="Search Triq Domenico Cachia 54, Birkirkara, Malta on Google Maps" xr:uid="{00000000-0004-0000-3100-00002F000000}"/>
    <hyperlink ref="E18" r:id="rId49" tooltip="Search Marsascala, Malta on Google Maps" xr:uid="{00000000-0004-0000-3100-000030000000}"/>
    <hyperlink ref="E19" r:id="rId50" tooltip="Search Triq Giovanni Maria Borg, Zurrieq, Malta on Google Maps" xr:uid="{00000000-0004-0000-3100-000031000000}"/>
    <hyperlink ref="E21" r:id="rId51" tooltip="Search 115, Triq Il-Bwieraq, Birkirkara, Malta on Google Maps" xr:uid="{00000000-0004-0000-3100-000032000000}"/>
    <hyperlink ref="E22" r:id="rId52" tooltip="Search ºClimarkei, Triq Il-Gizi, Il-Fgura, Malta FGR 1040 on Google Maps" xr:uid="{00000000-0004-0000-3100-000033000000}"/>
    <hyperlink ref="E23" r:id="rId53" tooltip="Search Galine, Josmar Complex, Triq Id-Difiza Civili, Il-Mosta, Malta on Google Maps" xr:uid="{00000000-0004-0000-3100-000034000000}"/>
    <hyperlink ref="E25" r:id="rId54" tooltip="Search Fisheye, Triq Mons. A. Buhagiar, Ir-Rabat, Malta on Google Maps" xr:uid="{00000000-0004-0000-3100-000035000000}"/>
    <hyperlink ref="E26" r:id="rId55" tooltip="Search Triq Pantar, Hal Lija on Google Maps" xr:uid="{00000000-0004-0000-3100-000036000000}"/>
    <hyperlink ref="E27" r:id="rId56" tooltip="Search 21, Triq Gellewza Sewda,_x000a_Midland Park, D7_x000a_Burmarrad Road, Burmarrad LO Naxxar_x000a_Malta on Google Maps" xr:uid="{00000000-0004-0000-3100-000037000000}"/>
    <hyperlink ref="E28" r:id="rId57" tooltip="Search Proman Interiors,_x000a_115, Valley Road,_x000a_B'Kara. BKR 9022._x000a_Malta. on Google Maps" xr:uid="{00000000-0004-0000-3100-000038000000}"/>
    <hyperlink ref="E29" r:id="rId58" tooltip="Search J.Micallef BOATYARD and WAREHOUSE Ta ghadajma l/o Mqabba (Near STMicro Eletronics) Malta, Mqabba, Malta on Google Maps" xr:uid="{00000000-0004-0000-3100-000039000000}"/>
    <hyperlink ref="E30" r:id="rId59" tooltip="Search 78, Triq San Pawl NXR 4016 Naxxar, Malta on Google Maps" xr:uid="{00000000-0004-0000-3100-00003A000000}"/>
    <hyperlink ref="E31" r:id="rId60" tooltip="Search MRCD Building,_x000a_Karmenu Camilleri Street,_x000a_Qormi, QRM4631 on Google Maps" xr:uid="{00000000-0004-0000-3100-00003B000000}"/>
    <hyperlink ref="F8" r:id="rId61" tooltip="Visit facebook.com/865035916866720_x000a_Suggest update" xr:uid="{00000000-0004-0000-3100-00003C000000}"/>
    <hyperlink ref="F26" r:id="rId62" tooltip="Visit absolute.com.mt/" xr:uid="{00000000-0004-0000-3100-00003D000000}"/>
    <hyperlink ref="F27" r:id="rId63" tooltip="Visit gad.com.mt/" xr:uid="{00000000-0004-0000-3100-00003E000000}"/>
    <hyperlink ref="F28" r:id="rId64" tooltip="Visit promaninteriors.com/" xr:uid="{00000000-0004-0000-3100-00003F000000}"/>
    <hyperlink ref="F29" r:id="rId65" tooltip="Visit facebook.com/Dwarehouse23/" xr:uid="{00000000-0004-0000-3100-000040000000}"/>
    <hyperlink ref="F30" r:id="rId66" tooltip="Visit facebook.com/showtilesnaxxar/" xr:uid="{00000000-0004-0000-3100-000041000000}"/>
    <hyperlink ref="F31" r:id="rId67" tooltip="Visit facebook.com/RGroupMalta" xr:uid="{00000000-0004-0000-3100-000042000000}"/>
    <hyperlink ref="F32" r:id="rId68" tooltip="Visit mrcd.com.mt/en/home.htm" xr:uid="{00000000-0004-0000-3100-000043000000}"/>
  </hyperlinks>
  <pageMargins left="0.75" right="0.75" top="0.75" bottom="0.5" header="0.5" footer="0.7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44"/>
  <sheetViews>
    <sheetView workbookViewId="0"/>
  </sheetViews>
  <sheetFormatPr defaultRowHeight="14.4" x14ac:dyDescent="0.3"/>
  <cols>
    <col min="1" max="1" width="12.5546875" customWidth="1"/>
    <col min="2" max="2" width="32" customWidth="1"/>
    <col min="3" max="3" width="38" customWidth="1"/>
    <col min="4" max="4" width="18.6640625" customWidth="1"/>
    <col min="5" max="5" width="10.88671875" customWidth="1"/>
    <col min="6" max="6" width="11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3046</v>
      </c>
      <c r="B2" s="2" t="s">
        <v>3144</v>
      </c>
      <c r="C2" s="3" t="s">
        <v>720</v>
      </c>
      <c r="D2" s="2" t="str">
        <f>CONCATENATE(HYPERLINK("CALLTO:%2B356%202143%206361", "+356 2143 6361"))</f>
        <v>+356 2143 6361</v>
      </c>
      <c r="E2" s="2"/>
      <c r="F2" s="2"/>
    </row>
    <row r="3" spans="1:6" x14ac:dyDescent="0.3">
      <c r="A3" s="4" t="s">
        <v>3046</v>
      </c>
      <c r="B3" s="4" t="s">
        <v>3145</v>
      </c>
      <c r="C3" s="5" t="s">
        <v>3176</v>
      </c>
      <c r="D3" s="4"/>
      <c r="E3" s="4"/>
      <c r="F3" s="4"/>
    </row>
    <row r="4" spans="1:6" x14ac:dyDescent="0.3">
      <c r="A4" s="2" t="s">
        <v>3046</v>
      </c>
      <c r="B4" s="2" t="s">
        <v>3146</v>
      </c>
      <c r="C4" s="3" t="s">
        <v>3177</v>
      </c>
      <c r="D4" s="2"/>
      <c r="E4" s="2"/>
      <c r="F4" s="2"/>
    </row>
    <row r="5" spans="1:6" x14ac:dyDescent="0.3">
      <c r="A5" s="4" t="s">
        <v>3046</v>
      </c>
      <c r="B5" s="4" t="s">
        <v>2232</v>
      </c>
      <c r="C5" s="5" t="s">
        <v>2163</v>
      </c>
      <c r="D5" s="4"/>
      <c r="E5" s="4"/>
      <c r="F5" s="4"/>
    </row>
    <row r="6" spans="1:6" x14ac:dyDescent="0.3">
      <c r="A6" s="2" t="s">
        <v>3046</v>
      </c>
      <c r="B6" s="2" t="s">
        <v>1259</v>
      </c>
      <c r="C6" s="3" t="s">
        <v>3178</v>
      </c>
      <c r="D6" s="2"/>
      <c r="E6" s="2"/>
      <c r="F6" s="2"/>
    </row>
    <row r="7" spans="1:6" x14ac:dyDescent="0.3">
      <c r="A7" s="4" t="s">
        <v>3046</v>
      </c>
      <c r="B7" s="4" t="s">
        <v>3147</v>
      </c>
      <c r="C7" s="5" t="s">
        <v>3179</v>
      </c>
      <c r="D7" s="4"/>
      <c r="E7" s="4"/>
      <c r="F7" s="4"/>
    </row>
    <row r="8" spans="1:6" x14ac:dyDescent="0.3">
      <c r="A8" s="2" t="s">
        <v>3139</v>
      </c>
      <c r="B8" s="2" t="s">
        <v>3148</v>
      </c>
      <c r="C8" s="3" t="s">
        <v>3180</v>
      </c>
      <c r="D8" s="2"/>
      <c r="E8" s="2"/>
      <c r="F8" s="2"/>
    </row>
    <row r="9" spans="1:6" x14ac:dyDescent="0.3">
      <c r="A9" s="4" t="s">
        <v>3046</v>
      </c>
      <c r="B9" s="4" t="s">
        <v>1210</v>
      </c>
      <c r="C9" s="5" t="s">
        <v>1287</v>
      </c>
      <c r="D9" s="4"/>
      <c r="E9" s="4"/>
      <c r="F9" s="4"/>
    </row>
    <row r="10" spans="1:6" x14ac:dyDescent="0.3">
      <c r="A10" s="2" t="s">
        <v>3046</v>
      </c>
      <c r="B10" s="2" t="s">
        <v>3149</v>
      </c>
      <c r="C10" s="3" t="s">
        <v>1289</v>
      </c>
      <c r="D10" s="2"/>
      <c r="E10" s="2"/>
      <c r="F10" s="2"/>
    </row>
    <row r="11" spans="1:6" x14ac:dyDescent="0.3">
      <c r="A11" s="4" t="s">
        <v>3046</v>
      </c>
      <c r="B11" s="4" t="s">
        <v>3150</v>
      </c>
      <c r="C11" s="5" t="s">
        <v>3181</v>
      </c>
      <c r="D11" s="4"/>
      <c r="E11" s="4"/>
      <c r="F11" s="4"/>
    </row>
    <row r="12" spans="1:6" x14ac:dyDescent="0.3">
      <c r="A12" s="2" t="s">
        <v>3046</v>
      </c>
      <c r="B12" s="2" t="s">
        <v>3151</v>
      </c>
      <c r="C12" s="3" t="s">
        <v>3107</v>
      </c>
      <c r="D12" s="2"/>
      <c r="E12" s="2"/>
      <c r="F12" s="2"/>
    </row>
    <row r="13" spans="1:6" x14ac:dyDescent="0.3">
      <c r="A13" s="4" t="s">
        <v>3046</v>
      </c>
      <c r="B13" s="4" t="s">
        <v>3152</v>
      </c>
      <c r="C13" s="5" t="s">
        <v>3182</v>
      </c>
      <c r="D13" s="4"/>
      <c r="E13" s="4"/>
      <c r="F13" s="4"/>
    </row>
    <row r="14" spans="1:6" x14ac:dyDescent="0.3">
      <c r="A14" s="2" t="s">
        <v>3046</v>
      </c>
      <c r="B14" s="2" t="s">
        <v>3153</v>
      </c>
      <c r="C14" s="3" t="s">
        <v>3183</v>
      </c>
      <c r="D14" s="2"/>
      <c r="E14" s="2"/>
      <c r="F14" s="2"/>
    </row>
    <row r="15" spans="1:6" x14ac:dyDescent="0.3">
      <c r="A15" s="4" t="s">
        <v>3046</v>
      </c>
      <c r="B15" s="4" t="s">
        <v>3154</v>
      </c>
      <c r="C15" s="5" t="s">
        <v>1283</v>
      </c>
      <c r="D15" s="4"/>
      <c r="E15" s="4"/>
      <c r="F15" s="4"/>
    </row>
    <row r="16" spans="1:6" x14ac:dyDescent="0.3">
      <c r="A16" s="2" t="s">
        <v>3046</v>
      </c>
      <c r="B16" s="2" t="s">
        <v>3155</v>
      </c>
      <c r="C16" s="3" t="s">
        <v>1291</v>
      </c>
      <c r="D16" s="2"/>
      <c r="E16" s="2"/>
      <c r="F16" s="2"/>
    </row>
    <row r="17" spans="1:6" x14ac:dyDescent="0.3">
      <c r="A17" s="4" t="s">
        <v>3046</v>
      </c>
      <c r="B17" s="4" t="s">
        <v>3156</v>
      </c>
      <c r="C17" s="5" t="s">
        <v>860</v>
      </c>
      <c r="D17" s="4"/>
      <c r="E17" s="4"/>
      <c r="F17" s="4"/>
    </row>
    <row r="18" spans="1:6" x14ac:dyDescent="0.3">
      <c r="A18" s="2" t="s">
        <v>3046</v>
      </c>
      <c r="B18" s="2" t="s">
        <v>3157</v>
      </c>
      <c r="C18" s="3" t="s">
        <v>3184</v>
      </c>
      <c r="D18" s="2"/>
      <c r="E18" s="2"/>
      <c r="F18" s="2"/>
    </row>
    <row r="19" spans="1:6" x14ac:dyDescent="0.3">
      <c r="A19" s="4" t="s">
        <v>3046</v>
      </c>
      <c r="B19" s="4" t="s">
        <v>3158</v>
      </c>
      <c r="C19" s="4" t="s">
        <v>3185</v>
      </c>
      <c r="D19" s="4"/>
      <c r="E19" s="4"/>
      <c r="F19" s="4"/>
    </row>
    <row r="20" spans="1:6" x14ac:dyDescent="0.3">
      <c r="A20" s="2" t="s">
        <v>3046</v>
      </c>
      <c r="B20" s="2" t="s">
        <v>3159</v>
      </c>
      <c r="C20" s="3" t="s">
        <v>1311</v>
      </c>
      <c r="D20" s="2"/>
      <c r="E20" s="2"/>
      <c r="F20" s="2"/>
    </row>
    <row r="21" spans="1:6" x14ac:dyDescent="0.3">
      <c r="A21" s="4" t="s">
        <v>3046</v>
      </c>
      <c r="B21" s="4" t="s">
        <v>3160</v>
      </c>
      <c r="C21" s="5" t="s">
        <v>855</v>
      </c>
      <c r="D21" s="4"/>
      <c r="E21" s="4"/>
      <c r="F21" s="4"/>
    </row>
    <row r="22" spans="1:6" x14ac:dyDescent="0.3">
      <c r="A22" s="2" t="s">
        <v>3046</v>
      </c>
      <c r="B22" s="2" t="s">
        <v>3161</v>
      </c>
      <c r="C22" s="3" t="s">
        <v>1332</v>
      </c>
      <c r="D22" s="2"/>
      <c r="E22" s="2"/>
      <c r="F22" s="2"/>
    </row>
    <row r="23" spans="1:6" x14ac:dyDescent="0.3">
      <c r="A23" s="4" t="s">
        <v>3046</v>
      </c>
      <c r="B23" s="4" t="s">
        <v>3162</v>
      </c>
      <c r="C23" s="5" t="s">
        <v>3186</v>
      </c>
      <c r="D23" s="4"/>
      <c r="E23" s="4"/>
      <c r="F23" s="4"/>
    </row>
    <row r="24" spans="1:6" x14ac:dyDescent="0.3">
      <c r="A24" s="2" t="s">
        <v>3046</v>
      </c>
      <c r="B24" s="2" t="s">
        <v>3163</v>
      </c>
      <c r="C24" s="3" t="s">
        <v>1316</v>
      </c>
      <c r="D24" s="2"/>
      <c r="E24" s="2"/>
      <c r="F24" s="2"/>
    </row>
    <row r="25" spans="1:6" x14ac:dyDescent="0.3">
      <c r="A25" s="4" t="s">
        <v>3046</v>
      </c>
      <c r="B25" s="4" t="s">
        <v>3164</v>
      </c>
      <c r="C25" s="5" t="s">
        <v>1318</v>
      </c>
      <c r="D25" s="4"/>
      <c r="E25" s="4"/>
      <c r="F25" s="4"/>
    </row>
    <row r="26" spans="1:6" x14ac:dyDescent="0.3">
      <c r="A26" s="2" t="s">
        <v>3046</v>
      </c>
      <c r="B26" s="2" t="s">
        <v>1232</v>
      </c>
      <c r="C26" s="3" t="s">
        <v>1288</v>
      </c>
      <c r="D26" s="2"/>
      <c r="E26" s="2"/>
      <c r="F26" s="2"/>
    </row>
    <row r="27" spans="1:6" x14ac:dyDescent="0.3">
      <c r="A27" s="4" t="s">
        <v>3046</v>
      </c>
      <c r="B27" s="4" t="s">
        <v>3165</v>
      </c>
      <c r="C27" s="5" t="s">
        <v>1273</v>
      </c>
      <c r="D27" s="4"/>
      <c r="E27" s="4"/>
      <c r="F27" s="4"/>
    </row>
    <row r="28" spans="1:6" x14ac:dyDescent="0.3">
      <c r="A28" s="2" t="s">
        <v>3046</v>
      </c>
      <c r="B28" s="2" t="s">
        <v>3166</v>
      </c>
      <c r="C28" s="3" t="s">
        <v>3187</v>
      </c>
      <c r="D28" s="2"/>
      <c r="E28" s="2"/>
      <c r="F28" s="2"/>
    </row>
    <row r="29" spans="1:6" x14ac:dyDescent="0.3">
      <c r="A29" s="4" t="s">
        <v>3046</v>
      </c>
      <c r="B29" s="4" t="s">
        <v>3167</v>
      </c>
      <c r="C29" s="5" t="s">
        <v>1304</v>
      </c>
      <c r="D29" s="4"/>
      <c r="E29" s="4"/>
      <c r="F29" s="4"/>
    </row>
    <row r="30" spans="1:6" x14ac:dyDescent="0.3">
      <c r="A30" s="2" t="s">
        <v>3046</v>
      </c>
      <c r="B30" s="2" t="s">
        <v>1251</v>
      </c>
      <c r="C30" s="3" t="s">
        <v>1321</v>
      </c>
      <c r="D30" s="2"/>
      <c r="E30" s="2"/>
      <c r="F30" s="2"/>
    </row>
    <row r="31" spans="1:6" x14ac:dyDescent="0.3">
      <c r="A31" s="4" t="s">
        <v>3046</v>
      </c>
      <c r="B31" s="4" t="s">
        <v>3168</v>
      </c>
      <c r="C31" s="5" t="s">
        <v>3188</v>
      </c>
      <c r="D31" s="4"/>
      <c r="E31" s="4"/>
      <c r="F31" s="4"/>
    </row>
    <row r="32" spans="1:6" x14ac:dyDescent="0.3">
      <c r="A32" s="2" t="s">
        <v>3046</v>
      </c>
      <c r="B32" s="2" t="s">
        <v>1220</v>
      </c>
      <c r="C32" s="3" t="s">
        <v>1295</v>
      </c>
      <c r="D32" s="2"/>
      <c r="E32" s="2"/>
      <c r="F32" s="2"/>
    </row>
    <row r="33" spans="1:6" x14ac:dyDescent="0.3">
      <c r="A33" s="4" t="s">
        <v>3046</v>
      </c>
      <c r="B33" s="4" t="s">
        <v>1218</v>
      </c>
      <c r="C33" s="5" t="s">
        <v>1294</v>
      </c>
      <c r="D33" s="4"/>
      <c r="E33" s="4"/>
      <c r="F33" s="4"/>
    </row>
    <row r="34" spans="1:6" x14ac:dyDescent="0.3">
      <c r="A34" s="2" t="s">
        <v>3046</v>
      </c>
      <c r="B34" s="2" t="s">
        <v>3169</v>
      </c>
      <c r="C34" s="3" t="s">
        <v>3189</v>
      </c>
      <c r="D34" s="2"/>
      <c r="E34" s="2"/>
      <c r="F34" s="2"/>
    </row>
    <row r="35" spans="1:6" x14ac:dyDescent="0.3">
      <c r="A35" s="4" t="s">
        <v>3046</v>
      </c>
      <c r="B35" s="4" t="s">
        <v>3170</v>
      </c>
      <c r="C35" s="5" t="s">
        <v>3190</v>
      </c>
      <c r="D35" s="4"/>
      <c r="E35" s="4"/>
      <c r="F35" s="4"/>
    </row>
    <row r="36" spans="1:6" x14ac:dyDescent="0.3">
      <c r="A36" s="2" t="s">
        <v>3046</v>
      </c>
      <c r="B36" s="2" t="s">
        <v>1241</v>
      </c>
      <c r="C36" s="3" t="s">
        <v>1313</v>
      </c>
      <c r="D36" s="2"/>
      <c r="E36" s="2"/>
      <c r="F36" s="2"/>
    </row>
    <row r="37" spans="1:6" x14ac:dyDescent="0.3">
      <c r="A37" s="4" t="s">
        <v>3046</v>
      </c>
      <c r="B37" s="4" t="s">
        <v>1233</v>
      </c>
      <c r="C37" s="5" t="s">
        <v>1306</v>
      </c>
      <c r="D37" s="4"/>
      <c r="E37" s="4"/>
      <c r="F37" s="4"/>
    </row>
    <row r="38" spans="1:6" x14ac:dyDescent="0.3">
      <c r="A38" s="2" t="s">
        <v>3046</v>
      </c>
      <c r="B38" s="2" t="s">
        <v>3171</v>
      </c>
      <c r="C38" s="3" t="s">
        <v>698</v>
      </c>
      <c r="D38" s="2"/>
      <c r="E38" s="2"/>
      <c r="F38" s="2"/>
    </row>
    <row r="39" spans="1:6" x14ac:dyDescent="0.3">
      <c r="A39" s="4" t="s">
        <v>3046</v>
      </c>
      <c r="B39" s="4" t="s">
        <v>1872</v>
      </c>
      <c r="C39" s="5" t="s">
        <v>864</v>
      </c>
      <c r="D39" s="4"/>
      <c r="E39" s="4"/>
      <c r="F39" s="4"/>
    </row>
    <row r="40" spans="1:6" x14ac:dyDescent="0.3">
      <c r="A40" s="2" t="s">
        <v>3046</v>
      </c>
      <c r="B40" s="2" t="s">
        <v>3172</v>
      </c>
      <c r="C40" s="3" t="s">
        <v>1299</v>
      </c>
      <c r="D40" s="2"/>
      <c r="E40" s="2"/>
      <c r="F40" s="2"/>
    </row>
    <row r="41" spans="1:6" x14ac:dyDescent="0.3">
      <c r="A41" s="4" t="s">
        <v>3046</v>
      </c>
      <c r="B41" s="4" t="s">
        <v>3173</v>
      </c>
      <c r="C41" s="5" t="s">
        <v>802</v>
      </c>
      <c r="D41" s="4"/>
      <c r="E41" s="4"/>
      <c r="F41" s="4"/>
    </row>
    <row r="42" spans="1:6" x14ac:dyDescent="0.3">
      <c r="A42" s="2" t="s">
        <v>3046</v>
      </c>
      <c r="B42" s="2" t="s">
        <v>1257</v>
      </c>
      <c r="C42" s="3" t="s">
        <v>1308</v>
      </c>
      <c r="D42" s="2"/>
      <c r="E42" s="2"/>
      <c r="F42" s="2"/>
    </row>
    <row r="43" spans="1:6" x14ac:dyDescent="0.3">
      <c r="A43" s="4" t="s">
        <v>3046</v>
      </c>
      <c r="B43" s="4" t="s">
        <v>3174</v>
      </c>
      <c r="C43" s="5" t="s">
        <v>1307</v>
      </c>
      <c r="D43" s="4"/>
      <c r="E43" s="4"/>
      <c r="F43" s="4"/>
    </row>
    <row r="44" spans="1:6" x14ac:dyDescent="0.3">
      <c r="A44" s="2" t="s">
        <v>3046</v>
      </c>
      <c r="B44" s="2" t="s">
        <v>3175</v>
      </c>
      <c r="C44" s="3" t="s">
        <v>3191</v>
      </c>
      <c r="D44" s="2"/>
      <c r="E44" s="2"/>
      <c r="F44" s="2"/>
    </row>
  </sheetData>
  <hyperlinks>
    <hyperlink ref="C2" r:id="rId1" tooltip="Send a mail to tilesandmarbleinfo@gmail.com" xr:uid="{00000000-0004-0000-3200-000000000000}"/>
    <hyperlink ref="C3" r:id="rId2" tooltip="Send a mail to tilesatwholesaleprices@gmail.com" xr:uid="{00000000-0004-0000-3200-000001000000}"/>
    <hyperlink ref="C4" r:id="rId3" tooltip="Send a mail to sales@fos.mt" xr:uid="{00000000-0004-0000-3200-000002000000}"/>
    <hyperlink ref="C5" r:id="rId4" tooltip="Send a mail to info@satariano.com" xr:uid="{00000000-0004-0000-3200-000003000000}"/>
    <hyperlink ref="C6" r:id="rId5" tooltip="Send a mail to showroom@vellafalzon.com" xr:uid="{00000000-0004-0000-3200-000004000000}"/>
    <hyperlink ref="C7" r:id="rId6" tooltip="Send a mail to info@aandatiles.com" xr:uid="{00000000-0004-0000-3200-000005000000}"/>
    <hyperlink ref="C8" r:id="rId7" tooltip="Send a mail to info@maltatiles.com" xr:uid="{00000000-0004-0000-3200-000006000000}"/>
    <hyperlink ref="C9" r:id="rId8" tooltip="Send a mail to info@the-tile.com" xr:uid="{00000000-0004-0000-3200-000007000000}"/>
    <hyperlink ref="C10" r:id="rId9" tooltip="Send a mail to info@tilewarehousemalta.com" xr:uid="{00000000-0004-0000-3200-000008000000}"/>
    <hyperlink ref="C11" r:id="rId10" tooltip="Send a mail to malta@iperceramica.it" xr:uid="{00000000-0004-0000-3200-000009000000}"/>
    <hyperlink ref="C12" r:id="rId11" tooltip="Send a mail to tresortradingltd@gmail.com" xr:uid="{00000000-0004-0000-3200-00000A000000}"/>
    <hyperlink ref="C13" r:id="rId12" tooltip="Send a mail to j.centrobagno@gmail.com" xr:uid="{00000000-0004-0000-3200-00000B000000}"/>
    <hyperlink ref="C14" r:id="rId13" tooltip="Send a mail to patrick@uniq.mt" xr:uid="{00000000-0004-0000-3200-00000C000000}"/>
    <hyperlink ref="C15" r:id="rId14" tooltip="Send a mail to info@vellmann.com" xr:uid="{00000000-0004-0000-3200-00000D000000}"/>
    <hyperlink ref="C16" r:id="rId15" tooltip="Send a mail to sales@carinibathrooms.com" xr:uid="{00000000-0004-0000-3200-00000E000000}"/>
    <hyperlink ref="C17" r:id="rId16" tooltip="Send a mail to info@mrcd.com.mt" xr:uid="{00000000-0004-0000-3200-00000F000000}"/>
    <hyperlink ref="C18" r:id="rId17" tooltip="Send a mail to faenzadiybathroom@gmail.com" xr:uid="{00000000-0004-0000-3200-000010000000}"/>
    <hyperlink ref="C20" r:id="rId18" tooltip="Send a mail to jovanpisani@keramitbathrooms.com" xr:uid="{00000000-0004-0000-3200-000011000000}"/>
    <hyperlink ref="C21" r:id="rId19" tooltip="Send a mail to info@absolute.com.mt" xr:uid="{00000000-0004-0000-3200-000012000000}"/>
    <hyperlink ref="C22" r:id="rId20" tooltip="Send a mail to info@idealbathrooms.com.mt" xr:uid="{00000000-0004-0000-3200-000013000000}"/>
    <hyperlink ref="C23" r:id="rId21" tooltip="Send a mail to info@valour.mt" xr:uid="{00000000-0004-0000-3200-000014000000}"/>
    <hyperlink ref="C24" r:id="rId22" tooltip="Send a mail to info@ssbathrooms.com" xr:uid="{00000000-0004-0000-3200-000015000000}"/>
    <hyperlink ref="C25" r:id="rId23" tooltip="Send a mail to info@vivo.com.mt" xr:uid="{00000000-0004-0000-3200-000016000000}"/>
    <hyperlink ref="C26" r:id="rId24" tooltip="Send a mail to info@bathroomdesign.com.mt" xr:uid="{00000000-0004-0000-3200-000017000000}"/>
    <hyperlink ref="C27" r:id="rId25" tooltip="Send a mail to info@banjuboutique.com" xr:uid="{00000000-0004-0000-3200-000018000000}"/>
    <hyperlink ref="C28" r:id="rId26" tooltip="Send a mail to anthony@lqmco.com" xr:uid="{00000000-0004-0000-3200-000019000000}"/>
    <hyperlink ref="C29" r:id="rId27" tooltip="Send a mail to meli@avantebathrooms.com" xr:uid="{00000000-0004-0000-3200-00001A000000}"/>
    <hyperlink ref="C30" r:id="rId28" tooltip="Send a mail to info@bathlinemalta.com" xr:uid="{00000000-0004-0000-3200-00001B000000}"/>
    <hyperlink ref="C31" r:id="rId29" tooltip="Send a mail to mireille@jpitre.com" xr:uid="{00000000-0004-0000-3200-00001C000000}"/>
    <hyperlink ref="C32" r:id="rId30" tooltip="Send a mail to info@bmsupplies.com" xr:uid="{00000000-0004-0000-3200-00001D000000}"/>
    <hyperlink ref="C33" r:id="rId31" tooltip="Send a mail to bc.bathrooms@gmail.com" xr:uid="{00000000-0004-0000-3200-00001E000000}"/>
    <hyperlink ref="C34" r:id="rId32" tooltip="Send a mail to info@calcatta-ceramica.com" xr:uid="{00000000-0004-0000-3200-00001F000000}"/>
    <hyperlink ref="C35" r:id="rId33" tooltip="Send a mail to Giorgiprojectpointltd@gmail.com" xr:uid="{00000000-0004-0000-3200-000020000000}"/>
    <hyperlink ref="C36" r:id="rId34" tooltip="Send a mail to modabagnor@gmail.com" xr:uid="{00000000-0004-0000-3200-000021000000}"/>
    <hyperlink ref="C37" r:id="rId35" tooltip="Send a mail to calbrosltd@gmail.com" xr:uid="{00000000-0004-0000-3200-000022000000}"/>
    <hyperlink ref="C38" r:id="rId36" tooltip="Send a mail to info@designhubmalta.com.mt" xr:uid="{00000000-0004-0000-3200-000023000000}"/>
    <hyperlink ref="C39" r:id="rId37" tooltip="Send a mail to info@distincthomes.com.mt" xr:uid="{00000000-0004-0000-3200-000024000000}"/>
    <hyperlink ref="C40" r:id="rId38" tooltip="Send a mail to cristalbath@onvol.net" xr:uid="{00000000-0004-0000-3200-000025000000}"/>
    <hyperlink ref="C41" r:id="rId39" tooltip="Send a mail to info@andrewvassallo.com" xr:uid="{00000000-0004-0000-3200-000026000000}"/>
    <hyperlink ref="C42" r:id="rId40" tooltip="Send a mail to info@farellbathrooms.com" xr:uid="{00000000-0004-0000-3200-000027000000}"/>
    <hyperlink ref="C43" r:id="rId41" tooltip="Send a mail to classic-bathrooms@outlook.com" xr:uid="{00000000-0004-0000-3200-000028000000}"/>
    <hyperlink ref="C44" r:id="rId42" tooltip="Send a mail to neil.galea698@gmail.com" xr:uid="{00000000-0004-0000-3200-000029000000}"/>
  </hyperlinks>
  <pageMargins left="0.75" right="0.75" top="0.75" bottom="0.5" header="0.5" footer="0.7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6"/>
  <sheetViews>
    <sheetView workbookViewId="0"/>
  </sheetViews>
  <sheetFormatPr defaultRowHeight="14.4" x14ac:dyDescent="0.3"/>
  <cols>
    <col min="1" max="1" width="13.6640625" customWidth="1"/>
    <col min="2" max="2" width="24.6640625" customWidth="1"/>
    <col min="3" max="3" width="33.44140625" customWidth="1"/>
    <col min="4" max="4" width="29.88671875" customWidth="1"/>
    <col min="5" max="5" width="38.88671875" customWidth="1"/>
    <col min="6" max="6" width="51.5546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526</v>
      </c>
      <c r="F1" s="1" t="s">
        <v>532</v>
      </c>
    </row>
    <row r="2" spans="1:6" x14ac:dyDescent="0.3">
      <c r="A2" s="2" t="s">
        <v>3192</v>
      </c>
      <c r="B2" s="2" t="s">
        <v>3193</v>
      </c>
      <c r="C2" s="3" t="s">
        <v>3201</v>
      </c>
      <c r="D2" s="2" t="str">
        <f>CONCATENATE(HYPERLINK("CALLTO:%2B356%209999%200247", "+356 9999 0247"))</f>
        <v>+356 9999 0247</v>
      </c>
      <c r="E2" s="3" t="s">
        <v>3206</v>
      </c>
      <c r="F2" s="3" t="s">
        <v>3042</v>
      </c>
    </row>
    <row r="3" spans="1:6" x14ac:dyDescent="0.3">
      <c r="A3" s="4" t="s">
        <v>3192</v>
      </c>
      <c r="B3" s="4" t="s">
        <v>3033</v>
      </c>
      <c r="C3" s="5" t="s">
        <v>3199</v>
      </c>
      <c r="D3" s="4" t="str">
        <f>CONCATENATE(HYPERLINK("CALLTO:%2B356%202144%201611", "+356 2144 1611"), " / ", HYPERLINK("CALLTO:%2B356%207777%204240", "+356 7777 4240"))</f>
        <v>+356 2144 1611 / +356 7777 4240</v>
      </c>
      <c r="E3" s="5" t="s">
        <v>3039</v>
      </c>
      <c r="F3" s="5" t="s">
        <v>3211</v>
      </c>
    </row>
    <row r="4" spans="1:6" x14ac:dyDescent="0.3">
      <c r="A4" s="2" t="s">
        <v>3192</v>
      </c>
      <c r="B4" s="2" t="s">
        <v>688</v>
      </c>
      <c r="C4" s="3" t="s">
        <v>717</v>
      </c>
      <c r="D4" s="2" t="str">
        <f>CONCATENATE(HYPERLINK("CALLTO:%2B356%207940%200404", "+356 7940 0404"))</f>
        <v>+356 7940 0404</v>
      </c>
      <c r="E4" s="3" t="s">
        <v>3207</v>
      </c>
      <c r="F4" s="3" t="s">
        <v>3212</v>
      </c>
    </row>
    <row r="5" spans="1:6" x14ac:dyDescent="0.3">
      <c r="A5" s="4" t="s">
        <v>3192</v>
      </c>
      <c r="B5" s="4" t="s">
        <v>3194</v>
      </c>
      <c r="C5" s="5" t="s">
        <v>3202</v>
      </c>
      <c r="D5" s="4" t="str">
        <f>CONCATENATE(HYPERLINK("CALLTO:%2B356%209949%203628", "+356 9949 3628"))</f>
        <v>+356 9949 3628</v>
      </c>
      <c r="E5" s="5" t="s">
        <v>3208</v>
      </c>
      <c r="F5" s="5" t="s">
        <v>3213</v>
      </c>
    </row>
    <row r="6" spans="1:6" x14ac:dyDescent="0.3">
      <c r="A6" s="2" t="s">
        <v>3192</v>
      </c>
      <c r="B6" s="2" t="s">
        <v>1547</v>
      </c>
      <c r="C6" s="3" t="s">
        <v>1632</v>
      </c>
      <c r="D6" s="2" t="str">
        <f>CONCATENATE(HYPERLINK("CALLTO:%2B356%207710%205385", "+356 7710 5385"))</f>
        <v>+356 7710 5385</v>
      </c>
      <c r="E6" s="3" t="s">
        <v>3210</v>
      </c>
      <c r="F6" s="3" t="s">
        <v>3214</v>
      </c>
    </row>
    <row r="7" spans="1:6" x14ac:dyDescent="0.3">
      <c r="A7" s="4" t="s">
        <v>3192</v>
      </c>
      <c r="B7" s="4" t="s">
        <v>3195</v>
      </c>
      <c r="C7" s="5" t="s">
        <v>796</v>
      </c>
      <c r="D7" s="4" t="str">
        <f>CONCATENATE(HYPERLINK("CALLTO:%2B356%207777%201522", "+356 7777 1522"))</f>
        <v>+356 7777 1522</v>
      </c>
      <c r="E7" s="5" t="s">
        <v>1036</v>
      </c>
      <c r="F7" s="5" t="s">
        <v>3215</v>
      </c>
    </row>
    <row r="8" spans="1:6" x14ac:dyDescent="0.3">
      <c r="A8" s="2" t="s">
        <v>3192</v>
      </c>
      <c r="B8" s="2" t="s">
        <v>993</v>
      </c>
      <c r="C8" s="3" t="s">
        <v>1015</v>
      </c>
      <c r="D8" s="2" t="str">
        <f>CONCATENATE(HYPERLINK("CALLTO:%2B356%202137%207378", "+356 2137 7378"))</f>
        <v>+356 2137 7378</v>
      </c>
      <c r="E8" s="2"/>
      <c r="F8" s="3" t="s">
        <v>3216</v>
      </c>
    </row>
    <row r="9" spans="1:6" x14ac:dyDescent="0.3">
      <c r="A9" s="4" t="s">
        <v>3192</v>
      </c>
      <c r="B9" s="4" t="s">
        <v>3196</v>
      </c>
      <c r="C9" s="5" t="s">
        <v>3203</v>
      </c>
      <c r="D9" s="4"/>
      <c r="E9" s="4"/>
      <c r="F9" s="5" t="s">
        <v>3217</v>
      </c>
    </row>
    <row r="10" spans="1:6" x14ac:dyDescent="0.3">
      <c r="A10" s="2"/>
      <c r="B10" s="2" t="s">
        <v>3197</v>
      </c>
      <c r="C10" s="3" t="s">
        <v>801</v>
      </c>
      <c r="D10" s="2"/>
      <c r="E10" s="2"/>
      <c r="F10" s="3" t="s">
        <v>3218</v>
      </c>
    </row>
    <row r="11" spans="1:6" x14ac:dyDescent="0.3">
      <c r="A11" s="4"/>
      <c r="B11" s="4" t="s">
        <v>3198</v>
      </c>
      <c r="C11" s="5" t="s">
        <v>3204</v>
      </c>
      <c r="D11" s="4"/>
      <c r="E11" s="4"/>
      <c r="F11" s="4"/>
    </row>
    <row r="12" spans="1:6" x14ac:dyDescent="0.3">
      <c r="A12" s="2"/>
      <c r="B12" s="2" t="s">
        <v>3080</v>
      </c>
      <c r="C12" s="3" t="s">
        <v>3107</v>
      </c>
      <c r="D12" s="2"/>
      <c r="E12" s="2"/>
      <c r="F12" s="2"/>
    </row>
    <row r="13" spans="1:6" x14ac:dyDescent="0.3">
      <c r="A13" s="4"/>
      <c r="B13" s="4" t="s">
        <v>3200</v>
      </c>
      <c r="C13" s="5" t="s">
        <v>3205</v>
      </c>
      <c r="D13" s="4"/>
      <c r="E13" s="4"/>
      <c r="F13" s="4"/>
    </row>
    <row r="14" spans="1:6" x14ac:dyDescent="0.3">
      <c r="A14" s="2"/>
      <c r="B14" s="2" t="s">
        <v>1205</v>
      </c>
      <c r="C14" s="3" t="s">
        <v>1283</v>
      </c>
      <c r="D14" s="2"/>
      <c r="E14" s="2"/>
      <c r="F14" s="2"/>
    </row>
    <row r="15" spans="1:6" x14ac:dyDescent="0.3">
      <c r="A15" s="4"/>
      <c r="B15" s="4" t="s">
        <v>1210</v>
      </c>
      <c r="C15" s="5" t="s">
        <v>1287</v>
      </c>
      <c r="D15" s="4"/>
      <c r="E15" s="4"/>
      <c r="F15" s="4"/>
    </row>
    <row r="16" spans="1:6" x14ac:dyDescent="0.3">
      <c r="A16" s="2"/>
      <c r="B16" s="2" t="s">
        <v>847</v>
      </c>
      <c r="C16" s="3" t="s">
        <v>856</v>
      </c>
      <c r="D16" s="2"/>
      <c r="E16" s="2"/>
      <c r="F16" s="2"/>
    </row>
  </sheetData>
  <hyperlinks>
    <hyperlink ref="C2" r:id="rId1" tooltip="Send a mail to info@advancedsafety.com.mt" xr:uid="{00000000-0004-0000-3300-000000000000}"/>
    <hyperlink ref="C3" r:id="rId2" tooltip="Send a mail to info@itpmalta.com" xr:uid="{00000000-0004-0000-3300-000001000000}"/>
    <hyperlink ref="C4" r:id="rId3" tooltip="Send a mail to sales@seamless.com.mt" xr:uid="{00000000-0004-0000-3300-000002000000}"/>
    <hyperlink ref="C5" r:id="rId4" tooltip="Send a mail to tcj@mbm.com.mt" xr:uid="{00000000-0004-0000-3300-000003000000}"/>
    <hyperlink ref="C6" r:id="rId5" tooltip="Send a mail to sales@malta-design.com" xr:uid="{00000000-0004-0000-3300-000004000000}"/>
    <hyperlink ref="C7" r:id="rId6" tooltip="Send a mail to contact@kibitec.com" xr:uid="{00000000-0004-0000-3300-000005000000}"/>
    <hyperlink ref="C8" r:id="rId7" tooltip="Send a mail to info@grfmalta.com" xr:uid="{00000000-0004-0000-3300-000006000000}"/>
    <hyperlink ref="C9" r:id="rId8" tooltip="Send a mail to borgconstructionworks@gmail.com" xr:uid="{00000000-0004-0000-3300-000007000000}"/>
    <hyperlink ref="C10" r:id="rId9" tooltip="Send a mail to sales@jmvibro.com" xr:uid="{00000000-0004-0000-3300-000008000000}"/>
    <hyperlink ref="C11" r:id="rId10" tooltip="Send a mail to Pronesti@mail.com" xr:uid="{00000000-0004-0000-3300-000009000000}"/>
    <hyperlink ref="C12" r:id="rId11" tooltip="Send a mail to tresortradingltd@gmail.com" xr:uid="{00000000-0004-0000-3300-00000A000000}"/>
    <hyperlink ref="C13" r:id="rId12" tooltip="Send a mail to giorgiprojectpointltd@gmail.com" xr:uid="{00000000-0004-0000-3300-00000B000000}"/>
    <hyperlink ref="C14" r:id="rId13" tooltip="Send a mail to info@vellmann.com" xr:uid="{00000000-0004-0000-3300-00000C000000}"/>
    <hyperlink ref="C15" r:id="rId14" tooltip="Send a mail to info@the-tile.com" xr:uid="{00000000-0004-0000-3300-00000D000000}"/>
    <hyperlink ref="C16" r:id="rId15" tooltip="Send a mail to info@jpitre.com" xr:uid="{00000000-0004-0000-3300-00000E000000}"/>
    <hyperlink ref="E2" r:id="rId16" tooltip="Search San Pawl il‑Baħar / Bugibba, Malta on Google Maps" xr:uid="{00000000-0004-0000-3300-00000F000000}"/>
    <hyperlink ref="E3" r:id="rId17" tooltip="Search 12, Triq il-Parroċċa _x000a_SVR 1262_x000a_Santa Venera on Google Maps" xr:uid="{00000000-0004-0000-3300-000010000000}"/>
    <hyperlink ref="E4" r:id="rId18" tooltip="Search M4 Shopping Complex, Triq il-Linja, Attard on Google Maps" xr:uid="{00000000-0004-0000-3300-000011000000}"/>
    <hyperlink ref="E5" r:id="rId19" tooltip="Search San Giljan, Malta on Google Maps" xr:uid="{00000000-0004-0000-3300-000012000000}"/>
    <hyperlink ref="E6" r:id="rId20" tooltip="Search Triq Domenico Cachia 54_x000a_Birkirkara, BKR1017, Malta on Google Maps" xr:uid="{00000000-0004-0000-3300-000013000000}"/>
    <hyperlink ref="E7" r:id="rId21" tooltip="Search 117 Triq L-Assemblea Nazzjonali,_x000a_San Gwann SGN 3034, Malta on Google Maps" xr:uid="{00000000-0004-0000-3300-000014000000}"/>
    <hyperlink ref="F2" r:id="rId22" tooltip="Visit madumahomeinteriors.com/" xr:uid="{00000000-0004-0000-3300-000015000000}"/>
    <hyperlink ref="F3" r:id="rId23" tooltip="Visit seamless.com.mt/" xr:uid="{00000000-0004-0000-3300-000016000000}"/>
    <hyperlink ref="F4" r:id="rId24" tooltip="Visit mbm.com.mt/" xr:uid="{00000000-0004-0000-3300-000017000000}"/>
    <hyperlink ref="F5" r:id="rId25" tooltip="Visit malta-design.com/en/?brid=OdwV4IO9rLodP231ucwrAg" xr:uid="{00000000-0004-0000-3300-000018000000}"/>
    <hyperlink ref="F6" r:id="rId26" tooltip="Visit kibitec.com/" xr:uid="{00000000-0004-0000-3300-000019000000}"/>
    <hyperlink ref="F7" r:id="rId27" tooltip="Visit grfmalta.com/contact/" xr:uid="{00000000-0004-0000-3300-00001A000000}"/>
    <hyperlink ref="F8" r:id="rId28" tooltip="Visit facebook.com/Dwarehouse23" xr:uid="{00000000-0004-0000-3300-00001B000000}"/>
    <hyperlink ref="F9" r:id="rId29" tooltip="Visit facebook.com/profile.php?id=61574532256025" xr:uid="{00000000-0004-0000-3300-00001C000000}"/>
    <hyperlink ref="F10" r:id="rId30" tooltip="Visit the-tile.com/concrete-effect-tiles.html" xr:uid="{00000000-0004-0000-3300-00001D000000}"/>
  </hyperlinks>
  <pageMargins left="0.75" right="0.75" top="0.75" bottom="0.5" header="0.5" footer="0.7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2"/>
  <sheetViews>
    <sheetView workbookViewId="0"/>
  </sheetViews>
  <sheetFormatPr defaultRowHeight="14.4" x14ac:dyDescent="0.3"/>
  <cols>
    <col min="1" max="1" width="14.109375" customWidth="1"/>
    <col min="2" max="2" width="23.33203125" customWidth="1"/>
    <col min="3" max="3" width="28" customWidth="1"/>
    <col min="4" max="4" width="18.6640625" customWidth="1"/>
    <col min="5" max="5" width="56.109375" customWidth="1"/>
    <col min="6" max="6" width="64.3320312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3209</v>
      </c>
      <c r="B2" s="2" t="s">
        <v>3220</v>
      </c>
      <c r="C2" s="3" t="s">
        <v>3229</v>
      </c>
      <c r="D2" s="2" t="str">
        <f>CONCATENATE(HYPERLINK("CALLTO:%2B356%207986%208924", "+356 7986 8924"))</f>
        <v>+356 7986 8924</v>
      </c>
      <c r="E2" s="3" t="s">
        <v>1173</v>
      </c>
      <c r="F2" s="3" t="s">
        <v>3244</v>
      </c>
    </row>
    <row r="3" spans="1:6" x14ac:dyDescent="0.3">
      <c r="A3" s="4" t="s">
        <v>3209</v>
      </c>
      <c r="B3" s="4" t="s">
        <v>3221</v>
      </c>
      <c r="C3" s="5" t="s">
        <v>783</v>
      </c>
      <c r="D3" s="4" t="str">
        <f>CONCATENATE(HYPERLINK("CALLTO:%2B356%202747%207647", "+356 2747 7647"))</f>
        <v>+356 2747 7647</v>
      </c>
      <c r="E3" s="5" t="s">
        <v>3236</v>
      </c>
      <c r="F3" s="5" t="s">
        <v>3245</v>
      </c>
    </row>
    <row r="4" spans="1:6" x14ac:dyDescent="0.3">
      <c r="A4" s="2" t="s">
        <v>3209</v>
      </c>
      <c r="B4" s="2" t="s">
        <v>3222</v>
      </c>
      <c r="C4" s="3" t="s">
        <v>3230</v>
      </c>
      <c r="D4" s="2" t="str">
        <f>CONCATENATE(HYPERLINK("CALLTO:%2B356%202148%203131", "+356 2148 3131"))</f>
        <v>+356 2148 3131</v>
      </c>
      <c r="E4" s="3" t="s">
        <v>3237</v>
      </c>
      <c r="F4" s="3" t="s">
        <v>3246</v>
      </c>
    </row>
    <row r="5" spans="1:6" x14ac:dyDescent="0.3">
      <c r="A5" s="4" t="s">
        <v>3209</v>
      </c>
      <c r="B5" s="4" t="s">
        <v>849</v>
      </c>
      <c r="C5" s="5" t="s">
        <v>858</v>
      </c>
      <c r="D5" s="4" t="str">
        <f>CONCATENATE(HYPERLINK("CALLTO:%2B356%202737%200730", "+356 2737 0730"))</f>
        <v>+356 2737 0730</v>
      </c>
      <c r="E5" s="5" t="s">
        <v>3238</v>
      </c>
      <c r="F5" s="5" t="s">
        <v>873</v>
      </c>
    </row>
    <row r="6" spans="1:6" x14ac:dyDescent="0.3">
      <c r="A6" s="2" t="s">
        <v>3209</v>
      </c>
      <c r="B6" s="2" t="s">
        <v>3223</v>
      </c>
      <c r="C6" s="3" t="s">
        <v>3231</v>
      </c>
      <c r="D6" s="2" t="str">
        <f>CONCATENATE(HYPERLINK("CALLTO:%2B356%202157%202759", "+356 2157 2759"))</f>
        <v>+356 2157 2759</v>
      </c>
      <c r="E6" s="3" t="s">
        <v>3240</v>
      </c>
      <c r="F6" s="3" t="s">
        <v>3247</v>
      </c>
    </row>
    <row r="7" spans="1:6" x14ac:dyDescent="0.3">
      <c r="A7" s="4" t="s">
        <v>3209</v>
      </c>
      <c r="B7" s="4" t="s">
        <v>3224</v>
      </c>
      <c r="C7" s="5" t="s">
        <v>801</v>
      </c>
      <c r="D7" s="4" t="str">
        <f>CONCATENATE(HYPERLINK("CALLTO:%2B356%202146%207421", "+356 2146 7421"))</f>
        <v>+356 2146 7421</v>
      </c>
      <c r="E7" s="5" t="s">
        <v>3239</v>
      </c>
      <c r="F7" s="5" t="s">
        <v>3248</v>
      </c>
    </row>
    <row r="8" spans="1:6" x14ac:dyDescent="0.3">
      <c r="A8" s="2" t="s">
        <v>3209</v>
      </c>
      <c r="B8" s="2" t="s">
        <v>3225</v>
      </c>
      <c r="C8" s="3" t="s">
        <v>3232</v>
      </c>
      <c r="D8" s="2" t="str">
        <f>CONCATENATE(HYPERLINK("CALLTO:%2B356%209987%203834", "+356 9987 3834"))</f>
        <v>+356 9987 3834</v>
      </c>
      <c r="E8" s="3" t="s">
        <v>3241</v>
      </c>
      <c r="F8" s="3" t="s">
        <v>3249</v>
      </c>
    </row>
    <row r="9" spans="1:6" x14ac:dyDescent="0.3">
      <c r="A9" s="4" t="s">
        <v>3209</v>
      </c>
      <c r="B9" s="4" t="s">
        <v>3226</v>
      </c>
      <c r="C9" s="5" t="s">
        <v>3233</v>
      </c>
      <c r="D9" s="4" t="str">
        <f>CONCATENATE(HYPERLINK("CALLTO:%2B356%207993%204883", "+356 7993 4883"))</f>
        <v>+356 7993 4883</v>
      </c>
      <c r="E9" s="5" t="s">
        <v>3242</v>
      </c>
      <c r="F9" s="5" t="s">
        <v>3250</v>
      </c>
    </row>
    <row r="10" spans="1:6" x14ac:dyDescent="0.3">
      <c r="A10" s="2" t="s">
        <v>3219</v>
      </c>
      <c r="B10" s="2" t="s">
        <v>3227</v>
      </c>
      <c r="C10" s="3" t="s">
        <v>3234</v>
      </c>
      <c r="D10" s="2" t="str">
        <f>CONCATENATE(HYPERLINK("CALLTO:%2B356%209933%204044", "+356 9933 4044"))</f>
        <v>+356 9933 4044</v>
      </c>
      <c r="E10" s="2"/>
      <c r="F10" s="3" t="s">
        <v>3251</v>
      </c>
    </row>
    <row r="11" spans="1:6" x14ac:dyDescent="0.3">
      <c r="A11" s="4" t="s">
        <v>3209</v>
      </c>
      <c r="B11" s="4" t="s">
        <v>3228</v>
      </c>
      <c r="C11" s="5" t="s">
        <v>3235</v>
      </c>
      <c r="D11" s="4" t="str">
        <f>CONCATENATE(HYPERLINK("CALLTO:%2B356%209927%204185", "+356 9927 4185"))</f>
        <v>+356 9927 4185</v>
      </c>
      <c r="E11" s="4"/>
      <c r="F11" s="5" t="s">
        <v>3252</v>
      </c>
    </row>
    <row r="12" spans="1:6" x14ac:dyDescent="0.3">
      <c r="A12" s="2" t="s">
        <v>3209</v>
      </c>
      <c r="B12" s="2" t="s">
        <v>758</v>
      </c>
      <c r="C12" s="3" t="s">
        <v>788</v>
      </c>
      <c r="D12" s="2" t="str">
        <f>CONCATENATE(HYPERLINK("CALLTO:%2B356%207777%205495", "+356 7777 5495"))</f>
        <v>+356 7777 5495</v>
      </c>
      <c r="E12" s="2"/>
      <c r="F12" s="3" t="s">
        <v>833</v>
      </c>
    </row>
  </sheetData>
  <hyperlinks>
    <hyperlink ref="C2" r:id="rId1" tooltip="Send a mail to resindecordesign@gmail.com" xr:uid="{00000000-0004-0000-3400-000000000000}"/>
    <hyperlink ref="C3" r:id="rId2" tooltip="Send a mail to info@theresincentre.com" xr:uid="{00000000-0004-0000-3400-000001000000}"/>
    <hyperlink ref="C4" r:id="rId3" tooltip="Send a mail to info@coleiro.com" xr:uid="{00000000-0004-0000-3400-000002000000}"/>
    <hyperlink ref="C5" r:id="rId4" tooltip="Send a mail to info@radosystems.eu" xr:uid="{00000000-0004-0000-3400-000003000000}"/>
    <hyperlink ref="C6" r:id="rId5" tooltip="Send a mail to info@flockimage.com" xr:uid="{00000000-0004-0000-3400-000004000000}"/>
    <hyperlink ref="C7" r:id="rId6" tooltip="Send a mail to sales@jmvibro.com" xr:uid="{00000000-0004-0000-3400-000005000000}"/>
    <hyperlink ref="C8" r:id="rId7" tooltip="Send a mail to zerafa.john@gmail.com" xr:uid="{00000000-0004-0000-3400-000006000000}"/>
    <hyperlink ref="C9" r:id="rId8" tooltip="Send a mail to jvturnkey.gozo@gmail.com" xr:uid="{00000000-0004-0000-3400-000007000000}"/>
    <hyperlink ref="C10" r:id="rId9" tooltip="Send a mail to sakhr.turnkeyjob@gmail.com" xr:uid="{00000000-0004-0000-3400-000008000000}"/>
    <hyperlink ref="C11" r:id="rId10" tooltip="Send a mail to info@Fodha.mt" xr:uid="{00000000-0004-0000-3400-000009000000}"/>
    <hyperlink ref="C12" r:id="rId11" tooltip="Send a mail to airsolutions@ezee.mt" xr:uid="{00000000-0004-0000-3400-00000A000000}"/>
    <hyperlink ref="E2" r:id="rId12" tooltip="Search Birkirkara, Malta on Google Maps" xr:uid="{00000000-0004-0000-3400-00000B000000}"/>
    <hyperlink ref="E3" r:id="rId13" tooltip="Search The Resin &amp; Membrane Centre_x000a_264, Old Railway Track Santa Venera on Google Maps" xr:uid="{00000000-0004-0000-3400-00000C000000}"/>
    <hyperlink ref="E4" r:id="rId14" tooltip="Search Msida Valley,_x000a_B’Kara on Google Maps" xr:uid="{00000000-0004-0000-3400-00000D000000}"/>
    <hyperlink ref="E5" r:id="rId15" tooltip="Search 278, Triq il-Baltiku,, Saint Julian's, Malta on Google Maps" xr:uid="{00000000-0004-0000-3400-00000E000000}"/>
    <hyperlink ref="E6" r:id="rId16" tooltip="Search Flock Image, 5, Sir Luigi Preziosi Str, Mosta, MST 1521, MALTA on Google Maps" xr:uid="{00000000-0004-0000-3400-00000F000000}"/>
    <hyperlink ref="E7" r:id="rId17" tooltip="Search Bugibba, Malta on Google Maps" xr:uid="{00000000-0004-0000-3400-000010000000}"/>
    <hyperlink ref="E8" r:id="rId18" tooltip="Search OneOneO, Triq il-Pitkali, Attard ATD 2214, Malta on Google Maps" xr:uid="{00000000-0004-0000-3400-000011000000}"/>
    <hyperlink ref="E9" r:id="rId19" tooltip="Search 58, Donato del Piano Street, Zurrieq, ZRQ 2240, Malta on Google Maps" xr:uid="{00000000-0004-0000-3400-000012000000}"/>
    <hyperlink ref="F2" r:id="rId20" tooltip="Visit resindecordesign.com/" xr:uid="{00000000-0004-0000-3400-000013000000}"/>
    <hyperlink ref="F3" r:id="rId21" tooltip="Visit theresincentre.com/" xr:uid="{00000000-0004-0000-3400-000014000000}"/>
    <hyperlink ref="F4" r:id="rId22" tooltip="Visit coleiro.com/floor-coatings/" xr:uid="{00000000-0004-0000-3400-000015000000}"/>
    <hyperlink ref="F5" r:id="rId23" tooltip="Visit facebook.com/radoflooring/" xr:uid="{00000000-0004-0000-3400-000016000000}"/>
    <hyperlink ref="F6" r:id="rId24" tooltip="Visit flockimage.com/" xr:uid="{00000000-0004-0000-3400-000017000000}"/>
    <hyperlink ref="F7" r:id="rId25" tooltip="Visit jmvibro.com/" xr:uid="{00000000-0004-0000-3400-000018000000}"/>
    <hyperlink ref="F8" r:id="rId26" tooltip="Visit checkyourtraders.com/listing/j-zerafa-ltd?fromCat=resin-flooring" xr:uid="{00000000-0004-0000-3400-000019000000}"/>
    <hyperlink ref="F9" r:id="rId27" tooltip="Visit checkyourtraders.com/listing/jv-turnkey-gozo?fromCat=resin-flooring" xr:uid="{00000000-0004-0000-3400-00001A000000}"/>
    <hyperlink ref="F10" r:id="rId28" tooltip="Visit facebook.com/p/Epoxy-Malta-100067612150590/" xr:uid="{00000000-0004-0000-3400-00001B000000}"/>
    <hyperlink ref="F11" r:id="rId29" tooltip="Visit fodha.mt/" xr:uid="{00000000-0004-0000-3400-00001C000000}"/>
    <hyperlink ref="F12" r:id="rId30" tooltip="Visit airsolutionslimited.com/" xr:uid="{00000000-0004-0000-3400-00001D000000}"/>
  </hyperlinks>
  <pageMargins left="0.75" right="0.75" top="0.75" bottom="0.5" header="0.5" footer="0.7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8"/>
  <sheetViews>
    <sheetView workbookViewId="0"/>
  </sheetViews>
  <sheetFormatPr defaultRowHeight="14.4" x14ac:dyDescent="0.3"/>
  <cols>
    <col min="1" max="1" width="14.109375" customWidth="1"/>
    <col min="2" max="2" width="17.88671875" customWidth="1"/>
    <col min="3" max="3" width="28" customWidth="1"/>
    <col min="4" max="4" width="18.6640625" customWidth="1"/>
    <col min="5" max="5" width="14.5546875" customWidth="1"/>
    <col min="6" max="6" width="45.4414062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3219</v>
      </c>
      <c r="B2" s="2" t="s">
        <v>3227</v>
      </c>
      <c r="C2" s="3" t="s">
        <v>3234</v>
      </c>
      <c r="D2" s="2" t="str">
        <f>CONCATENATE(HYPERLINK("CALLTO:%2B356%209933%204044", "+356 9933 4044"))</f>
        <v>+356 9933 4044</v>
      </c>
      <c r="E2" s="3" t="s">
        <v>3239</v>
      </c>
      <c r="F2" s="3" t="s">
        <v>3251</v>
      </c>
    </row>
    <row r="3" spans="1:6" x14ac:dyDescent="0.3">
      <c r="A3" s="4" t="s">
        <v>3219</v>
      </c>
      <c r="B3" s="4" t="s">
        <v>3243</v>
      </c>
      <c r="C3" s="5" t="s">
        <v>3231</v>
      </c>
      <c r="D3" s="4" t="str">
        <f>CONCATENATE(HYPERLINK("CALLTO:%2B356%202157%202759", "+356 2157 2759"))</f>
        <v>+356 2157 2759</v>
      </c>
      <c r="E3" s="5" t="s">
        <v>3253</v>
      </c>
      <c r="F3" s="4"/>
    </row>
    <row r="4" spans="1:6" x14ac:dyDescent="0.3">
      <c r="A4" s="2" t="s">
        <v>3219</v>
      </c>
      <c r="B4" s="2"/>
      <c r="C4" s="2"/>
      <c r="D4" s="2"/>
      <c r="E4" s="2"/>
      <c r="F4" s="2"/>
    </row>
    <row r="5" spans="1:6" x14ac:dyDescent="0.3">
      <c r="A5" s="4" t="s">
        <v>3219</v>
      </c>
      <c r="B5" s="4"/>
      <c r="C5" s="4"/>
      <c r="D5" s="4"/>
      <c r="E5" s="4"/>
      <c r="F5" s="4"/>
    </row>
    <row r="6" spans="1:6" x14ac:dyDescent="0.3">
      <c r="A6" s="2" t="s">
        <v>3219</v>
      </c>
      <c r="B6" s="2"/>
      <c r="C6" s="2"/>
      <c r="D6" s="2"/>
      <c r="E6" s="2"/>
      <c r="F6" s="2"/>
    </row>
    <row r="7" spans="1:6" x14ac:dyDescent="0.3">
      <c r="A7" s="4" t="s">
        <v>3219</v>
      </c>
      <c r="B7" s="4"/>
      <c r="C7" s="4"/>
      <c r="D7" s="4"/>
      <c r="E7" s="4"/>
      <c r="F7" s="4"/>
    </row>
    <row r="8" spans="1:6" x14ac:dyDescent="0.3">
      <c r="A8" s="2" t="s">
        <v>3219</v>
      </c>
      <c r="B8" s="2"/>
      <c r="C8" s="2"/>
      <c r="D8" s="2"/>
      <c r="E8" s="2"/>
      <c r="F8" s="2"/>
    </row>
  </sheetData>
  <hyperlinks>
    <hyperlink ref="C2" r:id="rId1" tooltip="Send a mail to sakhr.turnkeyjob@gmail.com" xr:uid="{00000000-0004-0000-3500-000000000000}"/>
    <hyperlink ref="C3" r:id="rId2" tooltip="Send a mail to info@flockimage.com" xr:uid="{00000000-0004-0000-3500-000001000000}"/>
    <hyperlink ref="E2" r:id="rId3" tooltip="Search Bugibba, Malta on Google Maps" xr:uid="{00000000-0004-0000-3500-000002000000}"/>
    <hyperlink ref="E3" r:id="rId4" tooltip="Search Mosta on Google Maps" xr:uid="{00000000-0004-0000-3500-000003000000}"/>
    <hyperlink ref="F2" r:id="rId5" tooltip="Visit facebook.com/p/Epoxy-Malta-100067612150590/" xr:uid="{00000000-0004-0000-3500-000004000000}"/>
  </hyperlinks>
  <pageMargins left="0.75" right="0.75" top="0.75" bottom="0.5" header="0.5" footer="0.7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6"/>
  <sheetViews>
    <sheetView workbookViewId="0"/>
  </sheetViews>
  <sheetFormatPr defaultRowHeight="14.4" x14ac:dyDescent="0.3"/>
  <cols>
    <col min="1" max="2" width="13.109375" customWidth="1"/>
    <col min="3" max="3" width="26.109375" customWidth="1"/>
    <col min="4" max="4" width="18.6640625" customWidth="1"/>
    <col min="5" max="5" width="71.6640625" customWidth="1"/>
    <col min="6" max="6" width="51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3254</v>
      </c>
      <c r="B2" s="2" t="s">
        <v>3255</v>
      </c>
      <c r="C2" s="3" t="s">
        <v>2118</v>
      </c>
      <c r="D2" s="2" t="str">
        <f>CONCATENATE(HYPERLINK("CALLTO:%2B356%209949%209925", "+356 9949 9925"))</f>
        <v>+356 9949 9925</v>
      </c>
      <c r="E2" s="3" t="s">
        <v>2128</v>
      </c>
      <c r="F2" s="3" t="s">
        <v>2136</v>
      </c>
    </row>
    <row r="3" spans="1:6" x14ac:dyDescent="0.3">
      <c r="A3" s="4" t="s">
        <v>3254</v>
      </c>
      <c r="B3" s="4" t="s">
        <v>3256</v>
      </c>
      <c r="C3" s="5" t="s">
        <v>3258</v>
      </c>
      <c r="D3" s="4" t="str">
        <f>CONCATENATE(HYPERLINK("CALLTO:%2B356%202166%202028", "+356 2166 2028"))</f>
        <v>+356 2166 2028</v>
      </c>
      <c r="E3" s="5" t="s">
        <v>3259</v>
      </c>
      <c r="F3" s="5" t="s">
        <v>3262</v>
      </c>
    </row>
    <row r="4" spans="1:6" x14ac:dyDescent="0.3">
      <c r="A4" s="2" t="s">
        <v>3254</v>
      </c>
      <c r="B4" s="2" t="s">
        <v>3257</v>
      </c>
      <c r="C4" s="3" t="s">
        <v>2327</v>
      </c>
      <c r="D4" s="2" t="str">
        <f>CONCATENATE(HYPERLINK("CALLTO:%2B356%202155%206694", "+356 2155 6694"))</f>
        <v>+356 2155 6694</v>
      </c>
      <c r="E4" s="3" t="s">
        <v>3261</v>
      </c>
      <c r="F4" s="3" t="s">
        <v>1154</v>
      </c>
    </row>
    <row r="5" spans="1:6" x14ac:dyDescent="0.3">
      <c r="A5" s="4" t="s">
        <v>3254</v>
      </c>
      <c r="B5" s="4" t="s">
        <v>2159</v>
      </c>
      <c r="C5" s="5" t="s">
        <v>2594</v>
      </c>
      <c r="D5" s="4" t="str">
        <f>CONCATENATE(HYPERLINK("CALLTO:%2B356%202141%206753", "+356 2141 6753"))</f>
        <v>+356 2141 6753</v>
      </c>
      <c r="E5" s="5" t="s">
        <v>2611</v>
      </c>
      <c r="F5" s="5" t="s">
        <v>3263</v>
      </c>
    </row>
    <row r="6" spans="1:6" x14ac:dyDescent="0.3">
      <c r="A6" s="2" t="s">
        <v>3254</v>
      </c>
      <c r="B6" s="2"/>
      <c r="C6" s="2"/>
      <c r="D6" s="2"/>
      <c r="E6" s="2"/>
      <c r="F6" s="2"/>
    </row>
  </sheetData>
  <hyperlinks>
    <hyperlink ref="C2" r:id="rId1" tooltip="Send a mail to info@vicalinteriors.com" xr:uid="{00000000-0004-0000-3600-000000000000}"/>
    <hyperlink ref="C3" r:id="rId2" tooltip="Send a mail to info@betacentre.com.mt" xr:uid="{00000000-0004-0000-3600-000001000000}"/>
    <hyperlink ref="C4" r:id="rId3" tooltip="Send a mail to customer@devalier.com.mt" xr:uid="{00000000-0004-0000-3600-000002000000}"/>
    <hyperlink ref="C5" r:id="rId4" tooltip="Send a mail to shop@megastore.com.mt" xr:uid="{00000000-0004-0000-3600-000003000000}"/>
    <hyperlink ref="E2" r:id="rId5" tooltip="Search 84, Qormi Road, Hamrun on Google Maps" xr:uid="{00000000-0004-0000-3600-000004000000}"/>
    <hyperlink ref="E3" r:id="rId6" tooltip="Search Zabbar Road, Fgura on Google Maps" xr:uid="{00000000-0004-0000-3600-000005000000}"/>
    <hyperlink ref="E4" r:id="rId7" tooltip="Search Fairline Centre, Santa Marta Str, Victoria Gozo, VCT 2552, Malta on Google Maps" xr:uid="{00000000-0004-0000-3600-000006000000}"/>
    <hyperlink ref="E5" r:id="rId8" tooltip="Search Warehouse No. 25, Hard Rocks Industrial Park, Burmarrad Road, Naxxar, Malta on Google Maps" xr:uid="{00000000-0004-0000-3600-000007000000}"/>
    <hyperlink ref="F2" r:id="rId9" tooltip="Visit vicalinteriors.com/" xr:uid="{00000000-0004-0000-3600-000008000000}"/>
    <hyperlink ref="F3" r:id="rId10" tooltip="Visit beta.com.mt/" xr:uid="{00000000-0004-0000-3600-000009000000}"/>
    <hyperlink ref="F4" r:id="rId11" tooltip="Visit dv.mt/" xr:uid="{00000000-0004-0000-3600-00000A000000}"/>
    <hyperlink ref="F5" r:id="rId12" tooltip="Visit megastore.com.mt/en_MT/c/Vinyl/160976/2/default/5" xr:uid="{00000000-0004-0000-3600-00000B000000}"/>
  </hyperlinks>
  <pageMargins left="0.75" right="0.75" top="0.75" bottom="0.5" header="0.5" footer="0.7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"/>
  <sheetViews>
    <sheetView workbookViewId="0"/>
  </sheetViews>
  <sheetFormatPr defaultRowHeight="14.4" x14ac:dyDescent="0.3"/>
  <cols>
    <col min="1" max="1" width="18" customWidth="1"/>
    <col min="2" max="2" width="23" customWidth="1"/>
    <col min="3" max="3" width="35.109375" customWidth="1"/>
    <col min="4" max="4" width="29.88671875" customWidth="1"/>
    <col min="5" max="5" width="76.44140625" customWidth="1"/>
    <col min="6" max="6" width="47.88671875" customWidth="1"/>
    <col min="7" max="7" width="12.6640625" customWidth="1"/>
  </cols>
  <sheetData>
    <row r="1" spans="1:7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  <c r="G1" s="1" t="s">
        <v>3280</v>
      </c>
    </row>
    <row r="2" spans="1:7" x14ac:dyDescent="0.3">
      <c r="A2" s="2" t="s">
        <v>3260</v>
      </c>
      <c r="B2" s="2" t="s">
        <v>3264</v>
      </c>
      <c r="C2" s="3" t="s">
        <v>3269</v>
      </c>
      <c r="D2" s="2" t="str">
        <f>CONCATENATE(HYPERLINK("CALLTO:%2B356%209994%207280", "+356 9994 7280"))</f>
        <v>+356 9994 7280</v>
      </c>
      <c r="E2" s="3" t="s">
        <v>3273</v>
      </c>
      <c r="F2" s="3" t="s">
        <v>3281</v>
      </c>
      <c r="G2" s="2" t="s">
        <v>3018</v>
      </c>
    </row>
    <row r="3" spans="1:7" x14ac:dyDescent="0.3">
      <c r="A3" s="4" t="s">
        <v>3260</v>
      </c>
      <c r="B3" s="4" t="s">
        <v>30</v>
      </c>
      <c r="C3" s="5" t="s">
        <v>56</v>
      </c>
      <c r="D3" s="4" t="str">
        <f>CONCATENATE(HYPERLINK("CALLTO:%2B356%202149%208658", "+356 2149 8658"))</f>
        <v>+356 2149 8658</v>
      </c>
      <c r="E3" s="5" t="s">
        <v>75</v>
      </c>
      <c r="F3" s="5" t="s">
        <v>84</v>
      </c>
      <c r="G3" s="4" t="s">
        <v>3288</v>
      </c>
    </row>
    <row r="4" spans="1:7" x14ac:dyDescent="0.3">
      <c r="A4" s="2" t="s">
        <v>3260</v>
      </c>
      <c r="B4" s="2" t="s">
        <v>3265</v>
      </c>
      <c r="C4" s="3" t="s">
        <v>3270</v>
      </c>
      <c r="D4" s="2" t="str">
        <f>CONCATENATE(HYPERLINK("CALLTO:%2B356%202144%201361", "+356 2144 1361"))</f>
        <v>+356 2144 1361</v>
      </c>
      <c r="E4" s="3" t="s">
        <v>3274</v>
      </c>
      <c r="F4" s="3" t="s">
        <v>3282</v>
      </c>
      <c r="G4" s="2" t="s">
        <v>3018</v>
      </c>
    </row>
    <row r="5" spans="1:7" x14ac:dyDescent="0.3">
      <c r="A5" s="4" t="s">
        <v>3260</v>
      </c>
      <c r="B5" s="4" t="s">
        <v>3266</v>
      </c>
      <c r="C5" s="5" t="s">
        <v>2736</v>
      </c>
      <c r="D5" s="4" t="str">
        <f>CONCATENATE(HYPERLINK("CALLTO:%2B356%202142%204750", "+356 2142 4750"))</f>
        <v>+356 2142 4750</v>
      </c>
      <c r="E5" s="5" t="s">
        <v>3275</v>
      </c>
      <c r="F5" s="5" t="s">
        <v>3283</v>
      </c>
      <c r="G5" s="4" t="s">
        <v>3018</v>
      </c>
    </row>
    <row r="6" spans="1:7" x14ac:dyDescent="0.3">
      <c r="A6" s="2" t="s">
        <v>3260</v>
      </c>
      <c r="B6" s="2" t="s">
        <v>3267</v>
      </c>
      <c r="C6" s="3" t="s">
        <v>3271</v>
      </c>
      <c r="D6" s="2" t="str">
        <f>CONCATENATE(HYPERLINK("CALLTO:%2B356%209949%205000", "+356 9949 5000"), " / ", HYPERLINK("CALLTO:%2B356%202137%206968", "+356 2137 6968"))</f>
        <v>+356 9949 5000 / +356 2137 6968</v>
      </c>
      <c r="E6" s="3" t="s">
        <v>3276</v>
      </c>
      <c r="F6" s="3" t="s">
        <v>3284</v>
      </c>
      <c r="G6" s="2" t="s">
        <v>3018</v>
      </c>
    </row>
    <row r="7" spans="1:7" x14ac:dyDescent="0.3">
      <c r="A7" s="4" t="s">
        <v>3260</v>
      </c>
      <c r="B7" s="4" t="s">
        <v>3071</v>
      </c>
      <c r="C7" s="5" t="s">
        <v>796</v>
      </c>
      <c r="D7" s="4" t="str">
        <f>CONCATENATE(HYPERLINK("CALLTO:%2B356%207777%201522", "+356 7777 1522"))</f>
        <v>+356 7777 1522</v>
      </c>
      <c r="E7" s="5" t="s">
        <v>3210</v>
      </c>
      <c r="F7" s="5" t="s">
        <v>3214</v>
      </c>
      <c r="G7" s="4" t="s">
        <v>3018</v>
      </c>
    </row>
    <row r="8" spans="1:7" x14ac:dyDescent="0.3">
      <c r="A8" s="2" t="s">
        <v>3260</v>
      </c>
      <c r="B8" s="2" t="s">
        <v>3268</v>
      </c>
      <c r="C8" s="3" t="s">
        <v>2735</v>
      </c>
      <c r="D8" s="2" t="str">
        <f>CONCATENATE(HYPERLINK("CALLTO:%2B356%202138%200309", "+356 2138 0309"))</f>
        <v>+356 2138 0309</v>
      </c>
      <c r="E8" s="3" t="s">
        <v>3277</v>
      </c>
      <c r="F8" s="3" t="s">
        <v>3285</v>
      </c>
      <c r="G8" s="2" t="s">
        <v>3289</v>
      </c>
    </row>
    <row r="9" spans="1:7" x14ac:dyDescent="0.3">
      <c r="A9" s="4" t="s">
        <v>3260</v>
      </c>
      <c r="B9" s="4" t="s">
        <v>47</v>
      </c>
      <c r="C9" s="5" t="s">
        <v>3272</v>
      </c>
      <c r="D9" s="4" t="str">
        <f>CONCATENATE(HYPERLINK("CALLTO:%2B356%202144%209190", "+356 2144 9190"))</f>
        <v>+356 2144 9190</v>
      </c>
      <c r="E9" s="5" t="s">
        <v>3278</v>
      </c>
      <c r="F9" s="5" t="s">
        <v>3286</v>
      </c>
      <c r="G9" s="4" t="s">
        <v>3018</v>
      </c>
    </row>
    <row r="10" spans="1:7" x14ac:dyDescent="0.3">
      <c r="A10" s="2" t="s">
        <v>3260</v>
      </c>
      <c r="B10" s="2" t="s">
        <v>2537</v>
      </c>
      <c r="C10" s="3" t="s">
        <v>2544</v>
      </c>
      <c r="D10" s="2" t="str">
        <f>CONCATENATE(HYPERLINK("CALLTO:%2B356%202166%200546", "+356 2166 0546"))</f>
        <v>+356 2166 0546</v>
      </c>
      <c r="E10" s="3" t="s">
        <v>3279</v>
      </c>
      <c r="F10" s="3" t="s">
        <v>3287</v>
      </c>
      <c r="G10" s="2" t="s">
        <v>3018</v>
      </c>
    </row>
  </sheetData>
  <hyperlinks>
    <hyperlink ref="C2" r:id="rId1" tooltip="Send a mail to ecomaxxltd@gmail.com" xr:uid="{00000000-0004-0000-3700-000000000000}"/>
    <hyperlink ref="C3" r:id="rId2" tooltip="Send a mail to info@cutrico.com" xr:uid="{00000000-0004-0000-3700-000001000000}"/>
    <hyperlink ref="C4" r:id="rId3" tooltip="Send a mail to enquiries@panta.mt" xr:uid="{00000000-0004-0000-3700-000002000000}"/>
    <hyperlink ref="C5" r:id="rId4" tooltip="Send a mail to info@solarsolutions.com.mt" xr:uid="{00000000-0004-0000-3700-000003000000}"/>
    <hyperlink ref="C6" r:id="rId5" tooltip="Send a mail to Info@klimaflo.com" xr:uid="{00000000-0004-0000-3700-000004000000}"/>
    <hyperlink ref="C7" r:id="rId6" tooltip="Send a mail to contact@kibitec.com" xr:uid="{00000000-0004-0000-3700-000005000000}"/>
    <hyperlink ref="C8" r:id="rId7" tooltip="Send a mail to info@alternativetechnologies.com.mt" xr:uid="{00000000-0004-0000-3700-000006000000}"/>
    <hyperlink ref="C9" r:id="rId8" tooltip="Send a mail to info@smarteffects.com.mt" xr:uid="{00000000-0004-0000-3700-000007000000}"/>
    <hyperlink ref="C10" r:id="rId9" tooltip="Send a mail to info@recowatt.com" xr:uid="{00000000-0004-0000-3700-000008000000}"/>
    <hyperlink ref="E2" r:id="rId10" tooltip="Search 44, Triq Dun Karm,_x000a_BKR9030,_x000a_Birkirkara, _x000a_Malta on Google Maps" xr:uid="{00000000-0004-0000-3700-000009000000}"/>
    <hyperlink ref="E3" r:id="rId11" tooltip="Search Cutrico Ltd,_x000a_Mriehel By-pass, Mriehel,_x000a_Malta on Google Maps" xr:uid="{00000000-0004-0000-3700-00000A000000}"/>
    <hyperlink ref="E4" r:id="rId12" tooltip="Search Valley Road, L-Imsida MSD 9024, Malta on Google Maps" xr:uid="{00000000-0004-0000-3700-00000B000000}"/>
    <hyperlink ref="E5" r:id="rId13" tooltip="Search Triq tal-Balal, In-Naxxar on Google Maps" xr:uid="{00000000-0004-0000-3700-00000C000000}"/>
    <hyperlink ref="E6" r:id="rId14" tooltip="Search Tower Rd, Birkirkara BKR 4016, Malta on Google Maps" xr:uid="{00000000-0004-0000-3700-00000D000000}"/>
    <hyperlink ref="E7" r:id="rId15" tooltip="Search Triq Domenico Cachia 54_x000a_Birkirkara, BKR1017, Malta on Google Maps" xr:uid="{00000000-0004-0000-3700-00000E000000}"/>
    <hyperlink ref="E8" r:id="rId16" tooltip="Search Triq Dun Guzepp Scerri, San Ġiljan, Malta on Google Maps" xr:uid="{00000000-0004-0000-3700-00000F000000}"/>
    <hyperlink ref="E9" r:id="rId17" tooltip="Search SMART EFFECTS LTD, MTP Business Centre, Level 3, Triq Dun Karm, Birkirkara, Malta on Google Maps" xr:uid="{00000000-0004-0000-3700-000010000000}"/>
    <hyperlink ref="E10" r:id="rId18" tooltip="Search Mdina Road, Haż-Żebbuġ, ZBG 9019 Malta on Google Maps" xr:uid="{00000000-0004-0000-3700-000011000000}"/>
    <hyperlink ref="F2" r:id="rId19" tooltip="Visit ecomaxxmalta.com" xr:uid="{00000000-0004-0000-3700-000012000000}"/>
    <hyperlink ref="F3" r:id="rId20" tooltip="Visit cutrico.com/en/home.htm" xr:uid="{00000000-0004-0000-3700-000013000000}"/>
    <hyperlink ref="F4" r:id="rId21" tooltip="Visit panta.mt/" xr:uid="{00000000-0004-0000-3700-000014000000}"/>
    <hyperlink ref="F5" r:id="rId22" tooltip="Visit solarsolutions.com.mt/underfloor-heating/" xr:uid="{00000000-0004-0000-3700-000015000000}"/>
    <hyperlink ref="F6" r:id="rId23" tooltip="Visit klimaflo.com/" xr:uid="{00000000-0004-0000-3700-000016000000}"/>
    <hyperlink ref="F7" r:id="rId24" tooltip="Visit kibitec.com/" xr:uid="{00000000-0004-0000-3700-000017000000}"/>
    <hyperlink ref="F8" r:id="rId25" tooltip="Visit alternativetechnologies.com.mt/underfloor-heating" xr:uid="{00000000-0004-0000-3700-000018000000}"/>
    <hyperlink ref="F9" r:id="rId26" tooltip="Visit smarteffects.com.mt/hvac-needs-contact/" xr:uid="{00000000-0004-0000-3700-000019000000}"/>
    <hyperlink ref="F10" r:id="rId27" tooltip="Visit recowatt.com/services/underfloor-heating/" xr:uid="{00000000-0004-0000-3700-00001A000000}"/>
  </hyperlinks>
  <pageMargins left="0.75" right="0.75" top="0.75" bottom="0.5" header="0.5" footer="0.7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0"/>
  <sheetViews>
    <sheetView workbookViewId="0"/>
  </sheetViews>
  <sheetFormatPr defaultRowHeight="14.4" x14ac:dyDescent="0.3"/>
  <cols>
    <col min="1" max="1" width="8.5546875" customWidth="1"/>
    <col min="2" max="2" width="32.109375" customWidth="1"/>
    <col min="3" max="3" width="33.44140625" customWidth="1"/>
    <col min="4" max="4" width="18.6640625" customWidth="1"/>
    <col min="5" max="5" width="10.88671875" customWidth="1"/>
    <col min="6" max="6" width="11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3290</v>
      </c>
      <c r="B2" s="2" t="s">
        <v>3291</v>
      </c>
      <c r="C2" s="3" t="s">
        <v>3307</v>
      </c>
      <c r="D2" s="2"/>
      <c r="E2" s="2"/>
      <c r="F2" s="2"/>
    </row>
    <row r="3" spans="1:6" x14ac:dyDescent="0.3">
      <c r="A3" s="4" t="s">
        <v>3290</v>
      </c>
      <c r="B3" s="4" t="s">
        <v>1067</v>
      </c>
      <c r="C3" s="5" t="s">
        <v>1019</v>
      </c>
      <c r="D3" s="4"/>
      <c r="E3" s="4"/>
      <c r="F3" s="4"/>
    </row>
    <row r="4" spans="1:6" x14ac:dyDescent="0.3">
      <c r="A4" s="2" t="s">
        <v>3290</v>
      </c>
      <c r="B4" s="2" t="s">
        <v>3292</v>
      </c>
      <c r="C4" s="3" t="s">
        <v>3308</v>
      </c>
      <c r="D4" s="2"/>
      <c r="E4" s="2"/>
      <c r="F4" s="2"/>
    </row>
    <row r="5" spans="1:6" x14ac:dyDescent="0.3">
      <c r="A5" s="4" t="s">
        <v>3290</v>
      </c>
      <c r="B5" s="4" t="s">
        <v>3293</v>
      </c>
      <c r="C5" s="5" t="s">
        <v>801</v>
      </c>
      <c r="D5" s="4"/>
      <c r="E5" s="4"/>
      <c r="F5" s="4"/>
    </row>
    <row r="6" spans="1:6" x14ac:dyDescent="0.3">
      <c r="A6" s="2" t="s">
        <v>3290</v>
      </c>
      <c r="B6" s="2" t="s">
        <v>3294</v>
      </c>
      <c r="C6" s="3" t="s">
        <v>3203</v>
      </c>
      <c r="D6" s="2"/>
      <c r="E6" s="2"/>
      <c r="F6" s="2"/>
    </row>
    <row r="7" spans="1:6" x14ac:dyDescent="0.3">
      <c r="A7" s="4" t="s">
        <v>3290</v>
      </c>
      <c r="B7" s="4" t="s">
        <v>3295</v>
      </c>
      <c r="C7" s="5" t="s">
        <v>3309</v>
      </c>
      <c r="D7" s="4"/>
      <c r="E7" s="4"/>
      <c r="F7" s="4"/>
    </row>
    <row r="8" spans="1:6" x14ac:dyDescent="0.3">
      <c r="A8" s="2" t="s">
        <v>3290</v>
      </c>
      <c r="B8" s="2" t="s">
        <v>3296</v>
      </c>
      <c r="C8" s="3" t="s">
        <v>3310</v>
      </c>
      <c r="D8" s="2"/>
      <c r="E8" s="2"/>
      <c r="F8" s="2"/>
    </row>
    <row r="9" spans="1:6" x14ac:dyDescent="0.3">
      <c r="A9" s="4" t="s">
        <v>3290</v>
      </c>
      <c r="B9" s="4" t="s">
        <v>3297</v>
      </c>
      <c r="C9" s="5" t="s">
        <v>3311</v>
      </c>
      <c r="D9" s="4"/>
      <c r="E9" s="4"/>
      <c r="F9" s="4"/>
    </row>
    <row r="10" spans="1:6" x14ac:dyDescent="0.3">
      <c r="A10" s="2" t="s">
        <v>3290</v>
      </c>
      <c r="B10" s="2" t="s">
        <v>766</v>
      </c>
      <c r="C10" s="3" t="s">
        <v>3312</v>
      </c>
      <c r="D10" s="2"/>
      <c r="E10" s="2"/>
      <c r="F10" s="2"/>
    </row>
    <row r="11" spans="1:6" x14ac:dyDescent="0.3">
      <c r="A11" s="4" t="s">
        <v>3290</v>
      </c>
      <c r="B11" s="4" t="s">
        <v>3298</v>
      </c>
      <c r="C11" s="5" t="s">
        <v>3313</v>
      </c>
      <c r="D11" s="4"/>
      <c r="E11" s="4"/>
      <c r="F11" s="4"/>
    </row>
    <row r="12" spans="1:6" x14ac:dyDescent="0.3">
      <c r="A12" s="2" t="s">
        <v>3290</v>
      </c>
      <c r="B12" s="2" t="s">
        <v>3299</v>
      </c>
      <c r="C12" s="3" t="s">
        <v>3314</v>
      </c>
      <c r="D12" s="2"/>
      <c r="E12" s="2"/>
      <c r="F12" s="2"/>
    </row>
    <row r="13" spans="1:6" x14ac:dyDescent="0.3">
      <c r="A13" s="4" t="s">
        <v>3290</v>
      </c>
      <c r="B13" s="4" t="s">
        <v>3300</v>
      </c>
      <c r="C13" s="5" t="s">
        <v>1014</v>
      </c>
      <c r="D13" s="4"/>
      <c r="E13" s="4"/>
      <c r="F13" s="4"/>
    </row>
    <row r="14" spans="1:6" x14ac:dyDescent="0.3">
      <c r="A14" s="2" t="s">
        <v>3290</v>
      </c>
      <c r="B14" s="2" t="s">
        <v>3301</v>
      </c>
      <c r="C14" s="3" t="s">
        <v>3315</v>
      </c>
      <c r="D14" s="2"/>
      <c r="E14" s="2"/>
      <c r="F14" s="2"/>
    </row>
    <row r="15" spans="1:6" x14ac:dyDescent="0.3">
      <c r="A15" s="4" t="s">
        <v>3290</v>
      </c>
      <c r="B15" s="4" t="s">
        <v>3302</v>
      </c>
      <c r="C15" s="5" t="s">
        <v>3316</v>
      </c>
      <c r="D15" s="4"/>
      <c r="E15" s="4"/>
      <c r="F15" s="4"/>
    </row>
    <row r="16" spans="1:6" x14ac:dyDescent="0.3">
      <c r="A16" s="2" t="s">
        <v>3290</v>
      </c>
      <c r="B16" s="2" t="s">
        <v>3303</v>
      </c>
      <c r="C16" s="3" t="s">
        <v>3317</v>
      </c>
      <c r="D16" s="2"/>
      <c r="E16" s="2"/>
      <c r="F16" s="2"/>
    </row>
    <row r="17" spans="1:6" x14ac:dyDescent="0.3">
      <c r="A17" s="4" t="s">
        <v>3290</v>
      </c>
      <c r="B17" s="4" t="s">
        <v>3304</v>
      </c>
      <c r="C17" s="5" t="s">
        <v>3318</v>
      </c>
      <c r="D17" s="4"/>
      <c r="E17" s="4"/>
      <c r="F17" s="4"/>
    </row>
    <row r="18" spans="1:6" x14ac:dyDescent="0.3">
      <c r="A18" s="2" t="s">
        <v>3290</v>
      </c>
      <c r="B18" s="2" t="s">
        <v>3305</v>
      </c>
      <c r="C18" s="3" t="s">
        <v>3319</v>
      </c>
      <c r="D18" s="2"/>
      <c r="E18" s="2"/>
      <c r="F18" s="2"/>
    </row>
    <row r="19" spans="1:6" x14ac:dyDescent="0.3">
      <c r="A19" s="4" t="s">
        <v>3290</v>
      </c>
      <c r="B19" s="4" t="s">
        <v>3306</v>
      </c>
      <c r="C19" s="5" t="s">
        <v>3320</v>
      </c>
      <c r="D19" s="4"/>
      <c r="E19" s="4"/>
      <c r="F19" s="4"/>
    </row>
    <row r="20" spans="1:6" x14ac:dyDescent="0.3">
      <c r="A20" s="2" t="s">
        <v>3290</v>
      </c>
      <c r="B20" s="2" t="s">
        <v>2113</v>
      </c>
      <c r="C20" s="3" t="s">
        <v>3321</v>
      </c>
      <c r="D20" s="2"/>
      <c r="E20" s="2"/>
      <c r="F20" s="2"/>
    </row>
  </sheetData>
  <hyperlinks>
    <hyperlink ref="C2" r:id="rId1" tooltip="Send a mail to sebastianpolitano@gmail.com" xr:uid="{00000000-0004-0000-3800-000000000000}"/>
    <hyperlink ref="C3" r:id="rId2" tooltip="Send a mail to xil@xuerebinstall.com" xr:uid="{00000000-0004-0000-3800-000001000000}"/>
    <hyperlink ref="C4" r:id="rId3" tooltip="Send a mail to sales@bitmac.mt" xr:uid="{00000000-0004-0000-3800-000002000000}"/>
    <hyperlink ref="C5" r:id="rId4" tooltip="Send a mail to sales@jmvibro.com" xr:uid="{00000000-0004-0000-3800-000003000000}"/>
    <hyperlink ref="C6" r:id="rId5" tooltip="Send a mail to borgconstructionworks@gmail.com" xr:uid="{00000000-0004-0000-3800-000004000000}"/>
    <hyperlink ref="C7" r:id="rId6" tooltip="Send a mail to antoine.scicluna@attardbros.com" xr:uid="{00000000-0004-0000-3800-000005000000}"/>
    <hyperlink ref="C8" r:id="rId7" tooltip="Send a mail to shawcontractors@gmail.com" xr:uid="{00000000-0004-0000-3800-000006000000}"/>
    <hyperlink ref="C9" r:id="rId8" tooltip="Send a mail to mscworks24@gmail.com" xr:uid="{00000000-0004-0000-3800-000007000000}"/>
    <hyperlink ref="C10" r:id="rId9" tooltip="Send a mail to info@kibitec.com" xr:uid="{00000000-0004-0000-3800-000008000000}"/>
    <hyperlink ref="C11" r:id="rId10" tooltip="Send a mail to sales@theprofessionalsmalta.com" xr:uid="{00000000-0004-0000-3800-000009000000}"/>
    <hyperlink ref="C12" r:id="rId11" tooltip="Send a mail to info@liquidscreed.mt" xr:uid="{00000000-0004-0000-3800-00000A000000}"/>
    <hyperlink ref="C13" r:id="rId12" tooltip="Send a mail to info@mbfmalta.com" xr:uid="{00000000-0004-0000-3800-00000B000000}"/>
    <hyperlink ref="C14" r:id="rId13" tooltip="Send a mail to zammitjonathan.87@gmail.com" xr:uid="{00000000-0004-0000-3800-00000C000000}"/>
    <hyperlink ref="C15" r:id="rId14" tooltip="Send a mail to screedcasts@gmail.com" xr:uid="{00000000-0004-0000-3800-00000D000000}"/>
    <hyperlink ref="C16" r:id="rId15" tooltip="Send a mail to info@mbigroupmalta.com" xr:uid="{00000000-0004-0000-3800-00000E000000}"/>
    <hyperlink ref="C17" r:id="rId16" tooltip="Send a mail to flowscreedmalta@outlook.com" xr:uid="{00000000-0004-0000-3800-00000F000000}"/>
    <hyperlink ref="C18" r:id="rId17" tooltip="Send a mail to info@rasonsltd.com" xr:uid="{00000000-0004-0000-3800-000010000000}"/>
    <hyperlink ref="C19" r:id="rId18" tooltip="Send a mail to quotes@ptk.mt" xr:uid="{00000000-0004-0000-3800-000011000000}"/>
    <hyperlink ref="C20" r:id="rId19" tooltip="Send a mail to sales@rsgroup.com.mt" xr:uid="{00000000-0004-0000-3800-000012000000}"/>
  </hyperlinks>
  <pageMargins left="0.75" right="0.75" top="0.75" bottom="0.5" header="0.5" footer="0.7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8"/>
  <sheetViews>
    <sheetView workbookViewId="0"/>
  </sheetViews>
  <sheetFormatPr defaultRowHeight="14.4" x14ac:dyDescent="0.3"/>
  <cols>
    <col min="1" max="1" width="12.6640625" customWidth="1"/>
    <col min="2" max="2" width="30.5546875" customWidth="1"/>
    <col min="3" max="3" width="27.5546875" customWidth="1"/>
    <col min="4" max="4" width="11" customWidth="1"/>
    <col min="5" max="5" width="66.88671875" customWidth="1"/>
    <col min="6" max="6" width="36.109375" customWidth="1"/>
    <col min="7" max="7" width="50.109375" customWidth="1"/>
  </cols>
  <sheetData>
    <row r="1" spans="1:7" ht="18" x14ac:dyDescent="0.35">
      <c r="A1" s="1" t="s">
        <v>5384</v>
      </c>
      <c r="B1" s="1" t="s">
        <v>2196</v>
      </c>
      <c r="C1" s="1" t="s">
        <v>507</v>
      </c>
      <c r="D1" s="1" t="s">
        <v>2507</v>
      </c>
      <c r="E1" s="1" t="s">
        <v>526</v>
      </c>
      <c r="F1" s="1" t="s">
        <v>532</v>
      </c>
      <c r="G1" s="1" t="s">
        <v>866</v>
      </c>
    </row>
    <row r="2" spans="1:7" x14ac:dyDescent="0.3">
      <c r="A2" s="2" t="s">
        <v>3322</v>
      </c>
      <c r="B2" s="2" t="s">
        <v>3323</v>
      </c>
      <c r="C2" s="2" t="s">
        <v>3330</v>
      </c>
      <c r="D2" s="2" t="s">
        <v>3336</v>
      </c>
      <c r="E2" s="3" t="s">
        <v>3343</v>
      </c>
      <c r="F2" s="3" t="s">
        <v>3351</v>
      </c>
      <c r="G2" s="2" t="s">
        <v>3354</v>
      </c>
    </row>
    <row r="3" spans="1:7" x14ac:dyDescent="0.3">
      <c r="A3" s="4" t="s">
        <v>3322</v>
      </c>
      <c r="B3" s="4" t="s">
        <v>3324</v>
      </c>
      <c r="C3" s="4" t="s">
        <v>3331</v>
      </c>
      <c r="D3" s="4" t="s">
        <v>3337</v>
      </c>
      <c r="E3" s="5" t="s">
        <v>3344</v>
      </c>
      <c r="F3" s="5" t="s">
        <v>3352</v>
      </c>
      <c r="G3" s="4"/>
    </row>
    <row r="4" spans="1:7" x14ac:dyDescent="0.3">
      <c r="A4" s="2" t="s">
        <v>3322</v>
      </c>
      <c r="B4" s="2" t="s">
        <v>3325</v>
      </c>
      <c r="C4" s="3" t="s">
        <v>3332</v>
      </c>
      <c r="D4" s="2" t="s">
        <v>3338</v>
      </c>
      <c r="E4" s="3" t="s">
        <v>3346</v>
      </c>
      <c r="F4" s="3" t="s">
        <v>3353</v>
      </c>
      <c r="G4" s="2"/>
    </row>
    <row r="5" spans="1:7" x14ac:dyDescent="0.3">
      <c r="A5" s="4" t="s">
        <v>3322</v>
      </c>
      <c r="B5" s="4" t="s">
        <v>3326</v>
      </c>
      <c r="C5" s="5" t="s">
        <v>3333</v>
      </c>
      <c r="D5" s="4" t="s">
        <v>3339</v>
      </c>
      <c r="E5" s="5" t="s">
        <v>3345</v>
      </c>
      <c r="F5" s="4"/>
      <c r="G5" s="4"/>
    </row>
    <row r="6" spans="1:7" x14ac:dyDescent="0.3">
      <c r="A6" s="2" t="s">
        <v>3322</v>
      </c>
      <c r="B6" s="2" t="s">
        <v>3327</v>
      </c>
      <c r="C6" s="3" t="s">
        <v>3334</v>
      </c>
      <c r="D6" s="2" t="s">
        <v>3340</v>
      </c>
      <c r="E6" s="3" t="s">
        <v>3348</v>
      </c>
      <c r="F6" s="2"/>
      <c r="G6" s="2"/>
    </row>
    <row r="7" spans="1:7" x14ac:dyDescent="0.3">
      <c r="A7" s="4" t="s">
        <v>3322</v>
      </c>
      <c r="B7" s="4" t="s">
        <v>3328</v>
      </c>
      <c r="C7" s="5" t="s">
        <v>1932</v>
      </c>
      <c r="D7" s="4" t="s">
        <v>3341</v>
      </c>
      <c r="E7" s="5" t="s">
        <v>3347</v>
      </c>
      <c r="F7" s="4"/>
      <c r="G7" s="4"/>
    </row>
    <row r="8" spans="1:7" x14ac:dyDescent="0.3">
      <c r="A8" s="2" t="s">
        <v>3322</v>
      </c>
      <c r="B8" s="2" t="s">
        <v>3329</v>
      </c>
      <c r="C8" s="3" t="s">
        <v>3335</v>
      </c>
      <c r="D8" s="2" t="s">
        <v>3342</v>
      </c>
      <c r="E8" s="3" t="s">
        <v>3349</v>
      </c>
      <c r="F8" s="2"/>
      <c r="G8" s="2"/>
    </row>
  </sheetData>
  <hyperlinks>
    <hyperlink ref="C4" r:id="rId1" tooltip="Send a mail to sales@fgp.com.mt" xr:uid="{00000000-0004-0000-3900-000000000000}"/>
    <hyperlink ref="C5" r:id="rId2" tooltip="Send a mail to sales@brandimports.com.mt" xr:uid="{00000000-0004-0000-3900-000001000000}"/>
    <hyperlink ref="C6" r:id="rId3" tooltip="Send a mail to benmaltalimited@gmail.com" xr:uid="{00000000-0004-0000-3900-000002000000}"/>
    <hyperlink ref="C7" r:id="rId4" tooltip="Send a mail to info@treedfurniture.com" xr:uid="{00000000-0004-0000-3900-000003000000}"/>
    <hyperlink ref="C8" r:id="rId5" tooltip="Send a mail to info@automationmalta.com" xr:uid="{00000000-0004-0000-3900-000004000000}"/>
    <hyperlink ref="E2" r:id="rId6" tooltip="Search 81, Triq tal-Mensija, San Ġwann SGN 1604 on Google Maps" xr:uid="{00000000-0004-0000-3900-000005000000}"/>
    <hyperlink ref="E3" r:id="rId7" tooltip="Search Midland Micro Enterprise Park, Block D, Triq Burmarrad, Naxxar NXR 6345 on Google Maps" xr:uid="{00000000-0004-0000-3900-000006000000}"/>
    <hyperlink ref="E4" r:id="rId8" tooltip="Search 109, Triq Valletta, Ħal Luqa LQA 1762 on Google Maps" xr:uid="{00000000-0004-0000-3900-000007000000}"/>
    <hyperlink ref="E5" r:id="rId9" tooltip="Search Showroom 26, Triq Haz-Zabbar, Paola on Google Maps" xr:uid="{00000000-0004-0000-3900-000008000000}"/>
    <hyperlink ref="E6" r:id="rId10" tooltip="Search Ben Malta Limited_x000a_Triq Dun Mikiel Xerri_x000a_Attard ATD 2020_x000a_Malta on Google Maps" xr:uid="{00000000-0004-0000-3900-000009000000}"/>
    <hyperlink ref="E7" r:id="rId11" tooltip="Search KKW 019G Qasam Industrijali, Kordin, Paola on Google Maps" xr:uid="{00000000-0004-0000-3900-00000A000000}"/>
    <hyperlink ref="E8" r:id="rId12" tooltip="Search Paola on Google Maps" xr:uid="{00000000-0004-0000-3900-00000B000000}"/>
    <hyperlink ref="F2" r:id="rId13" tooltip="Visit brandimports.com.mt/en/" xr:uid="{00000000-0004-0000-3900-00000C000000}"/>
    <hyperlink ref="F3" r:id="rId14" tooltip="Visit benmaltalimited.com.mt/garage-doors" xr:uid="{00000000-0004-0000-3900-00000D000000}"/>
    <hyperlink ref="F4" r:id="rId15" tooltip="Visit automationmalta.com/" xr:uid="{00000000-0004-0000-3900-00000E000000}"/>
  </hyperlinks>
  <pageMargins left="0.75" right="0.75" top="0.75" bottom="0.5" header="0.5" footer="0.7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7"/>
  <sheetViews>
    <sheetView workbookViewId="0"/>
  </sheetViews>
  <sheetFormatPr defaultRowHeight="14.4" x14ac:dyDescent="0.3"/>
  <cols>
    <col min="1" max="1" width="13.33203125" customWidth="1"/>
    <col min="2" max="2" width="20.44140625" customWidth="1"/>
    <col min="3" max="3" width="33" customWidth="1"/>
    <col min="4" max="4" width="29.88671875" customWidth="1"/>
    <col min="5" max="5" width="59.88671875" customWidth="1"/>
    <col min="6" max="6" width="94.6640625" customWidth="1"/>
  </cols>
  <sheetData>
    <row r="1" spans="1:6" ht="18" x14ac:dyDescent="0.35">
      <c r="A1" s="1" t="s">
        <v>3350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0</v>
      </c>
      <c r="B2" s="2" t="s">
        <v>3356</v>
      </c>
      <c r="C2" s="3" t="s">
        <v>3367</v>
      </c>
      <c r="D2" s="2" t="str">
        <f>CONCATENATE(HYPERLINK("CALLTO:%2B356%202123%200349", "+356 2123 0349"), " / ", HYPERLINK("CALLTO:%2B356%209949%205359", "+356 9949 5359"))</f>
        <v>+356 2123 0349 / +356 9949 5359</v>
      </c>
      <c r="E2" s="3" t="s">
        <v>3375</v>
      </c>
      <c r="F2" s="3" t="s">
        <v>3388</v>
      </c>
    </row>
    <row r="3" spans="1:6" x14ac:dyDescent="0.3">
      <c r="A3" s="4" t="s">
        <v>3355</v>
      </c>
      <c r="B3" s="4" t="s">
        <v>3358</v>
      </c>
      <c r="C3" s="5" t="s">
        <v>3368</v>
      </c>
      <c r="D3" s="4" t="str">
        <f>CONCATENATE(HYPERLINK("CALLTO:%2B356%202141%208236", "+356 2141 8236"))</f>
        <v>+356 2141 8236</v>
      </c>
      <c r="E3" s="5" t="s">
        <v>3376</v>
      </c>
      <c r="F3" s="5" t="s">
        <v>3389</v>
      </c>
    </row>
    <row r="4" spans="1:6" x14ac:dyDescent="0.3">
      <c r="A4" s="2" t="s">
        <v>3355</v>
      </c>
      <c r="B4" s="2" t="s">
        <v>3357</v>
      </c>
      <c r="C4" s="3" t="s">
        <v>911</v>
      </c>
      <c r="D4" s="2" t="str">
        <f>CONCATENATE(HYPERLINK("CALLTO:%2B356%202143%20056979454867", "+356 2143 056979454867"))</f>
        <v>+356 2143 056979454867</v>
      </c>
      <c r="E4" s="3" t="s">
        <v>3377</v>
      </c>
      <c r="F4" s="3" t="s">
        <v>2458</v>
      </c>
    </row>
    <row r="5" spans="1:6" x14ac:dyDescent="0.3">
      <c r="A5" s="4" t="s">
        <v>3355</v>
      </c>
      <c r="B5" s="4" t="s">
        <v>3359</v>
      </c>
      <c r="C5" s="5" t="s">
        <v>3369</v>
      </c>
      <c r="D5" s="4" t="str">
        <f>CONCATENATE(HYPERLINK("CALLTO:%2B356%202279%202222", "+356 2279 2222"))</f>
        <v>+356 2279 2222</v>
      </c>
      <c r="E5" s="5" t="s">
        <v>3378</v>
      </c>
      <c r="F5" s="5" t="s">
        <v>3390</v>
      </c>
    </row>
    <row r="6" spans="1:6" x14ac:dyDescent="0.3">
      <c r="A6" s="2" t="s">
        <v>3355</v>
      </c>
      <c r="B6" s="2" t="s">
        <v>3360</v>
      </c>
      <c r="C6" s="3" t="s">
        <v>3370</v>
      </c>
      <c r="D6" s="2" t="str">
        <f>CONCATENATE(HYPERLINK("CALLTO:%2B356%209940%206493", "+356 9940 6493"))</f>
        <v>+356 9940 6493</v>
      </c>
      <c r="E6" s="3" t="s">
        <v>3379</v>
      </c>
      <c r="F6" s="3" t="s">
        <v>3391</v>
      </c>
    </row>
    <row r="7" spans="1:6" x14ac:dyDescent="0.3">
      <c r="A7" s="4" t="s">
        <v>3355</v>
      </c>
      <c r="B7" s="4" t="s">
        <v>3361</v>
      </c>
      <c r="C7" s="5" t="s">
        <v>3371</v>
      </c>
      <c r="D7" s="4" t="str">
        <f>CONCATENATE(HYPERLINK("CALLTO:%2B356%202780%200778", "+356 2780 0778"))</f>
        <v>+356 2780 0778</v>
      </c>
      <c r="E7" s="5" t="s">
        <v>3380</v>
      </c>
      <c r="F7" s="5" t="s">
        <v>3392</v>
      </c>
    </row>
    <row r="8" spans="1:6" x14ac:dyDescent="0.3">
      <c r="A8" s="2" t="s">
        <v>3355</v>
      </c>
      <c r="B8" s="2" t="s">
        <v>3362</v>
      </c>
      <c r="C8" s="3" t="s">
        <v>3372</v>
      </c>
      <c r="D8" s="2" t="str">
        <f>CONCATENATE(HYPERLINK("CALLTO:%2B356%202123%200349", "+356 2123 0349"))</f>
        <v>+356 2123 0349</v>
      </c>
      <c r="E8" s="3" t="s">
        <v>3381</v>
      </c>
      <c r="F8" s="3" t="s">
        <v>3393</v>
      </c>
    </row>
    <row r="9" spans="1:6" x14ac:dyDescent="0.3">
      <c r="A9" s="4" t="s">
        <v>3355</v>
      </c>
      <c r="B9" s="4" t="s">
        <v>3363</v>
      </c>
      <c r="C9" s="5" t="s">
        <v>907</v>
      </c>
      <c r="D9" s="4" t="str">
        <f>CONCATENATE(HYPERLINK("CALLTO:%2B356%202180%205805", "+356 2180 5805"))</f>
        <v>+356 2180 5805</v>
      </c>
      <c r="E9" s="5" t="s">
        <v>3382</v>
      </c>
      <c r="F9" s="5" t="s">
        <v>948</v>
      </c>
    </row>
    <row r="10" spans="1:6" x14ac:dyDescent="0.3">
      <c r="A10" s="2" t="s">
        <v>3355</v>
      </c>
      <c r="B10" s="2" t="s">
        <v>3364</v>
      </c>
      <c r="C10" s="3" t="s">
        <v>1515</v>
      </c>
      <c r="D10" s="2" t="str">
        <f>CONCATENATE(HYPERLINK("CALLTO:%2B356%207950%208457", "+356 7950 8457"))</f>
        <v>+356 7950 8457</v>
      </c>
      <c r="E10" s="3" t="s">
        <v>3384</v>
      </c>
      <c r="F10" s="3" t="s">
        <v>2458</v>
      </c>
    </row>
    <row r="11" spans="1:6" x14ac:dyDescent="0.3">
      <c r="A11" s="4" t="s">
        <v>3355</v>
      </c>
      <c r="B11" s="4" t="s">
        <v>3365</v>
      </c>
      <c r="C11" s="5" t="s">
        <v>3373</v>
      </c>
      <c r="D11" s="4" t="str">
        <f>CONCATENATE(HYPERLINK("CALLTO:%2B356%202704%200679", "+356 2704 0679"))</f>
        <v>+356 2704 0679</v>
      </c>
      <c r="E11" s="5" t="s">
        <v>3383</v>
      </c>
      <c r="F11" s="5" t="s">
        <v>2455</v>
      </c>
    </row>
    <row r="12" spans="1:6" x14ac:dyDescent="0.3">
      <c r="A12" s="2" t="s">
        <v>3355</v>
      </c>
      <c r="B12" s="2" t="s">
        <v>3366</v>
      </c>
      <c r="C12" s="3" t="s">
        <v>3374</v>
      </c>
      <c r="D12" s="2" t="str">
        <f>CONCATENATE(HYPERLINK("CALLTO:%2B356%209946%207979", "+356 9946 7979"))</f>
        <v>+356 9946 7979</v>
      </c>
      <c r="E12" s="3" t="s">
        <v>3385</v>
      </c>
      <c r="F12" s="3" t="s">
        <v>3394</v>
      </c>
    </row>
    <row r="13" spans="1:6" x14ac:dyDescent="0.3">
      <c r="A13" s="4" t="s">
        <v>3355</v>
      </c>
      <c r="B13" s="4" t="s">
        <v>1248</v>
      </c>
      <c r="C13" s="5" t="s">
        <v>1319</v>
      </c>
      <c r="D13" s="4" t="str">
        <f>CONCATENATE(HYPERLINK("CALLTO:%2B356%202167%206627", "+356 2167 6627"))</f>
        <v>+356 2167 6627</v>
      </c>
      <c r="E13" s="5" t="s">
        <v>2427</v>
      </c>
      <c r="F13" s="5" t="s">
        <v>3395</v>
      </c>
    </row>
    <row r="14" spans="1:6" x14ac:dyDescent="0.3">
      <c r="A14" s="2" t="s">
        <v>3355</v>
      </c>
      <c r="B14" s="2" t="s">
        <v>1547</v>
      </c>
      <c r="C14" s="3" t="s">
        <v>1632</v>
      </c>
      <c r="D14" s="2" t="str">
        <f>CONCATENATE(HYPERLINK("CALLTO:%2B356%207710%205385", "+356 7710 5385"))</f>
        <v>+356 7710 5385</v>
      </c>
      <c r="E14" s="3" t="s">
        <v>1715</v>
      </c>
      <c r="F14" s="3" t="s">
        <v>2289</v>
      </c>
    </row>
    <row r="15" spans="1:6" x14ac:dyDescent="0.3">
      <c r="A15" s="4" t="s">
        <v>3355</v>
      </c>
      <c r="B15" s="4" t="s">
        <v>955</v>
      </c>
      <c r="C15" s="5" t="s">
        <v>574</v>
      </c>
      <c r="D15" s="4" t="str">
        <f>CONCATENATE(HYPERLINK("CALLTO:%2B356%202326%202000", "+356 2326 2000"))</f>
        <v>+356 2326 2000</v>
      </c>
      <c r="E15" s="5" t="s">
        <v>3386</v>
      </c>
      <c r="F15" s="5" t="s">
        <v>2482</v>
      </c>
    </row>
    <row r="16" spans="1:6" x14ac:dyDescent="0.3">
      <c r="A16" s="2" t="s">
        <v>3355</v>
      </c>
      <c r="B16" s="2" t="s">
        <v>2351</v>
      </c>
      <c r="C16" s="3" t="s">
        <v>2383</v>
      </c>
      <c r="D16" s="2" t="str">
        <f>CONCATENATE(HYPERLINK("CALLTO:%2B356%202746%203330", "+356 2746 3330"))</f>
        <v>+356 2746 3330</v>
      </c>
      <c r="E16" s="3" t="s">
        <v>2480</v>
      </c>
      <c r="F16" s="2"/>
    </row>
    <row r="17" spans="1:6" x14ac:dyDescent="0.3">
      <c r="A17" s="4" t="s">
        <v>3355</v>
      </c>
      <c r="B17" s="4"/>
      <c r="C17" s="4"/>
      <c r="D17" s="4"/>
      <c r="E17" s="4"/>
      <c r="F17" s="4"/>
    </row>
  </sheetData>
  <hyperlinks>
    <hyperlink ref="C2" r:id="rId1" tooltip="Send a mail to chrisbltd1@gmail.com" xr:uid="{00000000-0004-0000-3A00-000000000000}"/>
    <hyperlink ref="C3" r:id="rId2" tooltip="Send a mail to info@ortis.biz" xr:uid="{00000000-0004-0000-3A00-000001000000}"/>
    <hyperlink ref="C4" r:id="rId3" tooltip="Send a mail to info@soundsmart.com.mt" xr:uid="{00000000-0004-0000-3A00-000002000000}"/>
    <hyperlink ref="C5" r:id="rId4" tooltip="Send a mail to info@zamco.com.mt" xr:uid="{00000000-0004-0000-3A00-000003000000}"/>
    <hyperlink ref="C6" r:id="rId5" tooltip="Send a mail to info@stonecreations.com.mt" xr:uid="{00000000-0004-0000-3A00-000004000000}"/>
    <hyperlink ref="C7" r:id="rId6" tooltip="Send a mail to info@bbqstoremalta.com" xr:uid="{00000000-0004-0000-3A00-000005000000}"/>
    <hyperlink ref="C8" r:id="rId7" tooltip="Send a mail to info@sbl.com.mt" xr:uid="{00000000-0004-0000-3A00-000006000000}"/>
    <hyperlink ref="C9" r:id="rId8" tooltip="Send a mail to info@crosscraft.com.mt" xr:uid="{00000000-0004-0000-3A00-000007000000}"/>
    <hyperlink ref="C10" r:id="rId9" tooltip="Send a mail to info@bigmatmalta.com" xr:uid="{00000000-0004-0000-3A00-000008000000}"/>
    <hyperlink ref="C11" r:id="rId10" tooltip="Send a mail to info@know-howsystems.net" xr:uid="{00000000-0004-0000-3A00-000009000000}"/>
    <hyperlink ref="C12" r:id="rId11" tooltip="Send a mail to info@livelifeoutdoor.com.mt" xr:uid="{00000000-0004-0000-3A00-00000A000000}"/>
    <hyperlink ref="C13" r:id="rId12" tooltip="Send a mail to info@fbpmalta.com" xr:uid="{00000000-0004-0000-3A00-00000B000000}"/>
    <hyperlink ref="C14" r:id="rId13" tooltip="Send a mail to sales@malta-design.com" xr:uid="{00000000-0004-0000-3A00-00000C000000}"/>
    <hyperlink ref="C15" r:id="rId14" tooltip="Send a mail to customercare@homemate.com.mt" xr:uid="{00000000-0004-0000-3A00-00000D000000}"/>
    <hyperlink ref="C16" r:id="rId15" tooltip="Send a mail to home@jpitre.com" xr:uid="{00000000-0004-0000-3A00-00000E000000}"/>
    <hyperlink ref="E2" r:id="rId16" tooltip="Search Triq Oscar Zammit, Hamrun on Google Maps" xr:uid="{00000000-0004-0000-3A00-00000F000000}"/>
    <hyperlink ref="E3" r:id="rId17" tooltip="Search 5 triq L-Industrija Central business district,qormi Malta CBD 5030 on Google Maps" xr:uid="{00000000-0004-0000-3A00-000010000000}"/>
    <hyperlink ref="E4" r:id="rId18" tooltip="Search TRIQ IL-Kostituzzjoni,Mosta, Malta  MST 9050 on Google Maps" xr:uid="{00000000-0004-0000-3A00-000011000000}"/>
    <hyperlink ref="E5" r:id="rId19" tooltip="Search zamco building  Triq il-Mithna, Qormi, Malta on Google Maps" xr:uid="{00000000-0004-0000-3A00-000012000000}"/>
    <hyperlink ref="E6" r:id="rId20" tooltip="Search triq il-kanun ,Qormi,Malta on Google Maps" xr:uid="{00000000-0004-0000-3A00-000013000000}"/>
    <hyperlink ref="E7" r:id="rId21" tooltip="Search triq id -difiza Civili, Mosta ,Malta on Google Maps" xr:uid="{00000000-0004-0000-3A00-000014000000}"/>
    <hyperlink ref="E8" r:id="rId22" tooltip="Search 10 triq Oscar Zammit , HMR 1281 , MALTA on Google Maps" xr:uid="{00000000-0004-0000-3A00-000015000000}"/>
    <hyperlink ref="E9" r:id="rId23" tooltip="Search Bypass Mriehel, Qormi, QRM 9052 on Google Maps" xr:uid="{00000000-0004-0000-3A00-000016000000}"/>
    <hyperlink ref="E10" r:id="rId24" tooltip="Search Zona Industrial, ATD 4000 Ta' Qali, Malta. on Google Maps" xr:uid="{00000000-0004-0000-3A00-000017000000}"/>
    <hyperlink ref="E11" r:id="rId25" tooltip="Search Susan Flats B, Flat 05, Triq Il-Prinjolata, Ta' Xbiex, XBX1130, Malta. on Google Maps" xr:uid="{00000000-0004-0000-3A00-000018000000}"/>
    <hyperlink ref="E12" r:id="rId26" tooltip="Search St. Paul Street, Naxxar, Malta, NXR 4010 on Google Maps" xr:uid="{00000000-0004-0000-3A00-000019000000}"/>
    <hyperlink ref="E13" r:id="rId27" tooltip="Search 139, Bajada Street, Zabbar, Malta on Google Maps" xr:uid="{00000000-0004-0000-3A00-00001A000000}"/>
    <hyperlink ref="E14" r:id="rId28" tooltip="Search Malta Design_x000a_33 Triq l-Oleandru ,_x000a_San Giljan, Malta on Google Maps" xr:uid="{00000000-0004-0000-3A00-00001B000000}"/>
    <hyperlink ref="E15" r:id="rId29" tooltip="Search Triq L-Imprendituri, Birkirkara BKR 3000 on Google Maps" xr:uid="{00000000-0004-0000-3A00-00001C000000}"/>
    <hyperlink ref="E16" r:id="rId30" tooltip="Search Pitre Home Ltd, Mdina Road, Qormi on Google Maps" xr:uid="{00000000-0004-0000-3A00-00001D000000}"/>
    <hyperlink ref="F2" r:id="rId31" tooltip="Visit bbqworldmalta.mt/?utm_source=Yellow&amp;utm_medium=Yellow-Website&amp;utm_campaign=Landing-Page" xr:uid="{00000000-0004-0000-3A00-00001E000000}"/>
    <hyperlink ref="F3" r:id="rId32" tooltip="Visit ortismalta.com" xr:uid="{00000000-0004-0000-3A00-00001F000000}"/>
    <hyperlink ref="F4" r:id="rId33" tooltip="Visit bigmatmalta.com" xr:uid="{00000000-0004-0000-3A00-000020000000}"/>
    <hyperlink ref="F5" r:id="rId34" tooltip="Visit bullbbq.eu/en/home.htm" xr:uid="{00000000-0004-0000-3A00-000021000000}"/>
    <hyperlink ref="F6" r:id="rId35" tooltip="Visit stonecreations.com.mt" xr:uid="{00000000-0004-0000-3A00-000022000000}"/>
    <hyperlink ref="F7" r:id="rId36" tooltip="Visit bbqstoremalta.com" xr:uid="{00000000-0004-0000-3A00-000023000000}"/>
    <hyperlink ref="F8" r:id="rId37" tooltip="Visit bbqworldmalta.mt" xr:uid="{00000000-0004-0000-3A00-000024000000}"/>
    <hyperlink ref="F9" r:id="rId38" tooltip="Visit crosscraft.com.mt" xr:uid="{00000000-0004-0000-3A00-000025000000}"/>
    <hyperlink ref="F10" r:id="rId39" tooltip="Visit bigmatmalta.com" xr:uid="{00000000-0004-0000-3A00-000026000000}"/>
    <hyperlink ref="F11" r:id="rId40" tooltip="Visit khsmalta.com" xr:uid="{00000000-0004-0000-3A00-000027000000}"/>
    <hyperlink ref="F12" r:id="rId41" tooltip="Visit livelifemalta.com.mt/" xr:uid="{00000000-0004-0000-3A00-000028000000}"/>
    <hyperlink ref="F13" r:id="rId42" tooltip="Visit fbpmalta.com/index.php/products/household/bbqs" xr:uid="{00000000-0004-0000-3A00-000029000000}"/>
    <hyperlink ref="F14" r:id="rId43" tooltip="Visit homemate.com.mt/" xr:uid="{00000000-0004-0000-3A00-00002A000000}"/>
    <hyperlink ref="F15" r:id="rId44" tooltip="Visit pitreonline.com/" xr:uid="{00000000-0004-0000-3A00-00002B000000}"/>
  </hyperlinks>
  <pageMargins left="0.75" right="0.75" top="0.75" bottom="0.5" header="0.5" footer="0.7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70"/>
  <sheetViews>
    <sheetView workbookViewId="0"/>
  </sheetViews>
  <sheetFormatPr defaultRowHeight="14.4" x14ac:dyDescent="0.3"/>
  <cols>
    <col min="1" max="1" width="12.44140625" customWidth="1"/>
    <col min="2" max="2" width="46.44140625" customWidth="1"/>
    <col min="3" max="3" width="50.88671875" customWidth="1"/>
    <col min="4" max="4" width="45.33203125" customWidth="1"/>
    <col min="5" max="5" width="60.109375" customWidth="1"/>
    <col min="6" max="6" width="146" customWidth="1"/>
    <col min="7" max="7" width="27.109375" customWidth="1"/>
  </cols>
  <sheetData>
    <row r="1" spans="1:7" ht="18" x14ac:dyDescent="0.35">
      <c r="A1" s="1" t="s">
        <v>3387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  <c r="G1" s="1" t="s">
        <v>3705</v>
      </c>
    </row>
    <row r="2" spans="1:7" x14ac:dyDescent="0.3">
      <c r="A2" s="2" t="s">
        <v>0</v>
      </c>
      <c r="B2" s="2" t="s">
        <v>3398</v>
      </c>
      <c r="C2" s="2" t="s">
        <v>3489</v>
      </c>
      <c r="D2" s="2" t="str">
        <f>CONCATENATE(HYPERLINK("CALLTO:%2B356%202137%204563", "+356 2137 4563"))</f>
        <v>+356 2137 4563</v>
      </c>
      <c r="E2" s="3" t="s">
        <v>3578</v>
      </c>
      <c r="F2" s="3" t="s">
        <v>743</v>
      </c>
      <c r="G2" s="2"/>
    </row>
    <row r="3" spans="1:7" x14ac:dyDescent="0.3">
      <c r="A3" s="4" t="s">
        <v>3396</v>
      </c>
      <c r="B3" s="4" t="s">
        <v>3399</v>
      </c>
      <c r="C3" s="5" t="s">
        <v>3490</v>
      </c>
      <c r="D3" s="4" t="str">
        <f>CONCATENATE(HYPERLINK("CALLTO:%2B356%209989%209781", "+356 9989 9781"), " / ", HYPERLINK("CALLTO:%2B356%209942%204136", "+356 9942 4136"))</f>
        <v>+356 9989 9781 / +356 9942 4136</v>
      </c>
      <c r="E3" s="5" t="s">
        <v>3579</v>
      </c>
      <c r="F3" s="5" t="s">
        <v>3670</v>
      </c>
      <c r="G3" s="4"/>
    </row>
    <row r="4" spans="1:7" x14ac:dyDescent="0.3">
      <c r="A4" s="2" t="s">
        <v>3396</v>
      </c>
      <c r="B4" s="2" t="s">
        <v>3400</v>
      </c>
      <c r="C4" s="3" t="s">
        <v>3491</v>
      </c>
      <c r="D4" s="2" t="str">
        <f>CONCATENATE(HYPERLINK("CALLTO:%2B356%202141%203044", "+356 2141 3044"))</f>
        <v>+356 2141 3044</v>
      </c>
      <c r="E4" s="3" t="s">
        <v>3580</v>
      </c>
      <c r="F4" s="3" t="s">
        <v>3671</v>
      </c>
      <c r="G4" s="2"/>
    </row>
    <row r="5" spans="1:7" x14ac:dyDescent="0.3">
      <c r="A5" s="4" t="s">
        <v>3396</v>
      </c>
      <c r="B5" s="4" t="s">
        <v>3401</v>
      </c>
      <c r="C5" s="5" t="s">
        <v>3492</v>
      </c>
      <c r="D5" s="4" t="str">
        <f>CONCATENATE(HYPERLINK("CALLTO:%2B356%202141%209787", "+356 2141 9787"))</f>
        <v>+356 2141 9787</v>
      </c>
      <c r="E5" s="5" t="s">
        <v>3581</v>
      </c>
      <c r="F5" s="5" t="s">
        <v>2902</v>
      </c>
      <c r="G5" s="4"/>
    </row>
    <row r="6" spans="1:7" x14ac:dyDescent="0.3">
      <c r="A6" s="2" t="s">
        <v>3396</v>
      </c>
      <c r="B6" s="2" t="s">
        <v>3402</v>
      </c>
      <c r="C6" s="3" t="s">
        <v>3493</v>
      </c>
      <c r="D6" s="2" t="str">
        <f>CONCATENATE(HYPERLINK("CALLTO:%2B356%202134%204620", "+356 2134 4620"))</f>
        <v>+356 2134 4620</v>
      </c>
      <c r="E6" s="3" t="s">
        <v>3582</v>
      </c>
      <c r="F6" s="3" t="s">
        <v>3672</v>
      </c>
      <c r="G6" s="2"/>
    </row>
    <row r="7" spans="1:7" x14ac:dyDescent="0.3">
      <c r="A7" s="4" t="s">
        <v>3396</v>
      </c>
      <c r="B7" s="4" t="s">
        <v>3403</v>
      </c>
      <c r="C7" s="5" t="s">
        <v>3494</v>
      </c>
      <c r="D7" s="4" t="str">
        <f>CONCATENATE(HYPERLINK("CALLTO:%2B356%202125%207400", "+356 2125 7400"))</f>
        <v>+356 2125 7400</v>
      </c>
      <c r="E7" s="5" t="s">
        <v>3583</v>
      </c>
      <c r="F7" s="5" t="s">
        <v>3673</v>
      </c>
      <c r="G7" s="4"/>
    </row>
    <row r="8" spans="1:7" x14ac:dyDescent="0.3">
      <c r="A8" s="2" t="s">
        <v>3396</v>
      </c>
      <c r="B8" s="2" t="s">
        <v>3404</v>
      </c>
      <c r="C8" s="3" t="s">
        <v>3495</v>
      </c>
      <c r="D8" s="2" t="str">
        <f>CONCATENATE(HYPERLINK("CALLTO:%2B356%209947%205183", "+356 9947 5183"))</f>
        <v>+356 9947 5183</v>
      </c>
      <c r="E8" s="3" t="s">
        <v>3584</v>
      </c>
      <c r="F8" s="3" t="s">
        <v>3674</v>
      </c>
      <c r="G8" s="2"/>
    </row>
    <row r="9" spans="1:7" x14ac:dyDescent="0.3">
      <c r="A9" s="4" t="s">
        <v>3396</v>
      </c>
      <c r="B9" s="4" t="s">
        <v>3405</v>
      </c>
      <c r="C9" s="5" t="s">
        <v>3496</v>
      </c>
      <c r="D9" s="4" t="str">
        <f>CONCATENATE(HYPERLINK("CALLTO:%2B356%202182%204287", "+356 2182 4287"))</f>
        <v>+356 2182 4287</v>
      </c>
      <c r="E9" s="5" t="s">
        <v>3585</v>
      </c>
      <c r="F9" s="5" t="s">
        <v>3675</v>
      </c>
      <c r="G9" s="4"/>
    </row>
    <row r="10" spans="1:7" x14ac:dyDescent="0.3">
      <c r="A10" s="2" t="s">
        <v>3396</v>
      </c>
      <c r="B10" s="2" t="s">
        <v>3406</v>
      </c>
      <c r="C10" s="3" t="s">
        <v>3497</v>
      </c>
      <c r="D10" s="2" t="str">
        <f>CONCATENATE(HYPERLINK("CALLTO:%2B356%202155%201166", "+356 2155 1166"))</f>
        <v>+356 2155 1166</v>
      </c>
      <c r="E10" s="3" t="s">
        <v>3586</v>
      </c>
      <c r="F10" s="3" t="s">
        <v>3676</v>
      </c>
      <c r="G10" s="2"/>
    </row>
    <row r="11" spans="1:7" x14ac:dyDescent="0.3">
      <c r="A11" s="4" t="s">
        <v>3396</v>
      </c>
      <c r="B11" s="4" t="s">
        <v>3407</v>
      </c>
      <c r="C11" s="5" t="s">
        <v>3498</v>
      </c>
      <c r="D11" s="4" t="str">
        <f>CONCATENATE(HYPERLINK("CALLTO:%2B356%207996%200410", "+356 7996 0410"))</f>
        <v>+356 7996 0410</v>
      </c>
      <c r="E11" s="5" t="s">
        <v>3587</v>
      </c>
      <c r="F11" s="4" t="s">
        <v>146</v>
      </c>
      <c r="G11" s="4"/>
    </row>
    <row r="12" spans="1:7" x14ac:dyDescent="0.3">
      <c r="A12" s="2" t="s">
        <v>3396</v>
      </c>
      <c r="B12" s="2" t="s">
        <v>3408</v>
      </c>
      <c r="C12" s="3" t="s">
        <v>3499</v>
      </c>
      <c r="D12" s="2" t="str">
        <f>CONCATENATE(HYPERLINK("CALLTO:%2B356%209947%206549", "+356 9947 6549"))</f>
        <v>+356 9947 6549</v>
      </c>
      <c r="E12" s="3" t="s">
        <v>3588</v>
      </c>
      <c r="F12" s="2" t="s">
        <v>146</v>
      </c>
      <c r="G12" s="2"/>
    </row>
    <row r="13" spans="1:7" x14ac:dyDescent="0.3">
      <c r="A13" s="4" t="s">
        <v>3396</v>
      </c>
      <c r="B13" s="4" t="s">
        <v>3409</v>
      </c>
      <c r="C13" s="5" t="s">
        <v>3500</v>
      </c>
      <c r="D13" s="4" t="str">
        <f>CONCATENATE(HYPERLINK("CALLTO:%2B356%202148%203389", "+356 2148 3389"), " / ", HYPERLINK("CALLTO:%2B356%209945%204376", "+356 9945 4376"), " / ", HYPERLINK("CALLTO:%2B356%209988%205657", "+356 9988 5657"))</f>
        <v>+356 2148 3389 / +356 9945 4376 / +356 9988 5657</v>
      </c>
      <c r="E13" s="5" t="s">
        <v>3589</v>
      </c>
      <c r="F13" s="5" t="s">
        <v>3677</v>
      </c>
      <c r="G13" s="4"/>
    </row>
    <row r="14" spans="1:7" x14ac:dyDescent="0.3">
      <c r="A14" s="2" t="s">
        <v>3396</v>
      </c>
      <c r="B14" s="2" t="s">
        <v>3410</v>
      </c>
      <c r="C14" s="3" t="s">
        <v>3501</v>
      </c>
      <c r="D14" s="2" t="str">
        <f>CONCATENATE(HYPERLINK("CALLTO:%2B356%209942%202429", "+356 9942 2429"))</f>
        <v>+356 9942 2429</v>
      </c>
      <c r="E14" s="3" t="s">
        <v>3590</v>
      </c>
      <c r="F14" s="3" t="s">
        <v>3678</v>
      </c>
      <c r="G14" s="2"/>
    </row>
    <row r="15" spans="1:7" x14ac:dyDescent="0.3">
      <c r="A15" s="4" t="s">
        <v>3396</v>
      </c>
      <c r="B15" s="4" t="s">
        <v>3411</v>
      </c>
      <c r="C15" s="5" t="s">
        <v>3502</v>
      </c>
      <c r="D15" s="4" t="str">
        <f>CONCATENATE(HYPERLINK("CALLTO:%2B356%209947%203598", "+356 9947 3598"))</f>
        <v>+356 9947 3598</v>
      </c>
      <c r="E15" s="5" t="s">
        <v>3591</v>
      </c>
      <c r="F15" s="5" t="s">
        <v>3679</v>
      </c>
      <c r="G15" s="4"/>
    </row>
    <row r="16" spans="1:7" x14ac:dyDescent="0.3">
      <c r="A16" s="2" t="s">
        <v>3396</v>
      </c>
      <c r="B16" s="2" t="s">
        <v>3412</v>
      </c>
      <c r="C16" s="3" t="s">
        <v>3503</v>
      </c>
      <c r="D16" s="2" t="str">
        <f>CONCATENATE(HYPERLINK("CALLTO:%2B356%209946%209316", "+356 9946 9316"))</f>
        <v>+356 9946 9316</v>
      </c>
      <c r="E16" s="3" t="s">
        <v>3592</v>
      </c>
      <c r="F16" s="3" t="s">
        <v>3680</v>
      </c>
      <c r="G16" s="2"/>
    </row>
    <row r="17" spans="1:7" x14ac:dyDescent="0.3">
      <c r="A17" s="4" t="s">
        <v>3396</v>
      </c>
      <c r="B17" s="4" t="s">
        <v>3413</v>
      </c>
      <c r="C17" s="5" t="s">
        <v>3504</v>
      </c>
      <c r="D17" s="4" t="str">
        <f>CONCATENATE(HYPERLINK("CALLTO:%2B356%209909%200706", "+356 9909 0706"))</f>
        <v>+356 9909 0706</v>
      </c>
      <c r="E17" s="5" t="s">
        <v>3593</v>
      </c>
      <c r="F17" s="5" t="s">
        <v>3681</v>
      </c>
      <c r="G17" s="4"/>
    </row>
    <row r="18" spans="1:7" x14ac:dyDescent="0.3">
      <c r="A18" s="2" t="s">
        <v>3396</v>
      </c>
      <c r="B18" s="2" t="s">
        <v>3414</v>
      </c>
      <c r="C18" s="3" t="s">
        <v>708</v>
      </c>
      <c r="D18" s="2" t="str">
        <f>CONCATENATE(HYPERLINK("CALLTO:%2B356%202146%204761", "+356 2146 4761"))</f>
        <v>+356 2146 4761</v>
      </c>
      <c r="E18" s="3" t="s">
        <v>3594</v>
      </c>
      <c r="F18" s="3" t="s">
        <v>750</v>
      </c>
      <c r="G18" s="2"/>
    </row>
    <row r="19" spans="1:7" x14ac:dyDescent="0.3">
      <c r="A19" s="4" t="s">
        <v>3396</v>
      </c>
      <c r="B19" s="4" t="s">
        <v>3415</v>
      </c>
      <c r="C19" s="5" t="s">
        <v>3505</v>
      </c>
      <c r="D19" s="4" t="str">
        <f>CONCATENATE(HYPERLINK("CALLTO:%2B356%209944%203727", "+356 9944 3727"))</f>
        <v>+356 9944 3727</v>
      </c>
      <c r="E19" s="5" t="s">
        <v>3595</v>
      </c>
      <c r="F19" s="5" t="s">
        <v>3682</v>
      </c>
      <c r="G19" s="4"/>
    </row>
    <row r="20" spans="1:7" x14ac:dyDescent="0.3">
      <c r="A20" s="2" t="s">
        <v>3396</v>
      </c>
      <c r="B20" s="2" t="s">
        <v>3416</v>
      </c>
      <c r="C20" s="3" t="s">
        <v>3506</v>
      </c>
      <c r="D20" s="2" t="str">
        <f>CONCATENATE(HYPERLINK("CALLTO:%2B356%209949%208678", "+356 9949 8678"))</f>
        <v>+356 9949 8678</v>
      </c>
      <c r="E20" s="3" t="s">
        <v>3596</v>
      </c>
      <c r="F20" s="3" t="s">
        <v>3683</v>
      </c>
      <c r="G20" s="2"/>
    </row>
    <row r="21" spans="1:7" x14ac:dyDescent="0.3">
      <c r="A21" s="4" t="s">
        <v>3396</v>
      </c>
      <c r="B21" s="4" t="s">
        <v>3417</v>
      </c>
      <c r="C21" s="5" t="s">
        <v>3507</v>
      </c>
      <c r="D21" s="4" t="str">
        <f>CONCATENATE(HYPERLINK("CALLTO:%2B356%209947%201116", "+356 9947 1116"))</f>
        <v>+356 9947 1116</v>
      </c>
      <c r="E21" s="5" t="s">
        <v>3597</v>
      </c>
      <c r="F21" s="5" t="s">
        <v>3684</v>
      </c>
      <c r="G21" s="4"/>
    </row>
    <row r="22" spans="1:7" x14ac:dyDescent="0.3">
      <c r="A22" s="2" t="s">
        <v>3396</v>
      </c>
      <c r="B22" s="2" t="s">
        <v>3418</v>
      </c>
      <c r="C22" s="3" t="s">
        <v>3508</v>
      </c>
      <c r="D22" s="2" t="str">
        <f>CONCATENATE(HYPERLINK("CALLTO:%2B356%209940%203980", "+356 9940 3980"))</f>
        <v>+356 9940 3980</v>
      </c>
      <c r="E22" s="3" t="s">
        <v>3598</v>
      </c>
      <c r="F22" s="3" t="s">
        <v>3685</v>
      </c>
      <c r="G22" s="2"/>
    </row>
    <row r="23" spans="1:7" x14ac:dyDescent="0.3">
      <c r="A23" s="4" t="s">
        <v>3396</v>
      </c>
      <c r="B23" s="4" t="s">
        <v>3419</v>
      </c>
      <c r="C23" s="5" t="s">
        <v>3509</v>
      </c>
      <c r="D23" s="4" t="str">
        <f>CONCATENATE(HYPERLINK("CALLTO:%2B356%207922%207976", "+356 7922 7976"))</f>
        <v>+356 7922 7976</v>
      </c>
      <c r="E23" s="5" t="s">
        <v>3599</v>
      </c>
      <c r="F23" s="5" t="s">
        <v>3686</v>
      </c>
      <c r="G23" s="4"/>
    </row>
    <row r="24" spans="1:7" x14ac:dyDescent="0.3">
      <c r="A24" s="2" t="s">
        <v>3396</v>
      </c>
      <c r="B24" s="2" t="s">
        <v>3420</v>
      </c>
      <c r="C24" s="3" t="s">
        <v>3510</v>
      </c>
      <c r="D24" s="2" t="str">
        <f>CONCATENATE(HYPERLINK("CALLTO:%2B356%209942%205030", "+356 9942 5030"))</f>
        <v>+356 9942 5030</v>
      </c>
      <c r="E24" s="3" t="s">
        <v>3600</v>
      </c>
      <c r="F24" s="2" t="s">
        <v>146</v>
      </c>
      <c r="G24" s="2"/>
    </row>
    <row r="25" spans="1:7" x14ac:dyDescent="0.3">
      <c r="A25" s="4" t="s">
        <v>3396</v>
      </c>
      <c r="B25" s="4" t="s">
        <v>3421</v>
      </c>
      <c r="C25" s="5" t="s">
        <v>3511</v>
      </c>
      <c r="D25" s="4" t="str">
        <f>CONCATENATE(HYPERLINK("CALLTO:%2B356%207944%209303", "+356 7944 9303"))</f>
        <v>+356 7944 9303</v>
      </c>
      <c r="E25" s="5" t="s">
        <v>3601</v>
      </c>
      <c r="F25" s="5" t="s">
        <v>3687</v>
      </c>
      <c r="G25" s="4"/>
    </row>
    <row r="26" spans="1:7" x14ac:dyDescent="0.3">
      <c r="A26" s="2" t="s">
        <v>3396</v>
      </c>
      <c r="B26" s="2" t="s">
        <v>3422</v>
      </c>
      <c r="C26" s="3" t="s">
        <v>3512</v>
      </c>
      <c r="D26" s="2" t="str">
        <f>CONCATENATE(HYPERLINK("CALLTO:%2B356%207996%202212", "+356 7996 2212"))</f>
        <v>+356 7996 2212</v>
      </c>
      <c r="E26" s="3" t="s">
        <v>3602</v>
      </c>
      <c r="F26" s="2" t="s">
        <v>146</v>
      </c>
      <c r="G26" s="2"/>
    </row>
    <row r="27" spans="1:7" x14ac:dyDescent="0.3">
      <c r="A27" s="4" t="s">
        <v>3396</v>
      </c>
      <c r="B27" s="4" t="s">
        <v>3423</v>
      </c>
      <c r="C27" s="5" t="s">
        <v>3513</v>
      </c>
      <c r="D27" s="4" t="str">
        <f>CONCATENATE(HYPERLINK("CALLTO:%2B356%209949%201398", "+356 9949 1398"))</f>
        <v>+356 9949 1398</v>
      </c>
      <c r="E27" s="5" t="s">
        <v>3603</v>
      </c>
      <c r="F27" s="4" t="s">
        <v>146</v>
      </c>
      <c r="G27" s="4"/>
    </row>
    <row r="28" spans="1:7" x14ac:dyDescent="0.3">
      <c r="A28" s="2" t="s">
        <v>3396</v>
      </c>
      <c r="B28" s="2" t="s">
        <v>3424</v>
      </c>
      <c r="C28" s="3" t="s">
        <v>3514</v>
      </c>
      <c r="D28" s="2" t="str">
        <f>CONCATENATE(HYPERLINK("CALLTO:%2B356%207923%206634", "+356 7923 6634"))</f>
        <v>+356 7923 6634</v>
      </c>
      <c r="E28" s="3" t="s">
        <v>3604</v>
      </c>
      <c r="F28" s="2" t="s">
        <v>146</v>
      </c>
      <c r="G28" s="2"/>
    </row>
    <row r="29" spans="1:7" x14ac:dyDescent="0.3">
      <c r="A29" s="4" t="s">
        <v>3396</v>
      </c>
      <c r="B29" s="4" t="s">
        <v>3425</v>
      </c>
      <c r="C29" s="5" t="s">
        <v>3515</v>
      </c>
      <c r="D29" s="4" t="str">
        <f>CONCATENATE(HYPERLINK("CALLTO:%2B356%202145%206570", "+356 2145 6570"))</f>
        <v>+356 2145 6570</v>
      </c>
      <c r="E29" s="5" t="s">
        <v>3605</v>
      </c>
      <c r="F29" s="5" t="s">
        <v>3688</v>
      </c>
      <c r="G29" s="4"/>
    </row>
    <row r="30" spans="1:7" x14ac:dyDescent="0.3">
      <c r="A30" s="2" t="s">
        <v>3396</v>
      </c>
      <c r="B30" s="2" t="s">
        <v>3426</v>
      </c>
      <c r="C30" s="3" t="s">
        <v>3516</v>
      </c>
      <c r="D30" s="2" t="str">
        <f>CONCATENATE(HYPERLINK("CALLTO:%2B356%209982%208812", "+356 9982 8812"))</f>
        <v>+356 9982 8812</v>
      </c>
      <c r="E30" s="3" t="s">
        <v>3606</v>
      </c>
      <c r="F30" s="2" t="s">
        <v>146</v>
      </c>
      <c r="G30" s="2"/>
    </row>
    <row r="31" spans="1:7" x14ac:dyDescent="0.3">
      <c r="A31" s="4" t="s">
        <v>3396</v>
      </c>
      <c r="B31" s="4" t="s">
        <v>3427</v>
      </c>
      <c r="C31" s="5" t="s">
        <v>3517</v>
      </c>
      <c r="D31" s="4" t="str">
        <f>CONCATENATE(HYPERLINK("CALLTO:%2B356%207967%205584", "+356 7967 5584"))</f>
        <v>+356 7967 5584</v>
      </c>
      <c r="E31" s="5" t="s">
        <v>3607</v>
      </c>
      <c r="F31" s="4" t="s">
        <v>146</v>
      </c>
      <c r="G31" s="4"/>
    </row>
    <row r="32" spans="1:7" x14ac:dyDescent="0.3">
      <c r="A32" s="2" t="s">
        <v>3396</v>
      </c>
      <c r="B32" s="2" t="s">
        <v>3428</v>
      </c>
      <c r="C32" s="3" t="s">
        <v>3518</v>
      </c>
      <c r="D32" s="2" t="str">
        <f>CONCATENATE(HYPERLINK("CALLTO:%2B356%207925%206551", "+356 7925 6551"))</f>
        <v>+356 7925 6551</v>
      </c>
      <c r="E32" s="3" t="s">
        <v>3608</v>
      </c>
      <c r="F32" s="3" t="s">
        <v>3689</v>
      </c>
      <c r="G32" s="2"/>
    </row>
    <row r="33" spans="1:7" x14ac:dyDescent="0.3">
      <c r="A33" s="4" t="s">
        <v>3396</v>
      </c>
      <c r="B33" s="4" t="s">
        <v>3429</v>
      </c>
      <c r="C33" s="5" t="s">
        <v>3519</v>
      </c>
      <c r="D33" s="4" t="str">
        <f>CONCATENATE(HYPERLINK("CALLTO:%2B356%202124%201922", "+356 2124 1922"))</f>
        <v>+356 2124 1922</v>
      </c>
      <c r="E33" s="5" t="s">
        <v>3609</v>
      </c>
      <c r="F33" s="5" t="s">
        <v>3690</v>
      </c>
      <c r="G33" s="4"/>
    </row>
    <row r="34" spans="1:7" x14ac:dyDescent="0.3">
      <c r="A34" s="2" t="s">
        <v>3396</v>
      </c>
      <c r="B34" s="2" t="s">
        <v>3430</v>
      </c>
      <c r="C34" s="3" t="s">
        <v>3520</v>
      </c>
      <c r="D34" s="2" t="str">
        <f>CONCATENATE(HYPERLINK("CALLTO:%2B356%202149%201643", "+356 2149 1643"))</f>
        <v>+356 2149 1643</v>
      </c>
      <c r="E34" s="3" t="s">
        <v>3610</v>
      </c>
      <c r="F34" s="3" t="s">
        <v>3691</v>
      </c>
      <c r="G34" s="2"/>
    </row>
    <row r="35" spans="1:7" x14ac:dyDescent="0.3">
      <c r="A35" s="4" t="s">
        <v>3396</v>
      </c>
      <c r="B35" s="4" t="s">
        <v>3431</v>
      </c>
      <c r="C35" s="5" t="s">
        <v>3521</v>
      </c>
      <c r="D35" s="4" t="str">
        <f>CONCATENATE(HYPERLINK("CALLTO:%2B356%209986%202647", "+356 9986 2647"))</f>
        <v>+356 9986 2647</v>
      </c>
      <c r="E35" s="5" t="s">
        <v>3611</v>
      </c>
      <c r="F35" s="5" t="s">
        <v>3692</v>
      </c>
      <c r="G35" s="4"/>
    </row>
    <row r="36" spans="1:7" x14ac:dyDescent="0.3">
      <c r="A36" s="2" t="s">
        <v>3396</v>
      </c>
      <c r="B36" s="2" t="s">
        <v>3432</v>
      </c>
      <c r="C36" s="3" t="s">
        <v>3522</v>
      </c>
      <c r="D36" s="2" t="str">
        <f>CONCATENATE(HYPERLINK("CALLTO:%2B356%209927%207571", "+356 9927 7571"))</f>
        <v>+356 9927 7571</v>
      </c>
      <c r="E36" s="3" t="s">
        <v>3612</v>
      </c>
      <c r="F36" s="3" t="s">
        <v>3693</v>
      </c>
      <c r="G36" s="2"/>
    </row>
    <row r="37" spans="1:7" x14ac:dyDescent="0.3">
      <c r="A37" s="4" t="s">
        <v>3396</v>
      </c>
      <c r="B37" s="4" t="s">
        <v>3433</v>
      </c>
      <c r="C37" s="5" t="s">
        <v>3523</v>
      </c>
      <c r="D37" s="4" t="str">
        <f>CONCATENATE(HYPERLINK("CALLTO:%2B356%202149%202432", "+356 2149 2432"))</f>
        <v>+356 2149 2432</v>
      </c>
      <c r="E37" s="5" t="s">
        <v>3613</v>
      </c>
      <c r="F37" s="5" t="s">
        <v>3694</v>
      </c>
      <c r="G37" s="4"/>
    </row>
    <row r="38" spans="1:7" x14ac:dyDescent="0.3">
      <c r="A38" s="2" t="s">
        <v>3396</v>
      </c>
      <c r="B38" s="2" t="s">
        <v>3434</v>
      </c>
      <c r="C38" s="3" t="s">
        <v>3524</v>
      </c>
      <c r="D38" s="2" t="str">
        <f>CONCATENATE(HYPERLINK("CALLTO:%2B356%207905%208588", "+356 7905 8588"))</f>
        <v>+356 7905 8588</v>
      </c>
      <c r="E38" s="3" t="s">
        <v>3614</v>
      </c>
      <c r="F38" s="3" t="s">
        <v>3695</v>
      </c>
      <c r="G38" s="2"/>
    </row>
    <row r="39" spans="1:7" x14ac:dyDescent="0.3">
      <c r="A39" s="4" t="s">
        <v>3396</v>
      </c>
      <c r="B39" s="4" t="s">
        <v>3435</v>
      </c>
      <c r="C39" s="5" t="s">
        <v>3526</v>
      </c>
      <c r="D39" s="4" t="str">
        <f>CONCATENATE(HYPERLINK("CALLTO:%2B356%209920%207248", "+356 9920 7248"))</f>
        <v>+356 9920 7248</v>
      </c>
      <c r="E39" s="5" t="s">
        <v>1768</v>
      </c>
      <c r="F39" s="5" t="s">
        <v>3696</v>
      </c>
      <c r="G39" s="4"/>
    </row>
    <row r="40" spans="1:7" x14ac:dyDescent="0.3">
      <c r="A40" s="2" t="s">
        <v>3396</v>
      </c>
      <c r="B40" s="2" t="s">
        <v>3436</v>
      </c>
      <c r="C40" s="3" t="s">
        <v>3525</v>
      </c>
      <c r="D40" s="2" t="str">
        <f>CONCATENATE(HYPERLINK("CALLTO:%2B356%209949%204304", "+356 9949 4304"))</f>
        <v>+356 9949 4304</v>
      </c>
      <c r="E40" s="3" t="s">
        <v>3615</v>
      </c>
      <c r="F40" s="3" t="s">
        <v>3697</v>
      </c>
      <c r="G40" s="2"/>
    </row>
    <row r="41" spans="1:7" x14ac:dyDescent="0.3">
      <c r="A41" s="4" t="s">
        <v>3396</v>
      </c>
      <c r="B41" s="4" t="s">
        <v>3437</v>
      </c>
      <c r="C41" s="5" t="s">
        <v>3527</v>
      </c>
      <c r="D41" s="4" t="str">
        <f>CONCATENATE(HYPERLINK("CALLTO:%2B356%207732%200648", "+356 7732 0648"))</f>
        <v>+356 7732 0648</v>
      </c>
      <c r="E41" s="5" t="s">
        <v>3616</v>
      </c>
      <c r="F41" s="5" t="s">
        <v>3698</v>
      </c>
      <c r="G41" s="4"/>
    </row>
    <row r="42" spans="1:7" x14ac:dyDescent="0.3">
      <c r="A42" s="2" t="s">
        <v>3396</v>
      </c>
      <c r="B42" s="2" t="s">
        <v>3438</v>
      </c>
      <c r="C42" s="3" t="s">
        <v>3528</v>
      </c>
      <c r="D42" s="2" t="str">
        <f>CONCATENATE(HYPERLINK("CALLTO:%2B356%209942%204050", "+356 9942 4050"))</f>
        <v>+356 9942 4050</v>
      </c>
      <c r="E42" s="3" t="s">
        <v>3617</v>
      </c>
      <c r="F42" s="3" t="s">
        <v>3699</v>
      </c>
      <c r="G42" s="2"/>
    </row>
    <row r="43" spans="1:7" x14ac:dyDescent="0.3">
      <c r="A43" s="4" t="s">
        <v>3396</v>
      </c>
      <c r="B43" s="4" t="s">
        <v>3439</v>
      </c>
      <c r="C43" s="5" t="s">
        <v>3529</v>
      </c>
      <c r="D43" s="4" t="str">
        <f>CONCATENATE(HYPERLINK("CALLTO:%2B356%207926%202163", "+356 7926 2163"))</f>
        <v>+356 7926 2163</v>
      </c>
      <c r="E43" s="5" t="s">
        <v>3618</v>
      </c>
      <c r="F43" s="5" t="s">
        <v>3700</v>
      </c>
      <c r="G43" s="4"/>
    </row>
    <row r="44" spans="1:7" x14ac:dyDescent="0.3">
      <c r="A44" s="2" t="s">
        <v>3396</v>
      </c>
      <c r="B44" s="2" t="s">
        <v>3440</v>
      </c>
      <c r="C44" s="3" t="s">
        <v>3530</v>
      </c>
      <c r="D44" s="2" t="str">
        <f>CONCATENATE(HYPERLINK("CALLTO:%2B356%207798%200389", "+356 7798 0389"))</f>
        <v>+356 7798 0389</v>
      </c>
      <c r="E44" s="3" t="s">
        <v>3619</v>
      </c>
      <c r="F44" s="3" t="s">
        <v>3701</v>
      </c>
      <c r="G44" s="2"/>
    </row>
    <row r="45" spans="1:7" x14ac:dyDescent="0.3">
      <c r="A45" s="4" t="s">
        <v>3396</v>
      </c>
      <c r="B45" s="4" t="s">
        <v>3441</v>
      </c>
      <c r="C45" s="5" t="s">
        <v>3531</v>
      </c>
      <c r="D45" s="4" t="str">
        <f>CONCATENATE(HYPERLINK("CALLTO:%2B356%202149%200588", "+356 2149 0588"))</f>
        <v>+356 2149 0588</v>
      </c>
      <c r="E45" s="5" t="s">
        <v>3620</v>
      </c>
      <c r="F45" s="5" t="s">
        <v>3702</v>
      </c>
      <c r="G45" s="4"/>
    </row>
    <row r="46" spans="1:7" x14ac:dyDescent="0.3">
      <c r="A46" s="2" t="s">
        <v>3396</v>
      </c>
      <c r="B46" s="2" t="s">
        <v>3442</v>
      </c>
      <c r="C46" s="3" t="s">
        <v>3532</v>
      </c>
      <c r="D46" s="2" t="str">
        <f>CONCATENATE(HYPERLINK("CALLTO:%2B356%209982%205244", "+356 9982 5244"))</f>
        <v>+356 9982 5244</v>
      </c>
      <c r="E46" s="3" t="s">
        <v>3621</v>
      </c>
      <c r="F46" s="2" t="s">
        <v>146</v>
      </c>
      <c r="G46" s="2"/>
    </row>
    <row r="47" spans="1:7" x14ac:dyDescent="0.3">
      <c r="A47" s="4" t="s">
        <v>3396</v>
      </c>
      <c r="B47" s="4" t="s">
        <v>3443</v>
      </c>
      <c r="C47" s="5" t="s">
        <v>3533</v>
      </c>
      <c r="D47" s="4" t="str">
        <f>CONCATENATE(HYPERLINK("CALLTO:%2B356%209924%202312", "+356 9924 2312"))</f>
        <v>+356 9924 2312</v>
      </c>
      <c r="E47" s="5" t="s">
        <v>3622</v>
      </c>
      <c r="F47" s="5" t="s">
        <v>3703</v>
      </c>
      <c r="G47" s="4"/>
    </row>
    <row r="48" spans="1:7" x14ac:dyDescent="0.3">
      <c r="A48" s="2" t="s">
        <v>3396</v>
      </c>
      <c r="B48" s="2" t="s">
        <v>682</v>
      </c>
      <c r="C48" s="3" t="s">
        <v>710</v>
      </c>
      <c r="D48" s="2" t="str">
        <f>CONCATENATE(HYPERLINK("CALLTO:%2B356%202145%202831", "+356 2145 2831"))</f>
        <v>+356 2145 2831</v>
      </c>
      <c r="E48" s="3" t="s">
        <v>3623</v>
      </c>
      <c r="F48" s="3" t="s">
        <v>3704</v>
      </c>
      <c r="G48" s="2"/>
    </row>
    <row r="49" spans="1:7" x14ac:dyDescent="0.3">
      <c r="A49" s="4" t="s">
        <v>3396</v>
      </c>
      <c r="B49" s="4" t="s">
        <v>3444</v>
      </c>
      <c r="C49" s="5" t="s">
        <v>2599</v>
      </c>
      <c r="D49" s="4" t="str">
        <f>CONCATENATE(HYPERLINK("CALLTO:%2B356%202138%202595", "+356 2138 2595"))</f>
        <v>+356 2138 2595</v>
      </c>
      <c r="E49" s="5" t="s">
        <v>3624</v>
      </c>
      <c r="F49" s="5" t="s">
        <v>3669</v>
      </c>
      <c r="G49" s="4"/>
    </row>
    <row r="50" spans="1:7" x14ac:dyDescent="0.3">
      <c r="A50" s="2" t="s">
        <v>3396</v>
      </c>
      <c r="B50" s="2" t="s">
        <v>3445</v>
      </c>
      <c r="C50" s="3" t="s">
        <v>3534</v>
      </c>
      <c r="D50" s="2" t="str">
        <f>CONCATENATE(HYPERLINK("CALLTO:%2B356%207909%201797", "+356 7909 1797"))</f>
        <v>+356 7909 1797</v>
      </c>
      <c r="E50" s="3" t="s">
        <v>3625</v>
      </c>
      <c r="F50" s="3" t="s">
        <v>3706</v>
      </c>
      <c r="G50" s="2"/>
    </row>
    <row r="51" spans="1:7" x14ac:dyDescent="0.3">
      <c r="A51" s="4" t="s">
        <v>3396</v>
      </c>
      <c r="B51" s="4" t="s">
        <v>3446</v>
      </c>
      <c r="C51" s="5" t="s">
        <v>3535</v>
      </c>
      <c r="D51" s="4" t="str">
        <f>CONCATENATE(HYPERLINK("CALLTO:%2B356%202146%201078", "+356 2146 1078"))</f>
        <v>+356 2146 1078</v>
      </c>
      <c r="E51" s="5" t="s">
        <v>3626</v>
      </c>
      <c r="F51" s="5" t="s">
        <v>3707</v>
      </c>
      <c r="G51" s="4"/>
    </row>
    <row r="52" spans="1:7" x14ac:dyDescent="0.3">
      <c r="A52" s="2" t="s">
        <v>3396</v>
      </c>
      <c r="B52" s="2" t="s">
        <v>3447</v>
      </c>
      <c r="C52" s="3" t="s">
        <v>3536</v>
      </c>
      <c r="D52" s="2" t="str">
        <f>CONCATENATE(HYPERLINK("CALLTO:%2B356%209947%202592", "+356 9947 2592"))</f>
        <v>+356 9947 2592</v>
      </c>
      <c r="E52" s="3" t="s">
        <v>3627</v>
      </c>
      <c r="F52" s="2" t="s">
        <v>146</v>
      </c>
      <c r="G52" s="2"/>
    </row>
    <row r="53" spans="1:7" x14ac:dyDescent="0.3">
      <c r="A53" s="4" t="s">
        <v>3396</v>
      </c>
      <c r="B53" s="4" t="s">
        <v>3448</v>
      </c>
      <c r="C53" s="5" t="s">
        <v>3537</v>
      </c>
      <c r="D53" s="4" t="str">
        <f>CONCATENATE(HYPERLINK("CALLTO:%2B356%202146%203522", "+356 2146 3522"))</f>
        <v>+356 2146 3522</v>
      </c>
      <c r="E53" s="5" t="s">
        <v>3628</v>
      </c>
      <c r="F53" s="5" t="s">
        <v>744</v>
      </c>
      <c r="G53" s="4"/>
    </row>
    <row r="54" spans="1:7" x14ac:dyDescent="0.3">
      <c r="A54" s="2" t="s">
        <v>3396</v>
      </c>
      <c r="B54" s="2" t="s">
        <v>3449</v>
      </c>
      <c r="C54" s="3" t="s">
        <v>3538</v>
      </c>
      <c r="D54" s="2" t="str">
        <f>CONCATENATE(HYPERLINK("CALLTO:%2B356%207005%20238925", "+356 7005 238925"))</f>
        <v>+356 7005 238925</v>
      </c>
      <c r="E54" s="3" t="s">
        <v>3629</v>
      </c>
      <c r="F54" s="3" t="s">
        <v>3708</v>
      </c>
      <c r="G54" s="2"/>
    </row>
    <row r="55" spans="1:7" x14ac:dyDescent="0.3">
      <c r="A55" s="4" t="s">
        <v>3396</v>
      </c>
      <c r="B55" s="4" t="s">
        <v>3450</v>
      </c>
      <c r="C55" s="5" t="s">
        <v>3539</v>
      </c>
      <c r="D55" s="4" t="str">
        <f>CONCATENATE(HYPERLINK("CALLTO:%2B356%209947%203343", "+356 9947 3343"))</f>
        <v>+356 9947 3343</v>
      </c>
      <c r="E55" s="5" t="s">
        <v>3630</v>
      </c>
      <c r="F55" s="4" t="s">
        <v>146</v>
      </c>
      <c r="G55" s="4"/>
    </row>
    <row r="56" spans="1:7" x14ac:dyDescent="0.3">
      <c r="A56" s="2" t="s">
        <v>3396</v>
      </c>
      <c r="B56" s="2" t="s">
        <v>3451</v>
      </c>
      <c r="C56" s="3" t="s">
        <v>3540</v>
      </c>
      <c r="D56" s="2" t="str">
        <f>CONCATENATE(HYPERLINK("CALLTO:%2B356%209993%208509", "+356 9993 8509"))</f>
        <v>+356 9993 8509</v>
      </c>
      <c r="E56" s="3" t="s">
        <v>3631</v>
      </c>
      <c r="F56" s="3" t="s">
        <v>3709</v>
      </c>
      <c r="G56" s="2"/>
    </row>
    <row r="57" spans="1:7" x14ac:dyDescent="0.3">
      <c r="A57" s="4" t="s">
        <v>3396</v>
      </c>
      <c r="B57" s="4" t="s">
        <v>677</v>
      </c>
      <c r="C57" s="5" t="s">
        <v>705</v>
      </c>
      <c r="D57" s="4" t="str">
        <f>CONCATENATE(HYPERLINK("CALLTO:%2B356%202149%202908", "+356 2149 2908"))</f>
        <v>+356 2149 2908</v>
      </c>
      <c r="E57" s="5" t="s">
        <v>3632</v>
      </c>
      <c r="F57" s="5" t="s">
        <v>747</v>
      </c>
      <c r="G57" s="4"/>
    </row>
    <row r="58" spans="1:7" x14ac:dyDescent="0.3">
      <c r="A58" s="2" t="s">
        <v>3396</v>
      </c>
      <c r="B58" s="2" t="s">
        <v>3452</v>
      </c>
      <c r="C58" s="3" t="s">
        <v>3541</v>
      </c>
      <c r="D58" s="2" t="str">
        <f>CONCATENATE(HYPERLINK("CALLTO:%2B356%207965%207308", "+356 7965 7308"))</f>
        <v>+356 7965 7308</v>
      </c>
      <c r="E58" s="3" t="s">
        <v>3633</v>
      </c>
      <c r="F58" s="3" t="s">
        <v>3710</v>
      </c>
      <c r="G58" s="2"/>
    </row>
    <row r="59" spans="1:7" x14ac:dyDescent="0.3">
      <c r="A59" s="4" t="s">
        <v>3396</v>
      </c>
      <c r="B59" s="4" t="s">
        <v>3453</v>
      </c>
      <c r="C59" s="5" t="s">
        <v>3542</v>
      </c>
      <c r="D59" s="4" t="str">
        <f>CONCATENATE(HYPERLINK("CALLTO:%2B356%202122%206320", "+356 2122 6320"))</f>
        <v>+356 2122 6320</v>
      </c>
      <c r="E59" s="5" t="s">
        <v>3634</v>
      </c>
      <c r="F59" s="5" t="s">
        <v>3711</v>
      </c>
      <c r="G59" s="4"/>
    </row>
    <row r="60" spans="1:7" x14ac:dyDescent="0.3">
      <c r="A60" s="2" t="s">
        <v>3396</v>
      </c>
      <c r="B60" s="2" t="s">
        <v>3454</v>
      </c>
      <c r="C60" s="2" t="s">
        <v>3543</v>
      </c>
      <c r="D60" s="2" t="str">
        <f>CONCATENATE(HYPERLINK("CALLTO:%2B356%207972%207953", "+356 7972 7953"))</f>
        <v>+356 7972 7953</v>
      </c>
      <c r="E60" s="3" t="s">
        <v>3635</v>
      </c>
      <c r="F60" s="3" t="s">
        <v>3712</v>
      </c>
      <c r="G60" s="2"/>
    </row>
    <row r="61" spans="1:7" x14ac:dyDescent="0.3">
      <c r="A61" s="4" t="s">
        <v>3396</v>
      </c>
      <c r="B61" s="4" t="s">
        <v>3455</v>
      </c>
      <c r="C61" s="5" t="s">
        <v>3544</v>
      </c>
      <c r="D61" s="4" t="str">
        <f>CONCATENATE(HYPERLINK("CALLTO:%2B356%209944%200946", "+356 9944 0946"))</f>
        <v>+356 9944 0946</v>
      </c>
      <c r="E61" s="5" t="s">
        <v>3636</v>
      </c>
      <c r="F61" s="4" t="s">
        <v>146</v>
      </c>
      <c r="G61" s="4"/>
    </row>
    <row r="62" spans="1:7" x14ac:dyDescent="0.3">
      <c r="A62" s="2" t="s">
        <v>3396</v>
      </c>
      <c r="B62" s="2" t="s">
        <v>3456</v>
      </c>
      <c r="C62" s="3" t="s">
        <v>3545</v>
      </c>
      <c r="D62" s="2" t="str">
        <f>CONCATENATE(HYPERLINK("CALLTO:%2B356%202748%205677", "+356 2748 5677"))</f>
        <v>+356 2748 5677</v>
      </c>
      <c r="E62" s="3" t="s">
        <v>3637</v>
      </c>
      <c r="F62" s="3" t="s">
        <v>3713</v>
      </c>
      <c r="G62" s="2"/>
    </row>
    <row r="63" spans="1:7" x14ac:dyDescent="0.3">
      <c r="A63" s="4" t="s">
        <v>3396</v>
      </c>
      <c r="B63" s="4" t="s">
        <v>3457</v>
      </c>
      <c r="C63" s="5" t="s">
        <v>3546</v>
      </c>
      <c r="D63" s="4" t="str">
        <f>CONCATENATE(HYPERLINK("CALLTO:%2B356%207905%205395", "+356 7905 5395"))</f>
        <v>+356 7905 5395</v>
      </c>
      <c r="E63" s="5" t="s">
        <v>3638</v>
      </c>
      <c r="F63" s="5" t="s">
        <v>3714</v>
      </c>
      <c r="G63" s="4"/>
    </row>
    <row r="64" spans="1:7" x14ac:dyDescent="0.3">
      <c r="A64" s="2" t="s">
        <v>3396</v>
      </c>
      <c r="B64" s="2" t="s">
        <v>3458</v>
      </c>
      <c r="C64" s="3" t="s">
        <v>3547</v>
      </c>
      <c r="D64" s="2" t="str">
        <f>CONCATENATE(HYPERLINK("CALLTO:%2B356%209949%200300", "+356 9949 0300"))</f>
        <v>+356 9949 0300</v>
      </c>
      <c r="E64" s="3" t="s">
        <v>3639</v>
      </c>
      <c r="F64" s="3" t="s">
        <v>3715</v>
      </c>
      <c r="G64" s="2"/>
    </row>
    <row r="65" spans="1:7" x14ac:dyDescent="0.3">
      <c r="A65" s="4" t="s">
        <v>3396</v>
      </c>
      <c r="B65" s="4" t="s">
        <v>3459</v>
      </c>
      <c r="C65" s="5" t="s">
        <v>3548</v>
      </c>
      <c r="D65" s="4" t="str">
        <f>CONCATENATE(HYPERLINK("CALLTO:%2B356%202180%204756", "+356 2180 4756"))</f>
        <v>+356 2180 4756</v>
      </c>
      <c r="E65" s="5" t="s">
        <v>3640</v>
      </c>
      <c r="F65" s="5" t="s">
        <v>3716</v>
      </c>
      <c r="G65" s="4"/>
    </row>
    <row r="66" spans="1:7" x14ac:dyDescent="0.3">
      <c r="A66" s="2" t="s">
        <v>3396</v>
      </c>
      <c r="B66" s="2" t="s">
        <v>3460</v>
      </c>
      <c r="C66" s="3" t="s">
        <v>3549</v>
      </c>
      <c r="D66" s="2" t="str">
        <f>CONCATENATE(HYPERLINK("CALLTO:%2B356%202166%200170", "+356 2166 0170"))</f>
        <v>+356 2166 0170</v>
      </c>
      <c r="E66" s="3" t="s">
        <v>3641</v>
      </c>
      <c r="F66" s="3" t="s">
        <v>3717</v>
      </c>
      <c r="G66" s="2"/>
    </row>
    <row r="67" spans="1:7" x14ac:dyDescent="0.3">
      <c r="A67" s="4" t="s">
        <v>3396</v>
      </c>
      <c r="B67" s="4" t="s">
        <v>3461</v>
      </c>
      <c r="C67" s="5" t="s">
        <v>3550</v>
      </c>
      <c r="D67" s="4" t="str">
        <f>CONCATENATE(HYPERLINK("CALLTO:%2B356%209913%201020", "+356 9913 1020"))</f>
        <v>+356 9913 1020</v>
      </c>
      <c r="E67" s="5" t="s">
        <v>3642</v>
      </c>
      <c r="F67" s="5" t="s">
        <v>3718</v>
      </c>
      <c r="G67" s="4"/>
    </row>
    <row r="68" spans="1:7" x14ac:dyDescent="0.3">
      <c r="A68" s="2" t="s">
        <v>3396</v>
      </c>
      <c r="B68" s="2" t="s">
        <v>3462</v>
      </c>
      <c r="C68" s="3" t="s">
        <v>3551</v>
      </c>
      <c r="D68" s="2" t="str">
        <f>CONCATENATE(HYPERLINK("CALLTO:%2B356%209983%205642", "+356 9983 5642"))</f>
        <v>+356 9983 5642</v>
      </c>
      <c r="E68" s="3" t="s">
        <v>3643</v>
      </c>
      <c r="F68" s="2" t="s">
        <v>146</v>
      </c>
      <c r="G68" s="2"/>
    </row>
    <row r="69" spans="1:7" x14ac:dyDescent="0.3">
      <c r="A69" s="4" t="s">
        <v>3396</v>
      </c>
      <c r="B69" s="4" t="s">
        <v>3463</v>
      </c>
      <c r="C69" s="5" t="s">
        <v>3552</v>
      </c>
      <c r="D69" s="4" t="str">
        <f>CONCATENATE(HYPERLINK("CALLTO:%2B356%202169%205051", "+356 2169 5051"))</f>
        <v>+356 2169 5051</v>
      </c>
      <c r="E69" s="5" t="s">
        <v>3644</v>
      </c>
      <c r="F69" s="4" t="s">
        <v>146</v>
      </c>
      <c r="G69" s="4"/>
    </row>
    <row r="70" spans="1:7" x14ac:dyDescent="0.3">
      <c r="A70" s="2" t="s">
        <v>3396</v>
      </c>
      <c r="B70" s="2" t="s">
        <v>3464</v>
      </c>
      <c r="C70" s="3" t="s">
        <v>1017</v>
      </c>
      <c r="D70" s="2" t="str">
        <f>CONCATENATE(HYPERLINK("CALLTO:%2B356%209921%205215", "+356 9921 5215"))</f>
        <v>+356 9921 5215</v>
      </c>
      <c r="E70" s="3" t="s">
        <v>3645</v>
      </c>
      <c r="F70" s="3" t="s">
        <v>1056</v>
      </c>
      <c r="G70" s="2"/>
    </row>
    <row r="71" spans="1:7" x14ac:dyDescent="0.3">
      <c r="A71" s="4" t="s">
        <v>3396</v>
      </c>
      <c r="B71" s="4" t="s">
        <v>3465</v>
      </c>
      <c r="C71" s="5" t="s">
        <v>3553</v>
      </c>
      <c r="D71" s="4" t="str">
        <f>CONCATENATE(HYPERLINK("CALLTO:%2B356%209984%200315", "+356 9984 0315"))</f>
        <v>+356 9984 0315</v>
      </c>
      <c r="E71" s="5" t="s">
        <v>3646</v>
      </c>
      <c r="F71" s="4" t="s">
        <v>146</v>
      </c>
      <c r="G71" s="4"/>
    </row>
    <row r="72" spans="1:7" x14ac:dyDescent="0.3">
      <c r="A72" s="2" t="s">
        <v>3396</v>
      </c>
      <c r="B72" s="2" t="s">
        <v>3466</v>
      </c>
      <c r="C72" s="3" t="s">
        <v>3554</v>
      </c>
      <c r="D72" s="2" t="str">
        <f>CONCATENATE(HYPERLINK("CALLTO:%2B356%202148%206022", "+356 2148 6022"))</f>
        <v>+356 2148 6022</v>
      </c>
      <c r="E72" s="3" t="s">
        <v>3647</v>
      </c>
      <c r="F72" s="3" t="s">
        <v>3719</v>
      </c>
      <c r="G72" s="2"/>
    </row>
    <row r="73" spans="1:7" x14ac:dyDescent="0.3">
      <c r="A73" s="4" t="s">
        <v>3396</v>
      </c>
      <c r="B73" s="4" t="s">
        <v>3467</v>
      </c>
      <c r="C73" s="5" t="s">
        <v>3555</v>
      </c>
      <c r="D73" s="4" t="str">
        <f>CONCATENATE(HYPERLINK("CALLTO:%2B356%209947%203849", "+356 9947 3849"))</f>
        <v>+356 9947 3849</v>
      </c>
      <c r="E73" s="5" t="s">
        <v>3648</v>
      </c>
      <c r="F73" s="4" t="s">
        <v>146</v>
      </c>
      <c r="G73" s="4"/>
    </row>
    <row r="74" spans="1:7" x14ac:dyDescent="0.3">
      <c r="A74" s="2" t="s">
        <v>3396</v>
      </c>
      <c r="B74" s="2" t="s">
        <v>3468</v>
      </c>
      <c r="C74" s="3" t="s">
        <v>3556</v>
      </c>
      <c r="D74" s="2" t="str">
        <f>CONCATENATE(HYPERLINK("CALLTO:%2B356%202155%204149", "+356 2155 4149"))</f>
        <v>+356 2155 4149</v>
      </c>
      <c r="E74" s="3" t="s">
        <v>3649</v>
      </c>
      <c r="F74" s="3" t="s">
        <v>3720</v>
      </c>
      <c r="G74" s="2"/>
    </row>
    <row r="75" spans="1:7" x14ac:dyDescent="0.3">
      <c r="A75" s="4" t="s">
        <v>3396</v>
      </c>
      <c r="B75" s="4" t="s">
        <v>3469</v>
      </c>
      <c r="C75" s="5" t="s">
        <v>3557</v>
      </c>
      <c r="D75" s="4" t="str">
        <f>CONCATENATE(HYPERLINK("CALLTO:%2B356%209940%202482", "+356 9940 2482"))</f>
        <v>+356 9940 2482</v>
      </c>
      <c r="E75" s="5" t="s">
        <v>3650</v>
      </c>
      <c r="F75" s="5" t="s">
        <v>3721</v>
      </c>
      <c r="G75" s="4"/>
    </row>
    <row r="76" spans="1:7" x14ac:dyDescent="0.3">
      <c r="A76" s="2" t="s">
        <v>3396</v>
      </c>
      <c r="B76" s="2" t="s">
        <v>3470</v>
      </c>
      <c r="C76" s="3" t="s">
        <v>3558</v>
      </c>
      <c r="D76" s="2" t="str">
        <f>CONCATENATE(HYPERLINK("CALLTO:%2B356%209949%207740", "+356 9949 7740"))</f>
        <v>+356 9949 7740</v>
      </c>
      <c r="E76" s="3" t="s">
        <v>3636</v>
      </c>
      <c r="F76" s="3" t="s">
        <v>3722</v>
      </c>
      <c r="G76" s="2"/>
    </row>
    <row r="77" spans="1:7" x14ac:dyDescent="0.3">
      <c r="A77" s="4" t="s">
        <v>3396</v>
      </c>
      <c r="B77" s="4" t="s">
        <v>3471</v>
      </c>
      <c r="C77" s="5" t="s">
        <v>3559</v>
      </c>
      <c r="D77" s="4" t="str">
        <f>CONCATENATE(HYPERLINK("CALLTO:%2B356%202144%209878", "+356 2144 9878"))</f>
        <v>+356 2144 9878</v>
      </c>
      <c r="E77" s="5" t="s">
        <v>3651</v>
      </c>
      <c r="F77" s="5" t="s">
        <v>3723</v>
      </c>
      <c r="G77" s="4"/>
    </row>
    <row r="78" spans="1:7" x14ac:dyDescent="0.3">
      <c r="A78" s="2" t="s">
        <v>3396</v>
      </c>
      <c r="B78" s="2" t="s">
        <v>3472</v>
      </c>
      <c r="C78" s="2" t="s">
        <v>146</v>
      </c>
      <c r="D78" s="2" t="str">
        <f>CONCATENATE(HYPERLINK("CALLTO:%2B356%209942%202717", "+356 9942 2717"))</f>
        <v>+356 9942 2717</v>
      </c>
      <c r="E78" s="3" t="s">
        <v>3652</v>
      </c>
      <c r="F78" s="2" t="s">
        <v>146</v>
      </c>
      <c r="G78" s="2"/>
    </row>
    <row r="79" spans="1:7" x14ac:dyDescent="0.3">
      <c r="A79" s="4" t="s">
        <v>3396</v>
      </c>
      <c r="B79" s="4" t="s">
        <v>3473</v>
      </c>
      <c r="C79" s="5" t="s">
        <v>3560</v>
      </c>
      <c r="D79" s="4" t="str">
        <f>CONCATENATE(HYPERLINK("CALLTO:%2B356%209932%200809", "+356 9932 0809"))</f>
        <v>+356 9932 0809</v>
      </c>
      <c r="E79" s="5" t="s">
        <v>3653</v>
      </c>
      <c r="F79" s="5" t="s">
        <v>3724</v>
      </c>
      <c r="G79" s="4"/>
    </row>
    <row r="80" spans="1:7" x14ac:dyDescent="0.3">
      <c r="A80" s="2" t="s">
        <v>3396</v>
      </c>
      <c r="B80" s="2" t="s">
        <v>3474</v>
      </c>
      <c r="C80" s="3" t="s">
        <v>3561</v>
      </c>
      <c r="D80" s="2" t="str">
        <f>CONCATENATE(HYPERLINK("CALLTO:%2B356%209946%200052", "+356 9946 0052"))</f>
        <v>+356 9946 0052</v>
      </c>
      <c r="E80" s="3" t="s">
        <v>3654</v>
      </c>
      <c r="F80" s="2" t="s">
        <v>146</v>
      </c>
      <c r="G80" s="2"/>
    </row>
    <row r="81" spans="1:7" x14ac:dyDescent="0.3">
      <c r="A81" s="4" t="s">
        <v>3396</v>
      </c>
      <c r="B81" s="4" t="s">
        <v>3475</v>
      </c>
      <c r="C81" s="5" t="s">
        <v>3562</v>
      </c>
      <c r="D81" s="4" t="str">
        <f>CONCATENATE(HYPERLINK("CALLTO:%2B356%209939%205416", "+356 9939 5416"))</f>
        <v>+356 9939 5416</v>
      </c>
      <c r="E81" s="5" t="s">
        <v>3655</v>
      </c>
      <c r="F81" s="5" t="s">
        <v>3725</v>
      </c>
      <c r="G81" s="4"/>
    </row>
    <row r="82" spans="1:7" x14ac:dyDescent="0.3">
      <c r="A82" s="2" t="s">
        <v>3396</v>
      </c>
      <c r="B82" s="2" t="s">
        <v>3476</v>
      </c>
      <c r="C82" s="3" t="s">
        <v>3563</v>
      </c>
      <c r="D82" s="2" t="str">
        <f>CONCATENATE(HYPERLINK("CALLTO:%2B356%202146%205156", "+356 2146 5156"))</f>
        <v>+356 2146 5156</v>
      </c>
      <c r="E82" s="3" t="s">
        <v>3656</v>
      </c>
      <c r="F82" s="3" t="s">
        <v>3726</v>
      </c>
      <c r="G82" s="2"/>
    </row>
    <row r="83" spans="1:7" x14ac:dyDescent="0.3">
      <c r="A83" s="4" t="s">
        <v>3396</v>
      </c>
      <c r="B83" s="4" t="s">
        <v>3477</v>
      </c>
      <c r="C83" s="5" t="s">
        <v>1077</v>
      </c>
      <c r="D83" s="4" t="str">
        <f>CONCATENATE(HYPERLINK("CALLTO:%2B356%202180%208802", "+356 2180 8802"))</f>
        <v>+356 2180 8802</v>
      </c>
      <c r="E83" s="5" t="s">
        <v>3657</v>
      </c>
      <c r="F83" s="5" t="s">
        <v>3727</v>
      </c>
      <c r="G83" s="4"/>
    </row>
    <row r="84" spans="1:7" x14ac:dyDescent="0.3">
      <c r="A84" s="2" t="s">
        <v>3396</v>
      </c>
      <c r="B84" s="2" t="s">
        <v>3478</v>
      </c>
      <c r="C84" s="3" t="s">
        <v>3564</v>
      </c>
      <c r="D84" s="2" t="str">
        <f>CONCATENATE(HYPERLINK("CALLTO:%2B356%202182%202143", "+356 2182 2143"))</f>
        <v>+356 2182 2143</v>
      </c>
      <c r="E84" s="3" t="s">
        <v>3658</v>
      </c>
      <c r="F84" s="3" t="s">
        <v>3728</v>
      </c>
      <c r="G84" s="2"/>
    </row>
    <row r="85" spans="1:7" x14ac:dyDescent="0.3">
      <c r="A85" s="4" t="s">
        <v>3396</v>
      </c>
      <c r="B85" s="4" t="s">
        <v>3479</v>
      </c>
      <c r="C85" s="4" t="s">
        <v>146</v>
      </c>
      <c r="D85" s="4" t="str">
        <f>CONCATENATE(HYPERLINK("CALLTO:%2B356%209984%207115", "+356 9984 7115"))</f>
        <v>+356 9984 7115</v>
      </c>
      <c r="E85" s="5" t="s">
        <v>3659</v>
      </c>
      <c r="F85" s="4" t="s">
        <v>146</v>
      </c>
      <c r="G85" s="4"/>
    </row>
    <row r="86" spans="1:7" x14ac:dyDescent="0.3">
      <c r="A86" s="2" t="s">
        <v>3396</v>
      </c>
      <c r="B86" s="2" t="s">
        <v>3480</v>
      </c>
      <c r="C86" s="3" t="s">
        <v>3565</v>
      </c>
      <c r="D86" s="2" t="str">
        <f>CONCATENATE(HYPERLINK("CALLTO:%2B356%209945%200440", "+356 9945 0440"))</f>
        <v>+356 9945 0440</v>
      </c>
      <c r="E86" s="3" t="s">
        <v>3660</v>
      </c>
      <c r="F86" s="3" t="s">
        <v>3729</v>
      </c>
      <c r="G86" s="2"/>
    </row>
    <row r="87" spans="1:7" x14ac:dyDescent="0.3">
      <c r="A87" s="4" t="s">
        <v>3396</v>
      </c>
      <c r="B87" s="4" t="s">
        <v>3481</v>
      </c>
      <c r="C87" s="5" t="s">
        <v>3566</v>
      </c>
      <c r="D87" s="4" t="str">
        <f>CONCATENATE(HYPERLINK("CALLTO:%2B356%202155%204058", "+356 2155 4058"))</f>
        <v>+356 2155 4058</v>
      </c>
      <c r="E87" s="5" t="s">
        <v>3661</v>
      </c>
      <c r="F87" s="5" t="s">
        <v>3730</v>
      </c>
      <c r="G87" s="4"/>
    </row>
    <row r="88" spans="1:7" x14ac:dyDescent="0.3">
      <c r="A88" s="2" t="s">
        <v>3397</v>
      </c>
      <c r="B88" s="2" t="s">
        <v>3398</v>
      </c>
      <c r="C88" s="2" t="s">
        <v>3489</v>
      </c>
      <c r="D88" s="2" t="str">
        <f>CONCATENATE(HYPERLINK("CALLTO:%2B356%202137%204563", "+356 2137 4563"))</f>
        <v>+356 2137 4563</v>
      </c>
      <c r="E88" s="3" t="s">
        <v>3578</v>
      </c>
      <c r="F88" s="3" t="s">
        <v>743</v>
      </c>
      <c r="G88" s="2"/>
    </row>
    <row r="89" spans="1:7" x14ac:dyDescent="0.3">
      <c r="A89" s="4" t="s">
        <v>3397</v>
      </c>
      <c r="B89" s="4" t="s">
        <v>3401</v>
      </c>
      <c r="C89" s="5" t="s">
        <v>3492</v>
      </c>
      <c r="D89" s="4" t="str">
        <f>CONCATENATE(HYPERLINK("CALLTO:%2B356%202141%209787", "+356 2141 9787"))</f>
        <v>+356 2141 9787</v>
      </c>
      <c r="E89" s="5" t="s">
        <v>3581</v>
      </c>
      <c r="F89" s="5" t="s">
        <v>2902</v>
      </c>
      <c r="G89" s="4"/>
    </row>
    <row r="90" spans="1:7" x14ac:dyDescent="0.3">
      <c r="A90" s="2" t="s">
        <v>3397</v>
      </c>
      <c r="B90" s="2" t="s">
        <v>3402</v>
      </c>
      <c r="C90" s="3" t="s">
        <v>3493</v>
      </c>
      <c r="D90" s="2" t="str">
        <f>CONCATENATE(HYPERLINK("CALLTO:%2B356%202134%204620", "+356 2134 4620"))</f>
        <v>+356 2134 4620</v>
      </c>
      <c r="E90" s="3" t="s">
        <v>3582</v>
      </c>
      <c r="F90" s="3" t="s">
        <v>3672</v>
      </c>
      <c r="G90" s="2"/>
    </row>
    <row r="91" spans="1:7" x14ac:dyDescent="0.3">
      <c r="A91" s="4" t="s">
        <v>3397</v>
      </c>
      <c r="B91" s="4" t="s">
        <v>3407</v>
      </c>
      <c r="C91" s="5" t="s">
        <v>3498</v>
      </c>
      <c r="D91" s="4" t="str">
        <f>CONCATENATE(HYPERLINK("CALLTO:%2B356%207996%200410", "+356 7996 0410"))</f>
        <v>+356 7996 0410</v>
      </c>
      <c r="E91" s="5" t="s">
        <v>3587</v>
      </c>
      <c r="F91" s="5" t="s">
        <v>3731</v>
      </c>
      <c r="G91" s="4"/>
    </row>
    <row r="92" spans="1:7" x14ac:dyDescent="0.3">
      <c r="A92" s="2" t="s">
        <v>3397</v>
      </c>
      <c r="B92" s="2" t="s">
        <v>3403</v>
      </c>
      <c r="C92" s="3" t="s">
        <v>3494</v>
      </c>
      <c r="D92" s="2" t="str">
        <f>CONCATENATE(HYPERLINK("CALLTO:%2B356%202125%207400", "+356 2125 7400"))</f>
        <v>+356 2125 7400</v>
      </c>
      <c r="E92" s="3" t="s">
        <v>3583</v>
      </c>
      <c r="F92" s="3" t="s">
        <v>3673</v>
      </c>
      <c r="G92" s="2"/>
    </row>
    <row r="93" spans="1:7" x14ac:dyDescent="0.3">
      <c r="A93" s="4" t="s">
        <v>3397</v>
      </c>
      <c r="B93" s="4" t="s">
        <v>3405</v>
      </c>
      <c r="C93" s="5" t="s">
        <v>3496</v>
      </c>
      <c r="D93" s="4" t="str">
        <f>CONCATENATE(HYPERLINK("CALLTO:%2B356%202182%204287", "+356 2182 4287"))</f>
        <v>+356 2182 4287</v>
      </c>
      <c r="E93" s="5" t="s">
        <v>3585</v>
      </c>
      <c r="F93" s="5" t="s">
        <v>3675</v>
      </c>
      <c r="G93" s="4"/>
    </row>
    <row r="94" spans="1:7" x14ac:dyDescent="0.3">
      <c r="A94" s="2" t="s">
        <v>3397</v>
      </c>
      <c r="B94" s="2" t="s">
        <v>3406</v>
      </c>
      <c r="C94" s="3" t="s">
        <v>3497</v>
      </c>
      <c r="D94" s="2" t="str">
        <f>CONCATENATE(HYPERLINK("CALLTO:%2B356%202155%201166", "+356 2155 1166"))</f>
        <v>+356 2155 1166</v>
      </c>
      <c r="E94" s="3" t="s">
        <v>3586</v>
      </c>
      <c r="F94" s="3" t="s">
        <v>3676</v>
      </c>
      <c r="G94" s="2"/>
    </row>
    <row r="95" spans="1:7" x14ac:dyDescent="0.3">
      <c r="A95" s="4" t="s">
        <v>3397</v>
      </c>
      <c r="B95" s="4" t="s">
        <v>3412</v>
      </c>
      <c r="C95" s="5" t="s">
        <v>3503</v>
      </c>
      <c r="D95" s="4" t="str">
        <f>CONCATENATE(HYPERLINK("CALLTO:%2B356%209946%209316", "+356 9946 9316"))</f>
        <v>+356 9946 9316</v>
      </c>
      <c r="E95" s="5" t="s">
        <v>3592</v>
      </c>
      <c r="F95" s="5" t="s">
        <v>3732</v>
      </c>
      <c r="G95" s="4"/>
    </row>
    <row r="96" spans="1:7" x14ac:dyDescent="0.3">
      <c r="A96" s="2" t="s">
        <v>3397</v>
      </c>
      <c r="B96" s="2" t="s">
        <v>3482</v>
      </c>
      <c r="C96" s="3" t="s">
        <v>3567</v>
      </c>
      <c r="D96" s="2" t="str">
        <f>CONCATENATE(HYPERLINK("CALLTO:%2B356%209982%202867", "+356 9982 2867"))</f>
        <v>+356 9982 2867</v>
      </c>
      <c r="E96" s="3" t="s">
        <v>3662</v>
      </c>
      <c r="F96" s="3" t="s">
        <v>3733</v>
      </c>
      <c r="G96" s="2"/>
    </row>
    <row r="97" spans="1:7" x14ac:dyDescent="0.3">
      <c r="A97" s="4" t="s">
        <v>3397</v>
      </c>
      <c r="B97" s="4" t="s">
        <v>3408</v>
      </c>
      <c r="C97" s="5" t="s">
        <v>3499</v>
      </c>
      <c r="D97" s="4" t="str">
        <f>CONCATENATE(HYPERLINK("CALLTO:%2B356%209947%206549", "+356 9947 6549"))</f>
        <v>+356 9947 6549</v>
      </c>
      <c r="E97" s="5" t="s">
        <v>3588</v>
      </c>
      <c r="F97" s="4" t="s">
        <v>146</v>
      </c>
      <c r="G97" s="4"/>
    </row>
    <row r="98" spans="1:7" x14ac:dyDescent="0.3">
      <c r="A98" s="2" t="s">
        <v>3397</v>
      </c>
      <c r="B98" s="2" t="s">
        <v>3409</v>
      </c>
      <c r="C98" s="3" t="s">
        <v>3500</v>
      </c>
      <c r="D98" s="2" t="str">
        <f>CONCATENATE(HYPERLINK("CALLTO:%2B356%202148%203389", "+356 2148 3389"), " / ", HYPERLINK("CALLTO:%2B356%209945%204376", "+356 9945 4376"), " / ", HYPERLINK("CALLTO:%2B356%209988%205657", "+356 9988 5657"))</f>
        <v>+356 2148 3389 / +356 9945 4376 / +356 9988 5657</v>
      </c>
      <c r="E98" s="3" t="s">
        <v>3589</v>
      </c>
      <c r="F98" s="3" t="s">
        <v>3677</v>
      </c>
      <c r="G98" s="2"/>
    </row>
    <row r="99" spans="1:7" x14ac:dyDescent="0.3">
      <c r="A99" s="4" t="s">
        <v>3397</v>
      </c>
      <c r="B99" s="4" t="s">
        <v>3410</v>
      </c>
      <c r="C99" s="5" t="s">
        <v>3501</v>
      </c>
      <c r="D99" s="4" t="str">
        <f>CONCATENATE(HYPERLINK("CALLTO:%2B356%209942%202429", "+356 9942 2429"))</f>
        <v>+356 9942 2429</v>
      </c>
      <c r="E99" s="5" t="s">
        <v>3590</v>
      </c>
      <c r="F99" s="5" t="s">
        <v>3678</v>
      </c>
      <c r="G99" s="4"/>
    </row>
    <row r="100" spans="1:7" x14ac:dyDescent="0.3">
      <c r="A100" s="2" t="s">
        <v>3397</v>
      </c>
      <c r="B100" s="2" t="s">
        <v>3411</v>
      </c>
      <c r="C100" s="3" t="s">
        <v>3502</v>
      </c>
      <c r="D100" s="2" t="str">
        <f>CONCATENATE(HYPERLINK("CALLTO:%2B356%209947%203598", "+356 9947 3598"))</f>
        <v>+356 9947 3598</v>
      </c>
      <c r="E100" s="3" t="s">
        <v>3591</v>
      </c>
      <c r="F100" s="3" t="s">
        <v>3734</v>
      </c>
      <c r="G100" s="2"/>
    </row>
    <row r="101" spans="1:7" x14ac:dyDescent="0.3">
      <c r="A101" s="4" t="s">
        <v>3397</v>
      </c>
      <c r="B101" s="4" t="s">
        <v>3414</v>
      </c>
      <c r="C101" s="5" t="s">
        <v>708</v>
      </c>
      <c r="D101" s="4" t="str">
        <f>CONCATENATE(HYPERLINK("CALLTO:%2B356%202146%204761", "+356 2146 4761"))</f>
        <v>+356 2146 4761</v>
      </c>
      <c r="E101" s="5" t="s">
        <v>3594</v>
      </c>
      <c r="F101" s="5" t="s">
        <v>750</v>
      </c>
      <c r="G101" s="4"/>
    </row>
    <row r="102" spans="1:7" x14ac:dyDescent="0.3">
      <c r="A102" s="2" t="s">
        <v>3397</v>
      </c>
      <c r="B102" s="2" t="s">
        <v>3413</v>
      </c>
      <c r="C102" s="3" t="s">
        <v>3504</v>
      </c>
      <c r="D102" s="2" t="str">
        <f>CONCATENATE(HYPERLINK("CALLTO:%2B356%209909%200706", "+356 9909 0706"))</f>
        <v>+356 9909 0706</v>
      </c>
      <c r="E102" s="3" t="s">
        <v>3593</v>
      </c>
      <c r="F102" s="3" t="s">
        <v>3681</v>
      </c>
      <c r="G102" s="2"/>
    </row>
    <row r="103" spans="1:7" x14ac:dyDescent="0.3">
      <c r="A103" s="4" t="s">
        <v>3397</v>
      </c>
      <c r="B103" s="4" t="s">
        <v>3415</v>
      </c>
      <c r="C103" s="5" t="s">
        <v>3505</v>
      </c>
      <c r="D103" s="4" t="str">
        <f>CONCATENATE(HYPERLINK("CALLTO:%2B356%209944%203727", "+356 9944 3727"), " / ", HYPERLINK("CALLTO:%2B356%209944%203727", "+356 9944 3727"))</f>
        <v>+356 9944 3727 / +356 9944 3727</v>
      </c>
      <c r="E103" s="5" t="s">
        <v>3595</v>
      </c>
      <c r="F103" s="5" t="s">
        <v>3682</v>
      </c>
      <c r="G103" s="4"/>
    </row>
    <row r="104" spans="1:7" x14ac:dyDescent="0.3">
      <c r="A104" s="2" t="s">
        <v>3397</v>
      </c>
      <c r="B104" s="2" t="s">
        <v>3416</v>
      </c>
      <c r="C104" s="3" t="s">
        <v>3506</v>
      </c>
      <c r="D104" s="2" t="str">
        <f>CONCATENATE(HYPERLINK("CALLTO:%2B356%209949%208678", "+356 9949 8678"))</f>
        <v>+356 9949 8678</v>
      </c>
      <c r="E104" s="3" t="s">
        <v>3596</v>
      </c>
      <c r="F104" s="3" t="s">
        <v>3683</v>
      </c>
      <c r="G104" s="2"/>
    </row>
    <row r="105" spans="1:7" x14ac:dyDescent="0.3">
      <c r="A105" s="4" t="s">
        <v>3397</v>
      </c>
      <c r="B105" s="4" t="s">
        <v>3418</v>
      </c>
      <c r="C105" s="5" t="s">
        <v>3508</v>
      </c>
      <c r="D105" s="4" t="str">
        <f>CONCATENATE(HYPERLINK("CALLTO:%2B356%209940%203980", "+356 9940 3980"))</f>
        <v>+356 9940 3980</v>
      </c>
      <c r="E105" s="5" t="s">
        <v>3598</v>
      </c>
      <c r="F105" s="5" t="s">
        <v>3685</v>
      </c>
      <c r="G105" s="4"/>
    </row>
    <row r="106" spans="1:7" x14ac:dyDescent="0.3">
      <c r="A106" s="2" t="s">
        <v>3397</v>
      </c>
      <c r="B106" s="2" t="s">
        <v>3419</v>
      </c>
      <c r="C106" s="3" t="s">
        <v>3509</v>
      </c>
      <c r="D106" s="2" t="str">
        <f>CONCATENATE(HYPERLINK("CALLTO:%2B356%207922%207976", "+356 7922 7976"))</f>
        <v>+356 7922 7976</v>
      </c>
      <c r="E106" s="3" t="s">
        <v>3599</v>
      </c>
      <c r="F106" s="3" t="s">
        <v>3686</v>
      </c>
      <c r="G106" s="2"/>
    </row>
    <row r="107" spans="1:7" x14ac:dyDescent="0.3">
      <c r="A107" s="4" t="s">
        <v>3397</v>
      </c>
      <c r="B107" s="4" t="s">
        <v>3420</v>
      </c>
      <c r="C107" s="5" t="s">
        <v>3510</v>
      </c>
      <c r="D107" s="4" t="str">
        <f>CONCATENATE(HYPERLINK("CALLTO:%2B356%209942%205030", "+356 9942 5030"))</f>
        <v>+356 9942 5030</v>
      </c>
      <c r="E107" s="5" t="s">
        <v>3600</v>
      </c>
      <c r="F107" s="4" t="s">
        <v>146</v>
      </c>
      <c r="G107" s="4"/>
    </row>
    <row r="108" spans="1:7" x14ac:dyDescent="0.3">
      <c r="A108" s="2" t="s">
        <v>3397</v>
      </c>
      <c r="B108" s="2" t="s">
        <v>3421</v>
      </c>
      <c r="C108" s="3" t="s">
        <v>3511</v>
      </c>
      <c r="D108" s="2" t="str">
        <f>CONCATENATE(HYPERLINK("CALLTO:%2B356%207944%209303", "+356 7944 9303"))</f>
        <v>+356 7944 9303</v>
      </c>
      <c r="E108" s="3" t="s">
        <v>3601</v>
      </c>
      <c r="F108" s="3" t="s">
        <v>3687</v>
      </c>
      <c r="G108" s="2"/>
    </row>
    <row r="109" spans="1:7" x14ac:dyDescent="0.3">
      <c r="A109" s="4" t="s">
        <v>3397</v>
      </c>
      <c r="B109" s="4" t="s">
        <v>3483</v>
      </c>
      <c r="C109" s="5" t="s">
        <v>3568</v>
      </c>
      <c r="D109" s="4" t="str">
        <f>CONCATENATE(HYPERLINK("CALLTO:%2B356%202713%203292", "+356 2713 3292"))</f>
        <v>+356 2713 3292</v>
      </c>
      <c r="E109" s="5" t="s">
        <v>3663</v>
      </c>
      <c r="F109" s="5" t="s">
        <v>3735</v>
      </c>
      <c r="G109" s="4"/>
    </row>
    <row r="110" spans="1:7" x14ac:dyDescent="0.3">
      <c r="A110" s="2" t="s">
        <v>3397</v>
      </c>
      <c r="B110" s="2" t="s">
        <v>3422</v>
      </c>
      <c r="C110" s="3" t="s">
        <v>3512</v>
      </c>
      <c r="D110" s="2" t="str">
        <f>CONCATENATE(HYPERLINK("CALLTO:%2B356%207996%202212", "+356 7996 2212"))</f>
        <v>+356 7996 2212</v>
      </c>
      <c r="E110" s="3" t="s">
        <v>3602</v>
      </c>
      <c r="F110" s="2" t="s">
        <v>146</v>
      </c>
      <c r="G110" s="2"/>
    </row>
    <row r="111" spans="1:7" x14ac:dyDescent="0.3">
      <c r="A111" s="4" t="s">
        <v>3397</v>
      </c>
      <c r="B111" s="4" t="s">
        <v>3423</v>
      </c>
      <c r="C111" s="5" t="s">
        <v>3513</v>
      </c>
      <c r="D111" s="4" t="str">
        <f>CONCATENATE(HYPERLINK("CALLTO:%2B356%209949%201398", "+356 9949 1398"))</f>
        <v>+356 9949 1398</v>
      </c>
      <c r="E111" s="5" t="s">
        <v>3603</v>
      </c>
      <c r="F111" s="4" t="s">
        <v>146</v>
      </c>
      <c r="G111" s="4"/>
    </row>
    <row r="112" spans="1:7" x14ac:dyDescent="0.3">
      <c r="A112" s="2" t="s">
        <v>3397</v>
      </c>
      <c r="B112" s="2" t="s">
        <v>3424</v>
      </c>
      <c r="C112" s="3" t="s">
        <v>3514</v>
      </c>
      <c r="D112" s="2" t="str">
        <f>CONCATENATE(HYPERLINK("CALLTO:%2B356%207923%206634", "+356 7923 6634"))</f>
        <v>+356 7923 6634</v>
      </c>
      <c r="E112" s="3" t="s">
        <v>3604</v>
      </c>
      <c r="F112" s="2" t="s">
        <v>146</v>
      </c>
      <c r="G112" s="2"/>
    </row>
    <row r="113" spans="1:7" x14ac:dyDescent="0.3">
      <c r="A113" s="4" t="s">
        <v>3397</v>
      </c>
      <c r="B113" s="4" t="s">
        <v>3425</v>
      </c>
      <c r="C113" s="5" t="s">
        <v>3515</v>
      </c>
      <c r="D113" s="4" t="str">
        <f>CONCATENATE(HYPERLINK("CALLTO:%2B356%202145%206570", "+356 2145 6570"))</f>
        <v>+356 2145 6570</v>
      </c>
      <c r="E113" s="5" t="s">
        <v>3605</v>
      </c>
      <c r="F113" s="5" t="s">
        <v>3688</v>
      </c>
      <c r="G113" s="4"/>
    </row>
    <row r="114" spans="1:7" x14ac:dyDescent="0.3">
      <c r="A114" s="2" t="s">
        <v>3397</v>
      </c>
      <c r="B114" s="2" t="s">
        <v>3484</v>
      </c>
      <c r="C114" s="3" t="s">
        <v>3569</v>
      </c>
      <c r="D114" s="2" t="str">
        <f>CONCATENATE(HYPERLINK("CALLTO:%2B356%209942%202382", "+356 9942 2382"))</f>
        <v>+356 9942 2382</v>
      </c>
      <c r="E114" s="3" t="s">
        <v>3664</v>
      </c>
      <c r="F114" s="3" t="s">
        <v>3736</v>
      </c>
      <c r="G114" s="2"/>
    </row>
    <row r="115" spans="1:7" x14ac:dyDescent="0.3">
      <c r="A115" s="4" t="s">
        <v>3397</v>
      </c>
      <c r="B115" s="4" t="s">
        <v>3426</v>
      </c>
      <c r="C115" s="5" t="s">
        <v>3516</v>
      </c>
      <c r="D115" s="4" t="str">
        <f>CONCATENATE(HYPERLINK("CALLTO:%2B356%209982%208812", "+356 9982 8812"))</f>
        <v>+356 9982 8812</v>
      </c>
      <c r="E115" s="5" t="s">
        <v>3606</v>
      </c>
      <c r="F115" s="4" t="s">
        <v>146</v>
      </c>
      <c r="G115" s="4"/>
    </row>
    <row r="116" spans="1:7" x14ac:dyDescent="0.3">
      <c r="A116" s="2" t="s">
        <v>3397</v>
      </c>
      <c r="B116" s="2" t="s">
        <v>3427</v>
      </c>
      <c r="C116" s="3" t="s">
        <v>3517</v>
      </c>
      <c r="D116" s="2" t="str">
        <f>CONCATENATE(HYPERLINK("CALLTO:%2B356%207967%205584", "+356 7967 5584"))</f>
        <v>+356 7967 5584</v>
      </c>
      <c r="E116" s="3" t="s">
        <v>3607</v>
      </c>
      <c r="F116" s="2" t="s">
        <v>146</v>
      </c>
      <c r="G116" s="2"/>
    </row>
    <row r="117" spans="1:7" x14ac:dyDescent="0.3">
      <c r="A117" s="4" t="s">
        <v>3397</v>
      </c>
      <c r="B117" s="4" t="s">
        <v>3428</v>
      </c>
      <c r="C117" s="5" t="s">
        <v>3518</v>
      </c>
      <c r="D117" s="4" t="str">
        <f>CONCATENATE(HYPERLINK("CALLTO:%2B356%207925%206551", "+356 7925 6551"))</f>
        <v>+356 7925 6551</v>
      </c>
      <c r="E117" s="5" t="s">
        <v>3608</v>
      </c>
      <c r="F117" s="5" t="s">
        <v>3689</v>
      </c>
      <c r="G117" s="4"/>
    </row>
    <row r="118" spans="1:7" x14ac:dyDescent="0.3">
      <c r="A118" s="2" t="s">
        <v>3397</v>
      </c>
      <c r="B118" s="2" t="s">
        <v>3429</v>
      </c>
      <c r="C118" s="3" t="s">
        <v>3519</v>
      </c>
      <c r="D118" s="2" t="str">
        <f>CONCATENATE(HYPERLINK("CALLTO:%2B356%202124%201922", "+356 2124 1922"))</f>
        <v>+356 2124 1922</v>
      </c>
      <c r="E118" s="3" t="s">
        <v>3609</v>
      </c>
      <c r="F118" s="3" t="s">
        <v>3690</v>
      </c>
      <c r="G118" s="2"/>
    </row>
    <row r="119" spans="1:7" x14ac:dyDescent="0.3">
      <c r="A119" s="4" t="s">
        <v>3397</v>
      </c>
      <c r="B119" s="4" t="s">
        <v>3430</v>
      </c>
      <c r="C119" s="5" t="s">
        <v>3520</v>
      </c>
      <c r="D119" s="4" t="str">
        <f>CONCATENATE(HYPERLINK("CALLTO:%2B356%202149%201643", "+356 2149 1643"))</f>
        <v>+356 2149 1643</v>
      </c>
      <c r="E119" s="5" t="s">
        <v>3610</v>
      </c>
      <c r="F119" s="5" t="s">
        <v>3691</v>
      </c>
      <c r="G119" s="4"/>
    </row>
    <row r="120" spans="1:7" x14ac:dyDescent="0.3">
      <c r="A120" s="2" t="s">
        <v>3397</v>
      </c>
      <c r="B120" s="2" t="s">
        <v>3431</v>
      </c>
      <c r="C120" s="3" t="s">
        <v>3521</v>
      </c>
      <c r="D120" s="2" t="str">
        <f>CONCATENATE(HYPERLINK("CALLTO:%2B356%209986%202647", "+356 9986 2647"))</f>
        <v>+356 9986 2647</v>
      </c>
      <c r="E120" s="3" t="s">
        <v>3611</v>
      </c>
      <c r="F120" s="3" t="s">
        <v>3692</v>
      </c>
      <c r="G120" s="2"/>
    </row>
    <row r="121" spans="1:7" x14ac:dyDescent="0.3">
      <c r="A121" s="4" t="s">
        <v>3397</v>
      </c>
      <c r="B121" s="4" t="s">
        <v>3432</v>
      </c>
      <c r="C121" s="5" t="s">
        <v>3570</v>
      </c>
      <c r="D121" s="4" t="str">
        <f>CONCATENATE(HYPERLINK("CALLTO:%2B356%209927%207571", "+356 9927 7571"))</f>
        <v>+356 9927 7571</v>
      </c>
      <c r="E121" s="5" t="s">
        <v>3612</v>
      </c>
      <c r="F121" s="5" t="s">
        <v>3693</v>
      </c>
      <c r="G121" s="4"/>
    </row>
    <row r="122" spans="1:7" x14ac:dyDescent="0.3">
      <c r="A122" s="2" t="s">
        <v>3397</v>
      </c>
      <c r="B122" s="2" t="s">
        <v>3433</v>
      </c>
      <c r="C122" s="3" t="s">
        <v>3523</v>
      </c>
      <c r="D122" s="2" t="str">
        <f>CONCATENATE(HYPERLINK("CALLTO:%2B356%202149%202432", "+356 2149 2432"))</f>
        <v>+356 2149 2432</v>
      </c>
      <c r="E122" s="3" t="s">
        <v>3613</v>
      </c>
      <c r="F122" s="3" t="s">
        <v>3694</v>
      </c>
      <c r="G122" s="2"/>
    </row>
    <row r="123" spans="1:7" x14ac:dyDescent="0.3">
      <c r="A123" s="4" t="s">
        <v>3397</v>
      </c>
      <c r="B123" s="4" t="s">
        <v>3434</v>
      </c>
      <c r="C123" s="5" t="s">
        <v>3524</v>
      </c>
      <c r="D123" s="4" t="str">
        <f>CONCATENATE(HYPERLINK("CALLTO:%2B356%207905%208588", "+356 7905 8588"))</f>
        <v>+356 7905 8588</v>
      </c>
      <c r="E123" s="5" t="s">
        <v>3614</v>
      </c>
      <c r="F123" s="5" t="s">
        <v>3695</v>
      </c>
      <c r="G123" s="4"/>
    </row>
    <row r="124" spans="1:7" x14ac:dyDescent="0.3">
      <c r="A124" s="2" t="s">
        <v>3397</v>
      </c>
      <c r="B124" s="2" t="s">
        <v>3435</v>
      </c>
      <c r="C124" s="3" t="s">
        <v>3526</v>
      </c>
      <c r="D124" s="2" t="str">
        <f>CONCATENATE(HYPERLINK("CALLTO:%2B356%209920%207248", "+356 9920 7248"))</f>
        <v>+356 9920 7248</v>
      </c>
      <c r="E124" s="3" t="s">
        <v>1768</v>
      </c>
      <c r="F124" s="3" t="s">
        <v>3696</v>
      </c>
      <c r="G124" s="2"/>
    </row>
    <row r="125" spans="1:7" x14ac:dyDescent="0.3">
      <c r="A125" s="4" t="s">
        <v>3397</v>
      </c>
      <c r="B125" s="4" t="s">
        <v>3436</v>
      </c>
      <c r="C125" s="5" t="s">
        <v>3525</v>
      </c>
      <c r="D125" s="4" t="str">
        <f>CONCATENATE(HYPERLINK("CALLTO:%2B356%209949%204304", "+356 9949 4304"))</f>
        <v>+356 9949 4304</v>
      </c>
      <c r="E125" s="5" t="s">
        <v>3615</v>
      </c>
      <c r="F125" s="5" t="s">
        <v>3697</v>
      </c>
      <c r="G125" s="4"/>
    </row>
    <row r="126" spans="1:7" x14ac:dyDescent="0.3">
      <c r="A126" s="2" t="s">
        <v>3397</v>
      </c>
      <c r="B126" s="2" t="s">
        <v>3437</v>
      </c>
      <c r="C126" s="3" t="s">
        <v>3527</v>
      </c>
      <c r="D126" s="2" t="str">
        <f>CONCATENATE(HYPERLINK("CALLTO:%2B356%207732%200648", "+356 7732 0648"))</f>
        <v>+356 7732 0648</v>
      </c>
      <c r="E126" s="3" t="s">
        <v>3616</v>
      </c>
      <c r="F126" s="3" t="s">
        <v>3698</v>
      </c>
      <c r="G126" s="2"/>
    </row>
    <row r="127" spans="1:7" x14ac:dyDescent="0.3">
      <c r="A127" s="4" t="s">
        <v>3397</v>
      </c>
      <c r="B127" s="4" t="s">
        <v>3485</v>
      </c>
      <c r="C127" s="5" t="s">
        <v>3571</v>
      </c>
      <c r="D127" s="4" t="str">
        <f>CONCATENATE(HYPERLINK("CALLTO:%2B356%209986%207777", "+356 9986 7777"))</f>
        <v>+356 9986 7777</v>
      </c>
      <c r="E127" s="5" t="s">
        <v>3665</v>
      </c>
      <c r="F127" s="5" t="s">
        <v>3737</v>
      </c>
      <c r="G127" s="4"/>
    </row>
    <row r="128" spans="1:7" x14ac:dyDescent="0.3">
      <c r="A128" s="2" t="s">
        <v>3397</v>
      </c>
      <c r="B128" s="2" t="s">
        <v>3438</v>
      </c>
      <c r="C128" s="3" t="s">
        <v>3528</v>
      </c>
      <c r="D128" s="2" t="str">
        <f>CONCATENATE(HYPERLINK("CALLTO:%2B356%209942%204050", "+356 9942 4050"))</f>
        <v>+356 9942 4050</v>
      </c>
      <c r="E128" s="3" t="s">
        <v>3617</v>
      </c>
      <c r="F128" s="3" t="s">
        <v>3699</v>
      </c>
      <c r="G128" s="2"/>
    </row>
    <row r="129" spans="1:7" x14ac:dyDescent="0.3">
      <c r="A129" s="4" t="s">
        <v>3397</v>
      </c>
      <c r="B129" s="4" t="s">
        <v>3439</v>
      </c>
      <c r="C129" s="5" t="s">
        <v>3529</v>
      </c>
      <c r="D129" s="4" t="str">
        <f>CONCATENATE(HYPERLINK("CALLTO:%2B356%207926%202163", "+356 7926 2163"))</f>
        <v>+356 7926 2163</v>
      </c>
      <c r="E129" s="5" t="s">
        <v>3618</v>
      </c>
      <c r="F129" s="5" t="s">
        <v>3700</v>
      </c>
      <c r="G129" s="4"/>
    </row>
    <row r="130" spans="1:7" x14ac:dyDescent="0.3">
      <c r="A130" s="2" t="s">
        <v>3397</v>
      </c>
      <c r="B130" s="2" t="s">
        <v>3442</v>
      </c>
      <c r="C130" s="3" t="s">
        <v>3532</v>
      </c>
      <c r="D130" s="2" t="str">
        <f>CONCATENATE(HYPERLINK("CALLTO:%2B356%209982%205244", "+356 9982 5244"))</f>
        <v>+356 9982 5244</v>
      </c>
      <c r="E130" s="3" t="s">
        <v>3621</v>
      </c>
      <c r="F130" s="2" t="s">
        <v>146</v>
      </c>
      <c r="G130" s="2"/>
    </row>
    <row r="131" spans="1:7" x14ac:dyDescent="0.3">
      <c r="A131" s="4" t="s">
        <v>3397</v>
      </c>
      <c r="B131" s="4" t="s">
        <v>3486</v>
      </c>
      <c r="C131" s="5" t="s">
        <v>3572</v>
      </c>
      <c r="D131" s="4" t="str">
        <f>CONCATENATE(HYPERLINK("CALLTO:%2B356%202762%206262", "+356 2762 6262"))</f>
        <v>+356 2762 6262</v>
      </c>
      <c r="E131" s="5" t="s">
        <v>3666</v>
      </c>
      <c r="F131" s="5" t="s">
        <v>3738</v>
      </c>
      <c r="G131" s="4"/>
    </row>
    <row r="132" spans="1:7" x14ac:dyDescent="0.3">
      <c r="A132" s="2" t="s">
        <v>3397</v>
      </c>
      <c r="B132" s="2" t="s">
        <v>3443</v>
      </c>
      <c r="C132" s="3" t="s">
        <v>3533</v>
      </c>
      <c r="D132" s="2" t="str">
        <f>CONCATENATE(HYPERLINK("CALLTO:%2B356%209924%202312", "+356 9924 2312"))</f>
        <v>+356 9924 2312</v>
      </c>
      <c r="E132" s="3" t="s">
        <v>3622</v>
      </c>
      <c r="F132" s="3" t="s">
        <v>3703</v>
      </c>
      <c r="G132" s="2"/>
    </row>
    <row r="133" spans="1:7" x14ac:dyDescent="0.3">
      <c r="A133" s="4" t="s">
        <v>3397</v>
      </c>
      <c r="B133" s="4" t="s">
        <v>682</v>
      </c>
      <c r="C133" s="5" t="s">
        <v>710</v>
      </c>
      <c r="D133" s="4" t="str">
        <f>CONCATENATE(HYPERLINK("CALLTO:%2B356%202145%202831", "+356 2145 2831"))</f>
        <v>+356 2145 2831</v>
      </c>
      <c r="E133" s="5" t="s">
        <v>3623</v>
      </c>
      <c r="F133" s="5" t="s">
        <v>3704</v>
      </c>
      <c r="G133" s="4"/>
    </row>
    <row r="134" spans="1:7" x14ac:dyDescent="0.3">
      <c r="A134" s="2" t="s">
        <v>3397</v>
      </c>
      <c r="B134" s="2" t="s">
        <v>3444</v>
      </c>
      <c r="C134" s="3" t="s">
        <v>2599</v>
      </c>
      <c r="D134" s="2" t="str">
        <f>CONCATENATE(HYPERLINK("CALLTO:%2B356%202138%202595", "+356 2138 2595"))</f>
        <v>+356 2138 2595</v>
      </c>
      <c r="E134" s="3" t="s">
        <v>3624</v>
      </c>
      <c r="F134" s="3" t="s">
        <v>3669</v>
      </c>
      <c r="G134" s="2"/>
    </row>
    <row r="135" spans="1:7" x14ac:dyDescent="0.3">
      <c r="A135" s="4" t="s">
        <v>3397</v>
      </c>
      <c r="B135" s="4" t="s">
        <v>3445</v>
      </c>
      <c r="C135" s="5" t="s">
        <v>3534</v>
      </c>
      <c r="D135" s="4" t="str">
        <f>CONCATENATE(HYPERLINK("CALLTO:%2B356%207909%201797", "+356 7909 1797"))</f>
        <v>+356 7909 1797</v>
      </c>
      <c r="E135" s="5" t="s">
        <v>3625</v>
      </c>
      <c r="F135" s="5" t="s">
        <v>3706</v>
      </c>
      <c r="G135" s="4"/>
    </row>
    <row r="136" spans="1:7" x14ac:dyDescent="0.3">
      <c r="A136" s="2" t="s">
        <v>3397</v>
      </c>
      <c r="B136" s="2" t="s">
        <v>3446</v>
      </c>
      <c r="C136" s="3" t="s">
        <v>3535</v>
      </c>
      <c r="D136" s="2" t="str">
        <f>CONCATENATE(HYPERLINK("CALLTO:%2B356%202146%201078", "+356 2146 1078"))</f>
        <v>+356 2146 1078</v>
      </c>
      <c r="E136" s="3" t="s">
        <v>3626</v>
      </c>
      <c r="F136" s="3" t="s">
        <v>3707</v>
      </c>
      <c r="G136" s="2"/>
    </row>
    <row r="137" spans="1:7" x14ac:dyDescent="0.3">
      <c r="A137" s="4" t="s">
        <v>3397</v>
      </c>
      <c r="B137" s="4" t="s">
        <v>3447</v>
      </c>
      <c r="C137" s="5" t="s">
        <v>3536</v>
      </c>
      <c r="D137" s="4" t="str">
        <f>CONCATENATE(HYPERLINK("CALLTO:%2B356%209947%202592", "+356 9947 2592"))</f>
        <v>+356 9947 2592</v>
      </c>
      <c r="E137" s="5" t="s">
        <v>3627</v>
      </c>
      <c r="F137" s="4" t="s">
        <v>146</v>
      </c>
      <c r="G137" s="4"/>
    </row>
    <row r="138" spans="1:7" x14ac:dyDescent="0.3">
      <c r="A138" s="2" t="s">
        <v>3397</v>
      </c>
      <c r="B138" s="2" t="s">
        <v>3449</v>
      </c>
      <c r="C138" s="3" t="s">
        <v>3538</v>
      </c>
      <c r="D138" s="2" t="str">
        <f>CONCATENATE(HYPERLINK("CALLTO:%2B356%207005%20238925", "+356 7005 238925"))</f>
        <v>+356 7005 238925</v>
      </c>
      <c r="E138" s="3" t="s">
        <v>3629</v>
      </c>
      <c r="F138" s="3" t="s">
        <v>3708</v>
      </c>
      <c r="G138" s="2"/>
    </row>
    <row r="139" spans="1:7" x14ac:dyDescent="0.3">
      <c r="A139" s="4" t="s">
        <v>3397</v>
      </c>
      <c r="B139" s="4" t="s">
        <v>3450</v>
      </c>
      <c r="C139" s="5" t="s">
        <v>3539</v>
      </c>
      <c r="D139" s="4" t="str">
        <f>CONCATENATE(HYPERLINK("CALLTO:%2B356%209947%203343", "+356 9947 3343"))</f>
        <v>+356 9947 3343</v>
      </c>
      <c r="E139" s="5" t="s">
        <v>3630</v>
      </c>
      <c r="F139" s="4" t="s">
        <v>146</v>
      </c>
      <c r="G139" s="4"/>
    </row>
    <row r="140" spans="1:7" x14ac:dyDescent="0.3">
      <c r="A140" s="2" t="s">
        <v>3397</v>
      </c>
      <c r="B140" s="2" t="s">
        <v>3451</v>
      </c>
      <c r="C140" s="3" t="s">
        <v>3540</v>
      </c>
      <c r="D140" s="2" t="str">
        <f>CONCATENATE(HYPERLINK("CALLTO:%2B356%209993%208509", "+356 9993 8509"))</f>
        <v>+356 9993 8509</v>
      </c>
      <c r="E140" s="3" t="s">
        <v>3631</v>
      </c>
      <c r="F140" s="3" t="s">
        <v>3709</v>
      </c>
      <c r="G140" s="2"/>
    </row>
    <row r="141" spans="1:7" x14ac:dyDescent="0.3">
      <c r="A141" s="4" t="s">
        <v>3397</v>
      </c>
      <c r="B141" s="4" t="s">
        <v>677</v>
      </c>
      <c r="C141" s="5" t="s">
        <v>705</v>
      </c>
      <c r="D141" s="4" t="str">
        <f>CONCATENATE(HYPERLINK("CALLTO:%2B356%202149%202908", "+356 2149 2908"))</f>
        <v>+356 2149 2908</v>
      </c>
      <c r="E141" s="5" t="s">
        <v>3632</v>
      </c>
      <c r="F141" s="5" t="s">
        <v>747</v>
      </c>
      <c r="G141" s="4"/>
    </row>
    <row r="142" spans="1:7" x14ac:dyDescent="0.3">
      <c r="A142" s="2" t="s">
        <v>3397</v>
      </c>
      <c r="B142" s="2" t="s">
        <v>3452</v>
      </c>
      <c r="C142" s="3" t="s">
        <v>3541</v>
      </c>
      <c r="D142" s="2" t="str">
        <f>CONCATENATE(HYPERLINK("CALLTO:%2B356%207965%207308", "+356 7965 7308"))</f>
        <v>+356 7965 7308</v>
      </c>
      <c r="E142" s="3" t="s">
        <v>3633</v>
      </c>
      <c r="F142" s="3" t="s">
        <v>3710</v>
      </c>
      <c r="G142" s="2"/>
    </row>
    <row r="143" spans="1:7" x14ac:dyDescent="0.3">
      <c r="A143" s="4" t="s">
        <v>3397</v>
      </c>
      <c r="B143" s="4" t="s">
        <v>3453</v>
      </c>
      <c r="C143" s="5" t="s">
        <v>3542</v>
      </c>
      <c r="D143" s="4" t="str">
        <f>CONCATENATE(HYPERLINK("CALLTO:%2B356%202122%206320", "+356 2122 6320"))</f>
        <v>+356 2122 6320</v>
      </c>
      <c r="E143" s="5" t="s">
        <v>3634</v>
      </c>
      <c r="F143" s="5" t="s">
        <v>3711</v>
      </c>
      <c r="G143" s="4"/>
    </row>
    <row r="144" spans="1:7" x14ac:dyDescent="0.3">
      <c r="A144" s="2" t="s">
        <v>3397</v>
      </c>
      <c r="B144" s="2" t="s">
        <v>3454</v>
      </c>
      <c r="C144" s="2" t="s">
        <v>3543</v>
      </c>
      <c r="D144" s="2" t="str">
        <f>CONCATENATE(HYPERLINK("CALLTO:%2B356%207972%207953", "+356 7972 7953"))</f>
        <v>+356 7972 7953</v>
      </c>
      <c r="E144" s="3" t="s">
        <v>3635</v>
      </c>
      <c r="F144" s="3" t="s">
        <v>3712</v>
      </c>
      <c r="G144" s="2"/>
    </row>
    <row r="145" spans="1:7" x14ac:dyDescent="0.3">
      <c r="A145" s="4" t="s">
        <v>3397</v>
      </c>
      <c r="B145" s="4" t="s">
        <v>3455</v>
      </c>
      <c r="C145" s="5" t="s">
        <v>3544</v>
      </c>
      <c r="D145" s="4" t="str">
        <f>CONCATENATE(HYPERLINK("CALLTO:%2B356%209944%200946", "+356 9944 0946"))</f>
        <v>+356 9944 0946</v>
      </c>
      <c r="E145" s="5" t="s">
        <v>3636</v>
      </c>
      <c r="F145" s="4" t="s">
        <v>146</v>
      </c>
      <c r="G145" s="4"/>
    </row>
    <row r="146" spans="1:7" x14ac:dyDescent="0.3">
      <c r="A146" s="2" t="s">
        <v>3397</v>
      </c>
      <c r="B146" s="2" t="s">
        <v>3456</v>
      </c>
      <c r="C146" s="3" t="s">
        <v>3545</v>
      </c>
      <c r="D146" s="2" t="str">
        <f>CONCATENATE(HYPERLINK("CALLTO:%2B356%202748%205677", "+356 2748 5677"))</f>
        <v>+356 2748 5677</v>
      </c>
      <c r="E146" s="3" t="s">
        <v>3637</v>
      </c>
      <c r="F146" s="3" t="s">
        <v>3713</v>
      </c>
      <c r="G146" s="2"/>
    </row>
    <row r="147" spans="1:7" x14ac:dyDescent="0.3">
      <c r="A147" s="4" t="s">
        <v>3397</v>
      </c>
      <c r="B147" s="4" t="s">
        <v>3457</v>
      </c>
      <c r="C147" s="5" t="s">
        <v>3546</v>
      </c>
      <c r="D147" s="4" t="str">
        <f>CONCATENATE(HYPERLINK("CALLTO:%2B356%207905%205395", "+356 7905 5395"))</f>
        <v>+356 7905 5395</v>
      </c>
      <c r="E147" s="5" t="s">
        <v>3638</v>
      </c>
      <c r="F147" s="5" t="s">
        <v>3714</v>
      </c>
      <c r="G147" s="4"/>
    </row>
    <row r="148" spans="1:7" x14ac:dyDescent="0.3">
      <c r="A148" s="2" t="s">
        <v>3397</v>
      </c>
      <c r="B148" s="2" t="s">
        <v>3458</v>
      </c>
      <c r="C148" s="3" t="s">
        <v>3573</v>
      </c>
      <c r="D148" s="2" t="str">
        <f>CONCATENATE(HYPERLINK("CALLTO:%2B356%209949%200300", "+356 9949 0300"))</f>
        <v>+356 9949 0300</v>
      </c>
      <c r="E148" s="3" t="s">
        <v>3639</v>
      </c>
      <c r="F148" s="3" t="s">
        <v>3715</v>
      </c>
      <c r="G148" s="2"/>
    </row>
    <row r="149" spans="1:7" x14ac:dyDescent="0.3">
      <c r="A149" s="4" t="s">
        <v>3397</v>
      </c>
      <c r="B149" s="4" t="s">
        <v>3460</v>
      </c>
      <c r="C149" s="5" t="s">
        <v>3549</v>
      </c>
      <c r="D149" s="4" t="str">
        <f>CONCATENATE(HYPERLINK("CALLTO:%2B356%202166%200170", "+356 2166 0170"))</f>
        <v>+356 2166 0170</v>
      </c>
      <c r="E149" s="5" t="s">
        <v>3641</v>
      </c>
      <c r="F149" s="5" t="s">
        <v>3717</v>
      </c>
      <c r="G149" s="4"/>
    </row>
    <row r="150" spans="1:7" x14ac:dyDescent="0.3">
      <c r="A150" s="2" t="s">
        <v>3397</v>
      </c>
      <c r="B150" s="2" t="s">
        <v>3461</v>
      </c>
      <c r="C150" s="3" t="s">
        <v>3550</v>
      </c>
      <c r="D150" s="2" t="str">
        <f>CONCATENATE(HYPERLINK("CALLTO:%2B356%209913%201020", "+356 9913 1020"))</f>
        <v>+356 9913 1020</v>
      </c>
      <c r="E150" s="3" t="s">
        <v>3642</v>
      </c>
      <c r="F150" s="3" t="s">
        <v>3718</v>
      </c>
      <c r="G150" s="2"/>
    </row>
    <row r="151" spans="1:7" x14ac:dyDescent="0.3">
      <c r="A151" s="4" t="s">
        <v>3397</v>
      </c>
      <c r="B151" s="4" t="s">
        <v>3462</v>
      </c>
      <c r="C151" s="5" t="s">
        <v>3551</v>
      </c>
      <c r="D151" s="4" t="str">
        <f>CONCATENATE(HYPERLINK("CALLTO:%2B356%209983%205642", "+356 9983 5642"))</f>
        <v>+356 9983 5642</v>
      </c>
      <c r="E151" s="5" t="s">
        <v>3643</v>
      </c>
      <c r="F151" s="4" t="s">
        <v>146</v>
      </c>
      <c r="G151" s="4"/>
    </row>
    <row r="152" spans="1:7" x14ac:dyDescent="0.3">
      <c r="A152" s="2" t="s">
        <v>3397</v>
      </c>
      <c r="B152" s="2" t="s">
        <v>3463</v>
      </c>
      <c r="C152" s="3" t="s">
        <v>3552</v>
      </c>
      <c r="D152" s="2" t="str">
        <f>CONCATENATE(HYPERLINK("CALLTO:%2B356%202169%205051", "+356 2169 5051"))</f>
        <v>+356 2169 5051</v>
      </c>
      <c r="E152" s="3" t="s">
        <v>3644</v>
      </c>
      <c r="F152" s="2" t="s">
        <v>146</v>
      </c>
      <c r="G152" s="2"/>
    </row>
    <row r="153" spans="1:7" x14ac:dyDescent="0.3">
      <c r="A153" s="4" t="s">
        <v>3397</v>
      </c>
      <c r="B153" s="4" t="s">
        <v>2569</v>
      </c>
      <c r="C153" s="5" t="s">
        <v>2588</v>
      </c>
      <c r="D153" s="4" t="str">
        <f>CONCATENATE(HYPERLINK("CALLTO:%2B356%207943%204443", "+356 7943 4443"), " / ", HYPERLINK("CALLTO:%2B356%202143%204443", "+356 2143 4443"))</f>
        <v>+356 7943 4443 / +356 2143 4443</v>
      </c>
      <c r="E153" s="5" t="s">
        <v>2607</v>
      </c>
      <c r="F153" s="5" t="s">
        <v>2626</v>
      </c>
      <c r="G153" s="4"/>
    </row>
    <row r="154" spans="1:7" x14ac:dyDescent="0.3">
      <c r="A154" s="2" t="s">
        <v>3397</v>
      </c>
      <c r="B154" s="2" t="s">
        <v>3465</v>
      </c>
      <c r="C154" s="3" t="s">
        <v>3553</v>
      </c>
      <c r="D154" s="2" t="str">
        <f>CONCATENATE(HYPERLINK("CALLTO:%2B356%209984%200315", "+356 9984 0315"))</f>
        <v>+356 9984 0315</v>
      </c>
      <c r="E154" s="3" t="s">
        <v>3646</v>
      </c>
      <c r="F154" s="2" t="s">
        <v>146</v>
      </c>
      <c r="G154" s="2"/>
    </row>
    <row r="155" spans="1:7" x14ac:dyDescent="0.3">
      <c r="A155" s="4" t="s">
        <v>3397</v>
      </c>
      <c r="B155" s="4" t="s">
        <v>3466</v>
      </c>
      <c r="C155" s="5" t="s">
        <v>3574</v>
      </c>
      <c r="D155" s="4" t="str">
        <f>CONCATENATE(HYPERLINK("CALLTO:%2B356%202148%206022", "+356 2148 6022"))</f>
        <v>+356 2148 6022</v>
      </c>
      <c r="E155" s="5" t="s">
        <v>3647</v>
      </c>
      <c r="F155" s="5" t="s">
        <v>3719</v>
      </c>
      <c r="G155" s="4"/>
    </row>
    <row r="156" spans="1:7" x14ac:dyDescent="0.3">
      <c r="A156" s="2" t="s">
        <v>3397</v>
      </c>
      <c r="B156" s="2" t="s">
        <v>3467</v>
      </c>
      <c r="C156" s="3" t="s">
        <v>3555</v>
      </c>
      <c r="D156" s="2" t="str">
        <f>CONCATENATE(HYPERLINK("CALLTO:%2B356%209947%203849", "+356 9947 3849"))</f>
        <v>+356 9947 3849</v>
      </c>
      <c r="E156" s="3" t="s">
        <v>3648</v>
      </c>
      <c r="F156" s="2" t="s">
        <v>146</v>
      </c>
      <c r="G156" s="2"/>
    </row>
    <row r="157" spans="1:7" x14ac:dyDescent="0.3">
      <c r="A157" s="4" t="s">
        <v>3397</v>
      </c>
      <c r="B157" s="4" t="s">
        <v>3468</v>
      </c>
      <c r="C157" s="5" t="s">
        <v>3556</v>
      </c>
      <c r="D157" s="4" t="str">
        <f>CONCATENATE(HYPERLINK("CALLTO:%2B356%202155%204149", "+356 2155 4149"))</f>
        <v>+356 2155 4149</v>
      </c>
      <c r="E157" s="5" t="s">
        <v>3649</v>
      </c>
      <c r="F157" s="5" t="s">
        <v>3720</v>
      </c>
      <c r="G157" s="4"/>
    </row>
    <row r="158" spans="1:7" x14ac:dyDescent="0.3">
      <c r="A158" s="2" t="s">
        <v>3397</v>
      </c>
      <c r="B158" s="2" t="s">
        <v>3469</v>
      </c>
      <c r="C158" s="3" t="s">
        <v>3557</v>
      </c>
      <c r="D158" s="2" t="str">
        <f>CONCATENATE(HYPERLINK("CALLTO:%2B356%209940%202482", "+356 9940 2482"))</f>
        <v>+356 9940 2482</v>
      </c>
      <c r="E158" s="3" t="s">
        <v>3650</v>
      </c>
      <c r="F158" s="3" t="s">
        <v>3721</v>
      </c>
      <c r="G158" s="2"/>
    </row>
    <row r="159" spans="1:7" x14ac:dyDescent="0.3">
      <c r="A159" s="4" t="s">
        <v>3397</v>
      </c>
      <c r="B159" s="4" t="s">
        <v>3470</v>
      </c>
      <c r="C159" s="5" t="s">
        <v>3558</v>
      </c>
      <c r="D159" s="4" t="str">
        <f>CONCATENATE(HYPERLINK("CALLTO:%2B356%209949%207740", "+356 9949 7740"))</f>
        <v>+356 9949 7740</v>
      </c>
      <c r="E159" s="5" t="s">
        <v>3636</v>
      </c>
      <c r="F159" s="5" t="s">
        <v>3722</v>
      </c>
      <c r="G159" s="4"/>
    </row>
    <row r="160" spans="1:7" x14ac:dyDescent="0.3">
      <c r="A160" s="2" t="s">
        <v>3397</v>
      </c>
      <c r="B160" s="2" t="s">
        <v>3471</v>
      </c>
      <c r="C160" s="3" t="s">
        <v>3559</v>
      </c>
      <c r="D160" s="2" t="str">
        <f>CONCATENATE(HYPERLINK("CALLTO:%2B356%202144%209878", "+356 2144 9878"))</f>
        <v>+356 2144 9878</v>
      </c>
      <c r="E160" s="3" t="s">
        <v>3651</v>
      </c>
      <c r="F160" s="3" t="s">
        <v>3723</v>
      </c>
      <c r="G160" s="2"/>
    </row>
    <row r="161" spans="1:7" x14ac:dyDescent="0.3">
      <c r="A161" s="4" t="s">
        <v>3397</v>
      </c>
      <c r="B161" s="4" t="s">
        <v>3472</v>
      </c>
      <c r="C161" s="4" t="s">
        <v>146</v>
      </c>
      <c r="D161" s="4" t="str">
        <f>CONCATENATE(HYPERLINK("CALLTO:%2B356%209942%202717", "+356 9942 2717"))</f>
        <v>+356 9942 2717</v>
      </c>
      <c r="E161" s="5" t="s">
        <v>3652</v>
      </c>
      <c r="F161" s="4" t="s">
        <v>146</v>
      </c>
      <c r="G161" s="4"/>
    </row>
    <row r="162" spans="1:7" x14ac:dyDescent="0.3">
      <c r="A162" s="2" t="s">
        <v>3397</v>
      </c>
      <c r="B162" s="2" t="s">
        <v>3474</v>
      </c>
      <c r="C162" s="3" t="s">
        <v>3561</v>
      </c>
      <c r="D162" s="2" t="str">
        <f>CONCATENATE(HYPERLINK("CALLTO:%2B356%209946%200052", "+356 9946 0052"))</f>
        <v>+356 9946 0052</v>
      </c>
      <c r="E162" s="3" t="s">
        <v>3654</v>
      </c>
      <c r="F162" s="2" t="s">
        <v>146</v>
      </c>
      <c r="G162" s="2"/>
    </row>
    <row r="163" spans="1:7" x14ac:dyDescent="0.3">
      <c r="A163" s="4" t="s">
        <v>3397</v>
      </c>
      <c r="B163" s="4" t="s">
        <v>3475</v>
      </c>
      <c r="C163" s="5" t="s">
        <v>3562</v>
      </c>
      <c r="D163" s="4" t="str">
        <f>CONCATENATE(HYPERLINK("CALLTO:%2B356%209939%205416", "+356 9939 5416"))</f>
        <v>+356 9939 5416</v>
      </c>
      <c r="E163" s="5" t="s">
        <v>3655</v>
      </c>
      <c r="F163" s="5" t="s">
        <v>3725</v>
      </c>
      <c r="G163" s="4"/>
    </row>
    <row r="164" spans="1:7" x14ac:dyDescent="0.3">
      <c r="A164" s="2" t="s">
        <v>3397</v>
      </c>
      <c r="B164" s="2" t="s">
        <v>3487</v>
      </c>
      <c r="C164" s="3" t="s">
        <v>3575</v>
      </c>
      <c r="D164" s="2" t="str">
        <f>CONCATENATE(HYPERLINK("CALLTO:%2B356%209944%204220", "+356 9944 4220"))</f>
        <v>+356 9944 4220</v>
      </c>
      <c r="E164" s="3" t="s">
        <v>3667</v>
      </c>
      <c r="F164" s="2" t="s">
        <v>146</v>
      </c>
      <c r="G164" s="2"/>
    </row>
    <row r="165" spans="1:7" x14ac:dyDescent="0.3">
      <c r="A165" s="4" t="s">
        <v>3397</v>
      </c>
      <c r="B165" s="4" t="s">
        <v>3476</v>
      </c>
      <c r="C165" s="5" t="s">
        <v>3563</v>
      </c>
      <c r="D165" s="4" t="str">
        <f>CONCATENATE(HYPERLINK("CALLTO:%2B356%202146%205156", "+356 2146 5156"))</f>
        <v>+356 2146 5156</v>
      </c>
      <c r="E165" s="5" t="s">
        <v>3656</v>
      </c>
      <c r="F165" s="5" t="s">
        <v>3726</v>
      </c>
      <c r="G165" s="4"/>
    </row>
    <row r="166" spans="1:7" x14ac:dyDescent="0.3">
      <c r="A166" s="2" t="s">
        <v>3397</v>
      </c>
      <c r="B166" s="2" t="s">
        <v>3477</v>
      </c>
      <c r="C166" s="3" t="s">
        <v>1077</v>
      </c>
      <c r="D166" s="2" t="str">
        <f>CONCATENATE(HYPERLINK("CALLTO:%2B356%202180%208802", "+356 2180 8802"))</f>
        <v>+356 2180 8802</v>
      </c>
      <c r="E166" s="3" t="s">
        <v>3657</v>
      </c>
      <c r="F166" s="3" t="s">
        <v>3727</v>
      </c>
      <c r="G166" s="2"/>
    </row>
    <row r="167" spans="1:7" x14ac:dyDescent="0.3">
      <c r="A167" s="4" t="s">
        <v>3397</v>
      </c>
      <c r="B167" s="4" t="s">
        <v>3488</v>
      </c>
      <c r="C167" s="5" t="s">
        <v>3576</v>
      </c>
      <c r="D167" s="4" t="str">
        <f>CONCATENATE(HYPERLINK("CALLTO:%2B356%209959%204709", "+356 9959 4709"))</f>
        <v>+356 9959 4709</v>
      </c>
      <c r="E167" s="5" t="s">
        <v>3668</v>
      </c>
      <c r="F167" s="5" t="s">
        <v>3739</v>
      </c>
      <c r="G167" s="4"/>
    </row>
    <row r="168" spans="1:7" x14ac:dyDescent="0.3">
      <c r="A168" s="2" t="s">
        <v>3397</v>
      </c>
      <c r="B168" s="2" t="s">
        <v>3478</v>
      </c>
      <c r="C168" s="3" t="s">
        <v>3564</v>
      </c>
      <c r="D168" s="2" t="str">
        <f>CONCATENATE(HYPERLINK("CALLTO:%2B356%202182%202143", "+356 2182 2143"))</f>
        <v>+356 2182 2143</v>
      </c>
      <c r="E168" s="3" t="s">
        <v>3658</v>
      </c>
      <c r="F168" s="3" t="s">
        <v>3728</v>
      </c>
      <c r="G168" s="2"/>
    </row>
    <row r="169" spans="1:7" x14ac:dyDescent="0.3">
      <c r="A169" s="4" t="s">
        <v>3397</v>
      </c>
      <c r="B169" s="4" t="s">
        <v>3480</v>
      </c>
      <c r="C169" s="5" t="s">
        <v>3577</v>
      </c>
      <c r="D169" s="4" t="str">
        <f>CONCATENATE(HYPERLINK("CALLTO:%2B356%209945%200440", "+356 9945 0440"))</f>
        <v>+356 9945 0440</v>
      </c>
      <c r="E169" s="5" t="s">
        <v>3660</v>
      </c>
      <c r="F169" s="5" t="s">
        <v>3729</v>
      </c>
      <c r="G169" s="4"/>
    </row>
    <row r="170" spans="1:7" x14ac:dyDescent="0.3">
      <c r="A170" s="2" t="s">
        <v>3397</v>
      </c>
      <c r="B170" s="2" t="s">
        <v>3481</v>
      </c>
      <c r="C170" s="3" t="s">
        <v>3566</v>
      </c>
      <c r="D170" s="2" t="str">
        <f>CONCATENATE(HYPERLINK("CALLTO:%2B356%202155%204058", "+356 2155 4058"))</f>
        <v>+356 2155 4058</v>
      </c>
      <c r="E170" s="3" t="s">
        <v>3661</v>
      </c>
      <c r="F170" s="3" t="s">
        <v>3730</v>
      </c>
      <c r="G170" s="2"/>
    </row>
  </sheetData>
  <hyperlinks>
    <hyperlink ref="C3" r:id="rId1" tooltip="Send a mail to stakterinacons@outlook.com" xr:uid="{00000000-0004-0000-3B00-000000000000}"/>
    <hyperlink ref="C4" r:id="rId2" tooltip="Send a mail to info@stanthonyww.com" xr:uid="{00000000-0004-0000-3B00-000001000000}"/>
    <hyperlink ref="C5" r:id="rId3" tooltip="Send a mail to info@framegrip.com" xr:uid="{00000000-0004-0000-3B00-000002000000}"/>
    <hyperlink ref="C6" r:id="rId4" tooltip="Send a mail to sales@jlautier.com" xr:uid="{00000000-0004-0000-3B00-000003000000}"/>
    <hyperlink ref="C7" r:id="rId5" tooltip="Send a mail to sales@newstylesmalta.com" xr:uid="{00000000-0004-0000-3B00-000004000000}"/>
    <hyperlink ref="C8" r:id="rId6" tooltip="Send a mail to info@grimafurniture.com" xr:uid="{00000000-0004-0000-3B00-000005000000}"/>
    <hyperlink ref="C9" r:id="rId7" tooltip="Send a mail to info@amabilegalea.com" xr:uid="{00000000-0004-0000-3B00-000006000000}"/>
    <hyperlink ref="C10" r:id="rId8" tooltip="Send a mail to info@gozoaluminium.com" xr:uid="{00000000-0004-0000-3B00-000007000000}"/>
    <hyperlink ref="C11" r:id="rId9" tooltip="Send a mail to info@a1finishesltd.com" xr:uid="{00000000-0004-0000-3B00-000008000000}"/>
    <hyperlink ref="C12" r:id="rId10" tooltip="Send a mail to parus984@gmail.com" xr:uid="{00000000-0004-0000-3B00-000009000000}"/>
    <hyperlink ref="C13" r:id="rId11" tooltip="Send a mail to info@afdaaluminium.com" xr:uid="{00000000-0004-0000-3B00-00000A000000}"/>
    <hyperlink ref="C14" r:id="rId12" tooltip="Send a mail to info@brandimports.com.mt" xr:uid="{00000000-0004-0000-3B00-00000B000000}"/>
    <hyperlink ref="C15" r:id="rId13" tooltip="Send a mail to j3aluminium@gmail.com" xr:uid="{00000000-0004-0000-3B00-00000C000000}"/>
    <hyperlink ref="C16" r:id="rId14" tooltip="Send a mail to nu-aluminium@outlook.com" xr:uid="{00000000-0004-0000-3B00-00000D000000}"/>
    <hyperlink ref="C17" r:id="rId15" tooltip="Send a mail to info@ihomes.com.mt" xr:uid="{00000000-0004-0000-3B00-00000E000000}"/>
    <hyperlink ref="C18" r:id="rId16" tooltip="Send a mail to info@nicholas.mt" xr:uid="{00000000-0004-0000-3B00-00000F000000}"/>
    <hyperlink ref="C19" r:id="rId17" tooltip="Send a mail to chayron186@gmail.com" xr:uid="{00000000-0004-0000-3B00-000010000000}"/>
    <hyperlink ref="C20" r:id="rId18" tooltip="Send a mail to josefvella72@gmail.com" xr:uid="{00000000-0004-0000-3B00-000011000000}"/>
    <hyperlink ref="C21" r:id="rId19" tooltip="Send a mail to abelawoodworks@gmail.com" xr:uid="{00000000-0004-0000-3B00-000012000000}"/>
    <hyperlink ref="C22" r:id="rId20" tooltip="Send a mail to northalu@gmail.com" xr:uid="{00000000-0004-0000-3B00-000013000000}"/>
    <hyperlink ref="C23" r:id="rId21" tooltip="Send a mail to agood.installations@yahoo.com" xr:uid="{00000000-0004-0000-3B00-000014000000}"/>
    <hyperlink ref="C24" r:id="rId22" tooltip="Send a mail to gsf-1200@hotmail.com" xr:uid="{00000000-0004-0000-3B00-000015000000}"/>
    <hyperlink ref="C25" r:id="rId23" tooltip="Send a mail to jsbaluminiumworks@gmail.com" xr:uid="{00000000-0004-0000-3B00-000016000000}"/>
    <hyperlink ref="C26" r:id="rId24" tooltip="Send a mail to mario.camilleri9@gmail.com" xr:uid="{00000000-0004-0000-3B00-000017000000}"/>
    <hyperlink ref="C27" r:id="rId25" tooltip="Send a mail to info@acaluminium.com" xr:uid="{00000000-0004-0000-3B00-000018000000}"/>
    <hyperlink ref="C28" r:id="rId26" tooltip="Send a mail to lexport@go.com.mt" xr:uid="{00000000-0004-0000-3B00-000019000000}"/>
    <hyperlink ref="C29" r:id="rId27" tooltip="Send a mail to sales@adoremore.eu" xr:uid="{00000000-0004-0000-3B00-00001A000000}"/>
    <hyperlink ref="C30" r:id="rId28" tooltip="Send a mail to alfalu@melita.com" xr:uid="{00000000-0004-0000-3B00-00001B000000}"/>
    <hyperlink ref="C31" r:id="rId29" tooltip="Send a mail to xandrumallia@gmail.com" xr:uid="{00000000-0004-0000-3B00-00001C000000}"/>
    <hyperlink ref="C32" r:id="rId30" tooltip="Send a mail to info@alukey.com.mt" xr:uid="{00000000-0004-0000-3B00-00001D000000}"/>
    <hyperlink ref="C33" r:id="rId31" tooltip="Send a mail to info@aluminiumltd.com" xr:uid="{00000000-0004-0000-3B00-00001E000000}"/>
    <hyperlink ref="C34" r:id="rId32" tooltip="Send a mail to info@aluwoodmalta.com" xr:uid="{00000000-0004-0000-3B00-00001F000000}"/>
    <hyperlink ref="C35" r:id="rId33" tooltip="Send a mail to andrewvella66@gmail.com" xr:uid="{00000000-0004-0000-3B00-000020000000}"/>
    <hyperlink ref="C36" r:id="rId34" tooltip="Send a mail to azzopardialuminiumworks@gmail.com" xr:uid="{00000000-0004-0000-3B00-000021000000}"/>
    <hyperlink ref="C37" r:id="rId35" tooltip="Send a mail to info@basonaluminium.com" xr:uid="{00000000-0004-0000-3B00-000022000000}"/>
    <hyperlink ref="C38" r:id="rId36" tooltip="Send a mail to borgaluminiummalta@gmail.com" xr:uid="{00000000-0004-0000-3B00-000023000000}"/>
    <hyperlink ref="C39" r:id="rId37" tooltip="Send a mail to henry@bpapertures.com" xr:uid="{00000000-0004-0000-3B00-000024000000}"/>
    <hyperlink ref="C40" r:id="rId38" tooltip="Send a mail to cdsaluminium@gmail.com" xr:uid="{00000000-0004-0000-3B00-000025000000}"/>
    <hyperlink ref="C41" r:id="rId39" tooltip="Send a mail to info@cagroup.com.mt" xr:uid="{00000000-0004-0000-3B00-000026000000}"/>
    <hyperlink ref="C42" r:id="rId40" tooltip="Send a mail to mrgmv@onvol.net" xr:uid="{00000000-0004-0000-3B00-000027000000}"/>
    <hyperlink ref="C43" r:id="rId41" tooltip="Send a mail to chocoaluminium@gmail.com" xr:uid="{00000000-0004-0000-3B00-000028000000}"/>
    <hyperlink ref="C44" r:id="rId42" tooltip="Send a mail to info@comforabita.com" xr:uid="{00000000-0004-0000-3B00-000029000000}"/>
    <hyperlink ref="C45" r:id="rId43" tooltip="Send a mail to cba@cba.com.mt" xr:uid="{00000000-0004-0000-3B00-00002A000000}"/>
    <hyperlink ref="C46" r:id="rId44" tooltip="Send a mail to daniobarbara1977@gmail.com" xr:uid="{00000000-0004-0000-3B00-00002B000000}"/>
    <hyperlink ref="C47" r:id="rId45" tooltip="Send a mail to savdim65@gmail.com" xr:uid="{00000000-0004-0000-3B00-00002C000000}"/>
    <hyperlink ref="C48" r:id="rId46" tooltip="Send a mail to info@dinglialuminium.com" xr:uid="{00000000-0004-0000-3B00-00002D000000}"/>
    <hyperlink ref="C49" r:id="rId47" tooltip="Send a mail to sales@pvcmalta.com" xr:uid="{00000000-0004-0000-3B00-00002E000000}"/>
    <hyperlink ref="C50" r:id="rId48" tooltip="Send a mail to dxaluworks@gmail.com" xr:uid="{00000000-0004-0000-3B00-00002F000000}"/>
    <hyperlink ref="C51" r:id="rId49" tooltip="Send a mail to info@expressaluminium.com" xr:uid="{00000000-0004-0000-3B00-000030000000}"/>
    <hyperlink ref="C52" r:id="rId50" tooltip="Send a mail to simdebwebb@hotmail.com" xr:uid="{00000000-0004-0000-3B00-000031000000}"/>
    <hyperlink ref="C53" r:id="rId51" tooltip="Send a mail to sales@finestralmalta.com" xr:uid="{00000000-0004-0000-3B00-000032000000}"/>
    <hyperlink ref="C54" r:id="rId52" tooltip="Send a mail to faworks123@gmail.com" xr:uid="{00000000-0004-0000-3B00-000033000000}"/>
    <hyperlink ref="C55" r:id="rId53" tooltip="Send a mail to azzopardimark8@gmail.com" xr:uid="{00000000-0004-0000-3B00-000034000000}"/>
    <hyperlink ref="C56" r:id="rId54" tooltip="Send a mail to info@alugiorgio.com" xr:uid="{00000000-0004-0000-3B00-000035000000}"/>
    <hyperlink ref="C57" r:id="rId55" tooltip="Send a mail to info@grahamaluminium.com" xr:uid="{00000000-0004-0000-3B00-000036000000}"/>
    <hyperlink ref="C58" r:id="rId56" tooltip="Send a mail to guysmalta@gmail.com" xr:uid="{00000000-0004-0000-3B00-000037000000}"/>
    <hyperlink ref="C59" r:id="rId57" tooltip="Send a mail to horvinltd@gmail.com" xr:uid="{00000000-0004-0000-3B00-000038000000}"/>
    <hyperlink ref="C61" r:id="rId58" tooltip="Send a mail to johnjandb@gmail.com" xr:uid="{00000000-0004-0000-3B00-000039000000}"/>
    <hyperlink ref="C62" r:id="rId59" tooltip="Send a mail to info@jcdaluminium.com" xr:uid="{00000000-0004-0000-3B00-00003A000000}"/>
    <hyperlink ref="C63" r:id="rId60" tooltip="Send a mail to jk.aluminium@yahoo.com" xr:uid="{00000000-0004-0000-3B00-00003B000000}"/>
    <hyperlink ref="C64" r:id="rId61" tooltip="Send a mail to admin@jamarmalta.com" xr:uid="{00000000-0004-0000-3B00-00003C000000}"/>
    <hyperlink ref="C65" r:id="rId62" tooltip="Send a mail to info@jasonaluminium.com" xr:uid="{00000000-0004-0000-3B00-00003D000000}"/>
    <hyperlink ref="C66" r:id="rId63" tooltip="Send a mail to kkalworks@gmail.com" xr:uid="{00000000-0004-0000-3B00-00003E000000}"/>
    <hyperlink ref="C67" r:id="rId64" tooltip="Send a mail to bjorn.vassallo@gmail.com" xr:uid="{00000000-0004-0000-3B00-00003F000000}"/>
    <hyperlink ref="C68" r:id="rId65" tooltip="Send a mail to gmuscat@live.com" xr:uid="{00000000-0004-0000-3B00-000040000000}"/>
    <hyperlink ref="C69" r:id="rId66" tooltip="Send a mail to nicdimech@gmail.com" xr:uid="{00000000-0004-0000-3B00-000041000000}"/>
    <hyperlink ref="C70" r:id="rId67" tooltip="Send a mail to Info@perfectum.mt" xr:uid="{00000000-0004-0000-3B00-000042000000}"/>
    <hyperlink ref="C71" r:id="rId68" tooltip="Send a mail to matteo.pisani40@gmail.com" xr:uid="{00000000-0004-0000-3B00-000043000000}"/>
    <hyperlink ref="C72" r:id="rId69" tooltip="Send a mail to qormialum@gmail.com" xr:uid="{00000000-0004-0000-3B00-000044000000}"/>
    <hyperlink ref="C73" r:id="rId70" tooltip="Send a mail to rcalworks@gmail.com" xr:uid="{00000000-0004-0000-3B00-000045000000}"/>
    <hyperlink ref="C74" r:id="rId71" tooltip="Send a mail to rapa.aluminium@gmail.com" xr:uid="{00000000-0004-0000-3B00-000046000000}"/>
    <hyperlink ref="C75" r:id="rId72" tooltip="Send a mail to raymondfarrugia74@gmail.com" xr:uid="{00000000-0004-0000-3B00-000047000000}"/>
    <hyperlink ref="C76" r:id="rId73" tooltip="Send a mail to refinedaluworks@gmail.com" xr:uid="{00000000-0004-0000-3B00-000048000000}"/>
    <hyperlink ref="C77" r:id="rId74" tooltip="Send a mail to info@servgroupmalta.com" xr:uid="{00000000-0004-0000-3B00-000049000000}"/>
    <hyperlink ref="C79" r:id="rId75" tooltip="Send a mail to info@sptechniques.com" xr:uid="{00000000-0004-0000-3B00-00004A000000}"/>
    <hyperlink ref="C80" r:id="rId76" tooltip="Send a mail to sunaluminium@hotmail.com" xr:uid="{00000000-0004-0000-3B00-00004B000000}"/>
    <hyperlink ref="C81" r:id="rId77" tooltip="Send a mail to t.camillerialuminium@hotmail.com" xr:uid="{00000000-0004-0000-3B00-00004C000000}"/>
    <hyperlink ref="C82" r:id="rId78" tooltip="Send a mail to info@towergroupmalta.com" xr:uid="{00000000-0004-0000-3B00-00004D000000}"/>
    <hyperlink ref="C83" r:id="rId79" tooltip="Send a mail to info@trendsltdmalta.com" xr:uid="{00000000-0004-0000-3B00-00004E000000}"/>
    <hyperlink ref="C84" r:id="rId80" tooltip="Send a mail to mario@windmillmalta.com" xr:uid="{00000000-0004-0000-3B00-00004F000000}"/>
    <hyperlink ref="C86" r:id="rId81" tooltip="Send a mail to luke@woodware.com.mt" xr:uid="{00000000-0004-0000-3B00-000050000000}"/>
    <hyperlink ref="C87" r:id="rId82" tooltip="Send a mail to zammitalu@gmail.com" xr:uid="{00000000-0004-0000-3B00-000051000000}"/>
    <hyperlink ref="C89" r:id="rId83" tooltip="Send a mail to info@framegrip.com" xr:uid="{00000000-0004-0000-3B00-000052000000}"/>
    <hyperlink ref="C90" r:id="rId84" tooltip="Send a mail to sales@jlautier.com" xr:uid="{00000000-0004-0000-3B00-000053000000}"/>
    <hyperlink ref="C91" r:id="rId85" tooltip="Send a mail to info@a1finishesltd.com" xr:uid="{00000000-0004-0000-3B00-000054000000}"/>
    <hyperlink ref="C92" r:id="rId86" tooltip="Send a mail to sales@newstylesmalta.com" xr:uid="{00000000-0004-0000-3B00-000055000000}"/>
    <hyperlink ref="C93" r:id="rId87" tooltip="Send a mail to info@amabilegalea.com" xr:uid="{00000000-0004-0000-3B00-000056000000}"/>
    <hyperlink ref="C94" r:id="rId88" tooltip="Send a mail to info@gozoaluminium.com" xr:uid="{00000000-0004-0000-3B00-000057000000}"/>
    <hyperlink ref="C95" r:id="rId89" tooltip="Send a mail to nu-aluminium@outlook.com" xr:uid="{00000000-0004-0000-3B00-000058000000}"/>
    <hyperlink ref="C96" r:id="rId90" tooltip="Send a mail to info@sfdoorstyles.com.mt" xr:uid="{00000000-0004-0000-3B00-000059000000}"/>
    <hyperlink ref="C97" r:id="rId91" tooltip="Send a mail to parus984@gmail.com" xr:uid="{00000000-0004-0000-3B00-00005A000000}"/>
    <hyperlink ref="C98" r:id="rId92" tooltip="Send a mail to info@afdaaluminium.com" xr:uid="{00000000-0004-0000-3B00-00005B000000}"/>
    <hyperlink ref="C99" r:id="rId93" tooltip="Send a mail to info@brandimports.com.mt" xr:uid="{00000000-0004-0000-3B00-00005C000000}"/>
    <hyperlink ref="C100" r:id="rId94" tooltip="Send a mail to j3aluminium@gmail.com" xr:uid="{00000000-0004-0000-3B00-00005D000000}"/>
    <hyperlink ref="C101" r:id="rId95" tooltip="Send a mail to info@nicholas.mt" xr:uid="{00000000-0004-0000-3B00-00005E000000}"/>
    <hyperlink ref="C102" r:id="rId96" tooltip="Send a mail to info@ihomes.com.mt" xr:uid="{00000000-0004-0000-3B00-00005F000000}"/>
    <hyperlink ref="C103" r:id="rId97" tooltip="Send a mail to chayron186@gmail.com" xr:uid="{00000000-0004-0000-3B00-000060000000}"/>
    <hyperlink ref="C104" r:id="rId98" tooltip="Send a mail to josefvella72@gmail.com" xr:uid="{00000000-0004-0000-3B00-000061000000}"/>
    <hyperlink ref="C105" r:id="rId99" tooltip="Send a mail to northalu@gmail.com" xr:uid="{00000000-0004-0000-3B00-000062000000}"/>
    <hyperlink ref="C106" r:id="rId100" tooltip="Send a mail to agood.installations@yahoo.com" xr:uid="{00000000-0004-0000-3B00-000063000000}"/>
    <hyperlink ref="C107" r:id="rId101" tooltip="Send a mail to gsf-1200@hotmail.com" xr:uid="{00000000-0004-0000-3B00-000064000000}"/>
    <hyperlink ref="C108" r:id="rId102" tooltip="Send a mail to jsbaluminiumworks@gmail.com" xr:uid="{00000000-0004-0000-3B00-000065000000}"/>
    <hyperlink ref="C109" r:id="rId103" tooltip="Send a mail to sales@doorsandmore.in" xr:uid="{00000000-0004-0000-3B00-000066000000}"/>
    <hyperlink ref="C110" r:id="rId104" tooltip="Send a mail to mario.camilleri9@gmail.com" xr:uid="{00000000-0004-0000-3B00-000067000000}"/>
    <hyperlink ref="C111" r:id="rId105" tooltip="Send a mail to info@acaluminium.com" xr:uid="{00000000-0004-0000-3B00-000068000000}"/>
    <hyperlink ref="C112" r:id="rId106" tooltip="Send a mail to lexport@go.com.mt" xr:uid="{00000000-0004-0000-3B00-000069000000}"/>
    <hyperlink ref="C113" r:id="rId107" tooltip="Send a mail to sales@adoremore.eu" xr:uid="{00000000-0004-0000-3B00-00006A000000}"/>
    <hyperlink ref="C114" r:id="rId108" tooltip="Send a mail to info@acmamalta.com" xr:uid="{00000000-0004-0000-3B00-00006B000000}"/>
    <hyperlink ref="C115" r:id="rId109" tooltip="Send a mail to alfalu@melita.com" xr:uid="{00000000-0004-0000-3B00-00006C000000}"/>
    <hyperlink ref="C116" r:id="rId110" tooltip="Send a mail to xandrumallia@gmail.com" xr:uid="{00000000-0004-0000-3B00-00006D000000}"/>
    <hyperlink ref="C117" r:id="rId111" tooltip="Send a mail to info@alukey.com.mt" xr:uid="{00000000-0004-0000-3B00-00006E000000}"/>
    <hyperlink ref="C118" r:id="rId112" tooltip="Send a mail to info@aluminiumltd.com" xr:uid="{00000000-0004-0000-3B00-00006F000000}"/>
    <hyperlink ref="C119" r:id="rId113" tooltip="Send a mail to info@aluwoodmalta.com" xr:uid="{00000000-0004-0000-3B00-000070000000}"/>
    <hyperlink ref="C120" r:id="rId114" tooltip="Send a mail to andrewvella66@gmail.com" xr:uid="{00000000-0004-0000-3B00-000071000000}"/>
    <hyperlink ref="C121" r:id="rId115" tooltip="Send a mail to azzopardialumworks@gmail.com" xr:uid="{00000000-0004-0000-3B00-000072000000}"/>
    <hyperlink ref="C122" r:id="rId116" tooltip="Send a mail to info@basonaluminium.com" xr:uid="{00000000-0004-0000-3B00-000073000000}"/>
    <hyperlink ref="C123" r:id="rId117" tooltip="Send a mail to borgaluminiummalta@gmail.com" xr:uid="{00000000-0004-0000-3B00-000074000000}"/>
    <hyperlink ref="C124" r:id="rId118" tooltip="Send a mail to henry@bpapertures.com" xr:uid="{00000000-0004-0000-3B00-000075000000}"/>
    <hyperlink ref="C125" r:id="rId119" tooltip="Send a mail to cdsaluminium@gmail.com" xr:uid="{00000000-0004-0000-3B00-000076000000}"/>
    <hyperlink ref="C126" r:id="rId120" tooltip="Send a mail to info@cagroup.com.mt" xr:uid="{00000000-0004-0000-3B00-000077000000}"/>
    <hyperlink ref="C127" r:id="rId121" tooltip="Send a mail to tc@aluminium.mt" xr:uid="{00000000-0004-0000-3B00-000078000000}"/>
    <hyperlink ref="C128" r:id="rId122" tooltip="Send a mail to mrgmv@onvol.net" xr:uid="{00000000-0004-0000-3B00-000079000000}"/>
    <hyperlink ref="C129" r:id="rId123" tooltip="Send a mail to chocoaluminium@gmail.com" xr:uid="{00000000-0004-0000-3B00-00007A000000}"/>
    <hyperlink ref="C130" r:id="rId124" tooltip="Send a mail to daniobarbara1977@gmail.com" xr:uid="{00000000-0004-0000-3B00-00007B000000}"/>
    <hyperlink ref="C131" r:id="rId125" tooltip="Send a mail to info@deckor.com.mt" xr:uid="{00000000-0004-0000-3B00-00007C000000}"/>
    <hyperlink ref="C132" r:id="rId126" tooltip="Send a mail to savdim65@gmail.com" xr:uid="{00000000-0004-0000-3B00-00007D000000}"/>
    <hyperlink ref="C133" r:id="rId127" tooltip="Send a mail to info@dinglialuminium.com" xr:uid="{00000000-0004-0000-3B00-00007E000000}"/>
    <hyperlink ref="C134" r:id="rId128" tooltip="Send a mail to sales@pvcmalta.com" xr:uid="{00000000-0004-0000-3B00-00007F000000}"/>
    <hyperlink ref="C135" r:id="rId129" tooltip="Send a mail to dxaluworks@gmail.com" xr:uid="{00000000-0004-0000-3B00-000080000000}"/>
    <hyperlink ref="C136" r:id="rId130" tooltip="Send a mail to info@expressaluminium.com" xr:uid="{00000000-0004-0000-3B00-000081000000}"/>
    <hyperlink ref="C137" r:id="rId131" tooltip="Send a mail to simdebwebb@hotmail.com" xr:uid="{00000000-0004-0000-3B00-000082000000}"/>
    <hyperlink ref="C138" r:id="rId132" tooltip="Send a mail to faworks123@gmail.com" xr:uid="{00000000-0004-0000-3B00-000083000000}"/>
    <hyperlink ref="C139" r:id="rId133" tooltip="Send a mail to azzopardimark8@gmail.com" xr:uid="{00000000-0004-0000-3B00-000084000000}"/>
    <hyperlink ref="C140" r:id="rId134" tooltip="Send a mail to info@alugiorgio.com" xr:uid="{00000000-0004-0000-3B00-000085000000}"/>
    <hyperlink ref="C141" r:id="rId135" tooltip="Send a mail to info@grahamaluminium.com" xr:uid="{00000000-0004-0000-3B00-000086000000}"/>
    <hyperlink ref="C142" r:id="rId136" tooltip="Send a mail to guysmalta@gmail.com" xr:uid="{00000000-0004-0000-3B00-000087000000}"/>
    <hyperlink ref="C143" r:id="rId137" tooltip="Send a mail to horvinltd@gmail.com" xr:uid="{00000000-0004-0000-3B00-000088000000}"/>
    <hyperlink ref="C145" r:id="rId138" tooltip="Send a mail to johnjandb@gmail.com" xr:uid="{00000000-0004-0000-3B00-000089000000}"/>
    <hyperlink ref="C146" r:id="rId139" tooltip="Send a mail to info@jcdaluminium.com" xr:uid="{00000000-0004-0000-3B00-00008A000000}"/>
    <hyperlink ref="C147" r:id="rId140" tooltip="Send a mail to jk.aluminium@yahoo.com" xr:uid="{00000000-0004-0000-3B00-00008B000000}"/>
    <hyperlink ref="C148" r:id="rId141" tooltip="Send a mail to info@jamarmalta.com" xr:uid="{00000000-0004-0000-3B00-00008C000000}"/>
    <hyperlink ref="C149" r:id="rId142" tooltip="Send a mail to kkalworks@gmail.com" xr:uid="{00000000-0004-0000-3B00-00008D000000}"/>
    <hyperlink ref="C150" r:id="rId143" tooltip="Send a mail to bjorn.vassallo@gmail.com" xr:uid="{00000000-0004-0000-3B00-00008E000000}"/>
    <hyperlink ref="C151" r:id="rId144" tooltip="Send a mail to gmuscat@live.com" xr:uid="{00000000-0004-0000-3B00-00008F000000}"/>
    <hyperlink ref="C152" r:id="rId145" tooltip="Send a mail to nicdimech@gmail.com" xr:uid="{00000000-0004-0000-3B00-000090000000}"/>
    <hyperlink ref="C153" r:id="rId146" tooltip="Send a mail to info@nigeldimech.com" xr:uid="{00000000-0004-0000-3B00-000091000000}"/>
    <hyperlink ref="C154" r:id="rId147" tooltip="Send a mail to matteo.pisani40@gmail.com" xr:uid="{00000000-0004-0000-3B00-000092000000}"/>
    <hyperlink ref="C155" r:id="rId148" tooltip="Send a mail to gormialum@gmail.com" xr:uid="{00000000-0004-0000-3B00-000093000000}"/>
    <hyperlink ref="C156" r:id="rId149" tooltip="Send a mail to rcalworks@gmail.com" xr:uid="{00000000-0004-0000-3B00-000094000000}"/>
    <hyperlink ref="C157" r:id="rId150" tooltip="Send a mail to rapa.aluminium@gmail.com" xr:uid="{00000000-0004-0000-3B00-000095000000}"/>
    <hyperlink ref="C158" r:id="rId151" tooltip="Send a mail to raymondfarrugia74@gmail.com" xr:uid="{00000000-0004-0000-3B00-000096000000}"/>
    <hyperlink ref="C159" r:id="rId152" tooltip="Send a mail to refinedaluworks@gmail.com" xr:uid="{00000000-0004-0000-3B00-000097000000}"/>
    <hyperlink ref="C160" r:id="rId153" tooltip="Send a mail to info@servgroupmalta.com" xr:uid="{00000000-0004-0000-3B00-000098000000}"/>
    <hyperlink ref="C162" r:id="rId154" tooltip="Send a mail to sunaluminium@hotmail.com" xr:uid="{00000000-0004-0000-3B00-000099000000}"/>
    <hyperlink ref="C163" r:id="rId155" tooltip="Send a mail to t.camillerialuminium@hotmail.com" xr:uid="{00000000-0004-0000-3B00-00009A000000}"/>
    <hyperlink ref="C164" r:id="rId156" tooltip="Send a mail to tonnalum@yahoo.com" xr:uid="{00000000-0004-0000-3B00-00009B000000}"/>
    <hyperlink ref="C165" r:id="rId157" tooltip="Send a mail to info@towergroupmalta.com" xr:uid="{00000000-0004-0000-3B00-00009C000000}"/>
    <hyperlink ref="C166" r:id="rId158" tooltip="Send a mail to info@trendsltdmalta.com" xr:uid="{00000000-0004-0000-3B00-00009D000000}"/>
    <hyperlink ref="C167" r:id="rId159" tooltip="Send a mail to valormalta@gmail.com" xr:uid="{00000000-0004-0000-3B00-00009E000000}"/>
    <hyperlink ref="C168" r:id="rId160" tooltip="Send a mail to mario@windmillmalta.com" xr:uid="{00000000-0004-0000-3B00-00009F000000}"/>
    <hyperlink ref="C169" r:id="rId161" tooltip="Send a mail to luke@woodware.mt" xr:uid="{00000000-0004-0000-3B00-0000A0000000}"/>
    <hyperlink ref="C170" r:id="rId162" tooltip="Send a mail to zammitalu@gmail.com" xr:uid="{00000000-0004-0000-3B00-0000A1000000}"/>
    <hyperlink ref="E2" r:id="rId163" tooltip="Search 8 Triq il-Garra Victoria Gardens L-Ibrag, Swieqi on Google Maps" xr:uid="{00000000-0004-0000-3B00-0000A2000000}"/>
    <hyperlink ref="E3" r:id="rId164" tooltip="Search Triq il-Kappella ta' Santa Marija, Naxxar on Google Maps" xr:uid="{00000000-0004-0000-3B00-0000A3000000}"/>
    <hyperlink ref="E4" r:id="rId165" tooltip="Search Triq il-Fortizza, Mosta on Google Maps" xr:uid="{00000000-0004-0000-3B00-0000A4000000}"/>
    <hyperlink ref="E5" r:id="rId166" tooltip="Search Triq il-Mosta, Lija on Google Maps" xr:uid="{00000000-0004-0000-3B00-0000A5000000}"/>
    <hyperlink ref="E6" r:id="rId167" tooltip="Search Triq it-Torri, Msida on Google Maps" xr:uid="{00000000-0004-0000-3B00-0000A6000000}"/>
    <hyperlink ref="E7" r:id="rId168" tooltip="Search SUB 030A Qasam Industrijali, San Gwann on Google Maps" xr:uid="{00000000-0004-0000-3B00-0000A7000000}"/>
    <hyperlink ref="E8" r:id="rId169" tooltip="Search Zone 2 Triq L-Ghadam Central Business District, B'Kara on Google Maps" xr:uid="{00000000-0004-0000-3B00-0000A8000000}"/>
    <hyperlink ref="E9" r:id="rId170" tooltip="Search 34 Triq it-Torri San Gwann, Birgu on Google Maps" xr:uid="{00000000-0004-0000-3B00-0000A9000000}"/>
    <hyperlink ref="E10" r:id="rId171" tooltip="Search Factory GZB 2 Qasam Industrijali, Xewkija-Gozo on Google Maps" xr:uid="{00000000-0004-0000-3B00-0000AA000000}"/>
    <hyperlink ref="E11" r:id="rId172" tooltip="Search 2 Triq Lorenzo Gafa, Zebbug on Google Maps" xr:uid="{00000000-0004-0000-3B00-0000AB000000}"/>
    <hyperlink ref="E12" r:id="rId173" tooltip="Search 31 Triq il-Furnar, Qormi on Google Maps" xr:uid="{00000000-0004-0000-3B00-0000AC000000}"/>
    <hyperlink ref="E13" r:id="rId174" tooltip="Search Garage 10, Level -2 Sqaq il-Mithna Triq I-Imqabba, Qrendi on Google Maps" xr:uid="{00000000-0004-0000-3B00-0000AD000000}"/>
    <hyperlink ref="E14" r:id="rId175" tooltip="Search 26 Triq Haz-Zabbar, Paola on Google Maps" xr:uid="{00000000-0004-0000-3B00-0000AE000000}"/>
    <hyperlink ref="E15" r:id="rId176" tooltip="Search Triq Mro Giorgio Zarb Tal-Handaq, Qormi on Google Maps" xr:uid="{00000000-0004-0000-3B00-0000AF000000}"/>
    <hyperlink ref="E16" r:id="rId177" tooltip="Search GGX 0021 Qasam Industrijali, Xewkija-Gozo on Google Maps" xr:uid="{00000000-0004-0000-3B00-0000B0000000}"/>
    <hyperlink ref="E17" r:id="rId178" tooltip="Search No5 Triq Mons Alfred Mifsud, B'Kara on Google Maps" xr:uid="{00000000-0004-0000-3B00-0000B1000000}"/>
    <hyperlink ref="E18" r:id="rId179" tooltip="Search 33 Triq Angelo Melilli, Zebbug on Google Maps" xr:uid="{00000000-0004-0000-3B00-0000B2000000}"/>
    <hyperlink ref="E19" r:id="rId180" tooltip="Search Emmarie Triq id-Dahla Ta' San Tumas, M'Skala on Google Maps" xr:uid="{00000000-0004-0000-3B00-0000B3000000}"/>
    <hyperlink ref="E20" r:id="rId181" tooltip="Search Garage 25 Tal-Barrani Industrial Estate Triq il-Belt Valletta, Ghaxaq on Google Maps" xr:uid="{00000000-0004-0000-3B00-0000B4000000}"/>
    <hyperlink ref="E21" r:id="rId182" tooltip="Search 34 Triq Indri Psaila, Qormi on Google Maps" xr:uid="{00000000-0004-0000-3B00-0000B5000000}"/>
    <hyperlink ref="E22" r:id="rId183" tooltip="Search Scorpio Triq Garcia De Toledo Qawra, San Pawl ll-Bahar on Google Maps" xr:uid="{00000000-0004-0000-3B00-0000B6000000}"/>
    <hyperlink ref="E23" r:id="rId184" tooltip="Search Triq San Pawl ll-Bahar on Google Maps" xr:uid="{00000000-0004-0000-3B00-0000B7000000}"/>
    <hyperlink ref="E24" r:id="rId185" tooltip="Search 197 Telgha tal-Gizwiti, Marsa on Google Maps" xr:uid="{00000000-0004-0000-3B00-0000B8000000}"/>
    <hyperlink ref="E25" r:id="rId186" tooltip="Search Triq Pawlu Mifsud, Zebbug on Google Maps" xr:uid="{00000000-0004-0000-3B00-0000B9000000}"/>
    <hyperlink ref="E26" r:id="rId187" tooltip="Search 10 Triq Bingemma, Nadur-Gozo on Google Maps" xr:uid="{00000000-0004-0000-3B00-0000BA000000}"/>
    <hyperlink ref="E27" r:id="rId188" tooltip="Search 18 Triq Salvinu Spiteri, Sta Venera on Google Maps" xr:uid="{00000000-0004-0000-3B00-0000BB000000}"/>
    <hyperlink ref="E28" r:id="rId189" tooltip="Search 124 Triq San Gejtanu, Hamrun on Google Maps" xr:uid="{00000000-0004-0000-3B00-0000BC000000}"/>
    <hyperlink ref="E29" r:id="rId190" tooltip="Search Triq id-Difiza Civili, Mosta on Google Maps" xr:uid="{00000000-0004-0000-3B00-0000BD000000}"/>
    <hyperlink ref="E30" r:id="rId191" tooltip="Search 45 Stella Maris Triq James Smith Qawra, San Pawl ll-Bahar on Google Maps" xr:uid="{00000000-0004-0000-3B00-0000BE000000}"/>
    <hyperlink ref="E31" r:id="rId192" tooltip="Search 4 Triq il-Lvant, Zejtun on Google Maps" xr:uid="{00000000-0004-0000-3B00-0000BF000000}"/>
    <hyperlink ref="E32" r:id="rId193" tooltip="Search 57 Triq il-Qasam Sperimentali Hal Farrug, Luqa on Google Maps" xr:uid="{00000000-0004-0000-3B00-0000C0000000}"/>
    <hyperlink ref="E33" r:id="rId194" tooltip="Search 4, 11 Triq Valletta Qasam Industrijali, Marsa on Google Maps" xr:uid="{00000000-0004-0000-3B00-0000C1000000}"/>
    <hyperlink ref="E34" r:id="rId195" tooltip="Search Plot 121, Aluwood Bldg Triq Ha; Qormi Qasam Industrijali, Luqa on Google Maps" xr:uid="{00000000-0004-0000-3B00-0000C2000000}"/>
    <hyperlink ref="E35" r:id="rId196" tooltip="Search Triq in-Naggar, Mosta on Google Maps" xr:uid="{00000000-0004-0000-3B00-0000C3000000}"/>
    <hyperlink ref="E36" r:id="rId197" tooltip="Search Garage 7, Drive In Triq Lydda, Qormi on Google Maps" xr:uid="{00000000-0004-0000-3B00-0000C4000000}"/>
    <hyperlink ref="E37" r:id="rId198" tooltip="Search Zone 3 Triq San Gwakkin Central Business District, B'Kara on Google Maps" xr:uid="{00000000-0004-0000-3B00-0000C5000000}"/>
    <hyperlink ref="E38" r:id="rId199" tooltip="Search 13, Triq Luretu Cutajar, Zebbug, Haz-Zebbug on Google Maps" xr:uid="{00000000-0004-0000-3B00-0000C6000000}"/>
    <hyperlink ref="E39" r:id="rId200" tooltip="Search Mdina Road, Zebbug on Google Maps" xr:uid="{00000000-0004-0000-3B00-0000C7000000}"/>
    <hyperlink ref="E40" r:id="rId201" tooltip="Search Garage No 2 Triq tas-Sejba, Mqabba on Google Maps" xr:uid="{00000000-0004-0000-3B00-0000C8000000}"/>
    <hyperlink ref="E41" r:id="rId202" tooltip="Search 52, Triq Pinto, Qormi on Google Maps" xr:uid="{00000000-0004-0000-3B00-0000C9000000}"/>
    <hyperlink ref="E42" r:id="rId203" tooltip="Search 16-17 Waterside Place, Flt 9 Ix-Xatt ta' Qui Si-Sana, Sliema on Google Maps" xr:uid="{00000000-0004-0000-3B00-0000CA000000}"/>
    <hyperlink ref="E43" r:id="rId204" tooltip="Search 10c Midland Park Triq Burmarrad, Naxxar on Google Maps" xr:uid="{00000000-0004-0000-3B00-0000CB000000}"/>
    <hyperlink ref="E44" r:id="rId205" tooltip="Search Triq it-Territorji, B'Kara on Google Maps" xr:uid="{00000000-0004-0000-3B00-0000CC000000}"/>
    <hyperlink ref="E45" r:id="rId206" tooltip="Search Sub 029A Qasam Industrijali, San Gwann on Google Maps" xr:uid="{00000000-0004-0000-3B00-0000CD000000}"/>
    <hyperlink ref="E46" r:id="rId207" tooltip="Search Landscape Triq Gnien Fieres, Rabat on Google Maps" xr:uid="{00000000-0004-0000-3B00-0000CE000000}"/>
    <hyperlink ref="E47" r:id="rId208" tooltip="Search 3 Triq iz-Znuber, Mosta on Google Maps" xr:uid="{00000000-0004-0000-3B00-0000CF000000}"/>
    <hyperlink ref="E48" r:id="rId209" tooltip="Search Qasam Industrijali, Tal-Handaq, Qormi on Google Maps" xr:uid="{00000000-0004-0000-3B00-0000D0000000}"/>
    <hyperlink ref="E49" r:id="rId210" tooltip="Search 52 Triq il-Muzika, Iklin on Google Maps" xr:uid="{00000000-0004-0000-3B00-0000D1000000}"/>
    <hyperlink ref="E50" r:id="rId211" tooltip="Search Five Star Business Park Triq il-Belt Valetta, Ghaxaq on Google Maps" xr:uid="{00000000-0004-0000-3B00-0000D2000000}"/>
    <hyperlink ref="E51" r:id="rId212" tooltip="Search Express Bldg Triq Gharram, Zebbug on Google Maps" xr:uid="{00000000-0004-0000-3B00-0000D3000000}"/>
    <hyperlink ref="E52" r:id="rId213" tooltip="Search Oliand Triq Anthony John Coleiro Tal-Handaq, Qormi on Google Maps" xr:uid="{00000000-0004-0000-3B00-0000D4000000}"/>
    <hyperlink ref="E53" r:id="rId214" tooltip="Search SUB 029B Qasam Industrijali, San Gwann on Google Maps" xr:uid="{00000000-0004-0000-3B00-0000D5000000}"/>
    <hyperlink ref="E54" r:id="rId215" tooltip="Search Garage 144 Triq San Xmun, Fgura on Google Maps" xr:uid="{00000000-0004-0000-3B00-0000D6000000}"/>
    <hyperlink ref="E55" r:id="rId216" tooltip="Search 263 Triq il-Merhba, Fgura on Google Maps" xr:uid="{00000000-0004-0000-3B00-0000D7000000}"/>
    <hyperlink ref="E56" r:id="rId217" tooltip="Search Triq Mro Giuseppe Camilleri Tal-Hanhaq, Qormi on Google Maps" xr:uid="{00000000-0004-0000-3B00-0000D8000000}"/>
    <hyperlink ref="E57" r:id="rId218" tooltip="Search 23 Graham Aluminium Triq John Michael Testa Tal-Handaq, Qormi on Google Maps" xr:uid="{00000000-0004-0000-3B00-0000D9000000}"/>
    <hyperlink ref="E58" r:id="rId219" tooltip="Search Drive in fi triq il-Belt Valletta, Qormi on Google Maps" xr:uid="{00000000-0004-0000-3B00-0000DA000000}"/>
    <hyperlink ref="E59" r:id="rId220" tooltip="Search A 42 Qasam Industrijali, Marsa on Google Maps" xr:uid="{00000000-0004-0000-3B00-0000DB000000}"/>
    <hyperlink ref="E60" r:id="rId221" tooltip="Search Qart D'Orange Garage Trejqet il-Wied, Qormi on Google Maps" xr:uid="{00000000-0004-0000-3B00-0000DC000000}"/>
    <hyperlink ref="E61" r:id="rId222" tooltip="Search Triq I-Imdina, Zebbug on Google Maps" xr:uid="{00000000-0004-0000-3B00-0000DD000000}"/>
    <hyperlink ref="E62" r:id="rId223" tooltip="Search 13 Triq Mro Giorgio Zarb Tal-Handaq, Qormi on Google Maps" xr:uid="{00000000-0004-0000-3B00-0000DE000000}"/>
    <hyperlink ref="E63" r:id="rId224" tooltip="Search John Garage Triq Haz-Zebbug, Attard on Google Maps" xr:uid="{00000000-0004-0000-3B00-0000DF000000}"/>
    <hyperlink ref="E64" r:id="rId225" tooltip="Search 110, Triq Dun Bartilmew Attard, Zebbug on Google Maps" xr:uid="{00000000-0004-0000-3B00-0000E0000000}"/>
    <hyperlink ref="E65" r:id="rId226" tooltip="Search KW 19J Qasam Industrijali, Kordin, Paola on Google Maps" xr:uid="{00000000-0004-0000-3B00-0000E1000000}"/>
    <hyperlink ref="E66" r:id="rId227" tooltip="Search Oceanis Triq tas-Sliema, Gzira on Google Maps" xr:uid="{00000000-0004-0000-3B00-0000E2000000}"/>
    <hyperlink ref="E67" r:id="rId228" tooltip="Search 82 Triq il-Hareb, Ghaxaq on Google Maps" xr:uid="{00000000-0004-0000-3B00-0000E3000000}"/>
    <hyperlink ref="E68" r:id="rId229" tooltip="Search 12 Triq Wenzu Despott, Tarxien on Google Maps" xr:uid="{00000000-0004-0000-3B00-0000E4000000}"/>
    <hyperlink ref="E69" r:id="rId230" tooltip="Search Garage 23 Triq il-Bizzilla, Ghaxaq on Google Maps" xr:uid="{00000000-0004-0000-3B00-0000E5000000}"/>
    <hyperlink ref="E70" r:id="rId231" tooltip="Search Malta, Valletta on Google Maps" xr:uid="{00000000-0004-0000-3B00-0000E6000000}"/>
    <hyperlink ref="E71" r:id="rId232" tooltip="Search Casa Pisani Triq Pisoniano, Sannat-Gozo on Google Maps" xr:uid="{00000000-0004-0000-3B00-0000E7000000}"/>
    <hyperlink ref="E72" r:id="rId233" tooltip="Search Triq il-Palazz L-Ahmar, Sta Venera on Google Maps" xr:uid="{00000000-0004-0000-3B00-0000E8000000}"/>
    <hyperlink ref="E73" r:id="rId234" tooltip="Search 43 Triq Dun Bartilmew Attard, Zebbug on Google Maps" xr:uid="{00000000-0004-0000-3B00-0000E9000000}"/>
    <hyperlink ref="E74" r:id="rId235" tooltip="Search New Building Triq id-Dawwara, Victoria-Gozo on Google Maps" xr:uid="{00000000-0004-0000-3B00-0000EA000000}"/>
    <hyperlink ref="E75" r:id="rId236" tooltip="Search Triq Pietru D' Armenia, Pembroke on Google Maps" xr:uid="{00000000-0004-0000-3B00-0000EB000000}"/>
    <hyperlink ref="E76" r:id="rId237" tooltip="Search Triq I-Imdina, Zebbug on Google Maps" xr:uid="{00000000-0004-0000-3B00-0000EC000000}"/>
    <hyperlink ref="E77" r:id="rId238" tooltip="Search KW36 Qasam Indrustrijali Kordin Paola on Google Maps" xr:uid="{00000000-0004-0000-3B00-0000ED000000}"/>
    <hyperlink ref="E78" r:id="rId239" tooltip="Search Zone 2 Triq ll-Ghain Central Business District, B'Kara on Google Maps" xr:uid="{00000000-0004-0000-3B00-0000EE000000}"/>
    <hyperlink ref="E79" r:id="rId240" tooltip="Search F18, Lower Level Midland Industrial Oark Triq Burmarrad, Naxxar on Google Maps" xr:uid="{00000000-0004-0000-3B00-0000EF000000}"/>
    <hyperlink ref="E80" r:id="rId241" tooltip="Search 23 Triq Angelo Melilli, Zebbug on Google Maps" xr:uid="{00000000-0004-0000-3B00-0000F0000000}"/>
    <hyperlink ref="E81" r:id="rId242" tooltip="Search 8 Triq ll-Madonna Ta' Pompej, B'Kara on Google Maps" xr:uid="{00000000-0004-0000-3B00-0000F1000000}"/>
    <hyperlink ref="E82" r:id="rId243" tooltip="Search Towe Buildings Triq Graham, Zebbug on Google Maps" xr:uid="{00000000-0004-0000-3B00-0000F2000000}"/>
    <hyperlink ref="E83" r:id="rId244" tooltip="Search KK 011 Qasam Industrijali, Kordin, Paola on Google Maps" xr:uid="{00000000-0004-0000-3B00-0000F3000000}"/>
    <hyperlink ref="E84" r:id="rId245" tooltip="Search MRA 053 Qasam Industrijali, Marsa on Google Maps" xr:uid="{00000000-0004-0000-3B00-0000F4000000}"/>
    <hyperlink ref="E85" r:id="rId246" tooltip="Search 77 Triq il-Ballut Qasam Industrijali, Mosta on Google Maps" xr:uid="{00000000-0004-0000-3B00-0000F5000000}"/>
    <hyperlink ref="E86" r:id="rId247" tooltip="Search A8 Qasam Industrijali, Marsa on Google Maps" xr:uid="{00000000-0004-0000-3B00-0000F6000000}"/>
    <hyperlink ref="E87" r:id="rId248" tooltip="Search Sqaq Privat Triq tal-Ghajn, Fontana-Gozo on Google Maps" xr:uid="{00000000-0004-0000-3B00-0000F7000000}"/>
    <hyperlink ref="E88" r:id="rId249" tooltip="Search 8 Triq il-Garra Victoria Gardens L-Ibrag, Swieqi on Google Maps" xr:uid="{00000000-0004-0000-3B00-0000F8000000}"/>
    <hyperlink ref="E89" r:id="rId250" tooltip="Search Triq il-Mosta, Lija on Google Maps" xr:uid="{00000000-0004-0000-3B00-0000F9000000}"/>
    <hyperlink ref="E90" r:id="rId251" tooltip="Search Triq it-Torri, Msida on Google Maps" xr:uid="{00000000-0004-0000-3B00-0000FA000000}"/>
    <hyperlink ref="E91" r:id="rId252" tooltip="Search 2 Triq Lorenzo Gafa, Zebbug on Google Maps" xr:uid="{00000000-0004-0000-3B00-0000FB000000}"/>
    <hyperlink ref="E92" r:id="rId253" tooltip="Search SUB 030A Qasam Industrijali, San Gwann on Google Maps" xr:uid="{00000000-0004-0000-3B00-0000FC000000}"/>
    <hyperlink ref="E93" r:id="rId254" tooltip="Search 34 Triq it-Torri San Gwann, Birgu on Google Maps" xr:uid="{00000000-0004-0000-3B00-0000FD000000}"/>
    <hyperlink ref="E94" r:id="rId255" tooltip="Search Factory GZB 2 Qasam Industrijali, Xewkija-Gozo on Google Maps" xr:uid="{00000000-0004-0000-3B00-0000FE000000}"/>
    <hyperlink ref="E95" r:id="rId256" tooltip="Search GGX 0021 Qasam Industrijali, Xewkija-Gozo on Google Maps" xr:uid="{00000000-0004-0000-3B00-0000FF000000}"/>
    <hyperlink ref="E96" r:id="rId257" tooltip="Search Unit 1 &amp; 2 Qasam Industrijali, Luqa on Google Maps" xr:uid="{00000000-0004-0000-3B00-000000010000}"/>
    <hyperlink ref="E97" r:id="rId258" tooltip="Search 31 Triq il-Furnar, Qormi on Google Maps" xr:uid="{00000000-0004-0000-3B00-000001010000}"/>
    <hyperlink ref="E98" r:id="rId259" tooltip="Search Garage 10, Level -2 Sqaq il-Mithna Triq I-Imqabba, Qrendi on Google Maps" xr:uid="{00000000-0004-0000-3B00-000002010000}"/>
    <hyperlink ref="E99" r:id="rId260" tooltip="Search 26 Triq Haz-Zabbar, Paola on Google Maps" xr:uid="{00000000-0004-0000-3B00-000003010000}"/>
    <hyperlink ref="E100" r:id="rId261" tooltip="Search Triq Mro Giorgio Zarb Tal-Handaq, Qormi on Google Maps" xr:uid="{00000000-0004-0000-3B00-000004010000}"/>
    <hyperlink ref="E101" r:id="rId262" tooltip="Search 33 Triq Angelo Melilli, Zebbug on Google Maps" xr:uid="{00000000-0004-0000-3B00-000005010000}"/>
    <hyperlink ref="E102" r:id="rId263" tooltip="Search No5 Triq Mons Alfred Mifsud, B'Kara on Google Maps" xr:uid="{00000000-0004-0000-3B00-000006010000}"/>
    <hyperlink ref="E103" r:id="rId264" tooltip="Search Emmarie Triq id-Dahla Ta' San Tumas, M'Skala on Google Maps" xr:uid="{00000000-0004-0000-3B00-000007010000}"/>
    <hyperlink ref="E104" r:id="rId265" tooltip="Search Garage 25 Tal-Barrani Industrial Estate Triq il-Belt Valletta, Ghaxaq on Google Maps" xr:uid="{00000000-0004-0000-3B00-000008010000}"/>
    <hyperlink ref="E105" r:id="rId266" tooltip="Search Scorpio Triq Garcia De Toledo Qawra, San Pawl ll-Bahar on Google Maps" xr:uid="{00000000-0004-0000-3B00-000009010000}"/>
    <hyperlink ref="E106" r:id="rId267" tooltip="Search Triq San Pawl ll-Bahar on Google Maps" xr:uid="{00000000-0004-0000-3B00-00000A010000}"/>
    <hyperlink ref="E107" r:id="rId268" tooltip="Search 197 Telgha tal-Gizwiti, Marsa on Google Maps" xr:uid="{00000000-0004-0000-3B00-00000B010000}"/>
    <hyperlink ref="E108" r:id="rId269" tooltip="Search Triq Pawlu Mifsud, Zebbug on Google Maps" xr:uid="{00000000-0004-0000-3B00-00000C010000}"/>
    <hyperlink ref="E109" r:id="rId270" tooltip="Search 217 Triq Salvu Psaila, B'Kara on Google Maps" xr:uid="{00000000-0004-0000-3B00-00000D010000}"/>
    <hyperlink ref="E110" r:id="rId271" tooltip="Search 10 Triq Bingemma, Nadur-Gozo on Google Maps" xr:uid="{00000000-0004-0000-3B00-00000E010000}"/>
    <hyperlink ref="E111" r:id="rId272" tooltip="Search 18 Triq Salvinu Spiteri, Sta Venera on Google Maps" xr:uid="{00000000-0004-0000-3B00-00000F010000}"/>
    <hyperlink ref="E112" r:id="rId273" tooltip="Search 124 Triq San Gejtanu, Hamrun on Google Maps" xr:uid="{00000000-0004-0000-3B00-000010010000}"/>
    <hyperlink ref="E113" r:id="rId274" tooltip="Search Triq id-Difiza Civili, Mosta on Google Maps" xr:uid="{00000000-0004-0000-3B00-000011010000}"/>
    <hyperlink ref="E114" r:id="rId275" tooltip="Search BLB 010C Qasam Industrijali, Bulebel, Zejtun on Google Maps" xr:uid="{00000000-0004-0000-3B00-000012010000}"/>
    <hyperlink ref="E115" r:id="rId276" tooltip="Search 45 Stella Maris Triq James Smith Qawra, San Pawl ll-Bahar on Google Maps" xr:uid="{00000000-0004-0000-3B00-000013010000}"/>
    <hyperlink ref="E116" r:id="rId277" tooltip="Search 4 Triq il-Lvant, Zejtun on Google Maps" xr:uid="{00000000-0004-0000-3B00-000014010000}"/>
    <hyperlink ref="E117" r:id="rId278" tooltip="Search 57 Triq il-Qasam Sperimentali Hal Farrug, Luqa on Google Maps" xr:uid="{00000000-0004-0000-3B00-000015010000}"/>
    <hyperlink ref="E118" r:id="rId279" tooltip="Search 4, 11 Triq Valletta Qasam Industrijali, Marsa on Google Maps" xr:uid="{00000000-0004-0000-3B00-000016010000}"/>
    <hyperlink ref="E119" r:id="rId280" tooltip="Search Plot 121, Aluwood Bldg Triq Ha; Qormi Qasam Industrijali, Luqa on Google Maps" xr:uid="{00000000-0004-0000-3B00-000017010000}"/>
    <hyperlink ref="E120" r:id="rId281" tooltip="Search Triq in-Naggar, Mosta on Google Maps" xr:uid="{00000000-0004-0000-3B00-000018010000}"/>
    <hyperlink ref="E121" r:id="rId282" tooltip="Search Garage 7, Drive In Triq Lydda, Qormi on Google Maps" xr:uid="{00000000-0004-0000-3B00-000019010000}"/>
    <hyperlink ref="E122" r:id="rId283" tooltip="Search Zone 3 Triq San Gwakkin Central Business District, B'Kara on Google Maps" xr:uid="{00000000-0004-0000-3B00-00001A010000}"/>
    <hyperlink ref="E123" r:id="rId284" tooltip="Search 13, Triq Luretu Cutajar, Zebbug, Haz-Zebbug on Google Maps" xr:uid="{00000000-0004-0000-3B00-00001B010000}"/>
    <hyperlink ref="E124" r:id="rId285" tooltip="Search Mdina Road, Zebbug on Google Maps" xr:uid="{00000000-0004-0000-3B00-00001C010000}"/>
    <hyperlink ref="E125" r:id="rId286" tooltip="Search Garage No 2 Triq tas-Sejba, Mqabba on Google Maps" xr:uid="{00000000-0004-0000-3B00-00001D010000}"/>
    <hyperlink ref="E126" r:id="rId287" tooltip="Search 52, Triq Pinto, Qormi on Google Maps" xr:uid="{00000000-0004-0000-3B00-00001E010000}"/>
    <hyperlink ref="E127" r:id="rId288" tooltip="Search 3 Triq Manwel Borg Gauci, Qormi on Google Maps" xr:uid="{00000000-0004-0000-3B00-00001F010000}"/>
    <hyperlink ref="E128" r:id="rId289" tooltip="Search 16-17 Waterside Place, Flt 9 Ix-Xatt ta' Qui Si-Sana, Sliema on Google Maps" xr:uid="{00000000-0004-0000-3B00-000020010000}"/>
    <hyperlink ref="E129" r:id="rId290" tooltip="Search 10c Midland Park Triq Burmarrad, Naxxar on Google Maps" xr:uid="{00000000-0004-0000-3B00-000021010000}"/>
    <hyperlink ref="E130" r:id="rId291" tooltip="Search Landscape Triq Gnien Fieres, Rabat on Google Maps" xr:uid="{00000000-0004-0000-3B00-000022010000}"/>
    <hyperlink ref="E131" r:id="rId292" tooltip="Search 114 Triq il-Wied, B'Kara on Google Maps" xr:uid="{00000000-0004-0000-3B00-000023010000}"/>
    <hyperlink ref="E132" r:id="rId293" tooltip="Search 3 Triq iz-Znuber, Mosta on Google Maps" xr:uid="{00000000-0004-0000-3B00-000024010000}"/>
    <hyperlink ref="E133" r:id="rId294" tooltip="Search Qasam Industrijali, Tal-Handaq, Qormi on Google Maps" xr:uid="{00000000-0004-0000-3B00-000025010000}"/>
    <hyperlink ref="E134" r:id="rId295" tooltip="Search 52 Triq il-Muzika, Iklin on Google Maps" xr:uid="{00000000-0004-0000-3B00-000026010000}"/>
    <hyperlink ref="E135" r:id="rId296" tooltip="Search Five Star Business Park Triq il-Belt Valetta, Ghaxaq on Google Maps" xr:uid="{00000000-0004-0000-3B00-000027010000}"/>
    <hyperlink ref="E136" r:id="rId297" tooltip="Search Express Bldg Triq Gharram, Zebbug on Google Maps" xr:uid="{00000000-0004-0000-3B00-000028010000}"/>
    <hyperlink ref="E137" r:id="rId298" tooltip="Search Oliand Triq Anthony John Coleiro Tal-Handaq, Qormi on Google Maps" xr:uid="{00000000-0004-0000-3B00-000029010000}"/>
    <hyperlink ref="E138" r:id="rId299" tooltip="Search Garage 144 Triq San Xmun, Fgura on Google Maps" xr:uid="{00000000-0004-0000-3B00-00002A010000}"/>
    <hyperlink ref="E139" r:id="rId300" tooltip="Search 263 Triq il-Merhba, Fgura on Google Maps" xr:uid="{00000000-0004-0000-3B00-00002B010000}"/>
    <hyperlink ref="E140" r:id="rId301" tooltip="Search Triq Mro Giuseppe Camilleri Tal-Hanhaq, Qormi on Google Maps" xr:uid="{00000000-0004-0000-3B00-00002C010000}"/>
    <hyperlink ref="E141" r:id="rId302" tooltip="Search 23 Graham Aluminium Triq John Michael Testa Tal-Handaq, Qormi on Google Maps" xr:uid="{00000000-0004-0000-3B00-00002D010000}"/>
    <hyperlink ref="E142" r:id="rId303" tooltip="Search Drive in fi triq il-Belt Valletta, Qormi on Google Maps" xr:uid="{00000000-0004-0000-3B00-00002E010000}"/>
    <hyperlink ref="E143" r:id="rId304" tooltip="Search A 42 Qasam Industrijali, Marsa on Google Maps" xr:uid="{00000000-0004-0000-3B00-00002F010000}"/>
    <hyperlink ref="E144" r:id="rId305" tooltip="Search Qart D'Orange Garage Trejqet il-Wied, Qormi on Google Maps" xr:uid="{00000000-0004-0000-3B00-000030010000}"/>
    <hyperlink ref="E145" r:id="rId306" tooltip="Search Triq I-Imdina, Zebbug on Google Maps" xr:uid="{00000000-0004-0000-3B00-000031010000}"/>
    <hyperlink ref="E146" r:id="rId307" tooltip="Search 13 Triq Mro Giorgio Zarb Tal-Handaq, Qormi on Google Maps" xr:uid="{00000000-0004-0000-3B00-000032010000}"/>
    <hyperlink ref="E147" r:id="rId308" tooltip="Search John Garage Triq Haz-Zebbug, Attard on Google Maps" xr:uid="{00000000-0004-0000-3B00-000033010000}"/>
    <hyperlink ref="E148" r:id="rId309" tooltip="Search 110, Triq Dun Bartilmew Attard, Zebbug on Google Maps" xr:uid="{00000000-0004-0000-3B00-000034010000}"/>
    <hyperlink ref="E149" r:id="rId310" tooltip="Search Oceanis Triq tas-Sliema, Gzira on Google Maps" xr:uid="{00000000-0004-0000-3B00-000035010000}"/>
    <hyperlink ref="E150" r:id="rId311" tooltip="Search 82 Triq il-Hareb, Ghaxaq on Google Maps" xr:uid="{00000000-0004-0000-3B00-000036010000}"/>
    <hyperlink ref="E151" r:id="rId312" tooltip="Search 12 Triq Wenzu Despott, Tarxien on Google Maps" xr:uid="{00000000-0004-0000-3B00-000037010000}"/>
    <hyperlink ref="E152" r:id="rId313" tooltip="Search Garage 23 Triq il-Bizzilla, Ghaxaq on Google Maps" xr:uid="{00000000-0004-0000-3B00-000038010000}"/>
    <hyperlink ref="E153" r:id="rId314" tooltip="Search KKW 721, Corradino _x000a_Industrial Estate_x000a_Paola, PLA 3000, Malta on Google Maps" xr:uid="{00000000-0004-0000-3B00-000039010000}"/>
    <hyperlink ref="E154" r:id="rId315" tooltip="Search Casa Pisani Triq Pisoniano, Sannat-Gozo on Google Maps" xr:uid="{00000000-0004-0000-3B00-00003A010000}"/>
    <hyperlink ref="E155" r:id="rId316" tooltip="Search Triq il-Palazz L-Ahmar, Sta Venera on Google Maps" xr:uid="{00000000-0004-0000-3B00-00003B010000}"/>
    <hyperlink ref="E156" r:id="rId317" tooltip="Search 43 Triq Dun Bartilmew Attard, Zebbug on Google Maps" xr:uid="{00000000-0004-0000-3B00-00003C010000}"/>
    <hyperlink ref="E157" r:id="rId318" tooltip="Search New Building Triq id-Dawwara, Victoria-Gozo on Google Maps" xr:uid="{00000000-0004-0000-3B00-00003D010000}"/>
    <hyperlink ref="E158" r:id="rId319" tooltip="Search Triq Pietru D' Armenia, Pembroke on Google Maps" xr:uid="{00000000-0004-0000-3B00-00003E010000}"/>
    <hyperlink ref="E159" r:id="rId320" tooltip="Search Triq I-Imdina, Zebbug on Google Maps" xr:uid="{00000000-0004-0000-3B00-00003F010000}"/>
    <hyperlink ref="E160" r:id="rId321" tooltip="Search KW36 Qasam Indrustrijali Kordin Paola on Google Maps" xr:uid="{00000000-0004-0000-3B00-000040010000}"/>
    <hyperlink ref="E161" r:id="rId322" tooltip="Search Zone 2 Triq ll-Ghain Central Business District, B'Kara on Google Maps" xr:uid="{00000000-0004-0000-3B00-000041010000}"/>
    <hyperlink ref="E162" r:id="rId323" tooltip="Search 23 Triq Angelo Melilli, Zebbug on Google Maps" xr:uid="{00000000-0004-0000-3B00-000042010000}"/>
    <hyperlink ref="E163" r:id="rId324" tooltip="Search 8 Triq ll-Madonna Ta' Pompej, B'Kara on Google Maps" xr:uid="{00000000-0004-0000-3B00-000043010000}"/>
    <hyperlink ref="E164" r:id="rId325" tooltip="Search 29 Triq E Attard Bezzina, Zejtun on Google Maps" xr:uid="{00000000-0004-0000-3B00-000044010000}"/>
    <hyperlink ref="E165" r:id="rId326" tooltip="Search Towe Buildings Triq Graham, Zebbug on Google Maps" xr:uid="{00000000-0004-0000-3B00-000045010000}"/>
    <hyperlink ref="E166" r:id="rId327" tooltip="Search KK 011 Qasam Industrijali, Kordin, Paola on Google Maps" xr:uid="{00000000-0004-0000-3B00-000046010000}"/>
    <hyperlink ref="E167" r:id="rId328" tooltip="Search Triq l-isturnell Roza, Hal Luqa, Malta on Google Maps" xr:uid="{00000000-0004-0000-3B00-000047010000}"/>
    <hyperlink ref="E168" r:id="rId329" tooltip="Search MRA 053 Qasam Industrijali, Marsa on Google Maps" xr:uid="{00000000-0004-0000-3B00-000048010000}"/>
    <hyperlink ref="E169" r:id="rId330" tooltip="Search A8 Qasam Industrijali, Marsa on Google Maps" xr:uid="{00000000-0004-0000-3B00-000049010000}"/>
    <hyperlink ref="E170" r:id="rId331" tooltip="Search Sqaq Privat Triq tal-Ghajn, Fontana-Gozo on Google Maps" xr:uid="{00000000-0004-0000-3B00-00004A010000}"/>
    <hyperlink ref="F2" r:id="rId332" tooltip="Visit pvc.com.mt" xr:uid="{00000000-0004-0000-3B00-00004B010000}"/>
    <hyperlink ref="F3" r:id="rId333" tooltip="Visit kbstructuresltd.com" xr:uid="{00000000-0004-0000-3B00-00004C010000}"/>
    <hyperlink ref="F4" r:id="rId334" tooltip="Visit stanthonyww.com" xr:uid="{00000000-0004-0000-3B00-00004D010000}"/>
    <hyperlink ref="F5" r:id="rId335" tooltip="Visit framegrip.com" xr:uid="{00000000-0004-0000-3B00-00004E010000}"/>
    <hyperlink ref="F6" r:id="rId336" tooltip="Visit jlautier.com" xr:uid="{00000000-0004-0000-3B00-00004F010000}"/>
    <hyperlink ref="F7" r:id="rId337" tooltip="Visit newstylesmalta.com" xr:uid="{00000000-0004-0000-3B00-000050010000}"/>
    <hyperlink ref="F8" r:id="rId338" tooltip="Visit grimafurniture.com" xr:uid="{00000000-0004-0000-3B00-000051010000}"/>
    <hyperlink ref="F9" r:id="rId339" tooltip="Visit amabilegalea.com" xr:uid="{00000000-0004-0000-3B00-000052010000}"/>
    <hyperlink ref="F10" r:id="rId340" tooltip="Visit facebook.com/GozoAluminium/" xr:uid="{00000000-0004-0000-3B00-000053010000}"/>
    <hyperlink ref="F13" r:id="rId341" tooltip="Visit afdaaluminium.com" xr:uid="{00000000-0004-0000-3B00-000054010000}"/>
    <hyperlink ref="F14" r:id="rId342" tooltip="Visit brandimports.com.mt" xr:uid="{00000000-0004-0000-3B00-000055010000}"/>
    <hyperlink ref="F15" r:id="rId343" tooltip="Visit j3alumiuniumworks.com" xr:uid="{00000000-0004-0000-3B00-000056010000}"/>
    <hyperlink ref="F16" r:id="rId344" tooltip="Visit facebook.com/p/Nu-Aluminium-100064044373074/" xr:uid="{00000000-0004-0000-3B00-000057010000}"/>
    <hyperlink ref="F17" r:id="rId345" tooltip="Visit facebook.com/ihomes" xr:uid="{00000000-0004-0000-3B00-000058010000}"/>
    <hyperlink ref="F18" r:id="rId346" tooltip="Visit nicholas.mt" xr:uid="{00000000-0004-0000-3B00-000059010000}"/>
    <hyperlink ref="F19" r:id="rId347" tooltip="Visit facebook.com/p/Melvin-Aluminium-works-100057483907699/" xr:uid="{00000000-0004-0000-3B00-00005A010000}"/>
    <hyperlink ref="F20" r:id="rId348" tooltip="Visit facebook.com/p/Josef-Aluminium-Metal-Works-100054319188613/" xr:uid="{00000000-0004-0000-3B00-00005B010000}"/>
    <hyperlink ref="F21" r:id="rId349" tooltip="Visit abelawoodworks.wixsite.com/abelawoodworks" xr:uid="{00000000-0004-0000-3B00-00005C010000}"/>
    <hyperlink ref="F22" r:id="rId350" tooltip="Visit facebook.com/people/Northalu/100055070154471/?utm_source=Yellow&amp;utm_medium=Yellow-Website&amp;utm_campaign=Landing-Page#" xr:uid="{00000000-0004-0000-3B00-00005D010000}"/>
    <hyperlink ref="F23" r:id="rId351" tooltip="Visit agoodchildinstallations.com" xr:uid="{00000000-0004-0000-3B00-00005E010000}"/>
    <hyperlink ref="F25" r:id="rId352" tooltip="Visit facebook.com/jsbaluminium.works" xr:uid="{00000000-0004-0000-3B00-00005F010000}"/>
    <hyperlink ref="F29" r:id="rId353" tooltip="Visit adoremore.com.mt" xr:uid="{00000000-0004-0000-3B00-000060010000}"/>
    <hyperlink ref="F32" r:id="rId354" tooltip="Visit facebook.com/alukeyaluminium" xr:uid="{00000000-0004-0000-3B00-000061010000}"/>
    <hyperlink ref="F33" r:id="rId355" tooltip="Visit aluminium-ltd.business.site" xr:uid="{00000000-0004-0000-3B00-000062010000}"/>
    <hyperlink ref="F34" r:id="rId356" tooltip="Visit facebook.com/AluwoodCoLtd" xr:uid="{00000000-0004-0000-3B00-000063010000}"/>
    <hyperlink ref="F35" r:id="rId357" tooltip="Visit facebook.com/people/Andrew-vella-aluminium/100064883072627/" xr:uid="{00000000-0004-0000-3B00-000064010000}"/>
    <hyperlink ref="F36" r:id="rId358" tooltip="Visit facebook.com/azzopardialum" xr:uid="{00000000-0004-0000-3B00-000065010000}"/>
    <hyperlink ref="F37" r:id="rId359" tooltip="Visit basonaluminium.com" xr:uid="{00000000-0004-0000-3B00-000066010000}"/>
    <hyperlink ref="F38" r:id="rId360" tooltip="Visit facebook.com/borgalum/" xr:uid="{00000000-0004-0000-3B00-000067010000}"/>
    <hyperlink ref="F39" r:id="rId361" tooltip="Visit bpapertures.com/" xr:uid="{00000000-0004-0000-3B00-000068010000}"/>
    <hyperlink ref="F40" r:id="rId362" tooltip="Visit facebook.com/people/CDS-Aluminium-work/100064086582054/" xr:uid="{00000000-0004-0000-3B00-000069010000}"/>
    <hyperlink ref="F41" r:id="rId363" tooltip="Visit cagroup.com.mt" xr:uid="{00000000-0004-0000-3B00-00006A010000}"/>
    <hyperlink ref="F42" r:id="rId364" tooltip="Visit salamander-windows.com/?utm_source=Yellow&amp;utm_medium=Yellow-Website&amp;utm_campaign=Landing-Page" xr:uid="{00000000-0004-0000-3B00-00006B010000}"/>
    <hyperlink ref="F43" r:id="rId365" tooltip="Visit facebook.com/p/Choco-aluminium-works-100064574387617/" xr:uid="{00000000-0004-0000-3B00-00006C010000}"/>
    <hyperlink ref="F44" r:id="rId366" tooltip="Visit comfortabita.com" xr:uid="{00000000-0004-0000-3B00-00006D010000}"/>
    <hyperlink ref="F45" r:id="rId367" tooltip="Visit cuschierigroup.com" xr:uid="{00000000-0004-0000-3B00-00006E010000}"/>
    <hyperlink ref="F47" r:id="rId368" tooltip="Visit dimechapertures.com/" xr:uid="{00000000-0004-0000-3B00-00006F010000}"/>
    <hyperlink ref="F48" r:id="rId369" tooltip="Visit pvcmalta.com" xr:uid="{00000000-0004-0000-3B00-000070010000}"/>
    <hyperlink ref="F49" location="'Alum Apertures'!https://2138 2595" tooltip="Visit 2138 2595" display="2138 2595" xr:uid="{00000000-0004-0000-3B00-000071010000}"/>
    <hyperlink ref="F50" r:id="rId370" tooltip="Visit facebook.com/p/DX-Aluminium-Works-100064182690832/" xr:uid="{00000000-0004-0000-3B00-000072010000}"/>
    <hyperlink ref="F51" r:id="rId371" tooltip="Visit expressaluminium.com" xr:uid="{00000000-0004-0000-3B00-000073010000}"/>
    <hyperlink ref="F53" r:id="rId372" tooltip="Visit finestralmalta.com" xr:uid="{00000000-0004-0000-3B00-000074010000}"/>
    <hyperlink ref="F54" r:id="rId373" tooltip="Visit aluminiumworks.in" xr:uid="{00000000-0004-0000-3B00-000075010000}"/>
    <hyperlink ref="F56" r:id="rId374" tooltip="Visit facebook.com/p/Giorgio-Aluminium-Co-Ltd-100065044507710/" xr:uid="{00000000-0004-0000-3B00-000076010000}"/>
    <hyperlink ref="F57" r:id="rId375" tooltip="Visit grahamaluminium.com" xr:uid="{00000000-0004-0000-3B00-000077010000}"/>
    <hyperlink ref="F58" r:id="rId376" tooltip="Visit facebook.com/Guys21485785/" xr:uid="{00000000-0004-0000-3B00-000078010000}"/>
    <hyperlink ref="F59" r:id="rId377" tooltip="Visit horvinltd.com" xr:uid="{00000000-0004-0000-3B00-000079010000}"/>
    <hyperlink ref="F60" r:id="rId378" tooltip="Visit icsaluminium.yolasite.com" xr:uid="{00000000-0004-0000-3B00-00007A010000}"/>
    <hyperlink ref="F62" r:id="rId379" tooltip="Visit jcdaluminium.com" xr:uid="{00000000-0004-0000-3B00-00007B010000}"/>
    <hyperlink ref="F63" r:id="rId380" tooltip="Visit jk-aluminium.com" xr:uid="{00000000-0004-0000-3B00-00007C010000}"/>
    <hyperlink ref="F64" r:id="rId381" tooltip="Visit jamarmalta.com" xr:uid="{00000000-0004-0000-3B00-00007D010000}"/>
    <hyperlink ref="F65" r:id="rId382" tooltip="Visit jasonaluminium.com" xr:uid="{00000000-0004-0000-3B00-00007E010000}"/>
    <hyperlink ref="F66" r:id="rId383" tooltip="Visit facebook.com/KKAluWorks/" xr:uid="{00000000-0004-0000-3B00-00007F010000}"/>
    <hyperlink ref="F67" r:id="rId384" tooltip="Visit facebook.com/p/Munita-Aluminium-100063476861515/" xr:uid="{00000000-0004-0000-3B00-000080010000}"/>
    <hyperlink ref="F70" r:id="rId385" tooltip="Visit facebook.com/perfectummt/" xr:uid="{00000000-0004-0000-3B00-000081010000}"/>
    <hyperlink ref="F72" r:id="rId386" tooltip="Visit facebook.com/QormiAluminium" xr:uid="{00000000-0004-0000-3B00-000082010000}"/>
    <hyperlink ref="F74" r:id="rId387" tooltip="Visit facebook.com/people/Rapa-Aluminium-Victoria-Gozo/100063473081953/?utm_source=Yellow&amp;utm_medium=Yellow-Website&amp;utm_campaign=Landing-Page#" xr:uid="{00000000-0004-0000-3B00-000083010000}"/>
    <hyperlink ref="F75" r:id="rId388" tooltip="Visit facebook.com/RayAluWorks/" xr:uid="{00000000-0004-0000-3B00-000084010000}"/>
    <hyperlink ref="F76" r:id="rId389" tooltip="Visit facebook.com/people/Refined-Aluminium-Metal-Works/100063567219937/?utm_source=Yellow&amp;utm_medium=Yellow-Website&amp;utm_campaign=Landing-Page#" xr:uid="{00000000-0004-0000-3B00-000085010000}"/>
    <hyperlink ref="F77" r:id="rId390" tooltip="Visit servgroupmalta.com" xr:uid="{00000000-0004-0000-3B00-000086010000}"/>
    <hyperlink ref="F79" r:id="rId391" tooltip="Visit sptechniques.com" xr:uid="{00000000-0004-0000-3B00-000087010000}"/>
    <hyperlink ref="F81" r:id="rId392" tooltip="Visit aluminium.mt/" xr:uid="{00000000-0004-0000-3B00-000088010000}"/>
    <hyperlink ref="F82" r:id="rId393" tooltip="Visit towergroupmalta.com" xr:uid="{00000000-0004-0000-3B00-000089010000}"/>
    <hyperlink ref="F83" r:id="rId394" tooltip="Visit trendsltdmalta.com" xr:uid="{00000000-0004-0000-3B00-00008A010000}"/>
    <hyperlink ref="F84" r:id="rId395" tooltip="Visit facebook.com/windmillltd/" xr:uid="{00000000-0004-0000-3B00-00008B010000}"/>
    <hyperlink ref="F86" r:id="rId396" tooltip="Visit facebook.com/bespokelocalfurniture" xr:uid="{00000000-0004-0000-3B00-00008C010000}"/>
    <hyperlink ref="F87" r:id="rId397" tooltip="Visit facebook.com/zammitaluminum/" xr:uid="{00000000-0004-0000-3B00-00008D010000}"/>
    <hyperlink ref="F88" r:id="rId398" tooltip="Visit pvc.com.mt" xr:uid="{00000000-0004-0000-3B00-00008E010000}"/>
    <hyperlink ref="F89" r:id="rId399" tooltip="Visit framegrip.com" xr:uid="{00000000-0004-0000-3B00-00008F010000}"/>
    <hyperlink ref="F90" r:id="rId400" tooltip="Visit jlautier.com" xr:uid="{00000000-0004-0000-3B00-000090010000}"/>
    <hyperlink ref="F91" r:id="rId401" tooltip="Visit a1finishesltd.com/" xr:uid="{00000000-0004-0000-3B00-000091010000}"/>
    <hyperlink ref="F92" r:id="rId402" tooltip="Visit newstylesmalta.com" xr:uid="{00000000-0004-0000-3B00-000092010000}"/>
    <hyperlink ref="F93" r:id="rId403" tooltip="Visit amabilegalea.com" xr:uid="{00000000-0004-0000-3B00-000093010000}"/>
    <hyperlink ref="F94" r:id="rId404" tooltip="Visit facebook.com/GozoAluminium/" xr:uid="{00000000-0004-0000-3B00-000094010000}"/>
    <hyperlink ref="F95" r:id="rId405" tooltip="Visit yellow.com.mt/nu-aluminium/aluminium-apertures-fixtures/" xr:uid="{00000000-0004-0000-3B00-000095010000}"/>
    <hyperlink ref="F96" r:id="rId406" tooltip="Visit sfdoorstyles.com.mt/" xr:uid="{00000000-0004-0000-3B00-000096010000}"/>
    <hyperlink ref="F98" r:id="rId407" tooltip="Visit afdaaluminium.com" xr:uid="{00000000-0004-0000-3B00-000097010000}"/>
    <hyperlink ref="F99" r:id="rId408" tooltip="Visit brandimports.com.mt" xr:uid="{00000000-0004-0000-3B00-000098010000}"/>
    <hyperlink ref="F100" r:id="rId409" tooltip="Visit j3aluminiumworks.com/" xr:uid="{00000000-0004-0000-3B00-000099010000}"/>
    <hyperlink ref="F101" r:id="rId410" tooltip="Visit nicholas.mt" xr:uid="{00000000-0004-0000-3B00-00009A010000}"/>
    <hyperlink ref="F102" r:id="rId411" tooltip="Visit facebook.com/ihomes" xr:uid="{00000000-0004-0000-3B00-00009B010000}"/>
    <hyperlink ref="F103" r:id="rId412" tooltip="Visit facebook.com/p/Melvin-Aluminium-works-100057483907699/" xr:uid="{00000000-0004-0000-3B00-00009C010000}"/>
    <hyperlink ref="F104" r:id="rId413" tooltip="Visit facebook.com/p/Josef-Aluminium-Metal-Works-100054319188613/" xr:uid="{00000000-0004-0000-3B00-00009D010000}"/>
    <hyperlink ref="F105" r:id="rId414" tooltip="Visit facebook.com/people/Northalu/100055070154471/?utm_source=Yellow&amp;utm_medium=Yellow-Website&amp;utm_campaign=Landing-Page#" xr:uid="{00000000-0004-0000-3B00-00009E010000}"/>
    <hyperlink ref="F106" r:id="rId415" tooltip="Visit agoodchildinstallations.com" xr:uid="{00000000-0004-0000-3B00-00009F010000}"/>
    <hyperlink ref="F108" r:id="rId416" tooltip="Visit facebook.com/jsbaluminium.works" xr:uid="{00000000-0004-0000-3B00-0000A0010000}"/>
    <hyperlink ref="F109" r:id="rId417" tooltip="Visit facebook.com/doorsand.more.3" xr:uid="{00000000-0004-0000-3B00-0000A1010000}"/>
    <hyperlink ref="F113" r:id="rId418" tooltip="Visit adoremore.com.mt" xr:uid="{00000000-0004-0000-3B00-0000A2010000}"/>
    <hyperlink ref="F114" r:id="rId419" tooltip="Visit acmamalta.com" xr:uid="{00000000-0004-0000-3B00-0000A3010000}"/>
    <hyperlink ref="F117" r:id="rId420" tooltip="Visit facebook.com/alukeyaluminium" xr:uid="{00000000-0004-0000-3B00-0000A4010000}"/>
    <hyperlink ref="F118" r:id="rId421" tooltip="Visit aluminium-ltd.business.site" xr:uid="{00000000-0004-0000-3B00-0000A5010000}"/>
    <hyperlink ref="F119" r:id="rId422" tooltip="Visit facebook.com/AluwoodCoLtd" xr:uid="{00000000-0004-0000-3B00-0000A6010000}"/>
    <hyperlink ref="F120" r:id="rId423" tooltip="Visit facebook.com/people/Andrew-vella-aluminium/100064883072627/" xr:uid="{00000000-0004-0000-3B00-0000A7010000}"/>
    <hyperlink ref="F121" r:id="rId424" tooltip="Visit facebook.com/azzopardialum" xr:uid="{00000000-0004-0000-3B00-0000A8010000}"/>
    <hyperlink ref="F122" r:id="rId425" tooltip="Visit basonaluminium.com" xr:uid="{00000000-0004-0000-3B00-0000A9010000}"/>
    <hyperlink ref="F123" r:id="rId426" tooltip="Visit facebook.com/borgalum/" xr:uid="{00000000-0004-0000-3B00-0000AA010000}"/>
    <hyperlink ref="F124" r:id="rId427" tooltip="Visit bpapertures.com/" xr:uid="{00000000-0004-0000-3B00-0000AB010000}"/>
    <hyperlink ref="F125" r:id="rId428" tooltip="Visit facebook.com/people/CDS-Aluminium-work/100064086582054/" xr:uid="{00000000-0004-0000-3B00-0000AC010000}"/>
    <hyperlink ref="F126" r:id="rId429" tooltip="Visit cagroup.com.mt" xr:uid="{00000000-0004-0000-3B00-0000AD010000}"/>
    <hyperlink ref="F127" r:id="rId430" tooltip="Visit facebook.com/p/TC-Aluminium-Works-100064147390058/" xr:uid="{00000000-0004-0000-3B00-0000AE010000}"/>
    <hyperlink ref="F128" r:id="rId431" tooltip="Visit salamander-windows.com/?utm_source=Yellow&amp;utm_medium=Yellow-Website&amp;utm_campaign=Landing-Page" xr:uid="{00000000-0004-0000-3B00-0000AF010000}"/>
    <hyperlink ref="F129" r:id="rId432" tooltip="Visit facebook.com/p/Choco-aluminium-works-100064574387617/" xr:uid="{00000000-0004-0000-3B00-0000B0010000}"/>
    <hyperlink ref="F131" r:id="rId433" tooltip="Visit deckor.com.mt/?brid=bHHAtQj_YIbnOwlfb4l7Qw" xr:uid="{00000000-0004-0000-3B00-0000B1010000}"/>
    <hyperlink ref="F132" r:id="rId434" tooltip="Visit dimechapertures.com/" xr:uid="{00000000-0004-0000-3B00-0000B2010000}"/>
    <hyperlink ref="F133" r:id="rId435" tooltip="Visit pvcmalta.com" xr:uid="{00000000-0004-0000-3B00-0000B3010000}"/>
    <hyperlink ref="F134" location="'Alum Apertures'!https://2138 2595" tooltip="Visit 2138 2595" display="2138 2595" xr:uid="{00000000-0004-0000-3B00-0000B4010000}"/>
    <hyperlink ref="F135" r:id="rId436" tooltip="Visit facebook.com/p/DX-Aluminium-Works-100064182690832/" xr:uid="{00000000-0004-0000-3B00-0000B5010000}"/>
    <hyperlink ref="F136" r:id="rId437" tooltip="Visit expressaluminium.com" xr:uid="{00000000-0004-0000-3B00-0000B6010000}"/>
    <hyperlink ref="F138" r:id="rId438" tooltip="Visit aluminiumworks.in" xr:uid="{00000000-0004-0000-3B00-0000B7010000}"/>
    <hyperlink ref="F140" r:id="rId439" tooltip="Visit facebook.com/p/Giorgio-Aluminium-Co-Ltd-100065044507710/" xr:uid="{00000000-0004-0000-3B00-0000B8010000}"/>
    <hyperlink ref="F141" r:id="rId440" tooltip="Visit grahamaluminium.com" xr:uid="{00000000-0004-0000-3B00-0000B9010000}"/>
    <hyperlink ref="F142" r:id="rId441" tooltip="Visit facebook.com/Guys21485785/" xr:uid="{00000000-0004-0000-3B00-0000BA010000}"/>
    <hyperlink ref="F143" r:id="rId442" tooltip="Visit horvinltd.com" xr:uid="{00000000-0004-0000-3B00-0000BB010000}"/>
    <hyperlink ref="F144" r:id="rId443" tooltip="Visit icsaluminium.yolasite.com" xr:uid="{00000000-0004-0000-3B00-0000BC010000}"/>
    <hyperlink ref="F146" r:id="rId444" tooltip="Visit jcdaluminium.com" xr:uid="{00000000-0004-0000-3B00-0000BD010000}"/>
    <hyperlink ref="F147" r:id="rId445" tooltip="Visit jk-aluminium.com" xr:uid="{00000000-0004-0000-3B00-0000BE010000}"/>
    <hyperlink ref="F148" r:id="rId446" tooltip="Visit jamarmalta.com" xr:uid="{00000000-0004-0000-3B00-0000BF010000}"/>
    <hyperlink ref="F149" r:id="rId447" tooltip="Visit facebook.com/KKAluWorks/" xr:uid="{00000000-0004-0000-3B00-0000C0010000}"/>
    <hyperlink ref="F150" r:id="rId448" tooltip="Visit facebook.com/p/Munita-Aluminium-100063476861515/" xr:uid="{00000000-0004-0000-3B00-0000C1010000}"/>
    <hyperlink ref="F153" r:id="rId449" tooltip="Visit nigeldimech.com/" xr:uid="{00000000-0004-0000-3B00-0000C2010000}"/>
    <hyperlink ref="F155" r:id="rId450" tooltip="Visit facebook.com/QormiAluminium" xr:uid="{00000000-0004-0000-3B00-0000C3010000}"/>
    <hyperlink ref="F157" r:id="rId451" tooltip="Visit facebook.com/people/Rapa-Aluminium-Victoria-Gozo/100063473081953/?utm_source=Yellow&amp;utm_medium=Yellow-Website&amp;utm_campaign=Landing-Page#" xr:uid="{00000000-0004-0000-3B00-0000C4010000}"/>
    <hyperlink ref="F158" r:id="rId452" tooltip="Visit facebook.com/RayAluWorks/" xr:uid="{00000000-0004-0000-3B00-0000C5010000}"/>
    <hyperlink ref="F159" r:id="rId453" tooltip="Visit facebook.com/people/Refined-Aluminium-Metal-Works/100063567219937/?utm_source=Yellow&amp;utm_medium=Yellow-Website&amp;utm_campaign=Landing-Page#" xr:uid="{00000000-0004-0000-3B00-0000C6010000}"/>
    <hyperlink ref="F160" r:id="rId454" tooltip="Visit servgroupmalta.com" xr:uid="{00000000-0004-0000-3B00-0000C7010000}"/>
    <hyperlink ref="F163" r:id="rId455" tooltip="Visit aluminium.mt/" xr:uid="{00000000-0004-0000-3B00-0000C8010000}"/>
    <hyperlink ref="F165" r:id="rId456" tooltip="Visit towergroupmalta.com" xr:uid="{00000000-0004-0000-3B00-0000C9010000}"/>
    <hyperlink ref="F166" r:id="rId457" tooltip="Visit trendsltdmalta.com" xr:uid="{00000000-0004-0000-3B00-0000CA010000}"/>
    <hyperlink ref="F167" r:id="rId458" tooltip="Visit valormalta.wixsite.com/valor" xr:uid="{00000000-0004-0000-3B00-0000CB010000}"/>
    <hyperlink ref="F168" r:id="rId459" tooltip="Visit facebook.com/windmillltd/" xr:uid="{00000000-0004-0000-3B00-0000CC010000}"/>
    <hyperlink ref="F169" r:id="rId460" tooltip="Visit facebook.com/bespokelocalfurniture" xr:uid="{00000000-0004-0000-3B00-0000CD010000}"/>
    <hyperlink ref="F170" r:id="rId461" tooltip="Visit facebook.com/zammitaluminum/" xr:uid="{00000000-0004-0000-3B00-0000CE010000}"/>
  </hyperlinks>
  <pageMargins left="0.75" right="0.75" top="0.75" bottom="0.5" header="0.5" footer="0.7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83"/>
  <sheetViews>
    <sheetView workbookViewId="0"/>
  </sheetViews>
  <sheetFormatPr defaultRowHeight="14.4" x14ac:dyDescent="0.3"/>
  <cols>
    <col min="1" max="1" width="10.109375" customWidth="1"/>
    <col min="2" max="2" width="46.44140625" customWidth="1"/>
    <col min="3" max="3" width="50.88671875" customWidth="1"/>
    <col min="4" max="4" width="18.109375" customWidth="1"/>
    <col min="5" max="5" width="10.88671875" customWidth="1"/>
    <col min="6" max="6" width="91" customWidth="1"/>
    <col min="7" max="7" width="69.33203125" customWidth="1"/>
  </cols>
  <sheetData>
    <row r="1" spans="1:7" ht="18" x14ac:dyDescent="0.35">
      <c r="A1" s="1" t="s">
        <v>5384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  <c r="G1" s="1" t="s">
        <v>3755</v>
      </c>
    </row>
    <row r="2" spans="1:7" x14ac:dyDescent="0.3">
      <c r="A2" s="2" t="s">
        <v>3740</v>
      </c>
      <c r="B2" s="2" t="s">
        <v>3741</v>
      </c>
      <c r="C2" s="3" t="s">
        <v>3747</v>
      </c>
      <c r="D2" s="2" t="str">
        <f>CONCATENATE(HYPERLINK("CALLTO:%2B356%207972%207953", "+356 7972 7953"))</f>
        <v>+356 7972 7953</v>
      </c>
      <c r="E2" s="2"/>
      <c r="F2" s="3" t="s">
        <v>3756</v>
      </c>
      <c r="G2" s="2" t="s">
        <v>3760</v>
      </c>
    </row>
    <row r="3" spans="1:7" x14ac:dyDescent="0.3">
      <c r="A3" s="4" t="s">
        <v>3740</v>
      </c>
      <c r="B3" s="4" t="s">
        <v>3742</v>
      </c>
      <c r="C3" s="5" t="s">
        <v>3748</v>
      </c>
      <c r="D3" s="4" t="str">
        <f>CONCATENATE(HYPERLINK("CALLTO:%2B356%209989%200075", "+356 9989 0075"))</f>
        <v>+356 9989 0075</v>
      </c>
      <c r="E3" s="4"/>
      <c r="F3" s="5" t="s">
        <v>3757</v>
      </c>
      <c r="G3" s="4" t="s">
        <v>3755</v>
      </c>
    </row>
    <row r="4" spans="1:7" x14ac:dyDescent="0.3">
      <c r="A4" s="2" t="s">
        <v>3740</v>
      </c>
      <c r="B4" s="2" t="s">
        <v>3429</v>
      </c>
      <c r="C4" s="3" t="s">
        <v>3519</v>
      </c>
      <c r="D4" s="2" t="str">
        <f>CONCATENATE(HYPERLINK("CALLTO:%2B356%207949%201930", "+356 7949 1930"))</f>
        <v>+356 7949 1930</v>
      </c>
      <c r="E4" s="2"/>
      <c r="F4" s="3" t="s">
        <v>3758</v>
      </c>
      <c r="G4" s="2" t="s">
        <v>3761</v>
      </c>
    </row>
    <row r="5" spans="1:7" x14ac:dyDescent="0.3">
      <c r="A5" s="4" t="s">
        <v>3740</v>
      </c>
      <c r="B5" s="4" t="s">
        <v>3432</v>
      </c>
      <c r="C5" s="5" t="s">
        <v>3570</v>
      </c>
      <c r="D5" s="4" t="str">
        <f>CONCATENATE(HYPERLINK("CALLTO:%2B356%209927%207571", "+356 9927 7571"))</f>
        <v>+356 9927 7571</v>
      </c>
      <c r="E5" s="4"/>
      <c r="F5" s="5" t="s">
        <v>3759</v>
      </c>
      <c r="G5" s="4" t="s">
        <v>3762</v>
      </c>
    </row>
    <row r="6" spans="1:7" x14ac:dyDescent="0.3">
      <c r="A6" s="2" t="s">
        <v>3740</v>
      </c>
      <c r="B6" s="2" t="s">
        <v>677</v>
      </c>
      <c r="C6" s="3" t="s">
        <v>705</v>
      </c>
      <c r="D6" s="2" t="str">
        <f>CONCATENATE(HYPERLINK("CALLTO:%2B356%202149%202908", "+356 2149 2908"))</f>
        <v>+356 2149 2908</v>
      </c>
      <c r="E6" s="2"/>
      <c r="F6" s="2"/>
      <c r="G6" s="2" t="s">
        <v>3763</v>
      </c>
    </row>
    <row r="7" spans="1:7" x14ac:dyDescent="0.3">
      <c r="A7" s="4" t="s">
        <v>3740</v>
      </c>
      <c r="B7" s="4" t="s">
        <v>3398</v>
      </c>
      <c r="C7" s="5" t="s">
        <v>3749</v>
      </c>
      <c r="D7" s="4" t="str">
        <f>CONCATENATE(HYPERLINK("CALLTO:%2B356%20", "+356 "))</f>
        <v xml:space="preserve">+356 </v>
      </c>
      <c r="E7" s="4"/>
      <c r="F7" s="4"/>
      <c r="G7" s="4" t="s">
        <v>3764</v>
      </c>
    </row>
    <row r="8" spans="1:7" x14ac:dyDescent="0.3">
      <c r="A8" s="2" t="s">
        <v>3740</v>
      </c>
      <c r="B8" s="2" t="s">
        <v>3399</v>
      </c>
      <c r="C8" s="3" t="s">
        <v>3750</v>
      </c>
      <c r="D8" s="2" t="str">
        <f>CONCATENATE(HYPERLINK("CALLTO:%2B356%20", "+356 "))</f>
        <v xml:space="preserve">+356 </v>
      </c>
      <c r="E8" s="2"/>
      <c r="F8" s="2"/>
      <c r="G8" s="2" t="s">
        <v>3763</v>
      </c>
    </row>
    <row r="9" spans="1:7" x14ac:dyDescent="0.3">
      <c r="A9" s="4" t="s">
        <v>3740</v>
      </c>
      <c r="B9" s="4" t="s">
        <v>3743</v>
      </c>
      <c r="C9" s="5" t="s">
        <v>3492</v>
      </c>
      <c r="D9" s="4"/>
      <c r="E9" s="4"/>
      <c r="F9" s="4"/>
      <c r="G9" s="4" t="s">
        <v>3763</v>
      </c>
    </row>
    <row r="10" spans="1:7" x14ac:dyDescent="0.3">
      <c r="A10" s="2" t="s">
        <v>3740</v>
      </c>
      <c r="B10" s="2" t="s">
        <v>3402</v>
      </c>
      <c r="C10" s="3" t="s">
        <v>3493</v>
      </c>
      <c r="D10" s="2"/>
      <c r="E10" s="2"/>
      <c r="F10" s="2"/>
      <c r="G10" s="2" t="s">
        <v>3765</v>
      </c>
    </row>
    <row r="11" spans="1:7" x14ac:dyDescent="0.3">
      <c r="A11" s="4" t="s">
        <v>3740</v>
      </c>
      <c r="B11" s="4" t="s">
        <v>3403</v>
      </c>
      <c r="C11" s="5" t="s">
        <v>3494</v>
      </c>
      <c r="D11" s="4"/>
      <c r="E11" s="4"/>
      <c r="F11" s="4"/>
      <c r="G11" s="4" t="s">
        <v>3766</v>
      </c>
    </row>
    <row r="12" spans="1:7" x14ac:dyDescent="0.3">
      <c r="A12" s="2" t="s">
        <v>3740</v>
      </c>
      <c r="B12" s="2" t="s">
        <v>3405</v>
      </c>
      <c r="C12" s="3" t="s">
        <v>3496</v>
      </c>
      <c r="D12" s="2"/>
      <c r="E12" s="2"/>
      <c r="F12" s="2"/>
      <c r="G12" s="2" t="s">
        <v>3767</v>
      </c>
    </row>
    <row r="13" spans="1:7" x14ac:dyDescent="0.3">
      <c r="A13" s="4" t="s">
        <v>3740</v>
      </c>
      <c r="B13" s="4" t="s">
        <v>3406</v>
      </c>
      <c r="C13" s="5" t="s">
        <v>3497</v>
      </c>
      <c r="D13" s="4"/>
      <c r="E13" s="4"/>
      <c r="F13" s="4"/>
      <c r="G13" s="4" t="s">
        <v>3766</v>
      </c>
    </row>
    <row r="14" spans="1:7" x14ac:dyDescent="0.3">
      <c r="A14" s="2" t="s">
        <v>3740</v>
      </c>
      <c r="B14" s="2" t="s">
        <v>3407</v>
      </c>
      <c r="C14" s="3" t="s">
        <v>3498</v>
      </c>
      <c r="D14" s="2"/>
      <c r="E14" s="2"/>
      <c r="F14" s="2"/>
      <c r="G14" s="2" t="s">
        <v>3755</v>
      </c>
    </row>
    <row r="15" spans="1:7" x14ac:dyDescent="0.3">
      <c r="A15" s="4" t="s">
        <v>3740</v>
      </c>
      <c r="B15" s="4" t="s">
        <v>3408</v>
      </c>
      <c r="C15" s="5" t="s">
        <v>3499</v>
      </c>
      <c r="D15" s="4"/>
      <c r="E15" s="4"/>
      <c r="F15" s="4"/>
      <c r="G15" s="4" t="s">
        <v>3768</v>
      </c>
    </row>
    <row r="16" spans="1:7" x14ac:dyDescent="0.3">
      <c r="A16" s="2" t="s">
        <v>3740</v>
      </c>
      <c r="B16" s="2" t="s">
        <v>3409</v>
      </c>
      <c r="C16" s="3" t="s">
        <v>3500</v>
      </c>
      <c r="D16" s="2"/>
      <c r="E16" s="2"/>
      <c r="F16" s="2"/>
      <c r="G16" s="2" t="s">
        <v>3769</v>
      </c>
    </row>
    <row r="17" spans="1:7" x14ac:dyDescent="0.3">
      <c r="A17" s="4" t="s">
        <v>3740</v>
      </c>
      <c r="B17" s="4" t="s">
        <v>3411</v>
      </c>
      <c r="C17" s="5" t="s">
        <v>3502</v>
      </c>
      <c r="D17" s="4"/>
      <c r="E17" s="4"/>
      <c r="F17" s="4"/>
      <c r="G17" s="4" t="s">
        <v>3763</v>
      </c>
    </row>
    <row r="18" spans="1:7" x14ac:dyDescent="0.3">
      <c r="A18" s="2" t="s">
        <v>3740</v>
      </c>
      <c r="B18" s="2" t="s">
        <v>3412</v>
      </c>
      <c r="C18" s="3" t="s">
        <v>3503</v>
      </c>
      <c r="D18" s="2"/>
      <c r="E18" s="2"/>
      <c r="F18" s="2"/>
      <c r="G18" s="2"/>
    </row>
    <row r="19" spans="1:7" x14ac:dyDescent="0.3">
      <c r="A19" s="4" t="s">
        <v>3740</v>
      </c>
      <c r="B19" s="4" t="s">
        <v>3414</v>
      </c>
      <c r="C19" s="5" t="s">
        <v>708</v>
      </c>
      <c r="D19" s="4"/>
      <c r="E19" s="4"/>
      <c r="F19" s="4"/>
      <c r="G19" s="4"/>
    </row>
    <row r="20" spans="1:7" x14ac:dyDescent="0.3">
      <c r="A20" s="2" t="s">
        <v>3740</v>
      </c>
      <c r="B20" s="2" t="s">
        <v>3415</v>
      </c>
      <c r="C20" s="3" t="s">
        <v>3505</v>
      </c>
      <c r="D20" s="2"/>
      <c r="E20" s="2"/>
      <c r="F20" s="2"/>
      <c r="G20" s="2"/>
    </row>
    <row r="21" spans="1:7" x14ac:dyDescent="0.3">
      <c r="A21" s="4" t="s">
        <v>3740</v>
      </c>
      <c r="B21" s="4" t="s">
        <v>3416</v>
      </c>
      <c r="C21" s="5" t="s">
        <v>3506</v>
      </c>
      <c r="D21" s="4"/>
      <c r="E21" s="4"/>
      <c r="F21" s="4"/>
      <c r="G21" s="4"/>
    </row>
    <row r="22" spans="1:7" x14ac:dyDescent="0.3">
      <c r="A22" s="2" t="s">
        <v>3740</v>
      </c>
      <c r="B22" s="2" t="s">
        <v>3418</v>
      </c>
      <c r="C22" s="3" t="s">
        <v>3508</v>
      </c>
      <c r="D22" s="2"/>
      <c r="E22" s="2"/>
      <c r="F22" s="2"/>
      <c r="G22" s="2"/>
    </row>
    <row r="23" spans="1:7" x14ac:dyDescent="0.3">
      <c r="A23" s="4" t="s">
        <v>3740</v>
      </c>
      <c r="B23" s="4" t="s">
        <v>3419</v>
      </c>
      <c r="C23" s="5" t="s">
        <v>3509</v>
      </c>
      <c r="D23" s="4"/>
      <c r="E23" s="4"/>
      <c r="F23" s="4"/>
      <c r="G23" s="4"/>
    </row>
    <row r="24" spans="1:7" x14ac:dyDescent="0.3">
      <c r="A24" s="2" t="s">
        <v>3740</v>
      </c>
      <c r="B24" s="2" t="s">
        <v>3420</v>
      </c>
      <c r="C24" s="3" t="s">
        <v>3510</v>
      </c>
      <c r="D24" s="2"/>
      <c r="E24" s="2"/>
      <c r="F24" s="2"/>
      <c r="G24" s="2"/>
    </row>
    <row r="25" spans="1:7" x14ac:dyDescent="0.3">
      <c r="A25" s="4" t="s">
        <v>3740</v>
      </c>
      <c r="B25" s="4" t="s">
        <v>3421</v>
      </c>
      <c r="C25" s="5" t="s">
        <v>3511</v>
      </c>
      <c r="D25" s="4"/>
      <c r="E25" s="4"/>
      <c r="F25" s="4"/>
      <c r="G25" s="4"/>
    </row>
    <row r="26" spans="1:7" x14ac:dyDescent="0.3">
      <c r="A26" s="2" t="s">
        <v>3740</v>
      </c>
      <c r="B26" s="2" t="s">
        <v>3422</v>
      </c>
      <c r="C26" s="3" t="s">
        <v>3512</v>
      </c>
      <c r="D26" s="2"/>
      <c r="E26" s="2"/>
      <c r="F26" s="2"/>
      <c r="G26" s="2"/>
    </row>
    <row r="27" spans="1:7" x14ac:dyDescent="0.3">
      <c r="A27" s="4" t="s">
        <v>3740</v>
      </c>
      <c r="B27" s="4" t="s">
        <v>3423</v>
      </c>
      <c r="C27" s="5" t="s">
        <v>3513</v>
      </c>
      <c r="D27" s="4"/>
      <c r="E27" s="4"/>
      <c r="F27" s="4"/>
      <c r="G27" s="4"/>
    </row>
    <row r="28" spans="1:7" x14ac:dyDescent="0.3">
      <c r="A28" s="2" t="s">
        <v>3740</v>
      </c>
      <c r="B28" s="2" t="s">
        <v>3424</v>
      </c>
      <c r="C28" s="3" t="s">
        <v>3514</v>
      </c>
      <c r="D28" s="2"/>
      <c r="E28" s="2"/>
      <c r="F28" s="2"/>
      <c r="G28" s="2"/>
    </row>
    <row r="29" spans="1:7" x14ac:dyDescent="0.3">
      <c r="A29" s="4" t="s">
        <v>3740</v>
      </c>
      <c r="B29" s="4" t="s">
        <v>3426</v>
      </c>
      <c r="C29" s="5" t="s">
        <v>3516</v>
      </c>
      <c r="D29" s="4"/>
      <c r="E29" s="4"/>
      <c r="F29" s="4"/>
      <c r="G29" s="4"/>
    </row>
    <row r="30" spans="1:7" x14ac:dyDescent="0.3">
      <c r="A30" s="2" t="s">
        <v>3740</v>
      </c>
      <c r="B30" s="2" t="s">
        <v>3427</v>
      </c>
      <c r="C30" s="3" t="s">
        <v>3517</v>
      </c>
      <c r="D30" s="2"/>
      <c r="E30" s="2"/>
      <c r="F30" s="2"/>
      <c r="G30" s="2"/>
    </row>
    <row r="31" spans="1:7" x14ac:dyDescent="0.3">
      <c r="A31" s="4" t="s">
        <v>3740</v>
      </c>
      <c r="B31" s="4" t="s">
        <v>3428</v>
      </c>
      <c r="C31" s="5" t="s">
        <v>3518</v>
      </c>
      <c r="D31" s="4"/>
      <c r="E31" s="4"/>
      <c r="F31" s="4"/>
      <c r="G31" s="4"/>
    </row>
    <row r="32" spans="1:7" x14ac:dyDescent="0.3">
      <c r="A32" s="2" t="s">
        <v>3740</v>
      </c>
      <c r="B32" s="2" t="s">
        <v>3429</v>
      </c>
      <c r="C32" s="3" t="s">
        <v>3519</v>
      </c>
      <c r="D32" s="2"/>
      <c r="E32" s="2"/>
      <c r="F32" s="2"/>
      <c r="G32" s="2"/>
    </row>
    <row r="33" spans="1:7" x14ac:dyDescent="0.3">
      <c r="A33" s="4" t="s">
        <v>3740</v>
      </c>
      <c r="B33" s="4" t="s">
        <v>3431</v>
      </c>
      <c r="C33" s="5" t="s">
        <v>3521</v>
      </c>
      <c r="D33" s="4"/>
      <c r="E33" s="4"/>
      <c r="F33" s="4"/>
      <c r="G33" s="4"/>
    </row>
    <row r="34" spans="1:7" x14ac:dyDescent="0.3">
      <c r="A34" s="2" t="s">
        <v>3740</v>
      </c>
      <c r="B34" s="2" t="s">
        <v>3432</v>
      </c>
      <c r="C34" s="3" t="s">
        <v>3519</v>
      </c>
      <c r="D34" s="2"/>
      <c r="E34" s="2"/>
      <c r="F34" s="2"/>
      <c r="G34" s="2"/>
    </row>
    <row r="35" spans="1:7" x14ac:dyDescent="0.3">
      <c r="A35" s="4" t="s">
        <v>3740</v>
      </c>
      <c r="B35" s="4" t="s">
        <v>3433</v>
      </c>
      <c r="C35" s="5" t="s">
        <v>3523</v>
      </c>
      <c r="D35" s="4"/>
      <c r="E35" s="4"/>
      <c r="F35" s="4"/>
      <c r="G35" s="4"/>
    </row>
    <row r="36" spans="1:7" x14ac:dyDescent="0.3">
      <c r="A36" s="2" t="s">
        <v>3740</v>
      </c>
      <c r="B36" s="2" t="s">
        <v>3434</v>
      </c>
      <c r="C36" s="3" t="s">
        <v>3524</v>
      </c>
      <c r="D36" s="2"/>
      <c r="E36" s="2"/>
      <c r="F36" s="2"/>
      <c r="G36" s="2"/>
    </row>
    <row r="37" spans="1:7" x14ac:dyDescent="0.3">
      <c r="A37" s="4" t="s">
        <v>3740</v>
      </c>
      <c r="B37" s="4" t="s">
        <v>3435</v>
      </c>
      <c r="C37" s="5" t="s">
        <v>3526</v>
      </c>
      <c r="D37" s="4"/>
      <c r="E37" s="4"/>
      <c r="F37" s="4"/>
      <c r="G37" s="4"/>
    </row>
    <row r="38" spans="1:7" x14ac:dyDescent="0.3">
      <c r="A38" s="2" t="s">
        <v>3740</v>
      </c>
      <c r="B38" s="2" t="s">
        <v>3436</v>
      </c>
      <c r="C38" s="3" t="s">
        <v>3751</v>
      </c>
      <c r="D38" s="2"/>
      <c r="E38" s="2"/>
      <c r="F38" s="2"/>
      <c r="G38" s="2"/>
    </row>
    <row r="39" spans="1:7" x14ac:dyDescent="0.3">
      <c r="A39" s="4" t="s">
        <v>3740</v>
      </c>
      <c r="B39" s="4" t="s">
        <v>3437</v>
      </c>
      <c r="C39" s="5" t="s">
        <v>3527</v>
      </c>
      <c r="D39" s="4"/>
      <c r="E39" s="4"/>
      <c r="F39" s="4"/>
      <c r="G39" s="4"/>
    </row>
    <row r="40" spans="1:7" x14ac:dyDescent="0.3">
      <c r="A40" s="2" t="s">
        <v>3740</v>
      </c>
      <c r="B40" s="2" t="s">
        <v>3438</v>
      </c>
      <c r="C40" s="3" t="s">
        <v>3528</v>
      </c>
      <c r="D40" s="2"/>
      <c r="E40" s="2"/>
      <c r="F40" s="2"/>
      <c r="G40" s="2"/>
    </row>
    <row r="41" spans="1:7" x14ac:dyDescent="0.3">
      <c r="A41" s="4" t="s">
        <v>3740</v>
      </c>
      <c r="B41" s="4" t="s">
        <v>3439</v>
      </c>
      <c r="C41" s="5" t="s">
        <v>3529</v>
      </c>
      <c r="D41" s="4"/>
      <c r="E41" s="4"/>
      <c r="F41" s="4"/>
      <c r="G41" s="4"/>
    </row>
    <row r="42" spans="1:7" x14ac:dyDescent="0.3">
      <c r="A42" s="2" t="s">
        <v>3740</v>
      </c>
      <c r="B42" s="2" t="s">
        <v>3440</v>
      </c>
      <c r="C42" s="3" t="s">
        <v>3530</v>
      </c>
      <c r="D42" s="2"/>
      <c r="E42" s="2"/>
      <c r="F42" s="2"/>
      <c r="G42" s="2"/>
    </row>
    <row r="43" spans="1:7" x14ac:dyDescent="0.3">
      <c r="A43" s="4" t="s">
        <v>3740</v>
      </c>
      <c r="B43" s="4" t="s">
        <v>3441</v>
      </c>
      <c r="C43" s="5" t="s">
        <v>3531</v>
      </c>
      <c r="D43" s="4"/>
      <c r="E43" s="4"/>
      <c r="F43" s="4"/>
      <c r="G43" s="4"/>
    </row>
    <row r="44" spans="1:7" x14ac:dyDescent="0.3">
      <c r="A44" s="2" t="s">
        <v>3740</v>
      </c>
      <c r="B44" s="2" t="s">
        <v>3442</v>
      </c>
      <c r="C44" s="3" t="s">
        <v>3532</v>
      </c>
      <c r="D44" s="2"/>
      <c r="E44" s="2"/>
      <c r="F44" s="2"/>
      <c r="G44" s="2"/>
    </row>
    <row r="45" spans="1:7" x14ac:dyDescent="0.3">
      <c r="A45" s="4" t="s">
        <v>3740</v>
      </c>
      <c r="B45" s="4" t="s">
        <v>3443</v>
      </c>
      <c r="C45" s="5" t="s">
        <v>3533</v>
      </c>
      <c r="D45" s="4"/>
      <c r="E45" s="4"/>
      <c r="F45" s="4"/>
      <c r="G45" s="4"/>
    </row>
    <row r="46" spans="1:7" x14ac:dyDescent="0.3">
      <c r="A46" s="2" t="s">
        <v>3740</v>
      </c>
      <c r="B46" s="2" t="s">
        <v>682</v>
      </c>
      <c r="C46" s="3" t="s">
        <v>710</v>
      </c>
      <c r="D46" s="2"/>
      <c r="E46" s="2"/>
      <c r="F46" s="2"/>
      <c r="G46" s="2"/>
    </row>
    <row r="47" spans="1:7" x14ac:dyDescent="0.3">
      <c r="A47" s="4" t="s">
        <v>3740</v>
      </c>
      <c r="B47" s="4" t="s">
        <v>3444</v>
      </c>
      <c r="C47" s="5" t="s">
        <v>2599</v>
      </c>
      <c r="D47" s="4"/>
      <c r="E47" s="4"/>
      <c r="F47" s="4"/>
      <c r="G47" s="4"/>
    </row>
    <row r="48" spans="1:7" x14ac:dyDescent="0.3">
      <c r="A48" s="2" t="s">
        <v>3740</v>
      </c>
      <c r="B48" s="2" t="s">
        <v>3445</v>
      </c>
      <c r="C48" s="3" t="s">
        <v>3534</v>
      </c>
      <c r="D48" s="2"/>
      <c r="E48" s="2"/>
      <c r="F48" s="2"/>
      <c r="G48" s="2"/>
    </row>
    <row r="49" spans="1:7" x14ac:dyDescent="0.3">
      <c r="A49" s="4" t="s">
        <v>3740</v>
      </c>
      <c r="B49" s="4" t="s">
        <v>3446</v>
      </c>
      <c r="C49" s="5" t="s">
        <v>3535</v>
      </c>
      <c r="D49" s="4"/>
      <c r="E49" s="4"/>
      <c r="F49" s="4"/>
      <c r="G49" s="4"/>
    </row>
    <row r="50" spans="1:7" x14ac:dyDescent="0.3">
      <c r="A50" s="2" t="s">
        <v>3740</v>
      </c>
      <c r="B50" s="2" t="s">
        <v>3447</v>
      </c>
      <c r="C50" s="3" t="s">
        <v>3536</v>
      </c>
      <c r="D50" s="2"/>
      <c r="E50" s="2"/>
      <c r="F50" s="2"/>
      <c r="G50" s="2"/>
    </row>
    <row r="51" spans="1:7" x14ac:dyDescent="0.3">
      <c r="A51" s="4" t="s">
        <v>3740</v>
      </c>
      <c r="B51" s="4" t="s">
        <v>3449</v>
      </c>
      <c r="C51" s="5" t="s">
        <v>3538</v>
      </c>
      <c r="D51" s="4"/>
      <c r="E51" s="4"/>
      <c r="F51" s="4"/>
      <c r="G51" s="4"/>
    </row>
    <row r="52" spans="1:7" x14ac:dyDescent="0.3">
      <c r="A52" s="2" t="s">
        <v>3740</v>
      </c>
      <c r="B52" s="2" t="s">
        <v>3450</v>
      </c>
      <c r="C52" s="3" t="s">
        <v>3539</v>
      </c>
      <c r="D52" s="2"/>
      <c r="E52" s="2"/>
      <c r="F52" s="2"/>
      <c r="G52" s="2"/>
    </row>
    <row r="53" spans="1:7" x14ac:dyDescent="0.3">
      <c r="A53" s="4" t="s">
        <v>3740</v>
      </c>
      <c r="B53" s="4" t="s">
        <v>3451</v>
      </c>
      <c r="C53" s="5" t="s">
        <v>3540</v>
      </c>
      <c r="D53" s="4"/>
      <c r="E53" s="4"/>
      <c r="F53" s="4"/>
      <c r="G53" s="4"/>
    </row>
    <row r="54" spans="1:7" x14ac:dyDescent="0.3">
      <c r="A54" s="2" t="s">
        <v>3740</v>
      </c>
      <c r="B54" s="2" t="s">
        <v>677</v>
      </c>
      <c r="C54" s="3" t="s">
        <v>705</v>
      </c>
      <c r="D54" s="2"/>
      <c r="E54" s="2"/>
      <c r="F54" s="2"/>
      <c r="G54" s="2"/>
    </row>
    <row r="55" spans="1:7" x14ac:dyDescent="0.3">
      <c r="A55" s="4" t="s">
        <v>3740</v>
      </c>
      <c r="B55" s="4" t="s">
        <v>3452</v>
      </c>
      <c r="C55" s="5" t="s">
        <v>3541</v>
      </c>
      <c r="D55" s="4"/>
      <c r="E55" s="4"/>
      <c r="F55" s="4"/>
      <c r="G55" s="4"/>
    </row>
    <row r="56" spans="1:7" x14ac:dyDescent="0.3">
      <c r="A56" s="2" t="s">
        <v>3740</v>
      </c>
      <c r="B56" s="2" t="s">
        <v>3453</v>
      </c>
      <c r="C56" s="3" t="s">
        <v>3542</v>
      </c>
      <c r="D56" s="2"/>
      <c r="E56" s="2"/>
      <c r="F56" s="2"/>
      <c r="G56" s="2"/>
    </row>
    <row r="57" spans="1:7" x14ac:dyDescent="0.3">
      <c r="A57" s="4" t="s">
        <v>3740</v>
      </c>
      <c r="B57" s="4" t="s">
        <v>3454</v>
      </c>
      <c r="C57" s="4" t="s">
        <v>3543</v>
      </c>
      <c r="D57" s="4"/>
      <c r="E57" s="4"/>
      <c r="F57" s="4"/>
      <c r="G57" s="4"/>
    </row>
    <row r="58" spans="1:7" x14ac:dyDescent="0.3">
      <c r="A58" s="2" t="s">
        <v>3740</v>
      </c>
      <c r="B58" s="2" t="s">
        <v>3455</v>
      </c>
      <c r="C58" s="3" t="s">
        <v>3544</v>
      </c>
      <c r="D58" s="2"/>
      <c r="E58" s="2"/>
      <c r="F58" s="2"/>
      <c r="G58" s="2"/>
    </row>
    <row r="59" spans="1:7" x14ac:dyDescent="0.3">
      <c r="A59" s="4" t="s">
        <v>3740</v>
      </c>
      <c r="B59" s="4" t="s">
        <v>3456</v>
      </c>
      <c r="C59" s="5" t="s">
        <v>3545</v>
      </c>
      <c r="D59" s="4"/>
      <c r="E59" s="4"/>
      <c r="F59" s="4"/>
      <c r="G59" s="4"/>
    </row>
    <row r="60" spans="1:7" x14ac:dyDescent="0.3">
      <c r="A60" s="2" t="s">
        <v>3740</v>
      </c>
      <c r="B60" s="2" t="s">
        <v>3457</v>
      </c>
      <c r="C60" s="3" t="s">
        <v>3546</v>
      </c>
      <c r="D60" s="2"/>
      <c r="E60" s="2"/>
      <c r="F60" s="2"/>
      <c r="G60" s="2"/>
    </row>
    <row r="61" spans="1:7" x14ac:dyDescent="0.3">
      <c r="A61" s="4" t="s">
        <v>3740</v>
      </c>
      <c r="B61" s="4" t="s">
        <v>3458</v>
      </c>
      <c r="C61" s="5" t="s">
        <v>3547</v>
      </c>
      <c r="D61" s="4"/>
      <c r="E61" s="4"/>
      <c r="F61" s="4"/>
      <c r="G61" s="4"/>
    </row>
    <row r="62" spans="1:7" x14ac:dyDescent="0.3">
      <c r="A62" s="2" t="s">
        <v>3740</v>
      </c>
      <c r="B62" s="2" t="s">
        <v>3459</v>
      </c>
      <c r="C62" s="3" t="s">
        <v>3548</v>
      </c>
      <c r="D62" s="2"/>
      <c r="E62" s="2"/>
      <c r="F62" s="2"/>
      <c r="G62" s="2"/>
    </row>
    <row r="63" spans="1:7" x14ac:dyDescent="0.3">
      <c r="A63" s="4" t="s">
        <v>3740</v>
      </c>
      <c r="B63" s="4" t="s">
        <v>3460</v>
      </c>
      <c r="C63" s="5" t="s">
        <v>3549</v>
      </c>
      <c r="D63" s="4"/>
      <c r="E63" s="4"/>
      <c r="F63" s="4"/>
      <c r="G63" s="4"/>
    </row>
    <row r="64" spans="1:7" x14ac:dyDescent="0.3">
      <c r="A64" s="2" t="s">
        <v>3740</v>
      </c>
      <c r="B64" s="2" t="s">
        <v>3461</v>
      </c>
      <c r="C64" s="3" t="s">
        <v>3550</v>
      </c>
      <c r="D64" s="2"/>
      <c r="E64" s="2"/>
      <c r="F64" s="2"/>
      <c r="G64" s="2"/>
    </row>
    <row r="65" spans="1:7" x14ac:dyDescent="0.3">
      <c r="A65" s="4" t="s">
        <v>3740</v>
      </c>
      <c r="B65" s="4" t="s">
        <v>3462</v>
      </c>
      <c r="C65" s="5" t="s">
        <v>3551</v>
      </c>
      <c r="D65" s="4"/>
      <c r="E65" s="4"/>
      <c r="F65" s="4"/>
      <c r="G65" s="4"/>
    </row>
    <row r="66" spans="1:7" x14ac:dyDescent="0.3">
      <c r="A66" s="2" t="s">
        <v>3740</v>
      </c>
      <c r="B66" s="2" t="s">
        <v>3463</v>
      </c>
      <c r="C66" s="3" t="s">
        <v>3552</v>
      </c>
      <c r="D66" s="2"/>
      <c r="E66" s="2"/>
      <c r="F66" s="2"/>
      <c r="G66" s="2"/>
    </row>
    <row r="67" spans="1:7" x14ac:dyDescent="0.3">
      <c r="A67" s="4" t="s">
        <v>3740</v>
      </c>
      <c r="B67" s="4" t="s">
        <v>3464</v>
      </c>
      <c r="C67" s="5" t="s">
        <v>1017</v>
      </c>
      <c r="D67" s="4"/>
      <c r="E67" s="4"/>
      <c r="F67" s="4"/>
      <c r="G67" s="4"/>
    </row>
    <row r="68" spans="1:7" x14ac:dyDescent="0.3">
      <c r="A68" s="2" t="s">
        <v>3740</v>
      </c>
      <c r="B68" s="2" t="s">
        <v>3465</v>
      </c>
      <c r="C68" s="3" t="s">
        <v>3553</v>
      </c>
      <c r="D68" s="2"/>
      <c r="E68" s="2"/>
      <c r="F68" s="2"/>
      <c r="G68" s="2"/>
    </row>
    <row r="69" spans="1:7" x14ac:dyDescent="0.3">
      <c r="A69" s="4" t="s">
        <v>3740</v>
      </c>
      <c r="B69" s="4" t="s">
        <v>3466</v>
      </c>
      <c r="C69" s="5" t="s">
        <v>3554</v>
      </c>
      <c r="D69" s="4"/>
      <c r="E69" s="4"/>
      <c r="F69" s="4"/>
      <c r="G69" s="4"/>
    </row>
    <row r="70" spans="1:7" x14ac:dyDescent="0.3">
      <c r="A70" s="2" t="s">
        <v>3740</v>
      </c>
      <c r="B70" s="2" t="s">
        <v>3467</v>
      </c>
      <c r="C70" s="3" t="s">
        <v>3555</v>
      </c>
      <c r="D70" s="2"/>
      <c r="E70" s="2"/>
      <c r="F70" s="2"/>
      <c r="G70" s="2"/>
    </row>
    <row r="71" spans="1:7" x14ac:dyDescent="0.3">
      <c r="A71" s="4" t="s">
        <v>3740</v>
      </c>
      <c r="B71" s="4" t="s">
        <v>3468</v>
      </c>
      <c r="C71" s="5" t="s">
        <v>3556</v>
      </c>
      <c r="D71" s="4"/>
      <c r="E71" s="4"/>
      <c r="F71" s="4"/>
      <c r="G71" s="4"/>
    </row>
    <row r="72" spans="1:7" x14ac:dyDescent="0.3">
      <c r="A72" s="2" t="s">
        <v>3740</v>
      </c>
      <c r="B72" s="2" t="s">
        <v>3469</v>
      </c>
      <c r="C72" s="3" t="s">
        <v>3557</v>
      </c>
      <c r="D72" s="2"/>
      <c r="E72" s="2"/>
      <c r="F72" s="2"/>
      <c r="G72" s="2"/>
    </row>
    <row r="73" spans="1:7" x14ac:dyDescent="0.3">
      <c r="A73" s="4" t="s">
        <v>3740</v>
      </c>
      <c r="B73" s="4" t="s">
        <v>3470</v>
      </c>
      <c r="C73" s="5" t="s">
        <v>3558</v>
      </c>
      <c r="D73" s="4"/>
      <c r="E73" s="4"/>
      <c r="F73" s="4"/>
      <c r="G73" s="4"/>
    </row>
    <row r="74" spans="1:7" x14ac:dyDescent="0.3">
      <c r="A74" s="2" t="s">
        <v>3740</v>
      </c>
      <c r="B74" s="2" t="s">
        <v>3471</v>
      </c>
      <c r="C74" s="3" t="s">
        <v>3559</v>
      </c>
      <c r="D74" s="2"/>
      <c r="E74" s="2"/>
      <c r="F74" s="2"/>
      <c r="G74" s="2"/>
    </row>
    <row r="75" spans="1:7" x14ac:dyDescent="0.3">
      <c r="A75" s="4" t="s">
        <v>3740</v>
      </c>
      <c r="B75" s="4" t="s">
        <v>3473</v>
      </c>
      <c r="C75" s="5" t="s">
        <v>3560</v>
      </c>
      <c r="D75" s="4"/>
      <c r="E75" s="4"/>
      <c r="F75" s="4"/>
      <c r="G75" s="4"/>
    </row>
    <row r="76" spans="1:7" x14ac:dyDescent="0.3">
      <c r="A76" s="2" t="s">
        <v>3740</v>
      </c>
      <c r="B76" s="2" t="s">
        <v>3474</v>
      </c>
      <c r="C76" s="3" t="s">
        <v>3561</v>
      </c>
      <c r="D76" s="2"/>
      <c r="E76" s="2"/>
      <c r="F76" s="2"/>
      <c r="G76" s="2"/>
    </row>
    <row r="77" spans="1:7" x14ac:dyDescent="0.3">
      <c r="A77" s="4" t="s">
        <v>3740</v>
      </c>
      <c r="B77" s="4" t="s">
        <v>3475</v>
      </c>
      <c r="C77" s="5" t="s">
        <v>3562</v>
      </c>
      <c r="D77" s="4"/>
      <c r="E77" s="4"/>
      <c r="F77" s="4"/>
      <c r="G77" s="4"/>
    </row>
    <row r="78" spans="1:7" x14ac:dyDescent="0.3">
      <c r="A78" s="2" t="s">
        <v>3740</v>
      </c>
      <c r="B78" s="2" t="s">
        <v>3476</v>
      </c>
      <c r="C78" s="3" t="s">
        <v>3563</v>
      </c>
      <c r="D78" s="2"/>
      <c r="E78" s="2"/>
      <c r="F78" s="2"/>
      <c r="G78" s="2"/>
    </row>
    <row r="79" spans="1:7" x14ac:dyDescent="0.3">
      <c r="A79" s="4" t="s">
        <v>3740</v>
      </c>
      <c r="B79" s="4" t="s">
        <v>3481</v>
      </c>
      <c r="C79" s="5" t="s">
        <v>3566</v>
      </c>
      <c r="D79" s="4"/>
      <c r="E79" s="4"/>
      <c r="F79" s="4"/>
      <c r="G79" s="4"/>
    </row>
    <row r="80" spans="1:7" x14ac:dyDescent="0.3">
      <c r="A80" s="2" t="s">
        <v>3740</v>
      </c>
      <c r="B80" s="2" t="s">
        <v>3487</v>
      </c>
      <c r="C80" s="3" t="s">
        <v>3575</v>
      </c>
      <c r="D80" s="2"/>
      <c r="E80" s="2"/>
      <c r="F80" s="2"/>
      <c r="G80" s="2"/>
    </row>
    <row r="81" spans="1:7" x14ac:dyDescent="0.3">
      <c r="A81" s="4" t="s">
        <v>3740</v>
      </c>
      <c r="B81" s="4" t="s">
        <v>3744</v>
      </c>
      <c r="C81" s="5" t="s">
        <v>3752</v>
      </c>
      <c r="D81" s="4"/>
      <c r="E81" s="4"/>
      <c r="F81" s="4"/>
      <c r="G81" s="4"/>
    </row>
    <row r="82" spans="1:7" x14ac:dyDescent="0.3">
      <c r="A82" s="2" t="s">
        <v>3740</v>
      </c>
      <c r="B82" s="2" t="s">
        <v>3745</v>
      </c>
      <c r="C82" s="3" t="s">
        <v>3753</v>
      </c>
      <c r="D82" s="2"/>
      <c r="E82" s="2"/>
      <c r="F82" s="2"/>
      <c r="G82" s="2"/>
    </row>
    <row r="83" spans="1:7" x14ac:dyDescent="0.3">
      <c r="A83" s="4"/>
      <c r="B83" s="4" t="s">
        <v>3746</v>
      </c>
      <c r="C83" s="5" t="s">
        <v>3754</v>
      </c>
      <c r="D83" s="4"/>
      <c r="E83" s="4"/>
      <c r="F83" s="4"/>
      <c r="G83" s="4"/>
    </row>
  </sheetData>
  <hyperlinks>
    <hyperlink ref="C2" r:id="rId1" tooltip="Send a mail to charliecalleja@hotmail.com" xr:uid="{00000000-0004-0000-3C00-000000000000}"/>
    <hyperlink ref="C3" r:id="rId2" tooltip="Send a mail to pmll.said@gmail.com" xr:uid="{00000000-0004-0000-3C00-000001000000}"/>
    <hyperlink ref="C4" r:id="rId3" tooltip="Send a mail to info@aluminiumltd.com" xr:uid="{00000000-0004-0000-3C00-000002000000}"/>
    <hyperlink ref="C5" r:id="rId4" tooltip="Send a mail to azzopardialumworks@gmail.com" xr:uid="{00000000-0004-0000-3C00-000003000000}"/>
    <hyperlink ref="C6" r:id="rId5" tooltip="Send a mail to info@grahamaluminium.com" xr:uid="{00000000-0004-0000-3C00-000004000000}"/>
    <hyperlink ref="C7" r:id="rId6" tooltip="Send a mail to sales@ampmalta.com" xr:uid="{00000000-0004-0000-3C00-000005000000}"/>
    <hyperlink ref="C8" r:id="rId7" tooltip="Send a mail to structures@portofino.mt" xr:uid="{00000000-0004-0000-3C00-000006000000}"/>
    <hyperlink ref="C9" r:id="rId8" tooltip="Send a mail to info@framegrip.com" xr:uid="{00000000-0004-0000-3C00-000007000000}"/>
    <hyperlink ref="C10" r:id="rId9" tooltip="Send a mail to sales@jlautier.com" xr:uid="{00000000-0004-0000-3C00-000008000000}"/>
    <hyperlink ref="C11" r:id="rId10" tooltip="Send a mail to sales@newstylesmalta.com" xr:uid="{00000000-0004-0000-3C00-000009000000}"/>
    <hyperlink ref="C12" r:id="rId11" tooltip="Send a mail to info@amabilegalea.com" xr:uid="{00000000-0004-0000-3C00-00000A000000}"/>
    <hyperlink ref="C13" r:id="rId12" tooltip="Send a mail to info@gozoaluminium.com" xr:uid="{00000000-0004-0000-3C00-00000B000000}"/>
    <hyperlink ref="C14" r:id="rId13" tooltip="Send a mail to info@a1finishesltd.com" xr:uid="{00000000-0004-0000-3C00-00000C000000}"/>
    <hyperlink ref="C15" r:id="rId14" tooltip="Send a mail to parus984@gmail.com" xr:uid="{00000000-0004-0000-3C00-00000D000000}"/>
    <hyperlink ref="C16" r:id="rId15" tooltip="Send a mail to info@afdaaluminium.com" xr:uid="{00000000-0004-0000-3C00-00000E000000}"/>
    <hyperlink ref="C17" r:id="rId16" tooltip="Send a mail to j3aluminium@gmail.com" xr:uid="{00000000-0004-0000-3C00-00000F000000}"/>
    <hyperlink ref="C18" r:id="rId17" tooltip="Send a mail to nu-aluminium@outlook.com" xr:uid="{00000000-0004-0000-3C00-000010000000}"/>
    <hyperlink ref="C19" r:id="rId18" tooltip="Send a mail to info@nicholas.mt" xr:uid="{00000000-0004-0000-3C00-000011000000}"/>
    <hyperlink ref="C20" r:id="rId19" tooltip="Send a mail to chayron186@gmail.com" xr:uid="{00000000-0004-0000-3C00-000012000000}"/>
    <hyperlink ref="C21" r:id="rId20" tooltip="Send a mail to josefvella72@gmail.com" xr:uid="{00000000-0004-0000-3C00-000013000000}"/>
    <hyperlink ref="C22" r:id="rId21" tooltip="Send a mail to northalu@gmail.com" xr:uid="{00000000-0004-0000-3C00-000014000000}"/>
    <hyperlink ref="C23" r:id="rId22" tooltip="Send a mail to agood.installations@yahoo.com" xr:uid="{00000000-0004-0000-3C00-000015000000}"/>
    <hyperlink ref="C24" r:id="rId23" tooltip="Send a mail to gsf-1200@hotmail.com" xr:uid="{00000000-0004-0000-3C00-000016000000}"/>
    <hyperlink ref="C25" r:id="rId24" tooltip="Send a mail to jsbaluminiumworks@gmail.com" xr:uid="{00000000-0004-0000-3C00-000017000000}"/>
    <hyperlink ref="C26" r:id="rId25" tooltip="Send a mail to mario.camilleri9@gmail.com" xr:uid="{00000000-0004-0000-3C00-000018000000}"/>
    <hyperlink ref="C27" r:id="rId26" tooltip="Send a mail to info@acaluminium.com" xr:uid="{00000000-0004-0000-3C00-000019000000}"/>
    <hyperlink ref="C28" r:id="rId27" tooltip="Send a mail to lexport@go.com.mt" xr:uid="{00000000-0004-0000-3C00-00001A000000}"/>
    <hyperlink ref="C29" r:id="rId28" tooltip="Send a mail to alfalu@melita.com" xr:uid="{00000000-0004-0000-3C00-00001B000000}"/>
    <hyperlink ref="C30" r:id="rId29" tooltip="Send a mail to xandrumallia@gmail.com" xr:uid="{00000000-0004-0000-3C00-00001C000000}"/>
    <hyperlink ref="C31" r:id="rId30" tooltip="Send a mail to info@alukey.com.mt" xr:uid="{00000000-0004-0000-3C00-00001D000000}"/>
    <hyperlink ref="C32" r:id="rId31" tooltip="Send a mail to info@aluminiumltd.com" xr:uid="{00000000-0004-0000-3C00-00001E000000}"/>
    <hyperlink ref="C33" r:id="rId32" tooltip="Send a mail to andrewvella66@gmail.com" xr:uid="{00000000-0004-0000-3C00-00001F000000}"/>
    <hyperlink ref="C34" r:id="rId33" tooltip="Send a mail to info@aluminiumltd.com" xr:uid="{00000000-0004-0000-3C00-000020000000}"/>
    <hyperlink ref="C35" r:id="rId34" tooltip="Send a mail to info@basonaluminium.com" xr:uid="{00000000-0004-0000-3C00-000021000000}"/>
    <hyperlink ref="C36" r:id="rId35" tooltip="Send a mail to borgaluminiummalta@gmail.com" xr:uid="{00000000-0004-0000-3C00-000022000000}"/>
    <hyperlink ref="C37" r:id="rId36" tooltip="Send a mail to henry@bpapertures.com" xr:uid="{00000000-0004-0000-3C00-000023000000}"/>
    <hyperlink ref="C38" r:id="rId37" tooltip="Send a mail to carmelspiteri2010@gmail.com" xr:uid="{00000000-0004-0000-3C00-000024000000}"/>
    <hyperlink ref="C39" r:id="rId38" tooltip="Send a mail to info@cagroup.com.mt" xr:uid="{00000000-0004-0000-3C00-000025000000}"/>
    <hyperlink ref="C40" r:id="rId39" tooltip="Send a mail to mrgmv@onvol.net" xr:uid="{00000000-0004-0000-3C00-000026000000}"/>
    <hyperlink ref="C41" r:id="rId40" tooltip="Send a mail to chocoaluminium@gmail.com" xr:uid="{00000000-0004-0000-3C00-000027000000}"/>
    <hyperlink ref="C42" r:id="rId41" tooltip="Send a mail to info@comforabita.com" xr:uid="{00000000-0004-0000-3C00-000028000000}"/>
    <hyperlink ref="C43" r:id="rId42" tooltip="Send a mail to cba@cba.com.mt" xr:uid="{00000000-0004-0000-3C00-000029000000}"/>
    <hyperlink ref="C44" r:id="rId43" tooltip="Send a mail to daniobarbara1977@gmail.com" xr:uid="{00000000-0004-0000-3C00-00002A000000}"/>
    <hyperlink ref="C45" r:id="rId44" tooltip="Send a mail to savdim65@gmail.com" xr:uid="{00000000-0004-0000-3C00-00002B000000}"/>
    <hyperlink ref="C46" r:id="rId45" tooltip="Send a mail to info@dinglialuminium.com" xr:uid="{00000000-0004-0000-3C00-00002C000000}"/>
    <hyperlink ref="C47" r:id="rId46" tooltip="Send a mail to sales@pvcmalta.com" xr:uid="{00000000-0004-0000-3C00-00002D000000}"/>
    <hyperlink ref="C48" r:id="rId47" tooltip="Send a mail to dxaluworks@gmail.com" xr:uid="{00000000-0004-0000-3C00-00002E000000}"/>
    <hyperlink ref="C49" r:id="rId48" tooltip="Send a mail to info@expressaluminium.com" xr:uid="{00000000-0004-0000-3C00-00002F000000}"/>
    <hyperlink ref="C50" r:id="rId49" tooltip="Send a mail to simdebwebb@hotmail.com" xr:uid="{00000000-0004-0000-3C00-000030000000}"/>
    <hyperlink ref="C51" r:id="rId50" tooltip="Send a mail to faworks123@gmail.com" xr:uid="{00000000-0004-0000-3C00-000031000000}"/>
    <hyperlink ref="C52" r:id="rId51" tooltip="Send a mail to azzopardimark8@gmail.com" xr:uid="{00000000-0004-0000-3C00-000032000000}"/>
    <hyperlink ref="C53" r:id="rId52" tooltip="Send a mail to info@alugiorgio.com" xr:uid="{00000000-0004-0000-3C00-000033000000}"/>
    <hyperlink ref="C54" r:id="rId53" tooltip="Send a mail to info@grahamaluminium.com" xr:uid="{00000000-0004-0000-3C00-000034000000}"/>
    <hyperlink ref="C55" r:id="rId54" tooltip="Send a mail to guysmalta@gmail.com" xr:uid="{00000000-0004-0000-3C00-000035000000}"/>
    <hyperlink ref="C56" r:id="rId55" tooltip="Send a mail to horvinltd@gmail.com" xr:uid="{00000000-0004-0000-3C00-000036000000}"/>
    <hyperlink ref="C58" r:id="rId56" tooltip="Send a mail to johnjandb@gmail.com" xr:uid="{00000000-0004-0000-3C00-000037000000}"/>
    <hyperlink ref="C59" r:id="rId57" tooltip="Send a mail to info@jcdaluminium.com" xr:uid="{00000000-0004-0000-3C00-000038000000}"/>
    <hyperlink ref="C60" r:id="rId58" tooltip="Send a mail to jk.aluminium@yahoo.com" xr:uid="{00000000-0004-0000-3C00-000039000000}"/>
    <hyperlink ref="C61" r:id="rId59" tooltip="Send a mail to admin@jamarmalta.com" xr:uid="{00000000-0004-0000-3C00-00003A000000}"/>
    <hyperlink ref="C62" r:id="rId60" tooltip="Send a mail to info@jasonaluminium.com" xr:uid="{00000000-0004-0000-3C00-00003B000000}"/>
    <hyperlink ref="C63" r:id="rId61" tooltip="Send a mail to kkalworks@gmail.com" xr:uid="{00000000-0004-0000-3C00-00003C000000}"/>
    <hyperlink ref="C64" r:id="rId62" tooltip="Send a mail to bjorn.vassallo@gmail.com" xr:uid="{00000000-0004-0000-3C00-00003D000000}"/>
    <hyperlink ref="C65" r:id="rId63" tooltip="Send a mail to gmuscat@live.com" xr:uid="{00000000-0004-0000-3C00-00003E000000}"/>
    <hyperlink ref="C66" r:id="rId64" tooltip="Send a mail to nicdimech@gmail.com" xr:uid="{00000000-0004-0000-3C00-00003F000000}"/>
    <hyperlink ref="C67" r:id="rId65" tooltip="Send a mail to Info@perfectum.mt" xr:uid="{00000000-0004-0000-3C00-000040000000}"/>
    <hyperlink ref="C68" r:id="rId66" tooltip="Send a mail to matteo.pisani40@gmail.com" xr:uid="{00000000-0004-0000-3C00-000041000000}"/>
    <hyperlink ref="C69" r:id="rId67" tooltip="Send a mail to qormialum@gmail.com" xr:uid="{00000000-0004-0000-3C00-000042000000}"/>
    <hyperlink ref="C70" r:id="rId68" tooltip="Send a mail to rcalworks@gmail.com" xr:uid="{00000000-0004-0000-3C00-000043000000}"/>
    <hyperlink ref="C71" r:id="rId69" tooltip="Send a mail to rapa.aluminium@gmail.com" xr:uid="{00000000-0004-0000-3C00-000044000000}"/>
    <hyperlink ref="C72" r:id="rId70" tooltip="Send a mail to raymondfarrugia74@gmail.com" xr:uid="{00000000-0004-0000-3C00-000045000000}"/>
    <hyperlink ref="C73" r:id="rId71" tooltip="Send a mail to refinedaluworks@gmail.com" xr:uid="{00000000-0004-0000-3C00-000046000000}"/>
    <hyperlink ref="C74" r:id="rId72" tooltip="Send a mail to info@servgroupmalta.com" xr:uid="{00000000-0004-0000-3C00-000047000000}"/>
    <hyperlink ref="C75" r:id="rId73" tooltip="Send a mail to info@sptechniques.com" xr:uid="{00000000-0004-0000-3C00-000048000000}"/>
    <hyperlink ref="C76" r:id="rId74" tooltip="Send a mail to sunaluminium@hotmail.com" xr:uid="{00000000-0004-0000-3C00-000049000000}"/>
    <hyperlink ref="C77" r:id="rId75" tooltip="Send a mail to t.camillerialuminium@hotmail.com" xr:uid="{00000000-0004-0000-3C00-00004A000000}"/>
    <hyperlink ref="C78" r:id="rId76" tooltip="Send a mail to info@towergroupmalta.com" xr:uid="{00000000-0004-0000-3C00-00004B000000}"/>
    <hyperlink ref="C79" r:id="rId77" tooltip="Send a mail to zammitalu@gmail.com" xr:uid="{00000000-0004-0000-3C00-00004C000000}"/>
    <hyperlink ref="C80" r:id="rId78" tooltip="Send a mail to tonnalum@yahoo.com" xr:uid="{00000000-0004-0000-3C00-00004D000000}"/>
    <hyperlink ref="C81" r:id="rId79" tooltip="Send a mail to aluminiumbypaul@gmail.com" xr:uid="{00000000-0004-0000-3C00-00004E000000}"/>
    <hyperlink ref="C82" r:id="rId80" tooltip="Send a mail to dt.aluminium@outlook.com" xr:uid="{00000000-0004-0000-3C00-00004F000000}"/>
    <hyperlink ref="C83" r:id="rId81" tooltip="Send a mail to amatohomeimprovements@gmail.com" xr:uid="{00000000-0004-0000-3C00-000050000000}"/>
    <hyperlink ref="F2" r:id="rId82" tooltip="Visit yellow.com.mt/i-c-s-aluminium_aluminium-apertures-fixtures%2Bqormi/?utm_source=chatgpt.com" xr:uid="{00000000-0004-0000-3C00-000051000000}"/>
    <hyperlink ref="F3" r:id="rId83" tooltip="Visit triedandtested.mt/listing/philip-said-aluminium-works" xr:uid="{00000000-0004-0000-3C00-000052000000}"/>
    <hyperlink ref="F4" r:id="rId84" tooltip="Visit facebook.com/alultd/" xr:uid="{00000000-0004-0000-3C00-000053000000}"/>
    <hyperlink ref="F5" r:id="rId85" tooltip="Visit checkyourtraders.com/listing/azzopardi-aluminium-metalworks?utm_source=chatgpt.com" xr:uid="{00000000-0004-0000-3C00-000054000000}"/>
  </hyperlinks>
  <pageMargins left="0.75" right="0.75" top="0.75" bottom="0.5" header="0.5" footer="0.7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4"/>
  <sheetViews>
    <sheetView workbookViewId="0"/>
  </sheetViews>
  <sheetFormatPr defaultRowHeight="14.4" x14ac:dyDescent="0.3"/>
  <cols>
    <col min="1" max="1" width="8" customWidth="1"/>
    <col min="2" max="2" width="12.5546875" customWidth="1"/>
    <col min="3" max="3" width="21.6640625" customWidth="1"/>
    <col min="4" max="4" width="29.88671875" customWidth="1"/>
    <col min="5" max="5" width="33.109375" customWidth="1"/>
    <col min="6" max="6" width="27.554687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3770</v>
      </c>
      <c r="B2" s="2" t="s">
        <v>995</v>
      </c>
      <c r="C2" s="3" t="s">
        <v>1017</v>
      </c>
      <c r="D2" s="2" t="str">
        <f>CONCATENATE(HYPERLINK("CALLTO:%2B356%209921%205215", "+356 9921 5215"))</f>
        <v>+356 9921 5215</v>
      </c>
      <c r="E2" s="3" t="s">
        <v>1038</v>
      </c>
      <c r="F2" s="3" t="s">
        <v>1056</v>
      </c>
    </row>
    <row r="3" spans="1:6" x14ac:dyDescent="0.3">
      <c r="A3" s="4" t="s">
        <v>3770</v>
      </c>
      <c r="B3" s="4" t="s">
        <v>3488</v>
      </c>
      <c r="C3" s="5" t="s">
        <v>3576</v>
      </c>
      <c r="D3" s="4" t="str">
        <f>CONCATENATE(HYPERLINK("CALLTO:%2B356%209959%204709", "+356 9959 4709"))</f>
        <v>+356 9959 4709</v>
      </c>
      <c r="E3" s="5" t="s">
        <v>3668</v>
      </c>
      <c r="F3" s="5" t="s">
        <v>3739</v>
      </c>
    </row>
    <row r="4" spans="1:6" x14ac:dyDescent="0.3">
      <c r="A4" s="2" t="s">
        <v>3770</v>
      </c>
      <c r="B4" s="2" t="s">
        <v>2569</v>
      </c>
      <c r="C4" s="3" t="s">
        <v>2588</v>
      </c>
      <c r="D4" s="2" t="str">
        <f>CONCATENATE(HYPERLINK("CALLTO:%2B356%207943%204443", "+356 7943 4443"), " / ", HYPERLINK("CALLTO:%2B356%202143%204443", "+356 2143 4443"))</f>
        <v>+356 7943 4443 / +356 2143 4443</v>
      </c>
      <c r="E4" s="3" t="s">
        <v>2607</v>
      </c>
      <c r="F4" s="3" t="s">
        <v>2626</v>
      </c>
    </row>
  </sheetData>
  <hyperlinks>
    <hyperlink ref="C2" r:id="rId1" tooltip="Send a mail to Info@perfectum.mt" xr:uid="{00000000-0004-0000-3D00-000000000000}"/>
    <hyperlink ref="C3" r:id="rId2" tooltip="Send a mail to valormalta@gmail.com" xr:uid="{00000000-0004-0000-3D00-000001000000}"/>
    <hyperlink ref="C4" r:id="rId3" tooltip="Send a mail to info@nigeldimech.com" xr:uid="{00000000-0004-0000-3D00-000002000000}"/>
    <hyperlink ref="E2" r:id="rId4" tooltip="Search Valletta, Malta on Google Maps" xr:uid="{00000000-0004-0000-3D00-000003000000}"/>
    <hyperlink ref="E3" r:id="rId5" tooltip="Search Triq l-isturnell Roza, Hal Luqa, Malta on Google Maps" xr:uid="{00000000-0004-0000-3D00-000004000000}"/>
    <hyperlink ref="E4" r:id="rId6" tooltip="Search KKW 721, Corradino _x000a_Industrial Estate_x000a_Paola, PLA 3000, Malta on Google Maps" xr:uid="{00000000-0004-0000-3D00-000005000000}"/>
    <hyperlink ref="F2" r:id="rId7" tooltip="Visit facebook.com/perfectummt/" xr:uid="{00000000-0004-0000-3D00-000006000000}"/>
    <hyperlink ref="F3" r:id="rId8" tooltip="Visit valormalta.wixsite.com/valor" xr:uid="{00000000-0004-0000-3D00-000007000000}"/>
    <hyperlink ref="F4" r:id="rId9" tooltip="Visit nigeldimech.com/" xr:uid="{00000000-0004-0000-3D00-000008000000}"/>
  </hyperlinks>
  <pageMargins left="0.75" right="0.75" top="0.75" bottom="0.5" header="0.5" footer="0.7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7"/>
  <sheetViews>
    <sheetView workbookViewId="0"/>
  </sheetViews>
  <sheetFormatPr defaultRowHeight="14.4" x14ac:dyDescent="0.3"/>
  <cols>
    <col min="1" max="1" width="18" customWidth="1"/>
    <col min="2" max="2" width="29.44140625" customWidth="1"/>
    <col min="3" max="3" width="36.88671875" customWidth="1"/>
    <col min="4" max="4" width="29.88671875" customWidth="1"/>
    <col min="5" max="5" width="73" customWidth="1"/>
    <col min="6" max="6" width="111.10937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3771</v>
      </c>
      <c r="B2" s="2" t="s">
        <v>3774</v>
      </c>
      <c r="C2" s="3" t="s">
        <v>3797</v>
      </c>
      <c r="D2" s="2" t="str">
        <f>CONCATENATE(HYPERLINK("CALLTO:%2B356%207953%209185", "+356 7953 9185"), " / ", HYPERLINK("CALLTO:%2B356%202146%201178", "+356 2146 1178"))</f>
        <v>+356 7953 9185 / +356 2146 1178</v>
      </c>
      <c r="E2" s="3" t="s">
        <v>3810</v>
      </c>
      <c r="F2" s="3" t="s">
        <v>3835</v>
      </c>
    </row>
    <row r="3" spans="1:6" x14ac:dyDescent="0.3">
      <c r="A3" s="4" t="s">
        <v>3772</v>
      </c>
      <c r="B3" s="4" t="s">
        <v>3775</v>
      </c>
      <c r="C3" s="5" t="s">
        <v>3495</v>
      </c>
      <c r="D3" s="4" t="str">
        <f>CONCATENATE(HYPERLINK("CALLTO:%2B356%209947%205183", "+356 9947 5183"))</f>
        <v>+356 9947 5183</v>
      </c>
      <c r="E3" s="5" t="s">
        <v>3811</v>
      </c>
      <c r="F3" s="5" t="s">
        <v>3836</v>
      </c>
    </row>
    <row r="4" spans="1:6" x14ac:dyDescent="0.3">
      <c r="A4" s="2" t="s">
        <v>3772</v>
      </c>
      <c r="B4" s="2" t="s">
        <v>3776</v>
      </c>
      <c r="C4" s="3" t="s">
        <v>3749</v>
      </c>
      <c r="D4" s="2" t="str">
        <f>CONCATENATE(HYPERLINK("CALLTO:%2B356%202137%204563", "+356 2137 4563"), " / ", HYPERLINK("CALLTO:%2B356%209999%206766", "+356 9999 6766"))</f>
        <v>+356 2137 4563 / +356 9999 6766</v>
      </c>
      <c r="E4" s="3" t="s">
        <v>3812</v>
      </c>
      <c r="F4" s="3" t="s">
        <v>3837</v>
      </c>
    </row>
    <row r="5" spans="1:6" x14ac:dyDescent="0.3">
      <c r="A5" s="4" t="s">
        <v>3772</v>
      </c>
      <c r="B5" s="4" t="s">
        <v>3777</v>
      </c>
      <c r="C5" s="5" t="s">
        <v>3515</v>
      </c>
      <c r="D5" s="4" t="str">
        <f>CONCATENATE(HYPERLINK("CALLTO:%2B356%202145%206570", "+356 2145 6570"), " / ", HYPERLINK("CALLTO:%2B356%202145%206560", "+356 2145 6560"))</f>
        <v>+356 2145 6570 / +356 2145 6560</v>
      </c>
      <c r="E5" s="5" t="s">
        <v>3813</v>
      </c>
      <c r="F5" s="5" t="s">
        <v>3838</v>
      </c>
    </row>
    <row r="6" spans="1:6" x14ac:dyDescent="0.3">
      <c r="A6" s="2" t="s">
        <v>3772</v>
      </c>
      <c r="B6" s="2" t="s">
        <v>3778</v>
      </c>
      <c r="C6" s="3" t="s">
        <v>2599</v>
      </c>
      <c r="D6" s="2" t="str">
        <f>CONCATENATE(HYPERLINK("CALLTO:%2B356%202138%202595", "+356 2138 2595"))</f>
        <v>+356 2138 2595</v>
      </c>
      <c r="E6" s="3" t="s">
        <v>2617</v>
      </c>
      <c r="F6" s="3" t="s">
        <v>2637</v>
      </c>
    </row>
    <row r="7" spans="1:6" x14ac:dyDescent="0.3">
      <c r="A7" s="4" t="s">
        <v>3773</v>
      </c>
      <c r="B7" s="4" t="s">
        <v>3779</v>
      </c>
      <c r="C7" s="5" t="s">
        <v>3799</v>
      </c>
      <c r="D7" s="4" t="str">
        <f>CONCATENATE(HYPERLINK("CALLTO:%2B356%202143%200936", "+356 2143 0936"), " / ", HYPERLINK("CALLTO:%2B356%209943%200936", "+356 9943 0936"))</f>
        <v>+356 2143 0936 / +356 9943 0936</v>
      </c>
      <c r="E7" s="5" t="s">
        <v>3814</v>
      </c>
      <c r="F7" s="5" t="s">
        <v>3839</v>
      </c>
    </row>
    <row r="8" spans="1:6" x14ac:dyDescent="0.3">
      <c r="A8" s="2" t="s">
        <v>3772</v>
      </c>
      <c r="B8" s="2" t="s">
        <v>3780</v>
      </c>
      <c r="C8" s="3" t="s">
        <v>3491</v>
      </c>
      <c r="D8" s="2" t="str">
        <f>CONCATENATE(HYPERLINK("CALLTO:%2B356%202141%203044", "+356 2141 3044"), " / ", HYPERLINK("CALLTO:%2B356%209943%207436", "+356 9943 7436"))</f>
        <v>+356 2141 3044 / +356 9943 7436</v>
      </c>
      <c r="E8" s="3" t="s">
        <v>3815</v>
      </c>
      <c r="F8" s="3" t="s">
        <v>3840</v>
      </c>
    </row>
    <row r="9" spans="1:6" x14ac:dyDescent="0.3">
      <c r="A9" s="4" t="s">
        <v>3772</v>
      </c>
      <c r="B9" s="4" t="s">
        <v>3781</v>
      </c>
      <c r="C9" s="5" t="s">
        <v>2332</v>
      </c>
      <c r="D9" s="4" t="str">
        <f>CONCATENATE(HYPERLINK("CALLTO:%2B356%209989%207509", "+356 9989 7509"))</f>
        <v>+356 9989 7509</v>
      </c>
      <c r="E9" s="5" t="s">
        <v>3816</v>
      </c>
      <c r="F9" s="5" t="s">
        <v>3841</v>
      </c>
    </row>
    <row r="10" spans="1:6" x14ac:dyDescent="0.3">
      <c r="A10" s="2" t="s">
        <v>3772</v>
      </c>
      <c r="B10" s="2" t="s">
        <v>3782</v>
      </c>
      <c r="C10" s="3" t="s">
        <v>3800</v>
      </c>
      <c r="D10" s="2" t="str">
        <f>CONCATENATE(HYPERLINK("CALLTO:%2B356%202156%205946", "+356 2156 5946"), " / ", HYPERLINK("CALLTO:%2B356%209942%209340", "+356 9942 9340"))</f>
        <v>+356 2156 5946 / +356 9942 9340</v>
      </c>
      <c r="E10" s="3" t="s">
        <v>3817</v>
      </c>
      <c r="F10" s="3" t="s">
        <v>3842</v>
      </c>
    </row>
    <row r="11" spans="1:6" x14ac:dyDescent="0.3">
      <c r="A11" s="4" t="s">
        <v>3772</v>
      </c>
      <c r="B11" s="4" t="s">
        <v>3783</v>
      </c>
      <c r="C11" s="5" t="s">
        <v>3801</v>
      </c>
      <c r="D11" s="4" t="str">
        <f>CONCATENATE(HYPERLINK("CALLTO:%2B356%209940%206626", "+356 9940 6626"), " / ", HYPERLINK("CALLTO:%2B356%202123%202190", "+356 2123 2190"))</f>
        <v>+356 9940 6626 / +356 2123 2190</v>
      </c>
      <c r="E11" s="5" t="s">
        <v>3818</v>
      </c>
      <c r="F11" s="5" t="s">
        <v>3843</v>
      </c>
    </row>
    <row r="12" spans="1:6" x14ac:dyDescent="0.3">
      <c r="A12" s="2" t="s">
        <v>3772</v>
      </c>
      <c r="B12" s="2" t="s">
        <v>3784</v>
      </c>
      <c r="C12" s="3" t="s">
        <v>3802</v>
      </c>
      <c r="D12" s="2" t="str">
        <f>CONCATENATE(HYPERLINK("CALLTO:%2B356%207930%205449", "+356 7930 5449"))</f>
        <v>+356 7930 5449</v>
      </c>
      <c r="E12" s="3" t="s">
        <v>3819</v>
      </c>
      <c r="F12" s="3" t="s">
        <v>3844</v>
      </c>
    </row>
    <row r="13" spans="1:6" x14ac:dyDescent="0.3">
      <c r="A13" s="4" t="s">
        <v>3772</v>
      </c>
      <c r="B13" s="4" t="s">
        <v>3785</v>
      </c>
      <c r="C13" s="5" t="s">
        <v>3803</v>
      </c>
      <c r="D13" s="4" t="str">
        <f>CONCATENATE(HYPERLINK("CALLTO:%2B356%202147%202304", "+356 2147 2304"))</f>
        <v>+356 2147 2304</v>
      </c>
      <c r="E13" s="5" t="s">
        <v>3820</v>
      </c>
      <c r="F13" s="5" t="s">
        <v>3845</v>
      </c>
    </row>
    <row r="14" spans="1:6" x14ac:dyDescent="0.3">
      <c r="A14" s="2" t="s">
        <v>3771</v>
      </c>
      <c r="B14" s="2" t="s">
        <v>3786</v>
      </c>
      <c r="C14" s="3" t="s">
        <v>1640</v>
      </c>
      <c r="D14" s="2" t="str">
        <f>CONCATENATE(HYPERLINK("CALLTO:%2B356%202165%208888", "+356 2165 8888"))</f>
        <v>+356 2165 8888</v>
      </c>
      <c r="E14" s="3" t="s">
        <v>3821</v>
      </c>
      <c r="F14" s="3" t="s">
        <v>3846</v>
      </c>
    </row>
    <row r="15" spans="1:6" x14ac:dyDescent="0.3">
      <c r="A15" s="4" t="s">
        <v>3772</v>
      </c>
      <c r="B15" s="4" t="s">
        <v>3787</v>
      </c>
      <c r="C15" s="5" t="s">
        <v>235</v>
      </c>
      <c r="D15" s="4" t="str">
        <f>CONCATENATE(HYPERLINK("CALLTO:%2B356%209947%203187", "+356 9947 3187"))</f>
        <v>+356 9947 3187</v>
      </c>
      <c r="E15" s="5" t="s">
        <v>3822</v>
      </c>
      <c r="F15" s="5" t="s">
        <v>3847</v>
      </c>
    </row>
    <row r="16" spans="1:6" x14ac:dyDescent="0.3">
      <c r="A16" s="2" t="s">
        <v>3772</v>
      </c>
      <c r="B16" s="2" t="s">
        <v>221</v>
      </c>
      <c r="C16" s="3" t="s">
        <v>231</v>
      </c>
      <c r="D16" s="2" t="str">
        <f>CONCATENATE(HYPERLINK("CALLTO:%2B356%202141%200441", "+356 2141 0441"), " / ", HYPERLINK("CALLTO:%2B356%209942%200685", "+356 9942 0685"))</f>
        <v>+356 2141 0441 / +356 9942 0685</v>
      </c>
      <c r="E16" s="3" t="s">
        <v>3823</v>
      </c>
      <c r="F16" s="3" t="s">
        <v>3848</v>
      </c>
    </row>
    <row r="17" spans="1:6" x14ac:dyDescent="0.3">
      <c r="A17" s="4" t="s">
        <v>3772</v>
      </c>
      <c r="B17" s="4" t="s">
        <v>3788</v>
      </c>
      <c r="C17" s="5" t="s">
        <v>3804</v>
      </c>
      <c r="D17" s="4" t="str">
        <f>CONCATENATE(HYPERLINK("CALLTO:%2B356%202122%200783", "+356 2122 0783"))</f>
        <v>+356 2122 0783</v>
      </c>
      <c r="E17" s="5" t="s">
        <v>3824</v>
      </c>
      <c r="F17" s="5" t="s">
        <v>3849</v>
      </c>
    </row>
    <row r="18" spans="1:6" x14ac:dyDescent="0.3">
      <c r="A18" s="2" t="s">
        <v>3773</v>
      </c>
      <c r="B18" s="2" t="s">
        <v>3789</v>
      </c>
      <c r="C18" s="3" t="s">
        <v>3805</v>
      </c>
      <c r="D18" s="2" t="str">
        <f>CONCATENATE(HYPERLINK("CALLTO:%2B356%207979%204242", "+356 7979 4242"), " / ", HYPERLINK("CALLTO:%2B356%207770%207433", "+356 7770 7433"))</f>
        <v>+356 7979 4242 / +356 7770 7433</v>
      </c>
      <c r="E18" s="3" t="s">
        <v>3825</v>
      </c>
      <c r="F18" s="3" t="s">
        <v>3850</v>
      </c>
    </row>
    <row r="19" spans="1:6" x14ac:dyDescent="0.3">
      <c r="A19" s="4" t="s">
        <v>3387</v>
      </c>
      <c r="B19" s="4" t="s">
        <v>3790</v>
      </c>
      <c r="C19" s="5" t="s">
        <v>3806</v>
      </c>
      <c r="D19" s="4" t="str">
        <f>CONCATENATE(HYPERLINK("CALLTO:%2B356%207749%204054", "+356 7749 4054"))</f>
        <v>+356 7749 4054</v>
      </c>
      <c r="E19" s="5" t="s">
        <v>3826</v>
      </c>
      <c r="F19" s="5" t="s">
        <v>3851</v>
      </c>
    </row>
    <row r="20" spans="1:6" x14ac:dyDescent="0.3">
      <c r="A20" s="2" t="s">
        <v>3772</v>
      </c>
      <c r="B20" s="2" t="s">
        <v>3791</v>
      </c>
      <c r="C20" s="3" t="s">
        <v>237</v>
      </c>
      <c r="D20" s="2" t="str">
        <f>CONCATENATE(HYPERLINK("CALLTO:%2B356%202168%205021", "+356 2168 5021"))</f>
        <v>+356 2168 5021</v>
      </c>
      <c r="E20" s="3" t="s">
        <v>3827</v>
      </c>
      <c r="F20" s="3" t="s">
        <v>3852</v>
      </c>
    </row>
    <row r="21" spans="1:6" x14ac:dyDescent="0.3">
      <c r="A21" s="4" t="s">
        <v>3772</v>
      </c>
      <c r="B21" s="4" t="s">
        <v>3792</v>
      </c>
      <c r="C21" s="5" t="s">
        <v>3565</v>
      </c>
      <c r="D21" s="4" t="str">
        <f>CONCATENATE(HYPERLINK("CALLTO:%2B356%207929%209248", "+356 7929 9248"))</f>
        <v>+356 7929 9248</v>
      </c>
      <c r="E21" s="5" t="s">
        <v>3828</v>
      </c>
      <c r="F21" s="5" t="s">
        <v>3853</v>
      </c>
    </row>
    <row r="22" spans="1:6" x14ac:dyDescent="0.3">
      <c r="A22" s="2" t="s">
        <v>3771</v>
      </c>
      <c r="B22" s="2" t="s">
        <v>3793</v>
      </c>
      <c r="C22" s="3" t="s">
        <v>3807</v>
      </c>
      <c r="D22" s="2" t="str">
        <f>CONCATENATE(HYPERLINK("CALLTO:%2B356%207933%20297", "+356 7933 297"))</f>
        <v>+356 7933 297</v>
      </c>
      <c r="E22" s="3" t="s">
        <v>3829</v>
      </c>
      <c r="F22" s="3" t="s">
        <v>3854</v>
      </c>
    </row>
    <row r="23" spans="1:6" x14ac:dyDescent="0.3">
      <c r="A23" s="4" t="s">
        <v>3773</v>
      </c>
      <c r="B23" s="4" t="s">
        <v>3794</v>
      </c>
      <c r="C23" s="5" t="s">
        <v>3808</v>
      </c>
      <c r="D23" s="4" t="str">
        <f>CONCATENATE(HYPERLINK("CALLTO:%2B356%209952%204677", "+356 9952 4677"))</f>
        <v>+356 9952 4677</v>
      </c>
      <c r="E23" s="5" t="s">
        <v>3830</v>
      </c>
      <c r="F23" s="5" t="s">
        <v>3855</v>
      </c>
    </row>
    <row r="24" spans="1:6" x14ac:dyDescent="0.3">
      <c r="A24" s="2" t="s">
        <v>3772</v>
      </c>
      <c r="B24" s="2" t="s">
        <v>3795</v>
      </c>
      <c r="C24" s="3" t="s">
        <v>1077</v>
      </c>
      <c r="D24" s="2" t="str">
        <f>CONCATENATE(HYPERLINK("CALLTO:%2B356%202180%208802", "+356 2180 8802"))</f>
        <v>+356 2180 8802</v>
      </c>
      <c r="E24" s="3" t="s">
        <v>3831</v>
      </c>
      <c r="F24" s="3" t="s">
        <v>3856</v>
      </c>
    </row>
    <row r="25" spans="1:6" x14ac:dyDescent="0.3">
      <c r="A25" s="4" t="s">
        <v>3772</v>
      </c>
      <c r="B25" s="4" t="s">
        <v>3796</v>
      </c>
      <c r="C25" s="5" t="s">
        <v>3809</v>
      </c>
      <c r="D25" s="4" t="str">
        <f>CONCATENATE(HYPERLINK("CALLTO:%2B356%207757%200506", "+356 7757 0506"))</f>
        <v>+356 7757 0506</v>
      </c>
      <c r="E25" s="5" t="s">
        <v>3832</v>
      </c>
      <c r="F25" s="5" t="s">
        <v>3845</v>
      </c>
    </row>
    <row r="26" spans="1:6" x14ac:dyDescent="0.3">
      <c r="A26" s="2" t="s">
        <v>3772</v>
      </c>
      <c r="B26" s="2" t="s">
        <v>3785</v>
      </c>
      <c r="C26" s="3" t="s">
        <v>3803</v>
      </c>
      <c r="D26" s="2" t="str">
        <f>CONCATENATE(HYPERLINK("CALLTO:%2B356%202147%202304", "+356 2147 2304"))</f>
        <v>+356 2147 2304</v>
      </c>
      <c r="E26" s="3" t="s">
        <v>3833</v>
      </c>
      <c r="F26" s="3" t="s">
        <v>3857</v>
      </c>
    </row>
    <row r="27" spans="1:6" x14ac:dyDescent="0.3">
      <c r="A27" s="4" t="s">
        <v>3772</v>
      </c>
      <c r="B27" s="4" t="s">
        <v>3798</v>
      </c>
      <c r="C27" s="5" t="s">
        <v>1645</v>
      </c>
      <c r="D27" s="4" t="str">
        <f>CONCATENATE(HYPERLINK("CALLTO:%2B356%207977%203801", "+356 7977 3801"))</f>
        <v>+356 7977 3801</v>
      </c>
      <c r="E27" s="4"/>
      <c r="F27" s="4"/>
    </row>
  </sheetData>
  <hyperlinks>
    <hyperlink ref="C2" r:id="rId1" tooltip="Send a mail to info@josephmifsud.com" xr:uid="{00000000-0004-0000-3E00-000000000000}"/>
    <hyperlink ref="C3" r:id="rId2" tooltip="Send a mail to info@grimafurniture.com" xr:uid="{00000000-0004-0000-3E00-000001000000}"/>
    <hyperlink ref="C4" r:id="rId3" tooltip="Send a mail to sales@ampmalta.com" xr:uid="{00000000-0004-0000-3E00-000002000000}"/>
    <hyperlink ref="C5" r:id="rId4" tooltip="Send a mail to sales@adoremore.eu" xr:uid="{00000000-0004-0000-3E00-000003000000}"/>
    <hyperlink ref="C6" r:id="rId5" tooltip="Send a mail to sales@pvcmalta.com" xr:uid="{00000000-0004-0000-3E00-000004000000}"/>
    <hyperlink ref="C7" r:id="rId6" tooltip="Send a mail to info@cassarwoodworks.com" xr:uid="{00000000-0004-0000-3E00-000005000000}"/>
    <hyperlink ref="C8" r:id="rId7" tooltip="Send a mail to info@stanthonyww.com" xr:uid="{00000000-0004-0000-3E00-000006000000}"/>
    <hyperlink ref="C9" r:id="rId8" tooltip="Send a mail to candmww@gmail.com" xr:uid="{00000000-0004-0000-3E00-000007000000}"/>
    <hyperlink ref="C10" r:id="rId9" tooltip="Send a mail to info@pisaniwoodworks.com" xr:uid="{00000000-0004-0000-3E00-000008000000}"/>
    <hyperlink ref="C11" r:id="rId10" tooltip="Send a mail to masterwoodmalta@gmail.com" xr:uid="{00000000-0004-0000-3E00-000009000000}"/>
    <hyperlink ref="C12" r:id="rId11" tooltip="Send a mail to gilbertmicallef1@gmail.com" xr:uid="{00000000-0004-0000-3E00-00000A000000}"/>
    <hyperlink ref="C13" r:id="rId12" tooltip="Send a mail to info@classicdesign.mt" xr:uid="{00000000-0004-0000-3E00-00000B000000}"/>
    <hyperlink ref="C14" r:id="rId13" tooltip="Send a mail to info@kubekgroup.com" xr:uid="{00000000-0004-0000-3E00-00000C000000}"/>
    <hyperlink ref="C15" r:id="rId14" tooltip="Send a mail to joseph.briffa.woodworks@hotmail.com" xr:uid="{00000000-0004-0000-3E00-00000D000000}"/>
    <hyperlink ref="C16" r:id="rId15" tooltip="Send a mail to pdgl1969@gmail.com" xr:uid="{00000000-0004-0000-3E00-00000E000000}"/>
    <hyperlink ref="C17" r:id="rId16" tooltip="Send a mail to info@deliaww.net" xr:uid="{00000000-0004-0000-3E00-00000F000000}"/>
    <hyperlink ref="C18" r:id="rId17" tooltip="Send a mail to info@ddoorcompany.com" xr:uid="{00000000-0004-0000-3E00-000010000000}"/>
    <hyperlink ref="C19" r:id="rId18" tooltip="Send a mail to info@conforthouse.mt" xr:uid="{00000000-0004-0000-3E00-000011000000}"/>
    <hyperlink ref="C20" r:id="rId19" tooltip="Send a mail to info@baldacchinogroup.com" xr:uid="{00000000-0004-0000-3E00-000012000000}"/>
    <hyperlink ref="C21" r:id="rId20" tooltip="Send a mail to luke@woodware.com.mt" xr:uid="{00000000-0004-0000-3E00-000013000000}"/>
    <hyperlink ref="C22" r:id="rId21" tooltip="Send a mail to joelgattcarpentry@gmail.com" xr:uid="{00000000-0004-0000-3E00-000014000000}"/>
    <hyperlink ref="C23" r:id="rId22" tooltip="Send a mail to mastercarpentermalta@outlook.com" xr:uid="{00000000-0004-0000-3E00-000015000000}"/>
    <hyperlink ref="C24" r:id="rId23" tooltip="Send a mail to info@trendsltdmalta.com" xr:uid="{00000000-0004-0000-3E00-000016000000}"/>
    <hyperlink ref="C25" r:id="rId24" tooltip="Send a mail to Projectdarmalta@gmail.com" xr:uid="{00000000-0004-0000-3E00-000017000000}"/>
    <hyperlink ref="C26" r:id="rId25" tooltip="Send a mail to info@classicdesign.mt" xr:uid="{00000000-0004-0000-3E00-000018000000}"/>
    <hyperlink ref="C27" r:id="rId26" tooltip="Send a mail to cieffejoinery@fsh.com.mt" xr:uid="{00000000-0004-0000-3E00-000019000000}"/>
    <hyperlink ref="E2" r:id="rId27" tooltip="Search Joseph Mifsud Woodworks Ltd 48, Triq Dun Luret Callus Zebbug ZBG 2495 Malta on Google Maps" xr:uid="{00000000-0004-0000-3E00-00001A000000}"/>
    <hyperlink ref="E3" r:id="rId28" tooltip="Search Zone 2, Triq L-Ghadam, Central Business District_x000a_B’Kara - Malta_x000a_CBD 2060 on Google Maps" xr:uid="{00000000-0004-0000-3E00-00001B000000}"/>
    <hyperlink ref="E4" r:id="rId29" tooltip="Search 8 Garra, Is-Swieqi on Google Maps" xr:uid="{00000000-0004-0000-3E00-00001C000000}"/>
    <hyperlink ref="E5" r:id="rId30" tooltip="Search Adore More_x000a_Triq Id-Difiza Civili._x000a_Mosta, MST 1743_x000a_Malta on Google Maps" xr:uid="{00000000-0004-0000-3E00-00001D000000}"/>
    <hyperlink ref="E6" r:id="rId31" tooltip="Search L, 52 Triq Il- Muzika, Iklin IKL 1091 on Google Maps" xr:uid="{00000000-0004-0000-3E00-00001E000000}"/>
    <hyperlink ref="E7" r:id="rId32" tooltip="Search George Cassar Woodworks_x000a_Plot TQL027, Crafts Village,_x000a_Ta’ Qali, on Google Maps" xr:uid="{00000000-0004-0000-3E00-00001F000000}"/>
    <hyperlink ref="E8" r:id="rId33" tooltip="Search St. Anthony Woodworks_x000a_Triq il-Fortizza,_x000a_Mosta MST 4000 on Google Maps" xr:uid="{00000000-0004-0000-3E00-000020000000}"/>
    <hyperlink ref="E9" r:id="rId34" tooltip="Search C &amp; M Woodworks, Indri Psaila Street, Handaq Industrial Estate, Qormi on Google Maps" xr:uid="{00000000-0004-0000-3E00-000021000000}"/>
    <hyperlink ref="E10" r:id="rId35" tooltip="Search Pisani Woodworks Co. Ltd._x000a_GGX 002B,_x000a_Industrial Estate,_x000a_Xewkija XWK3000,_x000a_Gozo on Google Maps" xr:uid="{00000000-0004-0000-3E00-000022000000}"/>
    <hyperlink ref="E11" r:id="rId36" tooltip="Search 106, Ind Estate, Luqa, LQA 3000, Malta on Google Maps" xr:uid="{00000000-0004-0000-3E00-000023000000}"/>
    <hyperlink ref="E12" r:id="rId37" tooltip="Search Pearl Court, Flat 1, Vjal Il-Helsien, Haz-Zebbug, Malta on Google Maps" xr:uid="{00000000-0004-0000-3E00-000024000000}"/>
    <hyperlink ref="E13" r:id="rId38" tooltip="Search Entrance 4 No:1 Triq Valletta Il-Marsa Marsa, Malta on Google Maps" xr:uid="{00000000-0004-0000-3E00-000025000000}"/>
    <hyperlink ref="E14" r:id="rId39" tooltip="Search Kubek Showroom,_x000a_Mdina Road, Qormi on Google Maps" xr:uid="{00000000-0004-0000-3E00-000026000000}"/>
    <hyperlink ref="E15" r:id="rId40" tooltip="Search Triq Mastru Karmenu Mallia, Hal Qormi, Malta on Google Maps" xr:uid="{00000000-0004-0000-3E00-000027000000}"/>
    <hyperlink ref="E16" r:id="rId41" tooltip="Search Triq Il-Kappar, Il-Mosta, Malta MST 03 on Google Maps" xr:uid="{00000000-0004-0000-3E00-000028000000}"/>
    <hyperlink ref="E17" r:id="rId42" tooltip="Search Factory A5a, Qasam Industrijali, Il-Marsa, Malta on Google Maps" xr:uid="{00000000-0004-0000-3E00-000029000000}"/>
    <hyperlink ref="E18" r:id="rId43" tooltip="Search 128 Old Railway Track, Santa Venera on Google Maps" xr:uid="{00000000-0004-0000-3E00-00002A000000}"/>
    <hyperlink ref="E19" r:id="rId44" tooltip="Search 71, Triq L-Imdina Qormi – Malta on Google Maps" xr:uid="{00000000-0004-0000-3E00-00002B000000}"/>
    <hyperlink ref="E20" r:id="rId45" tooltip="Search Baldacchino Builldings, Valletta road, Iz-Zurrieq, Malta on Google Maps" xr:uid="{00000000-0004-0000-3E00-00002C000000}"/>
    <hyperlink ref="E21" r:id="rId46" tooltip="Search A8, Industrial Estate, Marsa, Malta, MRS3000 on Google Maps" xr:uid="{00000000-0004-0000-3E00-00002D000000}"/>
    <hyperlink ref="E22" r:id="rId47" tooltip="Search Ħal Għaxaq, Malta on Google Maps" xr:uid="{00000000-0004-0000-3E00-00002E000000}"/>
    <hyperlink ref="E23" r:id="rId48" tooltip="Search KKW011, Corradino Industrial Estate, Paola, PLA 3000, Malta on Google Maps" xr:uid="{00000000-0004-0000-3E00-00002F000000}"/>
    <hyperlink ref="E24" r:id="rId49" tooltip="Search Naxxar, Malta on Google Maps" xr:uid="{00000000-0004-0000-3E00-000030000000}"/>
    <hyperlink ref="E25" r:id="rId50" tooltip="Search Triq Valletta Il-Marsa, Marsa, Malta on Google Maps" xr:uid="{00000000-0004-0000-3E00-000031000000}"/>
    <hyperlink ref="E26" r:id="rId51" tooltip="Search Hal Far Road, Birzebbugia, Malta on Google Maps" xr:uid="{00000000-0004-0000-3E00-000032000000}"/>
    <hyperlink ref="F2" r:id="rId52" tooltip="Visit josephmifsud.com/en/home.htm" xr:uid="{00000000-0004-0000-3E00-000033000000}"/>
    <hyperlink ref="F3" r:id="rId53" tooltip="Visit grimafurniture.com/" xr:uid="{00000000-0004-0000-3E00-000034000000}"/>
    <hyperlink ref="F4" r:id="rId54" tooltip="Visit pvc.com.mt/" xr:uid="{00000000-0004-0000-3E00-000035000000}"/>
    <hyperlink ref="F5" r:id="rId55" tooltip="Visit adoremore.com.mt/" xr:uid="{00000000-0004-0000-3E00-000036000000}"/>
    <hyperlink ref="F6" r:id="rId56" tooltip="Visit pvcmalta.com/en/home.htm" xr:uid="{00000000-0004-0000-3E00-000037000000}"/>
    <hyperlink ref="F7" r:id="rId57" tooltip="Visit cassarwoodworks.com/" xr:uid="{00000000-0004-0000-3E00-000038000000}"/>
    <hyperlink ref="F8" r:id="rId58" tooltip="Visit stanthonyww.com/" xr:uid="{00000000-0004-0000-3E00-000039000000}"/>
    <hyperlink ref="F9" r:id="rId59" tooltip="Visit candmwoodworks.com/" xr:uid="{00000000-0004-0000-3E00-00003A000000}"/>
    <hyperlink ref="F10" r:id="rId60" tooltip="Visit pisaniwoodworks.com/" xr:uid="{00000000-0004-0000-3E00-00003B000000}"/>
    <hyperlink ref="F11" r:id="rId61" tooltip="Visit masterwoodmalta.net/" xr:uid="{00000000-0004-0000-3E00-00003C000000}"/>
    <hyperlink ref="F12" r:id="rId62" tooltip="Visit findit.com.mt/en/directory/listings/9529/gilbert-micallef-woodwork-malta.htm?utm_source=chatgpt.com" xr:uid="{00000000-0004-0000-3E00-00003D000000}"/>
    <hyperlink ref="F13" r:id="rId63" tooltip="Visit classicdesign.mt/" xr:uid="{00000000-0004-0000-3E00-00003E000000}"/>
    <hyperlink ref="F14" r:id="rId64" tooltip="Visit findit.com.mt/en/directory/listings/5261/kubek-furniture-works.htm" xr:uid="{00000000-0004-0000-3E00-00003F000000}"/>
    <hyperlink ref="F15" r:id="rId65" tooltip="Visit findit.com.mt/en/directory/listings/10200/joseph-briffa-woodworks.htm" xr:uid="{00000000-0004-0000-3E00-000040000000}"/>
    <hyperlink ref="F16" r:id="rId66" tooltip="Visit findit.com.mt/en/directory/listings/3681/gauci-woodworks.htm" xr:uid="{00000000-0004-0000-3E00-000041000000}"/>
    <hyperlink ref="F17" r:id="rId67" tooltip="Visit findit.com.mt/en/directory/listings/9171/delia-woodworks-ltd.htm" xr:uid="{00000000-0004-0000-3E00-000042000000}"/>
    <hyperlink ref="F18" r:id="rId68" tooltip="Visit ddoorcompany.com/" xr:uid="{00000000-0004-0000-3E00-000043000000}"/>
    <hyperlink ref="F19" r:id="rId69" tooltip="Visit conforthouse.mt/" xr:uid="{00000000-0004-0000-3E00-000044000000}"/>
    <hyperlink ref="F20" r:id="rId70" tooltip="Visit baldacchinogroup.com/menu/home.html" xr:uid="{00000000-0004-0000-3E00-000045000000}"/>
    <hyperlink ref="F21" r:id="rId71" tooltip="Visit facebook.com/bespokelocalfurniture/?utm_source=Yellow&amp;utm_medium=Yellow-Website&amp;utm_campaign=Landing-Page" xr:uid="{00000000-0004-0000-3E00-000046000000}"/>
    <hyperlink ref="F22" r:id="rId72" tooltip="Visit facebook.com/MasterCarpenter84/" xr:uid="{00000000-0004-0000-3E00-000047000000}"/>
    <hyperlink ref="F23" r:id="rId73" tooltip="Visit trendsltdmalta.com/" xr:uid="{00000000-0004-0000-3E00-000048000000}"/>
    <hyperlink ref="F24" r:id="rId74" tooltip="Visit facebook.com/profile.php?id=61577138676789" xr:uid="{00000000-0004-0000-3E00-000049000000}"/>
    <hyperlink ref="F25" r:id="rId75" tooltip="Visit classicdesign.mt/" xr:uid="{00000000-0004-0000-3E00-00004A000000}"/>
    <hyperlink ref="F26" r:id="rId76" tooltip="Visit facebook.com/profile.php?id=100063608976880" xr:uid="{00000000-0004-0000-3E00-00004B000000}"/>
  </hyperlinks>
  <pageMargins left="0.75" right="0.75" top="0.75" bottom="0.5" header="0.5" footer="0.7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5"/>
  <sheetViews>
    <sheetView workbookViewId="0"/>
  </sheetViews>
  <sheetFormatPr defaultRowHeight="14.4" x14ac:dyDescent="0.3"/>
  <cols>
    <col min="1" max="1" width="23.33203125" customWidth="1"/>
    <col min="2" max="2" width="18.88671875" customWidth="1"/>
    <col min="3" max="3" width="33.88671875" customWidth="1"/>
    <col min="4" max="4" width="29.88671875" customWidth="1"/>
    <col min="5" max="5" width="42" customWidth="1"/>
    <col min="6" max="6" width="51.88671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3834</v>
      </c>
      <c r="B2" s="2" t="s">
        <v>3859</v>
      </c>
      <c r="C2" s="3" t="s">
        <v>3568</v>
      </c>
      <c r="D2" s="2" t="str">
        <f>CONCATENATE(HYPERLINK("CALLTO:%2B356%202713%203292", "+356 2713 3292"), " / ", HYPERLINK("CALLTO:%2B356%207713%203292", "+356 7713 3292"))</f>
        <v>+356 2713 3292 / +356 7713 3292</v>
      </c>
      <c r="E2" s="3" t="s">
        <v>3872</v>
      </c>
      <c r="F2" s="3" t="s">
        <v>3880</v>
      </c>
    </row>
    <row r="3" spans="1:6" x14ac:dyDescent="0.3">
      <c r="A3" s="4" t="s">
        <v>3834</v>
      </c>
      <c r="B3" s="4" t="s">
        <v>3473</v>
      </c>
      <c r="C3" s="5" t="s">
        <v>3560</v>
      </c>
      <c r="D3" s="4" t="str">
        <f>CONCATENATE(HYPERLINK("CALLTO:%2B356%209932%200809", "+356 9932 0809"))</f>
        <v>+356 9932 0809</v>
      </c>
      <c r="E3" s="5" t="s">
        <v>3873</v>
      </c>
      <c r="F3" s="5" t="s">
        <v>3881</v>
      </c>
    </row>
    <row r="4" spans="1:6" x14ac:dyDescent="0.3">
      <c r="A4" s="2" t="s">
        <v>3834</v>
      </c>
      <c r="B4" s="2" t="s">
        <v>3860</v>
      </c>
      <c r="C4" s="3" t="s">
        <v>3545</v>
      </c>
      <c r="D4" s="2" t="str">
        <f>CONCATENATE(HYPERLINK("CALLTO:%2B356%207924%208128", "+356 7924 8128"))</f>
        <v>+356 7924 8128</v>
      </c>
      <c r="E4" s="3" t="s">
        <v>3874</v>
      </c>
      <c r="F4" s="3" t="s">
        <v>3882</v>
      </c>
    </row>
    <row r="5" spans="1:6" x14ac:dyDescent="0.3">
      <c r="A5" s="4" t="s">
        <v>3834</v>
      </c>
      <c r="B5" s="4" t="s">
        <v>3777</v>
      </c>
      <c r="C5" s="5" t="s">
        <v>3515</v>
      </c>
      <c r="D5" s="4" t="str">
        <f>CONCATENATE(HYPERLINK("CALLTO:%2B356%202145%206570", "+356 2145 6570"), " / ", HYPERLINK("CALLTO:%2B356%202145%206560", "+356 2145 6560"))</f>
        <v>+356 2145 6570 / +356 2145 6560</v>
      </c>
      <c r="E5" s="5" t="s">
        <v>3813</v>
      </c>
      <c r="F5" s="5" t="s">
        <v>3838</v>
      </c>
    </row>
    <row r="6" spans="1:6" x14ac:dyDescent="0.3">
      <c r="A6" s="2" t="s">
        <v>3834</v>
      </c>
      <c r="B6" s="2" t="s">
        <v>3448</v>
      </c>
      <c r="C6" s="3" t="s">
        <v>703</v>
      </c>
      <c r="D6" s="2" t="str">
        <f>CONCATENATE(HYPERLINK("CALLTO:%2B356%202146%203522", "+356 2146 3522"))</f>
        <v>+356 2146 3522</v>
      </c>
      <c r="E6" s="3" t="s">
        <v>3875</v>
      </c>
      <c r="F6" s="3" t="s">
        <v>3883</v>
      </c>
    </row>
    <row r="7" spans="1:6" x14ac:dyDescent="0.3">
      <c r="A7" s="4" t="s">
        <v>3834</v>
      </c>
      <c r="B7" s="4" t="s">
        <v>3776</v>
      </c>
      <c r="C7" s="5" t="s">
        <v>3749</v>
      </c>
      <c r="D7" s="4" t="str">
        <f>CONCATENATE(HYPERLINK("CALLTO:%2B356%202137%204563", "+356 2137 4563"), " / ", HYPERLINK("CALLTO:%2B356%209999%206766", "+356 9999 6766"))</f>
        <v>+356 2137 4563 / +356 9999 6766</v>
      </c>
      <c r="E7" s="5" t="s">
        <v>3812</v>
      </c>
      <c r="F7" s="5" t="s">
        <v>3837</v>
      </c>
    </row>
    <row r="8" spans="1:6" x14ac:dyDescent="0.3">
      <c r="A8" s="2" t="s">
        <v>3834</v>
      </c>
      <c r="B8" s="2" t="s">
        <v>3861</v>
      </c>
      <c r="C8" s="3" t="s">
        <v>706</v>
      </c>
      <c r="D8" s="2" t="str">
        <f>CONCATENATE(HYPERLINK("CALLTO:%2B356%202347%202994", "+356 2347 2994"))</f>
        <v>+356 2347 2994</v>
      </c>
      <c r="E8" s="3" t="s">
        <v>3877</v>
      </c>
      <c r="F8" s="3" t="s">
        <v>3884</v>
      </c>
    </row>
    <row r="9" spans="1:6" x14ac:dyDescent="0.3">
      <c r="A9" s="4" t="s">
        <v>3834</v>
      </c>
      <c r="B9" s="4" t="s">
        <v>3862</v>
      </c>
      <c r="C9" s="5" t="s">
        <v>3867</v>
      </c>
      <c r="D9" s="4" t="str">
        <f>CONCATENATE(HYPERLINK("CALLTO:%2B356%207777%201108", "+356 7777 1108"))</f>
        <v>+356 7777 1108</v>
      </c>
      <c r="E9" s="5" t="s">
        <v>3876</v>
      </c>
      <c r="F9" s="5" t="s">
        <v>3885</v>
      </c>
    </row>
    <row r="10" spans="1:6" x14ac:dyDescent="0.3">
      <c r="A10" s="2" t="s">
        <v>3834</v>
      </c>
      <c r="B10" s="2" t="s">
        <v>995</v>
      </c>
      <c r="C10" s="3" t="s">
        <v>1017</v>
      </c>
      <c r="D10" s="2" t="str">
        <f>CONCATENATE(HYPERLINK("CALLTO:%2B356%209921%205215", "+356 9921 5215"))</f>
        <v>+356 9921 5215</v>
      </c>
      <c r="E10" s="3" t="s">
        <v>1038</v>
      </c>
      <c r="F10" s="3" t="s">
        <v>1056</v>
      </c>
    </row>
    <row r="11" spans="1:6" x14ac:dyDescent="0.3">
      <c r="A11" s="4" t="s">
        <v>3834</v>
      </c>
      <c r="B11" s="4" t="s">
        <v>2569</v>
      </c>
      <c r="C11" s="5" t="s">
        <v>2588</v>
      </c>
      <c r="D11" s="4" t="str">
        <f>CONCATENATE(HYPERLINK("CALLTO:%2B356%207943%204443", "+356 7943 4443"), " / ", HYPERLINK("CALLTO:%2B356%202143%204443", "+356 2143 4443"))</f>
        <v>+356 7943 4443 / +356 2143 4443</v>
      </c>
      <c r="E11" s="5" t="s">
        <v>2607</v>
      </c>
      <c r="F11" s="5" t="s">
        <v>2626</v>
      </c>
    </row>
    <row r="12" spans="1:6" x14ac:dyDescent="0.3">
      <c r="A12" s="2" t="s">
        <v>3858</v>
      </c>
      <c r="B12" s="2" t="s">
        <v>3863</v>
      </c>
      <c r="C12" s="3" t="s">
        <v>3868</v>
      </c>
      <c r="D12" s="2" t="str">
        <f>CONCATENATE(HYPERLINK("CALLTO:%2B356%202755%205525", "+356 2755 5525"))</f>
        <v>+356 2755 5525</v>
      </c>
      <c r="E12" s="3" t="s">
        <v>3878</v>
      </c>
      <c r="F12" s="3" t="s">
        <v>3886</v>
      </c>
    </row>
    <row r="13" spans="1:6" x14ac:dyDescent="0.3">
      <c r="A13" s="4"/>
      <c r="B13" s="4" t="s">
        <v>3864</v>
      </c>
      <c r="C13" s="5" t="s">
        <v>3869</v>
      </c>
      <c r="D13" s="4"/>
      <c r="E13" s="4"/>
      <c r="F13" s="4"/>
    </row>
    <row r="14" spans="1:6" x14ac:dyDescent="0.3">
      <c r="A14" s="2"/>
      <c r="B14" s="2" t="s">
        <v>1068</v>
      </c>
      <c r="C14" s="3" t="s">
        <v>1077</v>
      </c>
      <c r="D14" s="2"/>
      <c r="E14" s="2"/>
      <c r="F14" s="2"/>
    </row>
    <row r="15" spans="1:6" x14ac:dyDescent="0.3">
      <c r="A15" s="4"/>
      <c r="B15" s="4" t="s">
        <v>3865</v>
      </c>
      <c r="C15" s="5" t="s">
        <v>3806</v>
      </c>
      <c r="D15" s="4"/>
      <c r="E15" s="4"/>
      <c r="F15" s="4"/>
    </row>
    <row r="16" spans="1:6" x14ac:dyDescent="0.3">
      <c r="A16" s="2"/>
      <c r="B16" s="2" t="s">
        <v>3866</v>
      </c>
      <c r="C16" s="3" t="s">
        <v>2599</v>
      </c>
      <c r="D16" s="2"/>
      <c r="E16" s="2"/>
      <c r="F16" s="2"/>
    </row>
    <row r="17" spans="1:6" x14ac:dyDescent="0.3">
      <c r="A17" s="4"/>
      <c r="B17" s="4"/>
      <c r="C17" s="5" t="s">
        <v>3803</v>
      </c>
      <c r="D17" s="4"/>
      <c r="E17" s="4"/>
      <c r="F17" s="4"/>
    </row>
    <row r="18" spans="1:6" x14ac:dyDescent="0.3">
      <c r="A18" s="2"/>
      <c r="B18" s="2"/>
      <c r="C18" s="3" t="s">
        <v>3527</v>
      </c>
      <c r="D18" s="2"/>
      <c r="E18" s="2"/>
      <c r="F18" s="2"/>
    </row>
    <row r="19" spans="1:6" x14ac:dyDescent="0.3">
      <c r="A19" s="4"/>
      <c r="B19" s="4"/>
      <c r="C19" s="5" t="s">
        <v>3749</v>
      </c>
      <c r="D19" s="4"/>
      <c r="E19" s="4"/>
      <c r="F19" s="4"/>
    </row>
    <row r="20" spans="1:6" x14ac:dyDescent="0.3">
      <c r="A20" s="2"/>
      <c r="B20" s="2"/>
      <c r="C20" s="3" t="s">
        <v>3494</v>
      </c>
      <c r="D20" s="2"/>
      <c r="E20" s="2"/>
      <c r="F20" s="2"/>
    </row>
    <row r="21" spans="1:6" x14ac:dyDescent="0.3">
      <c r="A21" s="4"/>
      <c r="B21" s="4"/>
      <c r="C21" s="5" t="s">
        <v>3870</v>
      </c>
      <c r="D21" s="4"/>
      <c r="E21" s="4"/>
      <c r="F21" s="4"/>
    </row>
    <row r="22" spans="1:6" x14ac:dyDescent="0.3">
      <c r="A22" s="2"/>
      <c r="B22" s="2"/>
      <c r="C22" s="3" t="s">
        <v>705</v>
      </c>
      <c r="D22" s="2"/>
      <c r="E22" s="2"/>
      <c r="F22" s="2"/>
    </row>
    <row r="23" spans="1:6" x14ac:dyDescent="0.3">
      <c r="A23" s="4"/>
      <c r="B23" s="4"/>
      <c r="C23" s="5" t="s">
        <v>3871</v>
      </c>
      <c r="D23" s="4"/>
      <c r="E23" s="4"/>
      <c r="F23" s="4"/>
    </row>
    <row r="24" spans="1:6" x14ac:dyDescent="0.3">
      <c r="A24" s="2"/>
      <c r="B24" s="2"/>
      <c r="C24" s="3" t="s">
        <v>3498</v>
      </c>
      <c r="D24" s="2"/>
      <c r="E24" s="2"/>
      <c r="F24" s="2"/>
    </row>
    <row r="25" spans="1:6" x14ac:dyDescent="0.3">
      <c r="A25" s="4"/>
      <c r="B25" s="4"/>
      <c r="C25" s="5" t="s">
        <v>3492</v>
      </c>
      <c r="D25" s="4"/>
      <c r="E25" s="4"/>
      <c r="F25" s="4"/>
    </row>
  </sheetData>
  <hyperlinks>
    <hyperlink ref="C2" r:id="rId1" tooltip="Send a mail to sales@doorsandmore.in" xr:uid="{00000000-0004-0000-3F00-000000000000}"/>
    <hyperlink ref="C3" r:id="rId2" tooltip="Send a mail to info@sptechniques.com" xr:uid="{00000000-0004-0000-3F00-000001000000}"/>
    <hyperlink ref="C4" r:id="rId3" tooltip="Send a mail to info@jcdaluminium.com" xr:uid="{00000000-0004-0000-3F00-000002000000}"/>
    <hyperlink ref="C5" r:id="rId4" tooltip="Send a mail to sales@adoremore.eu" xr:uid="{00000000-0004-0000-3F00-000003000000}"/>
    <hyperlink ref="C6" r:id="rId5" tooltip="Send a mail to info@finestralmalta.com" xr:uid="{00000000-0004-0000-3F00-000004000000}"/>
    <hyperlink ref="C7" r:id="rId6" tooltip="Send a mail to sales@ampmalta.com" xr:uid="{00000000-0004-0000-3F00-000005000000}"/>
    <hyperlink ref="C8" r:id="rId7" tooltip="Send a mail to info@windowworldinternational.net" xr:uid="{00000000-0004-0000-3F00-000006000000}"/>
    <hyperlink ref="C9" r:id="rId8" tooltip="Send a mail to sales@prodoormalta.com" xr:uid="{00000000-0004-0000-3F00-000007000000}"/>
    <hyperlink ref="C10" r:id="rId9" tooltip="Send a mail to Info@perfectum.mt" xr:uid="{00000000-0004-0000-3F00-000008000000}"/>
    <hyperlink ref="C11" r:id="rId10" tooltip="Send a mail to info@nigeldimech.com" xr:uid="{00000000-0004-0000-3F00-000009000000}"/>
    <hyperlink ref="C12" r:id="rId11" tooltip="Send a mail to info@casconeporteefinestre.it" xr:uid="{00000000-0004-0000-3F00-00000A000000}"/>
    <hyperlink ref="C13" r:id="rId12" tooltip="Send a mail to quotes@ihomes.com.mt" xr:uid="{00000000-0004-0000-3F00-00000B000000}"/>
    <hyperlink ref="C14" r:id="rId13" tooltip="Send a mail to info@trendsltdmalta.com" xr:uid="{00000000-0004-0000-3F00-00000C000000}"/>
    <hyperlink ref="C15" r:id="rId14" tooltip="Send a mail to info@conforthouse.mt" xr:uid="{00000000-0004-0000-3F00-00000D000000}"/>
    <hyperlink ref="C16" r:id="rId15" tooltip="Send a mail to sales@pvcmalta.com" xr:uid="{00000000-0004-0000-3F00-00000E000000}"/>
    <hyperlink ref="C17" r:id="rId16" tooltip="Send a mail to info@classicdesign.mt" xr:uid="{00000000-0004-0000-3F00-00000F000000}"/>
    <hyperlink ref="C18" r:id="rId17" tooltip="Send a mail to info@cagroup.com.mt" xr:uid="{00000000-0004-0000-3F00-000010000000}"/>
    <hyperlink ref="C19" r:id="rId18" tooltip="Send a mail to sales@ampmalta.com" xr:uid="{00000000-0004-0000-3F00-000011000000}"/>
    <hyperlink ref="C20" r:id="rId19" tooltip="Send a mail to sales@newstylesmalta.com" xr:uid="{00000000-0004-0000-3F00-000012000000}"/>
    <hyperlink ref="C21" r:id="rId20" tooltip="Send a mail to info@fourwalls.com.mt" xr:uid="{00000000-0004-0000-3F00-000013000000}"/>
    <hyperlink ref="C22" r:id="rId21" tooltip="Send a mail to info@grahamaluminium.com" xr:uid="{00000000-0004-0000-3F00-000014000000}"/>
    <hyperlink ref="C23" r:id="rId22" tooltip="Send a mail to office@ecoplast.com.mt" xr:uid="{00000000-0004-0000-3F00-000015000000}"/>
    <hyperlink ref="C24" r:id="rId23" tooltip="Send a mail to info@a1finishesltd.com" xr:uid="{00000000-0004-0000-3F00-000016000000}"/>
    <hyperlink ref="C25" r:id="rId24" tooltip="Send a mail to info@framegrip.com" xr:uid="{00000000-0004-0000-3F00-000017000000}"/>
    <hyperlink ref="E2" r:id="rId25" tooltip="Search 217, Doors and More_x000a_Triq Salvo Psaila_x000a_B'Kara BKR 9078_x000a_Malta on Google Maps" xr:uid="{00000000-0004-0000-3F00-000018000000}"/>
    <hyperlink ref="E3" r:id="rId26" tooltip="Search Block  F 18, _x000a_Midland Industrial Park, _x000a_Burmarrd Street,_x000a_Naxxar, NXR 6345 on Google Maps" xr:uid="{00000000-0004-0000-3F00-000019000000}"/>
    <hyperlink ref="E4" r:id="rId27" tooltip="Search Triq MRU Giorgio Zarb, Ħal Qormi on Google Maps" xr:uid="{00000000-0004-0000-3F00-00001A000000}"/>
    <hyperlink ref="E5" r:id="rId28" tooltip="Search Adore More_x000a_Triq Id-Difiza Civili._x000a_Mosta, MST 1743_x000a_Malta on Google Maps" xr:uid="{00000000-0004-0000-3F00-00001B000000}"/>
    <hyperlink ref="E6" r:id="rId29" tooltip="Search San Gwann Industrial Estate, SGN3000, Malta on Google Maps" xr:uid="{00000000-0004-0000-3F00-00001C000000}"/>
    <hyperlink ref="E7" r:id="rId30" tooltip="Search 8 Garra, Is-Swieqi on Google Maps" xr:uid="{00000000-0004-0000-3F00-00001D000000}"/>
    <hyperlink ref="E8" r:id="rId31" tooltip="Search Zircon Suites Triq ta' Zejfa,_x000a_Mosta, Malta on Google Maps" xr:uid="{00000000-0004-0000-3F00-00001E000000}"/>
    <hyperlink ref="E9" r:id="rId32" tooltip="Search Plot 35 Triq Mastru George Cachia_x000a_Hal Qormi, Malta on Google Maps" xr:uid="{00000000-0004-0000-3F00-00001F000000}"/>
    <hyperlink ref="E10" r:id="rId33" tooltip="Search Valletta, Malta on Google Maps" xr:uid="{00000000-0004-0000-3F00-000020000000}"/>
    <hyperlink ref="E11" r:id="rId34" tooltip="Search KKW 721, Corradino _x000a_Industrial Estate_x000a_Paola, PLA 3000, Malta on Google Maps" xr:uid="{00000000-0004-0000-3F00-000021000000}"/>
    <hyperlink ref="E12" r:id="rId35" tooltip="Search Msida Valley Road, BKR9022 Birkirkara - Malta on Google Maps" xr:uid="{00000000-0004-0000-3F00-000022000000}"/>
    <hyperlink ref="F2" r:id="rId36" tooltip="Visit facebook.com/doorsand.more.3/" xr:uid="{00000000-0004-0000-3F00-000023000000}"/>
    <hyperlink ref="F3" r:id="rId37" tooltip="Visit sptechniques.com/" xr:uid="{00000000-0004-0000-3F00-000024000000}"/>
    <hyperlink ref="F4" r:id="rId38" tooltip="Visit jcdaluminium.com/upvc-aluminium-doors-and-windows" xr:uid="{00000000-0004-0000-3F00-000025000000}"/>
    <hyperlink ref="F5" r:id="rId39" tooltip="Visit adoremore.com.mt/" xr:uid="{00000000-0004-0000-3F00-000026000000}"/>
    <hyperlink ref="F6" r:id="rId40" tooltip="Visit finestralmalta.com/" xr:uid="{00000000-0004-0000-3F00-000027000000}"/>
    <hyperlink ref="F7" r:id="rId41" tooltip="Visit pvc.com.mt/" xr:uid="{00000000-0004-0000-3F00-000028000000}"/>
    <hyperlink ref="F8" r:id="rId42" tooltip="Visit windowworld.eu/" xr:uid="{00000000-0004-0000-3F00-000029000000}"/>
    <hyperlink ref="F9" r:id="rId43" tooltip="Visit prodoormalta.com/" xr:uid="{00000000-0004-0000-3F00-00002A000000}"/>
    <hyperlink ref="F10" r:id="rId44" tooltip="Visit facebook.com/perfectummt/" xr:uid="{00000000-0004-0000-3F00-00002B000000}"/>
    <hyperlink ref="F11" r:id="rId45" tooltip="Visit nigeldimech.com/" xr:uid="{00000000-0004-0000-3F00-00002C000000}"/>
    <hyperlink ref="F12" r:id="rId46" tooltip="Visit casconehome.com/en/index.php" xr:uid="{00000000-0004-0000-3F00-00002D000000}"/>
  </hyperlinks>
  <pageMargins left="0.75" right="0.75" top="0.75" bottom="0.5" header="0.5" footer="0.7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6"/>
  <sheetViews>
    <sheetView workbookViewId="0"/>
  </sheetViews>
  <sheetFormatPr defaultRowHeight="14.4" x14ac:dyDescent="0.3"/>
  <cols>
    <col min="1" max="1" width="15" customWidth="1"/>
    <col min="2" max="2" width="20" customWidth="1"/>
    <col min="3" max="3" width="27.5546875" customWidth="1"/>
    <col min="4" max="4" width="18.109375" customWidth="1"/>
    <col min="5" max="5" width="34.6640625" customWidth="1"/>
    <col min="6" max="6" width="27.5546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3879</v>
      </c>
      <c r="B2" s="2" t="s">
        <v>995</v>
      </c>
      <c r="C2" s="3" t="s">
        <v>3887</v>
      </c>
      <c r="D2" s="2" t="str">
        <f>CONCATENATE(HYPERLINK("CALLTO:%2B356%209921%205215", "+356 9921 5215"))</f>
        <v>+356 9921 5215</v>
      </c>
      <c r="E2" s="3" t="s">
        <v>1038</v>
      </c>
      <c r="F2" s="3" t="s">
        <v>1056</v>
      </c>
    </row>
    <row r="3" spans="1:6" x14ac:dyDescent="0.3">
      <c r="A3" s="4" t="s">
        <v>3879</v>
      </c>
      <c r="B3" s="4" t="s">
        <v>3488</v>
      </c>
      <c r="C3" s="5" t="s">
        <v>3576</v>
      </c>
      <c r="D3" s="4" t="str">
        <f>CONCATENATE(HYPERLINK("CALLTO:%2B356%209959%204709", "+356 9959 4709"))</f>
        <v>+356 9959 4709</v>
      </c>
      <c r="E3" s="5" t="s">
        <v>3668</v>
      </c>
      <c r="F3" s="5" t="s">
        <v>3739</v>
      </c>
    </row>
    <row r="4" spans="1:6" x14ac:dyDescent="0.3">
      <c r="A4" s="2" t="s">
        <v>3879</v>
      </c>
      <c r="B4" s="2" t="s">
        <v>3326</v>
      </c>
      <c r="C4" s="3" t="s">
        <v>3333</v>
      </c>
      <c r="D4" s="2" t="str">
        <f>CONCATENATE(HYPERLINK("CALLTO:%2B356%207925%209207", "+356 7925 9207"))</f>
        <v>+356 7925 9207</v>
      </c>
      <c r="E4" s="3" t="s">
        <v>3345</v>
      </c>
      <c r="F4" s="3" t="s">
        <v>3351</v>
      </c>
    </row>
    <row r="5" spans="1:6" x14ac:dyDescent="0.3">
      <c r="A5" s="4" t="s">
        <v>3879</v>
      </c>
      <c r="B5" s="4" t="s">
        <v>3435</v>
      </c>
      <c r="C5" s="5" t="s">
        <v>3526</v>
      </c>
      <c r="D5" s="4" t="str">
        <f>CONCATENATE(HYPERLINK("CALLTO:%2B356%209920%207248", "+356 9920 7248"))</f>
        <v>+356 9920 7248</v>
      </c>
      <c r="E5" s="5" t="s">
        <v>1768</v>
      </c>
      <c r="F5" s="5" t="s">
        <v>3696</v>
      </c>
    </row>
    <row r="6" spans="1:6" x14ac:dyDescent="0.3">
      <c r="A6" s="2" t="s">
        <v>3879</v>
      </c>
      <c r="B6" s="2" t="s">
        <v>3082</v>
      </c>
      <c r="C6" s="3" t="s">
        <v>3109</v>
      </c>
      <c r="D6" s="2" t="str">
        <f>CONCATENATE(HYPERLINK("CALLTO:%2B356%207709%202277", "+356 7709 2277"))</f>
        <v>+356 7709 2277</v>
      </c>
      <c r="E6" s="2"/>
      <c r="F6" s="3" t="s">
        <v>3143</v>
      </c>
    </row>
  </sheetData>
  <hyperlinks>
    <hyperlink ref="C2" r:id="rId1" tooltip="Send a mail to info@perfectum.mt" xr:uid="{00000000-0004-0000-4000-000000000000}"/>
    <hyperlink ref="C3" r:id="rId2" tooltip="Send a mail to valormalta@gmail.com" xr:uid="{00000000-0004-0000-4000-000001000000}"/>
    <hyperlink ref="C4" r:id="rId3" tooltip="Send a mail to sales@brandimports.com.mt" xr:uid="{00000000-0004-0000-4000-000002000000}"/>
    <hyperlink ref="C5" r:id="rId4" tooltip="Send a mail to henry@bpapertures.com" xr:uid="{00000000-0004-0000-4000-000003000000}"/>
    <hyperlink ref="C6" r:id="rId5" tooltip="Send a mail to info@rgroupmt.com" xr:uid="{00000000-0004-0000-4000-000004000000}"/>
    <hyperlink ref="E2" r:id="rId6" tooltip="Search Valletta, Malta on Google Maps" xr:uid="{00000000-0004-0000-4000-000005000000}"/>
    <hyperlink ref="E3" r:id="rId7" tooltip="Search Triq l-isturnell Roza, Hal Luqa, Malta on Google Maps" xr:uid="{00000000-0004-0000-4000-000006000000}"/>
    <hyperlink ref="E4" r:id="rId8" tooltip="Search Showroom 26, Triq Haz-Zabbar, Paola on Google Maps" xr:uid="{00000000-0004-0000-4000-000007000000}"/>
    <hyperlink ref="E5" r:id="rId9" tooltip="Search Mdina Road, Zebbug on Google Maps" xr:uid="{00000000-0004-0000-4000-000008000000}"/>
    <hyperlink ref="F2" r:id="rId10" tooltip="Visit facebook.com/perfectummt/" xr:uid="{00000000-0004-0000-4000-000009000000}"/>
    <hyperlink ref="F3" r:id="rId11" tooltip="Visit valormalta.wixsite.com/valor" xr:uid="{00000000-0004-0000-4000-00000A000000}"/>
    <hyperlink ref="F4" r:id="rId12" tooltip="Visit brandimports.com.mt/en/" xr:uid="{00000000-0004-0000-4000-00000B000000}"/>
    <hyperlink ref="F5" r:id="rId13" tooltip="Visit bpapertures.com/" xr:uid="{00000000-0004-0000-4000-00000C000000}"/>
    <hyperlink ref="F6" r:id="rId14" tooltip="Visit facebook.com/RGroupMalta" xr:uid="{00000000-0004-0000-4000-00000D000000}"/>
  </hyperlinks>
  <pageMargins left="0.75" right="0.75" top="0.75" bottom="0.5" header="0.5" footer="0.7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2"/>
  <sheetViews>
    <sheetView workbookViewId="0"/>
  </sheetViews>
  <sheetFormatPr defaultRowHeight="14.4" x14ac:dyDescent="0.3"/>
  <cols>
    <col min="1" max="1" width="26" customWidth="1"/>
    <col min="2" max="2" width="22.44140625" customWidth="1"/>
    <col min="3" max="3" width="24.88671875" customWidth="1"/>
    <col min="4" max="4" width="18.6640625" customWidth="1"/>
    <col min="5" max="5" width="10.88671875" customWidth="1"/>
    <col min="6" max="6" width="11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3888</v>
      </c>
      <c r="B2" s="2" t="s">
        <v>2152</v>
      </c>
      <c r="C2" s="3" t="s">
        <v>1505</v>
      </c>
      <c r="D2" s="2" t="str">
        <f>CONCATENATE(HYPERLINK("CALLTO:%2B356%209946%203204", "+356 9946 3204"))</f>
        <v>+356 9946 3204</v>
      </c>
      <c r="E2" s="2"/>
      <c r="F2" s="2"/>
    </row>
    <row r="3" spans="1:6" x14ac:dyDescent="0.3">
      <c r="A3" s="4" t="s">
        <v>3888</v>
      </c>
      <c r="B3" s="4" t="s">
        <v>848</v>
      </c>
      <c r="C3" s="5" t="s">
        <v>857</v>
      </c>
      <c r="D3" s="4"/>
      <c r="E3" s="4"/>
      <c r="F3" s="4"/>
    </row>
    <row r="4" spans="1:6" x14ac:dyDescent="0.3">
      <c r="A4" s="2" t="s">
        <v>3888</v>
      </c>
      <c r="B4" s="2" t="s">
        <v>3889</v>
      </c>
      <c r="C4" s="3" t="s">
        <v>2594</v>
      </c>
      <c r="D4" s="2"/>
      <c r="E4" s="2"/>
      <c r="F4" s="2"/>
    </row>
    <row r="5" spans="1:6" x14ac:dyDescent="0.3">
      <c r="A5" s="4" t="s">
        <v>3888</v>
      </c>
      <c r="B5" s="4" t="s">
        <v>3890</v>
      </c>
      <c r="C5" s="5" t="s">
        <v>3568</v>
      </c>
      <c r="D5" s="4"/>
      <c r="E5" s="4"/>
      <c r="F5" s="4"/>
    </row>
    <row r="6" spans="1:6" x14ac:dyDescent="0.3">
      <c r="A6" s="2" t="s">
        <v>3888</v>
      </c>
      <c r="B6" s="2" t="s">
        <v>3891</v>
      </c>
      <c r="C6" s="3" t="s">
        <v>3805</v>
      </c>
      <c r="D6" s="2"/>
      <c r="E6" s="2"/>
      <c r="F6" s="2"/>
    </row>
    <row r="7" spans="1:6" x14ac:dyDescent="0.3">
      <c r="A7" s="4" t="s">
        <v>3888</v>
      </c>
      <c r="B7" s="4" t="s">
        <v>3789</v>
      </c>
      <c r="C7" s="5" t="s">
        <v>3572</v>
      </c>
      <c r="D7" s="4"/>
      <c r="E7" s="4"/>
      <c r="F7" s="4"/>
    </row>
    <row r="8" spans="1:6" x14ac:dyDescent="0.3">
      <c r="A8" s="2" t="s">
        <v>3888</v>
      </c>
      <c r="B8" s="2" t="s">
        <v>3892</v>
      </c>
      <c r="C8" s="3" t="s">
        <v>3895</v>
      </c>
      <c r="D8" s="2"/>
      <c r="E8" s="2"/>
      <c r="F8" s="2"/>
    </row>
    <row r="9" spans="1:6" x14ac:dyDescent="0.3">
      <c r="A9" s="4" t="s">
        <v>3888</v>
      </c>
      <c r="B9" s="4" t="s">
        <v>3893</v>
      </c>
      <c r="C9" s="5" t="s">
        <v>3308</v>
      </c>
      <c r="D9" s="4"/>
      <c r="E9" s="4"/>
      <c r="F9" s="4"/>
    </row>
    <row r="10" spans="1:6" x14ac:dyDescent="0.3">
      <c r="A10" s="2" t="s">
        <v>3888</v>
      </c>
      <c r="B10" s="2" t="s">
        <v>3292</v>
      </c>
      <c r="C10" s="3" t="s">
        <v>3109</v>
      </c>
      <c r="D10" s="2"/>
      <c r="E10" s="2"/>
      <c r="F10" s="2"/>
    </row>
    <row r="11" spans="1:6" x14ac:dyDescent="0.3">
      <c r="A11" s="4" t="s">
        <v>3888</v>
      </c>
      <c r="B11" s="4" t="s">
        <v>3894</v>
      </c>
      <c r="C11" s="5" t="s">
        <v>1079</v>
      </c>
      <c r="D11" s="4"/>
      <c r="E11" s="4"/>
      <c r="F11" s="4"/>
    </row>
    <row r="12" spans="1:6" x14ac:dyDescent="0.3">
      <c r="A12" s="2" t="s">
        <v>3888</v>
      </c>
      <c r="B12" s="2" t="s">
        <v>1069</v>
      </c>
      <c r="C12" s="2"/>
      <c r="D12" s="2"/>
      <c r="E12" s="2"/>
      <c r="F12" s="2"/>
    </row>
  </sheetData>
  <hyperlinks>
    <hyperlink ref="C2" r:id="rId1" tooltip="Send a mail to sales@maltadiy.com" xr:uid="{00000000-0004-0000-4100-000000000000}"/>
    <hyperlink ref="C3" r:id="rId2" tooltip="Send a mail to msida@iperceramica.mt" xr:uid="{00000000-0004-0000-4100-000001000000}"/>
    <hyperlink ref="C4" r:id="rId3" tooltip="Send a mail to shop@megastore.com.mt" xr:uid="{00000000-0004-0000-4100-000002000000}"/>
    <hyperlink ref="C5" r:id="rId4" tooltip="Send a mail to sales@doorsandmore.in" xr:uid="{00000000-0004-0000-4100-000003000000}"/>
    <hyperlink ref="C6" r:id="rId5" tooltip="Send a mail to info@ddoorcompany.com" xr:uid="{00000000-0004-0000-4100-000004000000}"/>
    <hyperlink ref="C7" r:id="rId6" tooltip="Send a mail to info@deckor.com.mt" xr:uid="{00000000-0004-0000-4100-000005000000}"/>
    <hyperlink ref="C8" r:id="rId7" tooltip="Send a mail to viorel.limited@gmail.com" xr:uid="{00000000-0004-0000-4100-000006000000}"/>
    <hyperlink ref="C9" r:id="rId8" tooltip="Send a mail to sales@bitmac.mt" xr:uid="{00000000-0004-0000-4100-000007000000}"/>
    <hyperlink ref="C10" r:id="rId9" tooltip="Send a mail to info@rgroupmt.com" xr:uid="{00000000-0004-0000-4100-000008000000}"/>
    <hyperlink ref="C11" r:id="rId10" tooltip="Send a mail to sales@dimech-ent.com" xr:uid="{00000000-0004-0000-4100-000009000000}"/>
  </hyperlinks>
  <pageMargins left="0.75" right="0.75" top="0.75" bottom="0.5" header="0.5" footer="0.7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36"/>
  <sheetViews>
    <sheetView workbookViewId="0"/>
  </sheetViews>
  <sheetFormatPr defaultRowHeight="14.4" x14ac:dyDescent="0.3"/>
  <cols>
    <col min="1" max="1" width="34.88671875" customWidth="1"/>
    <col min="2" max="2" width="51.33203125" customWidth="1"/>
    <col min="3" max="3" width="36" customWidth="1"/>
    <col min="4" max="4" width="29.88671875" customWidth="1"/>
    <col min="5" max="5" width="64.44140625" customWidth="1"/>
    <col min="6" max="6" width="98.664062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3896</v>
      </c>
      <c r="B2" s="2" t="s">
        <v>3905</v>
      </c>
      <c r="C2" s="3" t="s">
        <v>3938</v>
      </c>
      <c r="D2" s="2" t="str">
        <f>CONCATENATE(HYPERLINK("CALLTO:%2B356%207999%20825579468519", "+356 7999 825579468519"))</f>
        <v>+356 7999 825579468519</v>
      </c>
      <c r="E2" s="3" t="s">
        <v>3973</v>
      </c>
      <c r="F2" s="3" t="s">
        <v>3993</v>
      </c>
    </row>
    <row r="3" spans="1:6" x14ac:dyDescent="0.3">
      <c r="A3" s="4" t="s">
        <v>3897</v>
      </c>
      <c r="B3" s="4" t="s">
        <v>98</v>
      </c>
      <c r="C3" s="5" t="s">
        <v>3939</v>
      </c>
      <c r="D3" s="4" t="str">
        <f>CONCATENATE(HYPERLINK("CALLTO:%2B356%209965%205581", "+356 9965 5581"), " / ", HYPERLINK("CALLTO:%2B356%207904%209069", "+356 7904 9069"))</f>
        <v>+356 9965 5581 / +356 7904 9069</v>
      </c>
      <c r="E3" s="5" t="s">
        <v>3974</v>
      </c>
      <c r="F3" s="5" t="s">
        <v>171</v>
      </c>
    </row>
    <row r="4" spans="1:6" x14ac:dyDescent="0.3">
      <c r="A4" s="2" t="s">
        <v>3898</v>
      </c>
      <c r="B4" s="2" t="s">
        <v>3906</v>
      </c>
      <c r="C4" s="3" t="s">
        <v>3940</v>
      </c>
      <c r="D4" s="2" t="str">
        <f>CONCATENATE(HYPERLINK("CALLTO:%2B356%207745%204813", "+356 7745 4813"))</f>
        <v>+356 7745 4813</v>
      </c>
      <c r="E4" s="3" t="s">
        <v>3975</v>
      </c>
      <c r="F4" s="3" t="s">
        <v>3994</v>
      </c>
    </row>
    <row r="5" spans="1:6" x14ac:dyDescent="0.3">
      <c r="A5" s="4" t="s">
        <v>3898</v>
      </c>
      <c r="B5" s="4" t="s">
        <v>773</v>
      </c>
      <c r="C5" s="5" t="s">
        <v>3941</v>
      </c>
      <c r="D5" s="4" t="str">
        <f>CONCATENATE(HYPERLINK("CALLTO:%2B356%207947%205940", "+356 7947 5940"))</f>
        <v>+356 7947 5940</v>
      </c>
      <c r="E5" s="5" t="s">
        <v>3976</v>
      </c>
      <c r="F5" s="5" t="s">
        <v>3995</v>
      </c>
    </row>
    <row r="6" spans="1:6" x14ac:dyDescent="0.3">
      <c r="A6" s="2" t="s">
        <v>3898</v>
      </c>
      <c r="B6" s="2" t="s">
        <v>3907</v>
      </c>
      <c r="C6" s="3" t="s">
        <v>3942</v>
      </c>
      <c r="D6" s="2" t="str">
        <f>CONCATENATE(HYPERLINK("CALLTO:%2B356%209982%203248", "+356 9982 3248"), " / ", HYPERLINK("CALLTO:%2B356%209946%206511", "+356 9946 6511"))</f>
        <v>+356 9982 3248 / +356 9946 6511</v>
      </c>
      <c r="E6" s="3" t="s">
        <v>3977</v>
      </c>
      <c r="F6" s="3" t="s">
        <v>3996</v>
      </c>
    </row>
    <row r="7" spans="1:6" x14ac:dyDescent="0.3">
      <c r="A7" s="4" t="s">
        <v>3899</v>
      </c>
      <c r="B7" s="4" t="s">
        <v>3908</v>
      </c>
      <c r="C7" s="5" t="s">
        <v>3943</v>
      </c>
      <c r="D7" s="4" t="str">
        <f>CONCATENATE(HYPERLINK("CALLTO:%2B356%202141%204933", "+356 2141 4933"))</f>
        <v>+356 2141 4933</v>
      </c>
      <c r="E7" s="5" t="s">
        <v>3978</v>
      </c>
      <c r="F7" s="5" t="s">
        <v>3997</v>
      </c>
    </row>
    <row r="8" spans="1:6" x14ac:dyDescent="0.3">
      <c r="A8" s="2" t="s">
        <v>3900</v>
      </c>
      <c r="B8" s="2" t="s">
        <v>3909</v>
      </c>
      <c r="C8" s="3" t="s">
        <v>3944</v>
      </c>
      <c r="D8" s="2" t="str">
        <f>CONCATENATE(HYPERLINK("CALLTO:%2B356%209960%200139", "+356 9960 0139"))</f>
        <v>+356 9960 0139</v>
      </c>
      <c r="E8" s="3" t="s">
        <v>3979</v>
      </c>
      <c r="F8" s="3" t="s">
        <v>3998</v>
      </c>
    </row>
    <row r="9" spans="1:6" x14ac:dyDescent="0.3">
      <c r="A9" s="4" t="s">
        <v>3901</v>
      </c>
      <c r="B9" s="4" t="s">
        <v>3910</v>
      </c>
      <c r="C9" s="5" t="s">
        <v>3945</v>
      </c>
      <c r="D9" s="4" t="str">
        <f>CONCATENATE(HYPERLINK("CALLTO:%2B356%202149%201297", "+356 2149 1297"))</f>
        <v>+356 2149 1297</v>
      </c>
      <c r="E9" s="5" t="s">
        <v>3980</v>
      </c>
      <c r="F9" s="5" t="s">
        <v>3999</v>
      </c>
    </row>
    <row r="10" spans="1:6" x14ac:dyDescent="0.3">
      <c r="A10" s="2" t="s">
        <v>3901</v>
      </c>
      <c r="B10" s="2" t="s">
        <v>3911</v>
      </c>
      <c r="C10" s="3" t="s">
        <v>3946</v>
      </c>
      <c r="D10" s="2" t="str">
        <f>CONCATENATE(HYPERLINK("CALLTO:%2B356%209951%205003", "+356 9951 5003"))</f>
        <v>+356 9951 5003</v>
      </c>
      <c r="E10" s="3" t="s">
        <v>3981</v>
      </c>
      <c r="F10" s="3" t="s">
        <v>4000</v>
      </c>
    </row>
    <row r="11" spans="1:6" x14ac:dyDescent="0.3">
      <c r="A11" s="4" t="s">
        <v>3903</v>
      </c>
      <c r="B11" s="4" t="s">
        <v>3912</v>
      </c>
      <c r="C11" s="5" t="s">
        <v>3947</v>
      </c>
      <c r="D11" s="4" t="str">
        <f>CONCATENATE(HYPERLINK("CALLTO:%2B356%207777%201732", "+356 7777 1732"))</f>
        <v>+356 7777 1732</v>
      </c>
      <c r="E11" s="5" t="s">
        <v>3983</v>
      </c>
      <c r="F11" s="5" t="s">
        <v>4001</v>
      </c>
    </row>
    <row r="12" spans="1:6" x14ac:dyDescent="0.3">
      <c r="A12" s="2" t="s">
        <v>3902</v>
      </c>
      <c r="B12" s="2" t="s">
        <v>3913</v>
      </c>
      <c r="C12" s="3" t="s">
        <v>3948</v>
      </c>
      <c r="D12" s="2" t="str">
        <f>CONCATENATE(HYPERLINK("CALLTO:%2B356%202141%206517", "+356 2141 6517"), " / ", HYPERLINK("CALLTO:%2B356%209949%200249", "+356 9949 0249"))</f>
        <v>+356 2141 6517 / +356 9949 0249</v>
      </c>
      <c r="E12" s="3" t="s">
        <v>3982</v>
      </c>
      <c r="F12" s="3" t="s">
        <v>4002</v>
      </c>
    </row>
    <row r="13" spans="1:6" x14ac:dyDescent="0.3">
      <c r="A13" s="4" t="s">
        <v>3898</v>
      </c>
      <c r="B13" s="4" t="s">
        <v>3914</v>
      </c>
      <c r="C13" s="5" t="s">
        <v>3949</v>
      </c>
      <c r="D13" s="4" t="str">
        <f>CONCATENATE(HYPERLINK("CALLTO:%2B356%202258%204900", "+356 2258 4900"))</f>
        <v>+356 2258 4900</v>
      </c>
      <c r="E13" s="5" t="s">
        <v>3984</v>
      </c>
      <c r="F13" s="5" t="s">
        <v>4003</v>
      </c>
    </row>
    <row r="14" spans="1:6" x14ac:dyDescent="0.3">
      <c r="A14" s="2" t="s">
        <v>3904</v>
      </c>
      <c r="B14" s="2" t="s">
        <v>3915</v>
      </c>
      <c r="C14" s="3" t="s">
        <v>3950</v>
      </c>
      <c r="D14" s="2" t="str">
        <f>CONCATENATE(HYPERLINK("CALLTO:%2B356%207982%202471", "+356 7982 2471"))</f>
        <v>+356 7982 2471</v>
      </c>
      <c r="E14" s="3" t="s">
        <v>3985</v>
      </c>
      <c r="F14" s="3" t="s">
        <v>4004</v>
      </c>
    </row>
    <row r="15" spans="1:6" x14ac:dyDescent="0.3">
      <c r="A15" s="4" t="s">
        <v>3904</v>
      </c>
      <c r="B15" s="4" t="s">
        <v>3916</v>
      </c>
      <c r="C15" s="5" t="s">
        <v>3951</v>
      </c>
      <c r="D15" s="4" t="str">
        <f>CONCATENATE(HYPERLINK("CALLTO:%2B356%207710%204522", "+356 7710 4522"))</f>
        <v>+356 7710 4522</v>
      </c>
      <c r="E15" s="5" t="s">
        <v>3986</v>
      </c>
      <c r="F15" s="5" t="s">
        <v>4005</v>
      </c>
    </row>
    <row r="16" spans="1:6" x14ac:dyDescent="0.3">
      <c r="A16" s="2" t="s">
        <v>3904</v>
      </c>
      <c r="B16" s="2" t="s">
        <v>3917</v>
      </c>
      <c r="C16" s="3" t="s">
        <v>3953</v>
      </c>
      <c r="D16" s="2" t="str">
        <f>CONCATENATE(HYPERLINK("CALLTO:%2B356%207940%201076", "+356 7940 1076"))</f>
        <v>+356 7940 1076</v>
      </c>
      <c r="E16" s="3" t="s">
        <v>3988</v>
      </c>
      <c r="F16" s="3" t="s">
        <v>4006</v>
      </c>
    </row>
    <row r="17" spans="1:6" x14ac:dyDescent="0.3">
      <c r="A17" s="4" t="s">
        <v>3904</v>
      </c>
      <c r="B17" s="4" t="s">
        <v>3918</v>
      </c>
      <c r="C17" s="5" t="s">
        <v>3952</v>
      </c>
      <c r="D17" s="4" t="str">
        <f>CONCATENATE(HYPERLINK("CALLTO:%2B356%207989%206534", "+356 7989 6534"))</f>
        <v>+356 7989 6534</v>
      </c>
      <c r="E17" s="5" t="s">
        <v>3987</v>
      </c>
      <c r="F17" s="5" t="s">
        <v>4007</v>
      </c>
    </row>
    <row r="18" spans="1:6" x14ac:dyDescent="0.3">
      <c r="A18" s="2" t="s">
        <v>3904</v>
      </c>
      <c r="B18" s="2" t="s">
        <v>3919</v>
      </c>
      <c r="C18" s="3" t="s">
        <v>3954</v>
      </c>
      <c r="D18" s="2" t="str">
        <f>CONCATENATE(HYPERLINK("CALLTO:%2B356%207706%200013", "+356 7706 0013"))</f>
        <v>+356 7706 0013</v>
      </c>
      <c r="E18" s="3" t="s">
        <v>3989</v>
      </c>
      <c r="F18" s="3" t="s">
        <v>4008</v>
      </c>
    </row>
    <row r="19" spans="1:6" x14ac:dyDescent="0.3">
      <c r="A19" s="4" t="s">
        <v>3904</v>
      </c>
      <c r="B19" s="4" t="s">
        <v>3920</v>
      </c>
      <c r="C19" s="5" t="s">
        <v>3955</v>
      </c>
      <c r="D19" s="4" t="str">
        <f>CONCATENATE(HYPERLINK("CALLTO:%2B356%202033%200129", "+356 2033 0129"))</f>
        <v>+356 2033 0129</v>
      </c>
      <c r="E19" s="5" t="s">
        <v>3990</v>
      </c>
      <c r="F19" s="4"/>
    </row>
    <row r="20" spans="1:6" x14ac:dyDescent="0.3">
      <c r="A20" s="2" t="s">
        <v>3904</v>
      </c>
      <c r="B20" s="2" t="s">
        <v>3921</v>
      </c>
      <c r="C20" s="3" t="s">
        <v>3956</v>
      </c>
      <c r="D20" s="2" t="str">
        <f>CONCATENATE(HYPERLINK("CALLTO:%2B356%202790%200044", "+356 2790 0044"))</f>
        <v>+356 2790 0044</v>
      </c>
      <c r="E20" s="3" t="s">
        <v>3991</v>
      </c>
      <c r="F20" s="2"/>
    </row>
    <row r="21" spans="1:6" x14ac:dyDescent="0.3">
      <c r="A21" s="4" t="s">
        <v>3904</v>
      </c>
      <c r="B21" s="4" t="s">
        <v>3922</v>
      </c>
      <c r="C21" s="5" t="s">
        <v>3957</v>
      </c>
      <c r="D21" s="4" t="str">
        <f>CONCATENATE(HYPERLINK("CALLTO:%2B356%202146%206119", "+356 2146 6119"))</f>
        <v>+356 2146 6119</v>
      </c>
      <c r="E21" s="4"/>
      <c r="F21" s="4"/>
    </row>
    <row r="22" spans="1:6" x14ac:dyDescent="0.3">
      <c r="A22" s="2" t="s">
        <v>3904</v>
      </c>
      <c r="B22" s="2" t="s">
        <v>3923</v>
      </c>
      <c r="C22" s="3" t="s">
        <v>3958</v>
      </c>
      <c r="D22" s="2" t="str">
        <f>CONCATENATE(HYPERLINK("CALLTO:%2B356%207713%200535", "+356 7713 0535"))</f>
        <v>+356 7713 0535</v>
      </c>
      <c r="E22" s="2"/>
      <c r="F22" s="2"/>
    </row>
    <row r="23" spans="1:6" x14ac:dyDescent="0.3">
      <c r="A23" s="4" t="s">
        <v>3904</v>
      </c>
      <c r="B23" s="4" t="s">
        <v>3924</v>
      </c>
      <c r="C23" s="5" t="s">
        <v>3959</v>
      </c>
      <c r="D23" s="4" t="str">
        <f>CONCATENATE(HYPERLINK("CALLTO:%2B356%207901%200975", "+356 7901 0975"))</f>
        <v>+356 7901 0975</v>
      </c>
      <c r="E23" s="4"/>
      <c r="F23" s="4"/>
    </row>
    <row r="24" spans="1:6" x14ac:dyDescent="0.3">
      <c r="A24" s="2"/>
      <c r="B24" s="2" t="s">
        <v>3925</v>
      </c>
      <c r="C24" s="3" t="s">
        <v>3960</v>
      </c>
      <c r="D24" s="2" t="str">
        <f>CONCATENATE(HYPERLINK("CALLTO:%2B356%209960%206190", "+356 9960 6190"))</f>
        <v>+356 9960 6190</v>
      </c>
      <c r="E24" s="2"/>
      <c r="F24" s="2"/>
    </row>
    <row r="25" spans="1:6" x14ac:dyDescent="0.3">
      <c r="A25" s="4"/>
      <c r="B25" s="4" t="s">
        <v>3926</v>
      </c>
      <c r="C25" s="5" t="s">
        <v>3961</v>
      </c>
      <c r="D25" s="4" t="str">
        <f>CONCATENATE(HYPERLINK("CALLTO:%2B356%207767%208691", "+356 7767 8691"))</f>
        <v>+356 7767 8691</v>
      </c>
      <c r="E25" s="4"/>
      <c r="F25" s="4"/>
    </row>
    <row r="26" spans="1:6" x14ac:dyDescent="0.3">
      <c r="A26" s="2"/>
      <c r="B26" s="2" t="s">
        <v>3927</v>
      </c>
      <c r="C26" s="3" t="s">
        <v>3962</v>
      </c>
      <c r="D26" s="2"/>
      <c r="E26" s="2"/>
      <c r="F26" s="2"/>
    </row>
    <row r="27" spans="1:6" x14ac:dyDescent="0.3">
      <c r="A27" s="4"/>
      <c r="B27" s="4" t="s">
        <v>3928</v>
      </c>
      <c r="C27" s="5" t="s">
        <v>3963</v>
      </c>
      <c r="D27" s="4"/>
      <c r="E27" s="4"/>
      <c r="F27" s="4"/>
    </row>
    <row r="28" spans="1:6" x14ac:dyDescent="0.3">
      <c r="A28" s="2"/>
      <c r="B28" s="2" t="s">
        <v>3929</v>
      </c>
      <c r="C28" s="3" t="s">
        <v>3964</v>
      </c>
      <c r="D28" s="2"/>
      <c r="E28" s="2"/>
      <c r="F28" s="2"/>
    </row>
    <row r="29" spans="1:6" x14ac:dyDescent="0.3">
      <c r="A29" s="4"/>
      <c r="B29" s="4" t="s">
        <v>3931</v>
      </c>
      <c r="C29" s="5" t="s">
        <v>3965</v>
      </c>
      <c r="D29" s="4"/>
      <c r="E29" s="4"/>
      <c r="F29" s="4"/>
    </row>
    <row r="30" spans="1:6" x14ac:dyDescent="0.3">
      <c r="A30" s="2"/>
      <c r="B30" s="2" t="s">
        <v>3930</v>
      </c>
      <c r="C30" s="3" t="s">
        <v>3966</v>
      </c>
      <c r="D30" s="2"/>
      <c r="E30" s="2"/>
      <c r="F30" s="2"/>
    </row>
    <row r="31" spans="1:6" x14ac:dyDescent="0.3">
      <c r="A31" s="4"/>
      <c r="B31" s="4" t="s">
        <v>3932</v>
      </c>
      <c r="C31" s="5" t="s">
        <v>3967</v>
      </c>
      <c r="D31" s="4"/>
      <c r="E31" s="4"/>
      <c r="F31" s="4"/>
    </row>
    <row r="32" spans="1:6" x14ac:dyDescent="0.3">
      <c r="A32" s="2"/>
      <c r="B32" s="2" t="s">
        <v>3933</v>
      </c>
      <c r="C32" s="3" t="s">
        <v>3968</v>
      </c>
      <c r="D32" s="2"/>
      <c r="E32" s="2"/>
      <c r="F32" s="2"/>
    </row>
    <row r="33" spans="1:6" x14ac:dyDescent="0.3">
      <c r="A33" s="4"/>
      <c r="B33" s="4" t="s">
        <v>3934</v>
      </c>
      <c r="C33" s="5" t="s">
        <v>3969</v>
      </c>
      <c r="D33" s="4"/>
      <c r="E33" s="4"/>
      <c r="F33" s="4"/>
    </row>
    <row r="34" spans="1:6" x14ac:dyDescent="0.3">
      <c r="A34" s="2"/>
      <c r="B34" s="2" t="s">
        <v>3935</v>
      </c>
      <c r="C34" s="3" t="s">
        <v>3970</v>
      </c>
      <c r="D34" s="2"/>
      <c r="E34" s="2"/>
      <c r="F34" s="2"/>
    </row>
    <row r="35" spans="1:6" x14ac:dyDescent="0.3">
      <c r="A35" s="4"/>
      <c r="B35" s="4" t="s">
        <v>3936</v>
      </c>
      <c r="C35" s="5" t="s">
        <v>3971</v>
      </c>
      <c r="D35" s="4"/>
      <c r="E35" s="4"/>
      <c r="F35" s="4"/>
    </row>
    <row r="36" spans="1:6" x14ac:dyDescent="0.3">
      <c r="A36" s="2"/>
      <c r="B36" s="2" t="s">
        <v>3937</v>
      </c>
      <c r="C36" s="2" t="s">
        <v>3972</v>
      </c>
      <c r="D36" s="2"/>
      <c r="E36" s="2"/>
      <c r="F36" s="2"/>
    </row>
  </sheetData>
  <hyperlinks>
    <hyperlink ref="C2" r:id="rId1" tooltip="Send a mail to fourvcltd@gmail.com" xr:uid="{00000000-0004-0000-4200-000000000000}"/>
    <hyperlink ref="C3" r:id="rId2" tooltip="Send a mail to schembriw45@gmail.com" xr:uid="{00000000-0004-0000-4200-000001000000}"/>
    <hyperlink ref="C4" r:id="rId3" tooltip="Send a mail to neilborg9@gmail.com" xr:uid="{00000000-0004-0000-4200-000002000000}"/>
    <hyperlink ref="C5" r:id="rId4" tooltip="Send a mail to norobturnkey@gmail.com" xr:uid="{00000000-0004-0000-4200-000003000000}"/>
    <hyperlink ref="C6" r:id="rId5" tooltip="Send a mail to kitonkeith@gmail.com" xr:uid="{00000000-0004-0000-4200-000004000000}"/>
    <hyperlink ref="C7" r:id="rId6" tooltip="Send a mail to info@casacompleta.net" xr:uid="{00000000-0004-0000-4200-000005000000}"/>
    <hyperlink ref="C8" r:id="rId7" tooltip="Send a mail to abela.restoration@gmail.com" xr:uid="{00000000-0004-0000-4200-000006000000}"/>
    <hyperlink ref="C9" r:id="rId8" tooltip="Send a mail to info@recoop.com.mt" xr:uid="{00000000-0004-0000-4200-000007000000}"/>
    <hyperlink ref="C10" r:id="rId9" tooltip="Send a mail to lizabologna@restoration-now.com" xr:uid="{00000000-0004-0000-4200-000008000000}"/>
    <hyperlink ref="C11" r:id="rId10" tooltip="Send a mail to info@targe.mt" xr:uid="{00000000-0004-0000-4200-000009000000}"/>
    <hyperlink ref="C12" r:id="rId11" tooltip="Send a mail to psbcontractors@gmail.com" xr:uid="{00000000-0004-0000-4200-00000A000000}"/>
    <hyperlink ref="C13" r:id="rId12" tooltip="Send a mail to info@axconstruction.mt" xr:uid="{00000000-0004-0000-4200-00000B000000}"/>
    <hyperlink ref="C14" r:id="rId13" tooltip="Send a mail to silvio.tonna@gmail.com" xr:uid="{00000000-0004-0000-4200-00000C000000}"/>
    <hyperlink ref="C15" r:id="rId14" tooltip="Send a mail to info@asbusiness.art" xr:uid="{00000000-0004-0000-4200-00000D000000}"/>
    <hyperlink ref="C16" r:id="rId15" tooltip="Send a mail to bmdsolutions2018@gmail.com" xr:uid="{00000000-0004-0000-4200-00000E000000}"/>
    <hyperlink ref="C17" r:id="rId16" tooltip="Send a mail to info@rgimalta.com" xr:uid="{00000000-0004-0000-4200-00000F000000}"/>
    <hyperlink ref="C18" r:id="rId17" tooltip="Send a mail to a_ablast@live.com" xr:uid="{00000000-0004-0000-4200-000010000000}"/>
    <hyperlink ref="C19" r:id="rId18" tooltip="Send a mail to info@hicareservices.mt" xr:uid="{00000000-0004-0000-4200-000011000000}"/>
    <hyperlink ref="C20" r:id="rId19" tooltip="Send a mail to info@pisanirestoration.com" xr:uid="{00000000-0004-0000-4200-000012000000}"/>
    <hyperlink ref="C21" r:id="rId20" tooltip="Send a mail to info@farstoneconstruction.com" xr:uid="{00000000-0004-0000-4200-000013000000}"/>
    <hyperlink ref="C22" r:id="rId21" tooltip="Send a mail to info@opaq.mt" xr:uid="{00000000-0004-0000-4200-000014000000}"/>
    <hyperlink ref="C23" r:id="rId22" tooltip="Send a mail to marbrian01@gmail.com" xr:uid="{00000000-0004-0000-4200-000015000000}"/>
    <hyperlink ref="C24" r:id="rId23" tooltip="Send a mail to dgrestorations21@gmail.com" xr:uid="{00000000-0004-0000-4200-000016000000}"/>
    <hyperlink ref="C25" r:id="rId24" tooltip="Send a mail to clivelee1986@gmail.com" xr:uid="{00000000-0004-0000-4200-000017000000}"/>
    <hyperlink ref="C26" r:id="rId25" tooltip="Send a mail to rmrestoration80@gmail.com" xr:uid="{00000000-0004-0000-4200-000018000000}"/>
    <hyperlink ref="C27" r:id="rId26" tooltip="Send a mail to cody-camilleri@outlook.com" xr:uid="{00000000-0004-0000-4200-000019000000}"/>
    <hyperlink ref="C28" r:id="rId27" tooltip="Send a mail to Hubert.mifsud@icloud.com" xr:uid="{00000000-0004-0000-4200-00001A000000}"/>
    <hyperlink ref="C29" r:id="rId28" tooltip="Send a mail to rachellegaldes@gmail.com" xr:uid="{00000000-0004-0000-4200-00001B000000}"/>
    <hyperlink ref="C30" r:id="rId29" tooltip="Send a mail to allroundservices9@gmail.com" xr:uid="{00000000-0004-0000-4200-00001C000000}"/>
    <hyperlink ref="C31" r:id="rId30" tooltip="Send a mail to Tridentrockscapesolutions@gmail.com" xr:uid="{00000000-0004-0000-4200-00001D000000}"/>
    <hyperlink ref="C32" r:id="rId31" tooltip="Send a mail to kevinmallia85@gmail.com" xr:uid="{00000000-0004-0000-4200-00001E000000}"/>
    <hyperlink ref="C33" r:id="rId32" tooltip="Send a mail to am.stonerestoration@gmail.com" xr:uid="{00000000-0004-0000-4200-00001F000000}"/>
    <hyperlink ref="C34" r:id="rId33" tooltip="Send a mail to ton.micallef@hotmail.com" xr:uid="{00000000-0004-0000-4200-000020000000}"/>
    <hyperlink ref="C35" r:id="rId34" tooltip="Send a mail to marcellomultiservice@gmail.com" xr:uid="{00000000-0004-0000-4200-000021000000}"/>
    <hyperlink ref="E2" r:id="rId35" tooltip="Search 8 Triq Salvu Cacciattolo , Zejtun on Google Maps" xr:uid="{00000000-0004-0000-4200-000022000000}"/>
    <hyperlink ref="E3" r:id="rId36" tooltip="Search Triq San Edwardu, Qormi, Malta on Google Maps" xr:uid="{00000000-0004-0000-4200-000023000000}"/>
    <hyperlink ref="E4" r:id="rId37" tooltip="Search 23 Nightingale Triq Dun Salvatore Zarb ,_x000a_Gharghur, Malta GHR 1620 on Google Maps" xr:uid="{00000000-0004-0000-4200-000024000000}"/>
    <hyperlink ref="E5" r:id="rId38" tooltip="Search Triq John Borg Zejtun ZTN 2077 on Google Maps" xr:uid="{00000000-0004-0000-4200-000025000000}"/>
    <hyperlink ref="E6" r:id="rId39" tooltip="Search Santa Marija Flats, Flt 3 Triq tal-Wej , Mosta Malta MST 2462 on Google Maps" xr:uid="{00000000-0004-0000-4200-000026000000}"/>
    <hyperlink ref="E7" r:id="rId40" tooltip="Search Triq l-Imdina Attard on Google Maps" xr:uid="{00000000-0004-0000-4200-000027000000}"/>
    <hyperlink ref="E8" r:id="rId41" tooltip="Search Abela Restoration_x000a_55 Tal-Grazzja Triq Bugharbiel ,_x000a_Zejtun, Malta ZTN 3435 on Google Maps" xr:uid="{00000000-0004-0000-4200-000028000000}"/>
    <hyperlink ref="E9" r:id="rId42" tooltip="Search ReCoop_x000a_Zone 2 Triq L-Esportaturi Central Business District ,_x000a_B’Kara, Malta CBD 2040 on Google Maps" xr:uid="{00000000-0004-0000-4200-000029000000}"/>
    <hyperlink ref="E10" r:id="rId43" tooltip="Search Restoration Now_x000a_Triq il-Baltiku ,_x000a_San Giljan, Malta on Google Maps" xr:uid="{00000000-0004-0000-4200-00002A000000}"/>
    <hyperlink ref="E11" r:id="rId44" tooltip="Search Targe Restoration Ltd., 12 Alley, 4 Castro Street Naxxar NXR2440, Malta on Google Maps" xr:uid="{00000000-0004-0000-4200-00002B000000}"/>
    <hyperlink ref="E12" r:id="rId45" tooltip="Search PS Buhagiar Building Contractors_x000a_55, Anfield,_x000a_Triq Raddet ir-Roti,_x000a_Mosta, Malta. on Google Maps" xr:uid="{00000000-0004-0000-4200-00002C000000}"/>
    <hyperlink ref="E13" r:id="rId46" tooltip="Search Hardrocks Industrial Park,_x000a_L/O Burmarrad, Malta on Google Maps" xr:uid="{00000000-0004-0000-4200-00002D000000}"/>
    <hyperlink ref="E14" r:id="rId47" tooltip="Search triq San Guzepp 28, Mosta, Malta on Google Maps" xr:uid="{00000000-0004-0000-4200-00002E000000}"/>
    <hyperlink ref="E15" r:id="rId48" tooltip="Search 30 Triq L-Imradd, Ta' Xbiex on Google Maps" xr:uid="{00000000-0004-0000-4200-00002F000000}"/>
    <hyperlink ref="E16" r:id="rId49" tooltip="Search KW 09B Qasam Industrijali, Kordin_x000a_Paola_x000a_PLA 3000 on Google Maps" xr:uid="{00000000-0004-0000-4200-000030000000}"/>
    <hyperlink ref="E17" r:id="rId50" tooltip="Search 90, Valley Road Birkirkara, BKR 9014 on Google Maps" xr:uid="{00000000-0004-0000-4200-000031000000}"/>
    <hyperlink ref="E18" r:id="rId51" tooltip="Search 2, Triq il-Qamh, Zebbug, Ħaz-Zebbug, Malta on Google Maps" xr:uid="{00000000-0004-0000-4200-000032000000}"/>
    <hyperlink ref="E19" r:id="rId52" tooltip="Search The Peak Exclusive Residences 14, Triq D'Amato, Attard on Google Maps" xr:uid="{00000000-0004-0000-4200-000033000000}"/>
    <hyperlink ref="E20" r:id="rId53" tooltip="Search 19, springvale, Triq it-Tabib Nikola Zammit on Google Maps" xr:uid="{00000000-0004-0000-4200-000034000000}"/>
    <hyperlink ref="F2" r:id="rId54" tooltip="Visit fourvcmalta.com/" xr:uid="{00000000-0004-0000-4200-000035000000}"/>
    <hyperlink ref="F3" r:id="rId55" tooltip="Visit wsinstallationsmalta.com/" xr:uid="{00000000-0004-0000-4200-000036000000}"/>
    <hyperlink ref="F4" r:id="rId56" tooltip="Visit yellow.com.mt/nm-restoration/building-restoration-conservation/" xr:uid="{00000000-0004-0000-4200-000037000000}"/>
    <hyperlink ref="F5" r:id="rId57" tooltip="Visit norobinstallations.com/?utm_source=Yellow&amp;utm_medium=Yellow-Website&amp;utm_campaign=Landing-Page" xr:uid="{00000000-0004-0000-4200-000038000000}"/>
    <hyperlink ref="F6" r:id="rId58" tooltip="Visit kitonkeith.wixsite.com/kitoncontractors" xr:uid="{00000000-0004-0000-4200-000039000000}"/>
    <hyperlink ref="F7" r:id="rId59" tooltip="Visit casacompletamalta.com/" xr:uid="{00000000-0004-0000-4200-00003A000000}"/>
    <hyperlink ref="F8" r:id="rId60" tooltip="Visit yellow.com.mt/abela-restoration_building-restoration-conservation+zejtun/" xr:uid="{00000000-0004-0000-4200-00003B000000}"/>
    <hyperlink ref="F9" r:id="rId61" tooltip="Visit recoop.mt/" xr:uid="{00000000-0004-0000-4200-00003C000000}"/>
    <hyperlink ref="F10" r:id="rId62" tooltip="Visit targe.mt/" xr:uid="{00000000-0004-0000-4200-00003D000000}"/>
    <hyperlink ref="F11" r:id="rId63" tooltip="Visit psbuhagiarconstructionltd.com/en/home.htm?utm_source=chatgpt.com" xr:uid="{00000000-0004-0000-4200-00003E000000}"/>
    <hyperlink ref="F12" r:id="rId64" tooltip="Visit axconstruction.com.mt/" xr:uid="{00000000-0004-0000-4200-00003F000000}"/>
    <hyperlink ref="F13" r:id="rId65" tooltip="Visit facebook.com/RGImalta/" xr:uid="{00000000-0004-0000-4200-000040000000}"/>
    <hyperlink ref="F14" r:id="rId66" tooltip="Visit alexblasting.com/" xr:uid="{00000000-0004-0000-4200-000041000000}"/>
    <hyperlink ref="F15" r:id="rId67" tooltip="Visit hicareservices.mt/" xr:uid="{00000000-0004-0000-4200-000042000000}"/>
    <hyperlink ref="F16" r:id="rId68" tooltip="Visit pisanirestoration.com/" xr:uid="{00000000-0004-0000-4200-000043000000}"/>
    <hyperlink ref="F17" r:id="rId69" tooltip="Visit facebook.com/p/Farstone-Construction-Restoration-Ltd-100042529226772/" xr:uid="{00000000-0004-0000-4200-000044000000}"/>
    <hyperlink ref="F18" r:id="rId70" tooltip="Visit opaq.mt/restoration/" xr:uid="{00000000-0004-0000-4200-000045000000}"/>
  </hyperlinks>
  <pageMargins left="0.75" right="0.75" top="0.75" bottom="0.5" header="0.5" footer="0.7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33"/>
  <sheetViews>
    <sheetView workbookViewId="0"/>
  </sheetViews>
  <sheetFormatPr defaultRowHeight="14.4" x14ac:dyDescent="0.3"/>
  <cols>
    <col min="1" max="1" width="13.109375" customWidth="1"/>
    <col min="2" max="2" width="37.6640625" customWidth="1"/>
    <col min="3" max="3" width="33.88671875" customWidth="1"/>
    <col min="4" max="4" width="18.6640625" customWidth="1"/>
    <col min="5" max="5" width="10.88671875" customWidth="1"/>
    <col min="6" max="6" width="11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3992</v>
      </c>
      <c r="B2" s="2" t="s">
        <v>4010</v>
      </c>
      <c r="C2" s="3" t="s">
        <v>4041</v>
      </c>
      <c r="D2" s="2" t="str">
        <f>CONCATENATE(HYPERLINK("CALLTO:%2B356%209944%205349", "+356 9944 5349"))</f>
        <v>+356 9944 5349</v>
      </c>
      <c r="E2" s="2"/>
      <c r="F2" s="2"/>
    </row>
    <row r="3" spans="1:6" x14ac:dyDescent="0.3">
      <c r="A3" s="4" t="s">
        <v>3992</v>
      </c>
      <c r="B3" s="4" t="s">
        <v>4011</v>
      </c>
      <c r="C3" s="5" t="s">
        <v>4042</v>
      </c>
      <c r="D3" s="4" t="str">
        <f>CONCATENATE(HYPERLINK("CALLTO:%2B356%209909%202191", "+356 9909 2191"))</f>
        <v>+356 9909 2191</v>
      </c>
      <c r="E3" s="4"/>
      <c r="F3" s="4"/>
    </row>
    <row r="4" spans="1:6" x14ac:dyDescent="0.3">
      <c r="A4" s="2" t="s">
        <v>3992</v>
      </c>
      <c r="B4" s="2" t="s">
        <v>4012</v>
      </c>
      <c r="C4" s="3" t="s">
        <v>4043</v>
      </c>
      <c r="D4" s="2" t="str">
        <f>CONCATENATE(HYPERLINK("CALLTO:%2B356%207947%204779", "+356 7947 4779"))</f>
        <v>+356 7947 4779</v>
      </c>
      <c r="E4" s="2"/>
      <c r="F4" s="2"/>
    </row>
    <row r="5" spans="1:6" x14ac:dyDescent="0.3">
      <c r="A5" s="4" t="s">
        <v>3992</v>
      </c>
      <c r="B5" s="4" t="s">
        <v>4013</v>
      </c>
      <c r="C5" s="5" t="s">
        <v>4044</v>
      </c>
      <c r="D5" s="4" t="str">
        <f>CONCATENATE(HYPERLINK("CALLTO:%2B356%207988%203859", "+356 7988 3859"))</f>
        <v>+356 7988 3859</v>
      </c>
      <c r="E5" s="4"/>
      <c r="F5" s="4"/>
    </row>
    <row r="6" spans="1:6" x14ac:dyDescent="0.3">
      <c r="A6" s="2" t="s">
        <v>3992</v>
      </c>
      <c r="B6" s="2" t="s">
        <v>4014</v>
      </c>
      <c r="C6" s="3" t="s">
        <v>4045</v>
      </c>
      <c r="D6" s="2" t="str">
        <f>CONCATENATE(HYPERLINK("CALLTO:%2B356%202132%202999", "+356 2132 2999"))</f>
        <v>+356 2132 2999</v>
      </c>
      <c r="E6" s="2"/>
      <c r="F6" s="2"/>
    </row>
    <row r="7" spans="1:6" x14ac:dyDescent="0.3">
      <c r="A7" s="4" t="s">
        <v>3992</v>
      </c>
      <c r="B7" s="4" t="s">
        <v>4015</v>
      </c>
      <c r="C7" s="5" t="s">
        <v>4046</v>
      </c>
      <c r="D7" s="4" t="str">
        <f>CONCATENATE(HYPERLINK("CALLTO:%2B356%207949%200585", "+356 7949 0585"))</f>
        <v>+356 7949 0585</v>
      </c>
      <c r="E7" s="4"/>
      <c r="F7" s="4"/>
    </row>
    <row r="8" spans="1:6" x14ac:dyDescent="0.3">
      <c r="A8" s="2" t="s">
        <v>3992</v>
      </c>
      <c r="B8" s="2" t="s">
        <v>4016</v>
      </c>
      <c r="C8" s="3" t="s">
        <v>4047</v>
      </c>
      <c r="D8" s="2" t="str">
        <f>CONCATENATE(HYPERLINK("CALLTO:%2B356%209948%208215", "+356 9948 8215"))</f>
        <v>+356 9948 8215</v>
      </c>
      <c r="E8" s="2"/>
      <c r="F8" s="2"/>
    </row>
    <row r="9" spans="1:6" x14ac:dyDescent="0.3">
      <c r="A9" s="4" t="s">
        <v>3992</v>
      </c>
      <c r="B9" s="4" t="s">
        <v>4017</v>
      </c>
      <c r="C9" s="5" t="s">
        <v>4048</v>
      </c>
      <c r="D9" s="4" t="str">
        <f>CONCATENATE(HYPERLINK("CALLTO:%2B356%209980%209539", "+356 9980 9539"))</f>
        <v>+356 9980 9539</v>
      </c>
      <c r="E9" s="4"/>
      <c r="F9" s="4"/>
    </row>
    <row r="10" spans="1:6" x14ac:dyDescent="0.3">
      <c r="A10" s="2" t="s">
        <v>3992</v>
      </c>
      <c r="B10" s="2" t="s">
        <v>4018</v>
      </c>
      <c r="C10" s="3" t="s">
        <v>4049</v>
      </c>
      <c r="D10" s="2" t="str">
        <f>CONCATENATE(HYPERLINK("CALLTO:%2B356%207932%208188", "+356 7932 8188"))</f>
        <v>+356 7932 8188</v>
      </c>
      <c r="E10" s="2"/>
      <c r="F10" s="2"/>
    </row>
    <row r="11" spans="1:6" x14ac:dyDescent="0.3">
      <c r="A11" s="4" t="s">
        <v>3992</v>
      </c>
      <c r="B11" s="4" t="s">
        <v>4019</v>
      </c>
      <c r="C11" s="5" t="s">
        <v>4050</v>
      </c>
      <c r="D11" s="4" t="str">
        <f>CONCATENATE(HYPERLINK("CALLTO:%2B356%209947%202475", "+356 9947 2475"))</f>
        <v>+356 9947 2475</v>
      </c>
      <c r="E11" s="4"/>
      <c r="F11" s="4"/>
    </row>
    <row r="12" spans="1:6" x14ac:dyDescent="0.3">
      <c r="A12" s="2" t="s">
        <v>3992</v>
      </c>
      <c r="B12" s="2" t="s">
        <v>4020</v>
      </c>
      <c r="C12" s="3" t="s">
        <v>4051</v>
      </c>
      <c r="D12" s="2" t="str">
        <f>CONCATENATE(HYPERLINK("CALLTO:%2B356%209940%205020", "+356 9940 5020"))</f>
        <v>+356 9940 5020</v>
      </c>
      <c r="E12" s="2"/>
      <c r="F12" s="2"/>
    </row>
    <row r="13" spans="1:6" x14ac:dyDescent="0.3">
      <c r="A13" s="4" t="s">
        <v>3992</v>
      </c>
      <c r="B13" s="4" t="s">
        <v>4021</v>
      </c>
      <c r="C13" s="5" t="s">
        <v>4052</v>
      </c>
      <c r="D13" s="4" t="str">
        <f>CONCATENATE(HYPERLINK("CALLTO:%2B356%209947%205418", "+356 9947 5418"))</f>
        <v>+356 9947 5418</v>
      </c>
      <c r="E13" s="4"/>
      <c r="F13" s="4"/>
    </row>
    <row r="14" spans="1:6" x14ac:dyDescent="0.3">
      <c r="A14" s="2" t="s">
        <v>3992</v>
      </c>
      <c r="B14" s="2" t="s">
        <v>4022</v>
      </c>
      <c r="C14" s="3" t="s">
        <v>4053</v>
      </c>
      <c r="D14" s="2" t="str">
        <f>CONCATENATE(HYPERLINK("CALLTO:%2B356%209947%205417", "+356 9947 5417"))</f>
        <v>+356 9947 5417</v>
      </c>
      <c r="E14" s="2"/>
      <c r="F14" s="2"/>
    </row>
    <row r="15" spans="1:6" x14ac:dyDescent="0.3">
      <c r="A15" s="4" t="s">
        <v>3992</v>
      </c>
      <c r="B15" s="4" t="s">
        <v>4023</v>
      </c>
      <c r="C15" s="5" t="s">
        <v>4054</v>
      </c>
      <c r="D15" s="4" t="str">
        <f>CONCATENATE(HYPERLINK("CALLTO:%2B356%207928%204997", "+356 7928 4997"))</f>
        <v>+356 7928 4997</v>
      </c>
      <c r="E15" s="4"/>
      <c r="F15" s="4"/>
    </row>
    <row r="16" spans="1:6" x14ac:dyDescent="0.3">
      <c r="A16" s="2" t="s">
        <v>3992</v>
      </c>
      <c r="B16" s="2" t="s">
        <v>4024</v>
      </c>
      <c r="C16" s="3" t="s">
        <v>4055</v>
      </c>
      <c r="D16" s="2" t="str">
        <f>CONCATENATE(HYPERLINK("CALLTO:%2B356%209949%208011", "+356 9949 8011"))</f>
        <v>+356 9949 8011</v>
      </c>
      <c r="E16" s="2"/>
      <c r="F16" s="2"/>
    </row>
    <row r="17" spans="1:6" x14ac:dyDescent="0.3">
      <c r="A17" s="4" t="s">
        <v>3992</v>
      </c>
      <c r="B17" s="4" t="s">
        <v>4025</v>
      </c>
      <c r="C17" s="5" t="s">
        <v>4056</v>
      </c>
      <c r="D17" s="4" t="str">
        <f>CONCATENATE(HYPERLINK("CALLTO:%2B356%209942%205236", "+356 9942 5236"))</f>
        <v>+356 9942 5236</v>
      </c>
      <c r="E17" s="4"/>
      <c r="F17" s="4"/>
    </row>
    <row r="18" spans="1:6" x14ac:dyDescent="0.3">
      <c r="A18" s="2" t="s">
        <v>3992</v>
      </c>
      <c r="B18" s="2" t="s">
        <v>4026</v>
      </c>
      <c r="C18" s="3" t="s">
        <v>4057</v>
      </c>
      <c r="D18" s="2" t="str">
        <f>CONCATENATE(HYPERLINK("CALLTO:%2B356%209914%202799", "+356 9914 2799"))</f>
        <v>+356 9914 2799</v>
      </c>
      <c r="E18" s="2"/>
      <c r="F18" s="2"/>
    </row>
    <row r="19" spans="1:6" x14ac:dyDescent="0.3">
      <c r="A19" s="4" t="s">
        <v>3992</v>
      </c>
      <c r="B19" s="4" t="s">
        <v>4027</v>
      </c>
      <c r="C19" s="5" t="s">
        <v>4058</v>
      </c>
      <c r="D19" s="4" t="str">
        <f>CONCATENATE(HYPERLINK("CALLTO:%2B356%207944%205840", "+356 7944 5840"))</f>
        <v>+356 7944 5840</v>
      </c>
      <c r="E19" s="4"/>
      <c r="F19" s="4"/>
    </row>
    <row r="20" spans="1:6" x14ac:dyDescent="0.3">
      <c r="A20" s="2" t="s">
        <v>3992</v>
      </c>
      <c r="B20" s="2" t="s">
        <v>4028</v>
      </c>
      <c r="C20" s="3" t="s">
        <v>4059</v>
      </c>
      <c r="D20" s="2" t="str">
        <f>CONCATENATE(HYPERLINK("CALLTO:%2B356%209945%200685", "+356 9945 0685"))</f>
        <v>+356 9945 0685</v>
      </c>
      <c r="E20" s="2"/>
      <c r="F20" s="2"/>
    </row>
    <row r="21" spans="1:6" x14ac:dyDescent="0.3">
      <c r="A21" s="4" t="s">
        <v>3992</v>
      </c>
      <c r="B21" s="4" t="s">
        <v>4029</v>
      </c>
      <c r="C21" s="5" t="s">
        <v>4060</v>
      </c>
      <c r="D21" s="4" t="str">
        <f>CONCATENATE(HYPERLINK("CALLTO:%2B356%209994%203884", "+356 9994 3884"))</f>
        <v>+356 9994 3884</v>
      </c>
      <c r="E21" s="4"/>
      <c r="F21" s="4"/>
    </row>
    <row r="22" spans="1:6" x14ac:dyDescent="0.3">
      <c r="A22" s="2" t="s">
        <v>3992</v>
      </c>
      <c r="B22" s="2" t="s">
        <v>4030</v>
      </c>
      <c r="C22" s="3" t="s">
        <v>4061</v>
      </c>
      <c r="D22" s="2" t="str">
        <f>CONCATENATE(HYPERLINK("CALLTO:%2B356%209949%201447", "+356 9949 1447"))</f>
        <v>+356 9949 1447</v>
      </c>
      <c r="E22" s="2"/>
      <c r="F22" s="2"/>
    </row>
    <row r="23" spans="1:6" x14ac:dyDescent="0.3">
      <c r="A23" s="4" t="s">
        <v>3992</v>
      </c>
      <c r="B23" s="4" t="s">
        <v>4031</v>
      </c>
      <c r="C23" s="5" t="s">
        <v>4044</v>
      </c>
      <c r="D23" s="4" t="str">
        <f>CONCATENATE(HYPERLINK("CALLTO:%2B356%209928%208468", "+356 9928 8468"))</f>
        <v>+356 9928 8468</v>
      </c>
      <c r="E23" s="4"/>
      <c r="F23" s="4"/>
    </row>
    <row r="24" spans="1:6" x14ac:dyDescent="0.3">
      <c r="A24" s="2" t="s">
        <v>3992</v>
      </c>
      <c r="B24" s="2" t="s">
        <v>4032</v>
      </c>
      <c r="C24" s="3" t="s">
        <v>4062</v>
      </c>
      <c r="D24" s="2" t="str">
        <f>CONCATENATE(HYPERLINK("CALLTO:%2B356%209947%202279", "+356 9947 2279"))</f>
        <v>+356 9947 2279</v>
      </c>
      <c r="E24" s="2"/>
      <c r="F24" s="2"/>
    </row>
    <row r="25" spans="1:6" x14ac:dyDescent="0.3">
      <c r="A25" s="4" t="s">
        <v>3992</v>
      </c>
      <c r="B25" s="4" t="s">
        <v>4033</v>
      </c>
      <c r="C25" s="5" t="s">
        <v>4063</v>
      </c>
      <c r="D25" s="4" t="str">
        <f>CONCATENATE(HYPERLINK("CALLTO:%2B356%207988%203859", "+356 7988 3859"))</f>
        <v>+356 7988 3859</v>
      </c>
      <c r="E25" s="4"/>
      <c r="F25" s="4"/>
    </row>
    <row r="26" spans="1:6" x14ac:dyDescent="0.3">
      <c r="A26" s="2" t="s">
        <v>3992</v>
      </c>
      <c r="B26" s="2" t="s">
        <v>4034</v>
      </c>
      <c r="C26" s="3" t="s">
        <v>4064</v>
      </c>
      <c r="D26" s="2" t="str">
        <f>CONCATENATE(HYPERLINK("CALLTO:%2B356%209940%204502", "+356 9940 4502"))</f>
        <v>+356 9940 4502</v>
      </c>
      <c r="E26" s="2"/>
      <c r="F26" s="2"/>
    </row>
    <row r="27" spans="1:6" x14ac:dyDescent="0.3">
      <c r="A27" s="4" t="s">
        <v>3992</v>
      </c>
      <c r="B27" s="4" t="s">
        <v>4035</v>
      </c>
      <c r="C27" s="5" t="s">
        <v>4065</v>
      </c>
      <c r="D27" s="4" t="str">
        <f>CONCATENATE(HYPERLINK("CALLTO:%2B356%209949%202584", "+356 9949 2584"))</f>
        <v>+356 9949 2584</v>
      </c>
      <c r="E27" s="4"/>
      <c r="F27" s="4"/>
    </row>
    <row r="28" spans="1:6" x14ac:dyDescent="0.3">
      <c r="A28" s="2" t="s">
        <v>4009</v>
      </c>
      <c r="B28" s="2" t="s">
        <v>95</v>
      </c>
      <c r="C28" s="3" t="s">
        <v>2715</v>
      </c>
      <c r="D28" s="2" t="str">
        <f>CONCATENATE(HYPERLINK("CALLTO:%2B356%207904%206128", "+356 7904 6128"))</f>
        <v>+356 7904 6128</v>
      </c>
      <c r="E28" s="2"/>
      <c r="F28" s="2"/>
    </row>
    <row r="29" spans="1:6" x14ac:dyDescent="0.3">
      <c r="A29" s="4" t="s">
        <v>4009</v>
      </c>
      <c r="B29" s="4" t="s">
        <v>4036</v>
      </c>
      <c r="C29" s="4"/>
      <c r="D29" s="4" t="str">
        <f>CONCATENATE(HYPERLINK("CALLTO:%2B356%209942%203019", "+356 9942 3019"))</f>
        <v>+356 9942 3019</v>
      </c>
      <c r="E29" s="4"/>
      <c r="F29" s="4"/>
    </row>
    <row r="30" spans="1:6" x14ac:dyDescent="0.3">
      <c r="A30" s="2" t="s">
        <v>4009</v>
      </c>
      <c r="B30" s="2" t="s">
        <v>4037</v>
      </c>
      <c r="C30" s="2"/>
      <c r="D30" s="2" t="str">
        <f>CONCATENATE(HYPERLINK("CALLTO:%2B356%209991%204422", "+356 9991 4422"))</f>
        <v>+356 9991 4422</v>
      </c>
      <c r="E30" s="2"/>
      <c r="F30" s="2"/>
    </row>
    <row r="31" spans="1:6" x14ac:dyDescent="0.3">
      <c r="A31" s="4" t="s">
        <v>4009</v>
      </c>
      <c r="B31" s="4" t="s">
        <v>4038</v>
      </c>
      <c r="C31" s="4"/>
      <c r="D31" s="4" t="str">
        <f>CONCATENATE(HYPERLINK("CALLTO:%2B356%202143%206820", "+356 2143 6820"))</f>
        <v>+356 2143 6820</v>
      </c>
      <c r="E31" s="4"/>
      <c r="F31" s="4"/>
    </row>
    <row r="32" spans="1:6" x14ac:dyDescent="0.3">
      <c r="A32" s="2" t="s">
        <v>4009</v>
      </c>
      <c r="B32" s="2" t="s">
        <v>4039</v>
      </c>
      <c r="C32" s="2"/>
      <c r="D32" s="2" t="str">
        <f>CONCATENATE(HYPERLINK("CALLTO:%2B356%209990%203317", "+356 9990 3317"))</f>
        <v>+356 9990 3317</v>
      </c>
      <c r="E32" s="2"/>
      <c r="F32" s="2"/>
    </row>
    <row r="33" spans="1:6" x14ac:dyDescent="0.3">
      <c r="A33" s="4" t="s">
        <v>4009</v>
      </c>
      <c r="B33" s="4" t="s">
        <v>4040</v>
      </c>
      <c r="C33" s="4"/>
      <c r="D33" s="4" t="str">
        <f>CONCATENATE(HYPERLINK("CALLTO:%2B356%202143%204534", "+356 2143 4534"))</f>
        <v>+356 2143 4534</v>
      </c>
      <c r="E33" s="4"/>
      <c r="F33" s="4"/>
    </row>
  </sheetData>
  <hyperlinks>
    <hyperlink ref="C2" r:id="rId1" tooltip="Send a mail to markanthonymicallef@gmail.com" xr:uid="{00000000-0004-0000-4300-000000000000}"/>
    <hyperlink ref="C3" r:id="rId2" tooltip="Send a mail to benjamin.cilia@gmail.com" xr:uid="{00000000-0004-0000-4300-000001000000}"/>
    <hyperlink ref="C4" r:id="rId3" tooltip="Send a mail to ramonbartolo1472@gmail.com" xr:uid="{00000000-0004-0000-4300-000002000000}"/>
    <hyperlink ref="C5" r:id="rId4" tooltip="Send a mail to jlcamilleri@mail.com" xr:uid="{00000000-0004-0000-4300-000003000000}"/>
    <hyperlink ref="C6" r:id="rId5" tooltip="Send a mail to info@renergy.com.mt" xr:uid="{00000000-0004-0000-4300-000004000000}"/>
    <hyperlink ref="C7" r:id="rId6" tooltip="Send a mail to info@marktls.com" xr:uid="{00000000-0004-0000-4300-000005000000}"/>
    <hyperlink ref="C8" r:id="rId7" tooltip="Send a mail to mannicranehire@hotmail.com" xr:uid="{00000000-0004-0000-4300-000006000000}"/>
    <hyperlink ref="C9" r:id="rId8" tooltip="Send a mail to abtowerladderservice@hotmail.com" xr:uid="{00000000-0004-0000-4300-000007000000}"/>
    <hyperlink ref="C10" r:id="rId9" tooltip="Send a mail to svet_mifsud@hotmail.com" xr:uid="{00000000-0004-0000-4300-000008000000}"/>
    <hyperlink ref="C11" r:id="rId10" tooltip="Send a mail to chris.tl.cranes@gmail.com" xr:uid="{00000000-0004-0000-4300-000009000000}"/>
    <hyperlink ref="C12" r:id="rId11" tooltip="Send a mail to johnsoncranehire@onvol.net" xr:uid="{00000000-0004-0000-4300-00000A000000}"/>
    <hyperlink ref="C13" r:id="rId12" tooltip="Send a mail to gaucikevin1@gmail.com" xr:uid="{00000000-0004-0000-4300-00000B000000}"/>
    <hyperlink ref="C14" r:id="rId13" tooltip="Send a mail to vanessa_caruana@hotmail.com" xr:uid="{00000000-0004-0000-4300-00000C000000}"/>
    <hyperlink ref="C15" r:id="rId14" tooltip="Send a mail to tanuzzisons@gmail.com" xr:uid="{00000000-0004-0000-4300-00000D000000}"/>
    <hyperlink ref="C16" r:id="rId15" tooltip="Send a mail to bch@onvol.net" xr:uid="{00000000-0004-0000-4300-00000E000000}"/>
    <hyperlink ref="C17" r:id="rId16" tooltip="Send a mail to dwardu1988@melita.com" xr:uid="{00000000-0004-0000-4300-00000F000000}"/>
    <hyperlink ref="C18" r:id="rId17" tooltip="Send a mail to dborg383@gmail.com" xr:uid="{00000000-0004-0000-4300-000010000000}"/>
    <hyperlink ref="C19" r:id="rId18" tooltip="Send a mail to fabianschembri@hotmail.com" xr:uid="{00000000-0004-0000-4300-000011000000}"/>
    <hyperlink ref="C20" r:id="rId19" tooltip="Send a mail to rg.ciantar@gmail.com" xr:uid="{00000000-0004-0000-4300-000012000000}"/>
    <hyperlink ref="C21" r:id="rId20" tooltip="Send a mail to irreggaegatt@gmail.com" xr:uid="{00000000-0004-0000-4300-000013000000}"/>
    <hyperlink ref="C22" r:id="rId21" tooltip="Send a mail to jona.lia185@gmail.com" xr:uid="{00000000-0004-0000-4300-000014000000}"/>
    <hyperlink ref="C23" r:id="rId22" tooltip="Send a mail to jlcamilleri@mail.com" xr:uid="{00000000-0004-0000-4300-000015000000}"/>
    <hyperlink ref="C24" r:id="rId23" tooltip="Send a mail to swaey@swaey.com" xr:uid="{00000000-0004-0000-4300-000016000000}"/>
    <hyperlink ref="C25" r:id="rId24" tooltip="Send a mail to info@godwinsgarage.com" xr:uid="{00000000-0004-0000-4300-000017000000}"/>
    <hyperlink ref="C26" r:id="rId25" tooltip="Send a mail to harryc1@go.net.mt" xr:uid="{00000000-0004-0000-4300-000018000000}"/>
    <hyperlink ref="C27" r:id="rId26" tooltip="Send a mail to info@exterminatormalta.com" xr:uid="{00000000-0004-0000-4300-000019000000}"/>
    <hyperlink ref="C28" r:id="rId27" tooltip="Send a mail to sales@hc.com.mt" xr:uid="{00000000-0004-0000-4300-00001A000000}"/>
  </hyperlinks>
  <pageMargins left="0.75" right="0.75" top="0.75" bottom="0.5" header="0.5" footer="0.7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37"/>
  <sheetViews>
    <sheetView workbookViewId="0"/>
  </sheetViews>
  <sheetFormatPr defaultRowHeight="14.4" x14ac:dyDescent="0.3"/>
  <cols>
    <col min="1" max="1" width="8.33203125" customWidth="1"/>
    <col min="2" max="2" width="28.109375" customWidth="1"/>
    <col min="3" max="3" width="32" customWidth="1"/>
    <col min="4" max="4" width="29.88671875" customWidth="1"/>
    <col min="5" max="5" width="57.109375" customWidth="1"/>
    <col min="6" max="6" width="121.554687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4066</v>
      </c>
      <c r="B2" s="2" t="s">
        <v>3905</v>
      </c>
      <c r="C2" s="3" t="s">
        <v>3938</v>
      </c>
      <c r="D2" s="2" t="str">
        <f>CONCATENATE(HYPERLINK("CALLTO:%2B356%207999%20825579468519", "+356 7999 825579468519"))</f>
        <v>+356 7999 825579468519</v>
      </c>
      <c r="E2" s="3" t="s">
        <v>3973</v>
      </c>
      <c r="F2" s="3" t="s">
        <v>3993</v>
      </c>
    </row>
    <row r="3" spans="1:6" x14ac:dyDescent="0.3">
      <c r="A3" s="4" t="s">
        <v>4066</v>
      </c>
      <c r="B3" s="4" t="s">
        <v>98</v>
      </c>
      <c r="C3" s="5" t="s">
        <v>3939</v>
      </c>
      <c r="D3" s="4" t="str">
        <f>CONCATENATE(HYPERLINK("CALLTO:%2B356%209965%205581", "+356 9965 5581"), " / ", HYPERLINK("CALLTO:%2B356%207904%209069", "+356 7904 9069"))</f>
        <v>+356 9965 5581 / +356 7904 9069</v>
      </c>
      <c r="E3" s="5" t="s">
        <v>3974</v>
      </c>
      <c r="F3" s="5" t="s">
        <v>171</v>
      </c>
    </row>
    <row r="4" spans="1:6" x14ac:dyDescent="0.3">
      <c r="A4" s="2" t="s">
        <v>4066</v>
      </c>
      <c r="B4" s="2" t="s">
        <v>773</v>
      </c>
      <c r="C4" s="3" t="s">
        <v>3941</v>
      </c>
      <c r="D4" s="2" t="str">
        <f>CONCATENATE(HYPERLINK("CALLTO:%2B356%207947%205940", "+356 7947 5940"))</f>
        <v>+356 7947 5940</v>
      </c>
      <c r="E4" s="3" t="s">
        <v>3976</v>
      </c>
      <c r="F4" s="3" t="s">
        <v>3995</v>
      </c>
    </row>
    <row r="5" spans="1:6" x14ac:dyDescent="0.3">
      <c r="A5" s="4" t="s">
        <v>4066</v>
      </c>
      <c r="B5" s="4" t="s">
        <v>3907</v>
      </c>
      <c r="C5" s="5" t="s">
        <v>3942</v>
      </c>
      <c r="D5" s="4" t="str">
        <f>CONCATENATE(HYPERLINK("CALLTO:%2B356%209982%203248", "+356 9982 3248"), " / ", HYPERLINK("CALLTO:%2B356%209946%206511", "+356 9946 6511"))</f>
        <v>+356 9982 3248 / +356 9946 6511</v>
      </c>
      <c r="E5" s="5" t="s">
        <v>3977</v>
      </c>
      <c r="F5" s="5" t="s">
        <v>3996</v>
      </c>
    </row>
    <row r="6" spans="1:6" x14ac:dyDescent="0.3">
      <c r="A6" s="2" t="s">
        <v>4066</v>
      </c>
      <c r="B6" s="2" t="s">
        <v>3908</v>
      </c>
      <c r="C6" s="3" t="s">
        <v>3943</v>
      </c>
      <c r="D6" s="2" t="str">
        <f>CONCATENATE(HYPERLINK("CALLTO:%2B356%202141%204933", "+356 2141 4933"))</f>
        <v>+356 2141 4933</v>
      </c>
      <c r="E6" s="3" t="s">
        <v>3978</v>
      </c>
      <c r="F6" s="3" t="s">
        <v>3997</v>
      </c>
    </row>
    <row r="7" spans="1:6" x14ac:dyDescent="0.3">
      <c r="A7" s="4" t="s">
        <v>4066</v>
      </c>
      <c r="B7" s="4" t="s">
        <v>3914</v>
      </c>
      <c r="C7" s="5" t="s">
        <v>3949</v>
      </c>
      <c r="D7" s="4" t="str">
        <f>CONCATENATE(HYPERLINK("CALLTO:%2B356%202258%204900", "+356 2258 4900"))</f>
        <v>+356 2258 4900</v>
      </c>
      <c r="E7" s="5" t="s">
        <v>3984</v>
      </c>
      <c r="F7" s="5" t="s">
        <v>4002</v>
      </c>
    </row>
    <row r="8" spans="1:6" x14ac:dyDescent="0.3">
      <c r="A8" s="2" t="s">
        <v>4066</v>
      </c>
      <c r="B8" s="2" t="s">
        <v>4067</v>
      </c>
      <c r="C8" s="3" t="s">
        <v>4086</v>
      </c>
      <c r="D8" s="2" t="str">
        <f>CONCATENATE(HYPERLINK("CALLTO:%2B356%209942%207087", "+356 9942 7087"))</f>
        <v>+356 9942 7087</v>
      </c>
      <c r="E8" s="3" t="s">
        <v>4108</v>
      </c>
      <c r="F8" s="3" t="s">
        <v>4128</v>
      </c>
    </row>
    <row r="9" spans="1:6" x14ac:dyDescent="0.3">
      <c r="A9" s="4" t="s">
        <v>4066</v>
      </c>
      <c r="B9" s="4" t="s">
        <v>4068</v>
      </c>
      <c r="C9" s="5" t="s">
        <v>4087</v>
      </c>
      <c r="D9" s="4" t="str">
        <f>CONCATENATE(HYPERLINK("CALLTO:%2B356%202141%207565", "+356 2141 7565"), " / ", HYPERLINK("CALLTO:%2B356%207926%209566", "+356 7926 9566"))</f>
        <v>+356 2141 7565 / +356 7926 9566</v>
      </c>
      <c r="E9" s="5" t="s">
        <v>4109</v>
      </c>
      <c r="F9" s="5" t="s">
        <v>4129</v>
      </c>
    </row>
    <row r="10" spans="1:6" x14ac:dyDescent="0.3">
      <c r="A10" s="2" t="s">
        <v>4066</v>
      </c>
      <c r="B10" s="2" t="s">
        <v>4069</v>
      </c>
      <c r="C10" s="3" t="s">
        <v>1019</v>
      </c>
      <c r="D10" s="2" t="str">
        <f>CONCATENATE(HYPERLINK("CALLTO:%2B356%202149%205799", "+356 2149 5799"), " / ", HYPERLINK("CALLTO:%2B356%209949%202278", "+356 9949 2278"))</f>
        <v>+356 2149 5799 / +356 9949 2278</v>
      </c>
      <c r="E10" s="3" t="s">
        <v>4110</v>
      </c>
      <c r="F10" s="3" t="s">
        <v>1058</v>
      </c>
    </row>
    <row r="11" spans="1:6" x14ac:dyDescent="0.3">
      <c r="A11" s="4" t="s">
        <v>4066</v>
      </c>
      <c r="B11" s="4" t="s">
        <v>4070</v>
      </c>
      <c r="C11" s="5" t="s">
        <v>4088</v>
      </c>
      <c r="D11" s="4" t="str">
        <f>CONCATENATE(HYPERLINK("CALLTO:%2B356%207714%206264", "+356 7714 6264"))</f>
        <v>+356 7714 6264</v>
      </c>
      <c r="E11" s="5" t="s">
        <v>4111</v>
      </c>
      <c r="F11" s="5" t="s">
        <v>4130</v>
      </c>
    </row>
    <row r="12" spans="1:6" x14ac:dyDescent="0.3">
      <c r="A12" s="2" t="s">
        <v>4066</v>
      </c>
      <c r="B12" s="2" t="s">
        <v>4071</v>
      </c>
      <c r="C12" s="3" t="s">
        <v>4089</v>
      </c>
      <c r="D12" s="2" t="str">
        <f>CONCATENATE(HYPERLINK("CALLTO:%2B356%209974%200534", "+356 9974 0534"))</f>
        <v>+356 9974 0534</v>
      </c>
      <c r="E12" s="3" t="s">
        <v>4112</v>
      </c>
      <c r="F12" s="3" t="s">
        <v>4131</v>
      </c>
    </row>
    <row r="13" spans="1:6" x14ac:dyDescent="0.3">
      <c r="A13" s="4" t="s">
        <v>4066</v>
      </c>
      <c r="B13" s="4" t="s">
        <v>4072</v>
      </c>
      <c r="C13" s="5" t="s">
        <v>4090</v>
      </c>
      <c r="D13" s="4" t="str">
        <f>CONCATENATE(HYPERLINK("CALLTO:%2B356%207945%201708", "+356 7945 1708"), " / ", HYPERLINK("CALLTO:%2B356%207966%204023", "+356 7966 4023"))</f>
        <v>+356 7945 1708 / +356 7966 4023</v>
      </c>
      <c r="E13" s="5" t="s">
        <v>4113</v>
      </c>
      <c r="F13" s="5" t="s">
        <v>4132</v>
      </c>
    </row>
    <row r="14" spans="1:6" x14ac:dyDescent="0.3">
      <c r="A14" s="2" t="s">
        <v>4066</v>
      </c>
      <c r="B14" s="2" t="s">
        <v>2318</v>
      </c>
      <c r="C14" s="3" t="s">
        <v>2331</v>
      </c>
      <c r="D14" s="2" t="str">
        <f>CONCATENATE(HYPERLINK("CALLTO:%2B356%207907%206528", "+356 7907 6528"))</f>
        <v>+356 7907 6528</v>
      </c>
      <c r="E14" s="3" t="s">
        <v>4114</v>
      </c>
      <c r="F14" s="3" t="s">
        <v>4133</v>
      </c>
    </row>
    <row r="15" spans="1:6" x14ac:dyDescent="0.3">
      <c r="A15" s="4" t="s">
        <v>4066</v>
      </c>
      <c r="B15" s="4" t="s">
        <v>4073</v>
      </c>
      <c r="C15" s="5" t="s">
        <v>4091</v>
      </c>
      <c r="D15" s="4" t="str">
        <f>CONCATENATE(HYPERLINK("CALLTO:%2B356%209947%202039", "+356 9947 2039"))</f>
        <v>+356 9947 2039</v>
      </c>
      <c r="E15" s="5" t="s">
        <v>4115</v>
      </c>
      <c r="F15" s="5" t="s">
        <v>4134</v>
      </c>
    </row>
    <row r="16" spans="1:6" x14ac:dyDescent="0.3">
      <c r="A16" s="2" t="s">
        <v>4066</v>
      </c>
      <c r="B16" s="2" t="s">
        <v>4074</v>
      </c>
      <c r="C16" s="3" t="s">
        <v>3199</v>
      </c>
      <c r="D16" s="2" t="str">
        <f>CONCATENATE(HYPERLINK("CALLTO:%2B356%209981%202218", "+356 9981 2218"))</f>
        <v>+356 9981 2218</v>
      </c>
      <c r="E16" s="3" t="s">
        <v>4116</v>
      </c>
      <c r="F16" s="3" t="s">
        <v>4135</v>
      </c>
    </row>
    <row r="17" spans="1:6" x14ac:dyDescent="0.3">
      <c r="A17" s="4" t="s">
        <v>4066</v>
      </c>
      <c r="B17" s="4" t="s">
        <v>3077</v>
      </c>
      <c r="C17" s="5" t="s">
        <v>4092</v>
      </c>
      <c r="D17" s="4" t="str">
        <f>CONCATENATE(HYPERLINK("CALLTO:%2B356%209945%200232", "+356 9945 0232"))</f>
        <v>+356 9945 0232</v>
      </c>
      <c r="E17" s="5" t="s">
        <v>4117</v>
      </c>
      <c r="F17" s="5" t="s">
        <v>4136</v>
      </c>
    </row>
    <row r="18" spans="1:6" x14ac:dyDescent="0.3">
      <c r="A18" s="2" t="s">
        <v>4066</v>
      </c>
      <c r="B18" s="2" t="s">
        <v>4075</v>
      </c>
      <c r="C18" s="3" t="s">
        <v>2119</v>
      </c>
      <c r="D18" s="2" t="str">
        <f>CONCATENATE(HYPERLINK("CALLTO:%2B356%207989%205238", "+356 7989 5238"), " / ", HYPERLINK("CALLTO:%2B356%202166%200850", "+356 2166 0850"))</f>
        <v>+356 7989 5238 / +356 2166 0850</v>
      </c>
      <c r="E18" s="3" t="s">
        <v>4118</v>
      </c>
      <c r="F18" s="3" t="s">
        <v>4137</v>
      </c>
    </row>
    <row r="19" spans="1:6" x14ac:dyDescent="0.3">
      <c r="A19" s="4" t="s">
        <v>4066</v>
      </c>
      <c r="B19" s="4" t="s">
        <v>4076</v>
      </c>
      <c r="C19" s="5" t="s">
        <v>4093</v>
      </c>
      <c r="D19" s="4" t="str">
        <f>CONCATENATE(HYPERLINK("CALLTO:%2B356%202778%200006", "+356 2778 0006"))</f>
        <v>+356 2778 0006</v>
      </c>
      <c r="E19" s="5" t="s">
        <v>4119</v>
      </c>
      <c r="F19" s="5" t="s">
        <v>4138</v>
      </c>
    </row>
    <row r="20" spans="1:6" x14ac:dyDescent="0.3">
      <c r="A20" s="2" t="s">
        <v>4066</v>
      </c>
      <c r="B20" s="2" t="s">
        <v>4077</v>
      </c>
      <c r="C20" s="3" t="s">
        <v>4094</v>
      </c>
      <c r="D20" s="2" t="str">
        <f>CONCATENATE(HYPERLINK("CALLTO:%2B356%202704%200036", "+356 2704 0036"), " / ", HYPERLINK("CALLTO:%2B356%209945%205071", "+356 9945 5071"))</f>
        <v>+356 2704 0036 / +356 9945 5071</v>
      </c>
      <c r="E20" s="3" t="s">
        <v>4120</v>
      </c>
      <c r="F20" s="3" t="s">
        <v>4139</v>
      </c>
    </row>
    <row r="21" spans="1:6" x14ac:dyDescent="0.3">
      <c r="A21" s="4" t="s">
        <v>4066</v>
      </c>
      <c r="B21" s="4" t="s">
        <v>4078</v>
      </c>
      <c r="C21" s="5" t="s">
        <v>4095</v>
      </c>
      <c r="D21" s="4" t="str">
        <f>CONCATENATE(HYPERLINK("CALLTO:%2B356%202716%201605", "+356 2716 1605"), " / ", HYPERLINK("CALLTO:%2B356%209916%201605", "+356 9916 1605"))</f>
        <v>+356 2716 1605 / +356 9916 1605</v>
      </c>
      <c r="E21" s="5" t="s">
        <v>3210</v>
      </c>
      <c r="F21" s="5" t="s">
        <v>4140</v>
      </c>
    </row>
    <row r="22" spans="1:6" x14ac:dyDescent="0.3">
      <c r="A22" s="2" t="s">
        <v>4066</v>
      </c>
      <c r="B22" s="2" t="s">
        <v>4079</v>
      </c>
      <c r="C22" s="3" t="s">
        <v>796</v>
      </c>
      <c r="D22" s="2" t="str">
        <f>CONCATENATE(HYPERLINK("CALLTO:%2B356%207777%201522", "+356 7777 1522"))</f>
        <v>+356 7777 1522</v>
      </c>
      <c r="E22" s="3" t="s">
        <v>4121</v>
      </c>
      <c r="F22" s="3" t="s">
        <v>3214</v>
      </c>
    </row>
    <row r="23" spans="1:6" x14ac:dyDescent="0.3">
      <c r="A23" s="4" t="s">
        <v>4066</v>
      </c>
      <c r="B23" s="4" t="s">
        <v>4080</v>
      </c>
      <c r="C23" s="5" t="s">
        <v>3202</v>
      </c>
      <c r="D23" s="4" t="str">
        <f>CONCATENATE(HYPERLINK("CALLTO:%2B356%209949%203628", "+356 9949 3628"))</f>
        <v>+356 9949 3628</v>
      </c>
      <c r="E23" s="5" t="s">
        <v>4122</v>
      </c>
      <c r="F23" s="5" t="s">
        <v>4141</v>
      </c>
    </row>
    <row r="24" spans="1:6" x14ac:dyDescent="0.3">
      <c r="A24" s="2" t="s">
        <v>4066</v>
      </c>
      <c r="B24" s="2" t="s">
        <v>2113</v>
      </c>
      <c r="C24" s="3" t="s">
        <v>2122</v>
      </c>
      <c r="D24" s="2" t="str">
        <f>CONCATENATE(HYPERLINK("CALLTO:%2B356%202180%205486", "+356 2180 5486"), " / ", HYPERLINK("CALLTO:%2B356%202780%205486", "+356 2780 5486"))</f>
        <v>+356 2180 5486 / +356 2780 5486</v>
      </c>
      <c r="E24" s="3" t="s">
        <v>4123</v>
      </c>
      <c r="F24" s="3" t="s">
        <v>4142</v>
      </c>
    </row>
    <row r="25" spans="1:6" x14ac:dyDescent="0.3">
      <c r="A25" s="4" t="s">
        <v>4066</v>
      </c>
      <c r="B25" s="4" t="s">
        <v>4081</v>
      </c>
      <c r="C25" s="5" t="s">
        <v>4096</v>
      </c>
      <c r="D25" s="4" t="str">
        <f>CONCATENATE(HYPERLINK("CALLTO:%2B356%207751%206885", "+356 7751 6885"))</f>
        <v>+356 7751 6885</v>
      </c>
      <c r="E25" s="5" t="s">
        <v>4124</v>
      </c>
      <c r="F25" s="5" t="s">
        <v>4143</v>
      </c>
    </row>
    <row r="26" spans="1:6" x14ac:dyDescent="0.3">
      <c r="A26" s="2" t="s">
        <v>4066</v>
      </c>
      <c r="B26" s="2" t="s">
        <v>4082</v>
      </c>
      <c r="C26" s="3" t="s">
        <v>4097</v>
      </c>
      <c r="D26" s="2" t="str">
        <f>CONCATENATE(HYPERLINK("CALLTO:%2B356%202060%201107", "+356 2060 1107"))</f>
        <v>+356 2060 1107</v>
      </c>
      <c r="E26" s="3" t="s">
        <v>4125</v>
      </c>
      <c r="F26" s="3" t="s">
        <v>4144</v>
      </c>
    </row>
    <row r="27" spans="1:6" x14ac:dyDescent="0.3">
      <c r="A27" s="4" t="s">
        <v>4066</v>
      </c>
      <c r="B27" s="4" t="s">
        <v>4083</v>
      </c>
      <c r="C27" s="5" t="s">
        <v>4098</v>
      </c>
      <c r="D27" s="4" t="str">
        <f>CONCATENATE(HYPERLINK("CALLTO:%2B356%207920%209404", "+356 7920 9404"))</f>
        <v>+356 7920 9404</v>
      </c>
      <c r="E27" s="5" t="s">
        <v>4126</v>
      </c>
      <c r="F27" s="5" t="s">
        <v>4145</v>
      </c>
    </row>
    <row r="28" spans="1:6" x14ac:dyDescent="0.3">
      <c r="A28" s="2" t="s">
        <v>4066</v>
      </c>
      <c r="B28" s="2" t="s">
        <v>4084</v>
      </c>
      <c r="C28" s="3" t="s">
        <v>4099</v>
      </c>
      <c r="D28" s="2" t="str">
        <f>CONCATENATE(HYPERLINK("CALLTO:%2B356%209957%202399", "+356 9957 2399"))</f>
        <v>+356 9957 2399</v>
      </c>
      <c r="E28" s="2"/>
      <c r="F28" s="3" t="s">
        <v>4146</v>
      </c>
    </row>
    <row r="29" spans="1:6" x14ac:dyDescent="0.3">
      <c r="A29" s="4" t="s">
        <v>4066</v>
      </c>
      <c r="B29" s="4" t="s">
        <v>4085</v>
      </c>
      <c r="C29" s="5" t="s">
        <v>4100</v>
      </c>
      <c r="D29" s="4" t="str">
        <f>CONCATENATE(HYPERLINK("CALLTO:%2B356%209947%206961", "+356 9947 6961"))</f>
        <v>+356 9947 6961</v>
      </c>
      <c r="E29" s="4"/>
      <c r="F29" s="5" t="s">
        <v>4147</v>
      </c>
    </row>
    <row r="30" spans="1:6" x14ac:dyDescent="0.3">
      <c r="A30" s="2"/>
      <c r="B30" s="2"/>
      <c r="C30" s="3" t="s">
        <v>4086</v>
      </c>
      <c r="D30" s="2"/>
      <c r="E30" s="2"/>
      <c r="F30" s="2"/>
    </row>
    <row r="31" spans="1:6" x14ac:dyDescent="0.3">
      <c r="A31" s="4"/>
      <c r="B31" s="4"/>
      <c r="C31" s="5" t="s">
        <v>4101</v>
      </c>
      <c r="D31" s="4"/>
      <c r="E31" s="4"/>
      <c r="F31" s="4"/>
    </row>
    <row r="32" spans="1:6" x14ac:dyDescent="0.3">
      <c r="A32" s="2"/>
      <c r="B32" s="2"/>
      <c r="C32" s="3" t="s">
        <v>4102</v>
      </c>
      <c r="D32" s="2"/>
      <c r="E32" s="2"/>
      <c r="F32" s="2"/>
    </row>
    <row r="33" spans="1:6" x14ac:dyDescent="0.3">
      <c r="A33" s="4"/>
      <c r="B33" s="4"/>
      <c r="C33" s="5" t="s">
        <v>4103</v>
      </c>
      <c r="D33" s="4"/>
      <c r="E33" s="4"/>
      <c r="F33" s="4"/>
    </row>
    <row r="34" spans="1:6" x14ac:dyDescent="0.3">
      <c r="A34" s="2"/>
      <c r="B34" s="2"/>
      <c r="C34" s="3" t="s">
        <v>4104</v>
      </c>
      <c r="D34" s="2"/>
      <c r="E34" s="2"/>
      <c r="F34" s="2"/>
    </row>
    <row r="35" spans="1:6" x14ac:dyDescent="0.3">
      <c r="A35" s="4"/>
      <c r="B35" s="4"/>
      <c r="C35" s="5" t="s">
        <v>4105</v>
      </c>
      <c r="D35" s="4"/>
      <c r="E35" s="4"/>
      <c r="F35" s="4"/>
    </row>
    <row r="36" spans="1:6" x14ac:dyDescent="0.3">
      <c r="A36" s="2"/>
      <c r="B36" s="2"/>
      <c r="C36" s="3" t="s">
        <v>4106</v>
      </c>
      <c r="D36" s="2"/>
      <c r="E36" s="2"/>
      <c r="F36" s="2"/>
    </row>
    <row r="37" spans="1:6" x14ac:dyDescent="0.3">
      <c r="A37" s="4"/>
      <c r="B37" s="4"/>
      <c r="C37" s="5" t="s">
        <v>4107</v>
      </c>
      <c r="D37" s="4"/>
      <c r="E37" s="4"/>
      <c r="F37" s="4"/>
    </row>
  </sheetData>
  <hyperlinks>
    <hyperlink ref="C2" r:id="rId1" tooltip="Send a mail to fourvcltd@gmail.com" xr:uid="{00000000-0004-0000-4400-000000000000}"/>
    <hyperlink ref="C3" r:id="rId2" tooltip="Send a mail to schembriw45@gmail.com" xr:uid="{00000000-0004-0000-4400-000001000000}"/>
    <hyperlink ref="C4" r:id="rId3" tooltip="Send a mail to norobturnkey@gmail.com" xr:uid="{00000000-0004-0000-4400-000002000000}"/>
    <hyperlink ref="C5" r:id="rId4" tooltip="Send a mail to kitonkeith@gmail.com" xr:uid="{00000000-0004-0000-4400-000003000000}"/>
    <hyperlink ref="C6" r:id="rId5" tooltip="Send a mail to info@casacompleta.net" xr:uid="{00000000-0004-0000-4400-000004000000}"/>
    <hyperlink ref="C7" r:id="rId6" tooltip="Send a mail to info@axconstruction.mt" xr:uid="{00000000-0004-0000-4400-000005000000}"/>
    <hyperlink ref="C8" r:id="rId7" tooltip="Send a mail to info@togetherturnkey.com" xr:uid="{00000000-0004-0000-4400-000006000000}"/>
    <hyperlink ref="C9" r:id="rId8" tooltip="Send a mail to admin@aaconstructionworks.com" xr:uid="{00000000-0004-0000-4400-000007000000}"/>
    <hyperlink ref="C10" r:id="rId9" tooltip="Send a mail to xil@xuerebinstall.com" xr:uid="{00000000-0004-0000-4400-000008000000}"/>
    <hyperlink ref="C11" r:id="rId10" tooltip="Send a mail to info@trustprojects.com.mt" xr:uid="{00000000-0004-0000-4400-000009000000}"/>
    <hyperlink ref="C12" r:id="rId11" tooltip="Send a mail to aurelia@auraprojects.eu" xr:uid="{00000000-0004-0000-4400-00000A000000}"/>
    <hyperlink ref="C13" r:id="rId12" tooltip="Send a mail to info@aagturnkey.com" xr:uid="{00000000-0004-0000-4400-00000B000000}"/>
    <hyperlink ref="C14" r:id="rId13" tooltip="Send a mail to info@ts-malta.com" xr:uid="{00000000-0004-0000-4400-00000C000000}"/>
    <hyperlink ref="C15" r:id="rId14" tooltip="Send a mail to marcofalzon@gmail.com" xr:uid="{00000000-0004-0000-4400-00000D000000}"/>
    <hyperlink ref="C16" r:id="rId15" tooltip="Send a mail to info@itpmalta.com" xr:uid="{00000000-0004-0000-4400-00000E000000}"/>
    <hyperlink ref="C17" r:id="rId16" tooltip="Send a mail to info@agfmalta.com" xr:uid="{00000000-0004-0000-4400-00000F000000}"/>
    <hyperlink ref="C18" r:id="rId17" tooltip="Send a mail to info@aptc.com.mt" xr:uid="{00000000-0004-0000-4400-000010000000}"/>
    <hyperlink ref="C19" r:id="rId18" tooltip="Send a mail to ac@accontractors.eu" xr:uid="{00000000-0004-0000-4400-000011000000}"/>
    <hyperlink ref="C20" r:id="rId19" tooltip="Send a mail to info@keycontractors.com.mt" xr:uid="{00000000-0004-0000-4400-000012000000}"/>
    <hyperlink ref="C21" r:id="rId20" tooltip="Send a mail to info@csprojects.com.mt" xr:uid="{00000000-0004-0000-4400-000013000000}"/>
    <hyperlink ref="C22" r:id="rId21" tooltip="Send a mail to contact@kibitec.com" xr:uid="{00000000-0004-0000-4400-000014000000}"/>
    <hyperlink ref="C23" r:id="rId22" tooltip="Send a mail to tcj@mbm.com.mt" xr:uid="{00000000-0004-0000-4400-000015000000}"/>
    <hyperlink ref="C24" r:id="rId23" tooltip="Send a mail to info@rsgroup.com.mt" xr:uid="{00000000-0004-0000-4400-000016000000}"/>
    <hyperlink ref="C25" r:id="rId24" tooltip="Send a mail to info@gcturnkeyprojects.com" xr:uid="{00000000-0004-0000-4400-000017000000}"/>
    <hyperlink ref="C26" r:id="rId25" tooltip="Send a mail to kenneth@tanti-interiors.com" xr:uid="{00000000-0004-0000-4400-000018000000}"/>
    <hyperlink ref="C27" r:id="rId26" tooltip="Send a mail to delta_projects@hotmail.com" xr:uid="{00000000-0004-0000-4400-000019000000}"/>
    <hyperlink ref="C28" r:id="rId27" tooltip="Send a mail to imturnkeycontractors@gmail.com" xr:uid="{00000000-0004-0000-4400-00001A000000}"/>
    <hyperlink ref="C29" r:id="rId28" tooltip="Send a mail to nickybon84@gmail.com" xr:uid="{00000000-0004-0000-4400-00001B000000}"/>
    <hyperlink ref="C30" r:id="rId29" tooltip="Send a mail to info@togetherturnkey.com" xr:uid="{00000000-0004-0000-4400-00001C000000}"/>
    <hyperlink ref="C31" r:id="rId30" tooltip="Send a mail to charlesturnkey35@gmail.com" xr:uid="{00000000-0004-0000-4400-00001D000000}"/>
    <hyperlink ref="C32" r:id="rId31" tooltip="Send a mail to joshua@joshuaturnkey.com" xr:uid="{00000000-0004-0000-4400-00001E000000}"/>
    <hyperlink ref="C33" r:id="rId32" tooltip="Send a mail to mercieca.installations@gmail.com" xr:uid="{00000000-0004-0000-4400-00001F000000}"/>
    <hyperlink ref="C34" r:id="rId33" tooltip="Send a mail to info.proactiveinterior@gmail.com" xr:uid="{00000000-0004-0000-4400-000020000000}"/>
    <hyperlink ref="C35" r:id="rId34" tooltip="Send a mail to mccoloursltd@gmail.com" xr:uid="{00000000-0004-0000-4400-000021000000}"/>
    <hyperlink ref="C36" r:id="rId35" tooltip="Send a mail to kbgprojects@hotmail.com" xr:uid="{00000000-0004-0000-4400-000022000000}"/>
    <hyperlink ref="C37" r:id="rId36" tooltip="Send a mail to hamody.zedan00@gmail.com" xr:uid="{00000000-0004-0000-4400-000023000000}"/>
    <hyperlink ref="E2" r:id="rId37" tooltip="Search 8 Triq Salvu Cacciattolo , Zejtun on Google Maps" xr:uid="{00000000-0004-0000-4400-000024000000}"/>
    <hyperlink ref="E3" r:id="rId38" tooltip="Search Triq San Edwardu, Qormi, Malta on Google Maps" xr:uid="{00000000-0004-0000-4400-000025000000}"/>
    <hyperlink ref="E4" r:id="rId39" tooltip="Search Triq John Borg Zejtun ZTN 2077 on Google Maps" xr:uid="{00000000-0004-0000-4400-000026000000}"/>
    <hyperlink ref="E5" r:id="rId40" tooltip="Search Santa Marija Flats, Flt 3 Triq tal-Wej , Mosta Malta MST 2462 on Google Maps" xr:uid="{00000000-0004-0000-4400-000027000000}"/>
    <hyperlink ref="E6" r:id="rId41" tooltip="Search Triq l-Imdina Attard on Google Maps" xr:uid="{00000000-0004-0000-4400-000028000000}"/>
    <hyperlink ref="E7" r:id="rId42" tooltip="Search Hardrocks Industrial Park,_x000a_L/O Burmarrad, Malta on Google Maps" xr:uid="{00000000-0004-0000-4400-000029000000}"/>
    <hyperlink ref="E8" r:id="rId43" tooltip="Search 46 The Cottage Triq Hal Dwin ,_x000a_Zebbug, ZBG 3064, MT on Google Maps" xr:uid="{00000000-0004-0000-4400-00002A000000}"/>
    <hyperlink ref="E9" r:id="rId44" tooltip="Search St. Helen, Triq Caravaggio, Ħal Għargħur, GHR 1606 on Google Maps" xr:uid="{00000000-0004-0000-4400-00002B000000}"/>
    <hyperlink ref="E10" r:id="rId45" tooltip="Search Xuereb Installations Ltd. Tal-Hlas Road, Qormi QRM 5011. Malt on Google Maps" xr:uid="{00000000-0004-0000-4400-00002C000000}"/>
    <hyperlink ref="E11" r:id="rId46" tooltip="Search Trust Projects_x000a_Triq it-Torri ,_x000a_Mosta, Malta on Google Maps" xr:uid="{00000000-0004-0000-4400-00002D000000}"/>
    <hyperlink ref="E12" r:id="rId47" tooltip="Search 64A, Level 6, Recency House_x000a_Bisazza Street, Sliema, SLM 1640 on Google Maps" xr:uid="{00000000-0004-0000-4400-00002E000000}"/>
    <hyperlink ref="E13" r:id="rId48" tooltip="Search Fl 2, Palm Street 3, Paola, Malta on Google Maps" xr:uid="{00000000-0004-0000-4400-00002F000000}"/>
    <hyperlink ref="E14" r:id="rId49" tooltip="Search Country View, Triq Tas-Sriedek, Mosta on Google Maps" xr:uid="{00000000-0004-0000-4400-000030000000}"/>
    <hyperlink ref="E15" r:id="rId50" tooltip="Search 21a Triq il-Principessa Margerita ,_x000a_Msida, Malta MSD 1331 on Google Maps" xr:uid="{00000000-0004-0000-4400-000031000000}"/>
    <hyperlink ref="E16" r:id="rId51" tooltip="Search Galine’, Josmar Complex Triq id-Difiza Civili,_x000a_Mosta, Malta_x000a_MST 1743 on Google Maps" xr:uid="{00000000-0004-0000-4400-000032000000}"/>
    <hyperlink ref="E17" r:id="rId52" tooltip="Search APTC LTD No. 3 app 1 MRO Frank Galea Street _x000a_Zebbug, Malta on Google Maps" xr:uid="{00000000-0004-0000-4400-000033000000}"/>
    <hyperlink ref="E18" r:id="rId53" tooltip="Search A.C. Contractors Ltd_x000a_37, Triq L-Imghazel, Swieqi_x000a_SWQ 3141, Malta on Google Maps" xr:uid="{00000000-0004-0000-4400-000034000000}"/>
    <hyperlink ref="E19" r:id="rId54" tooltip="Search Trejqet Isouard_x000a_Marsa MRS 2020_x000a_Malta on Google Maps" xr:uid="{00000000-0004-0000-4400-000035000000}"/>
    <hyperlink ref="E20" r:id="rId55" tooltip="Search CS Group Limited_x000a_25, Triq il-MuzikaIklin, IKL 1091_x000a_Malta on Google Maps" xr:uid="{00000000-0004-0000-4400-000036000000}"/>
    <hyperlink ref="E21" r:id="rId56" tooltip="Search Triq Domenico Cachia 54_x000a_Birkirkara, BKR1017, Malta on Google Maps" xr:uid="{00000000-0004-0000-4400-000037000000}"/>
    <hyperlink ref="E22" r:id="rId57" tooltip="Search MBM Smart-Depot, Upper Cross Road Marsa, MRS 1042 on Google Maps" xr:uid="{00000000-0004-0000-4400-000038000000}"/>
    <hyperlink ref="E23" r:id="rId58" tooltip="Search Triq L-Imdina,_x000a_Haz-Zebbug, ZBG 9018 on Google Maps" xr:uid="{00000000-0004-0000-4400-000039000000}"/>
    <hyperlink ref="E24" r:id="rId59" tooltip="Search 55, Triq Is-Soll, Santa Venera on Google Maps" xr:uid="{00000000-0004-0000-4400-00003A000000}"/>
    <hyperlink ref="E25" r:id="rId60" tooltip="Search Valley Road, Msida MSD 9022, Malta on Google Maps" xr:uid="{00000000-0004-0000-4400-00003B000000}"/>
    <hyperlink ref="E26" r:id="rId61" tooltip="Search Delta Projects_x000a_Triq Santa Marija ,_x000a_Tarxien, Malta on Google Maps" xr:uid="{00000000-0004-0000-4400-00003C000000}"/>
    <hyperlink ref="E27" r:id="rId62" tooltip="Search Triq Is-Sejba, L-Imqabba, Malta on Google Maps" xr:uid="{00000000-0004-0000-4400-00003D000000}"/>
    <hyperlink ref="F2" r:id="rId63" tooltip="Visit fourvcmalta.com/" xr:uid="{00000000-0004-0000-4400-00003E000000}"/>
    <hyperlink ref="F3" r:id="rId64" tooltip="Visit wsinstallationsmalta.com/" xr:uid="{00000000-0004-0000-4400-00003F000000}"/>
    <hyperlink ref="F4" r:id="rId65" tooltip="Visit norobinstallations.com/?utm_source=Yellow&amp;utm_medium=Yellow-Website&amp;utm_campaign=Landing-Page" xr:uid="{00000000-0004-0000-4400-000040000000}"/>
    <hyperlink ref="F5" r:id="rId66" tooltip="Visit kitonkeith.wixsite.com/kitoncontractors" xr:uid="{00000000-0004-0000-4400-000041000000}"/>
    <hyperlink ref="F6" r:id="rId67" tooltip="Visit casacompletamalta.com/" xr:uid="{00000000-0004-0000-4400-000042000000}"/>
    <hyperlink ref="F7" r:id="rId68" tooltip="Visit axconstruction.com.mt/" xr:uid="{00000000-0004-0000-4400-000043000000}"/>
    <hyperlink ref="F8" r:id="rId69" tooltip="Visit togetherturnkey.com/" xr:uid="{00000000-0004-0000-4400-000044000000}"/>
    <hyperlink ref="F9" r:id="rId70" tooltip="Visit aaconstructionworks.com/" xr:uid="{00000000-0004-0000-4400-000045000000}"/>
    <hyperlink ref="F10" r:id="rId71" tooltip="Visit xuerebinstall.com/" xr:uid="{00000000-0004-0000-4400-000046000000}"/>
    <hyperlink ref="F11" r:id="rId72" tooltip="Visit yellow.com.mt/trust-projects/turnkey-contractors/" xr:uid="{00000000-0004-0000-4400-000047000000}"/>
    <hyperlink ref="F12" r:id="rId73" tooltip="Visit auraprojects.eu/" xr:uid="{00000000-0004-0000-4400-000048000000}"/>
    <hyperlink ref="F13" r:id="rId74" tooltip="Visit aagturnkey.com/" xr:uid="{00000000-0004-0000-4400-000049000000}"/>
    <hyperlink ref="F14" r:id="rId75" tooltip="Visit ts-malta.com/" xr:uid="{00000000-0004-0000-4400-00004A000000}"/>
    <hyperlink ref="F15" r:id="rId76" tooltip="Visit maltabusinessbook.com/en/directory/listings/4409/concrete-repairs/mark-falzon-construction-malta.htm?utm_source=chatgpt.com" xr:uid="{00000000-0004-0000-4400-00004B000000}"/>
    <hyperlink ref="F16" r:id="rId77" tooltip="Visit itpmalta.com/" xr:uid="{00000000-0004-0000-4400-00004C000000}"/>
    <hyperlink ref="F17" r:id="rId78" tooltip="Visit jslholdingsltd.com/" xr:uid="{00000000-0004-0000-4400-00004D000000}"/>
    <hyperlink ref="F18" r:id="rId79" tooltip="Visit gypsumworksmalta.com/" xr:uid="{00000000-0004-0000-4400-00004E000000}"/>
    <hyperlink ref="F19" r:id="rId80" tooltip="Visit accontractors.eu/" xr:uid="{00000000-0004-0000-4400-00004F000000}"/>
    <hyperlink ref="F20" r:id="rId81" tooltip="Visit keycontractors.com.mt/" xr:uid="{00000000-0004-0000-4400-000050000000}"/>
    <hyperlink ref="F21" r:id="rId82" tooltip="Visit csgrouplimited.com/" xr:uid="{00000000-0004-0000-4400-000051000000}"/>
    <hyperlink ref="F22" r:id="rId83" tooltip="Visit kibitec.com/" xr:uid="{00000000-0004-0000-4400-000052000000}"/>
    <hyperlink ref="F23" r:id="rId84" tooltip="Visit mbm.com.mt/turnkey-contractor-malta" xr:uid="{00000000-0004-0000-4400-000053000000}"/>
    <hyperlink ref="F24" r:id="rId85" tooltip="Visit evolve.com.mt/" xr:uid="{00000000-0004-0000-4400-000054000000}"/>
    <hyperlink ref="F25" r:id="rId86" tooltip="Visit gcturnkeyprojects.com/" xr:uid="{00000000-0004-0000-4400-000055000000}"/>
    <hyperlink ref="F26" r:id="rId87" tooltip="Visit tanti-interiors.com/" xr:uid="{00000000-0004-0000-4400-000056000000}"/>
    <hyperlink ref="F27" r:id="rId88" tooltip="Visit yellow.com.mt/delta-projects/turnkey-contractors/" xr:uid="{00000000-0004-0000-4400-000057000000}"/>
    <hyperlink ref="F28" r:id="rId89" tooltip="Visit facebook.com/IMTurnkeyContractors/" xr:uid="{00000000-0004-0000-4400-000058000000}"/>
    <hyperlink ref="F29" r:id="rId90" tooltip="Visit facebook.com/p/ARP-Properties-100030921566866/" xr:uid="{00000000-0004-0000-4400-000059000000}"/>
  </hyperlinks>
  <pageMargins left="0.75" right="0.75" top="0.75" bottom="0.5" header="0.5" footer="0.7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58"/>
  <sheetViews>
    <sheetView workbookViewId="0"/>
  </sheetViews>
  <sheetFormatPr defaultRowHeight="14.4" x14ac:dyDescent="0.3"/>
  <cols>
    <col min="1" max="1" width="37" customWidth="1"/>
    <col min="2" max="2" width="39.6640625" customWidth="1"/>
    <col min="3" max="3" width="39.44140625" customWidth="1"/>
    <col min="4" max="4" width="29.88671875" customWidth="1"/>
    <col min="5" max="5" width="52.6640625" customWidth="1"/>
    <col min="6" max="6" width="120.554687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4127</v>
      </c>
      <c r="B2" s="2" t="s">
        <v>3914</v>
      </c>
      <c r="C2" s="3" t="s">
        <v>3949</v>
      </c>
      <c r="D2" s="2" t="str">
        <f>CONCATENATE(HYPERLINK("CALLTO:%2B356%202258%204900", "+356 2258 4900"))</f>
        <v>+356 2258 4900</v>
      </c>
      <c r="E2" s="3" t="s">
        <v>3984</v>
      </c>
      <c r="F2" s="3" t="s">
        <v>4002</v>
      </c>
    </row>
    <row r="3" spans="1:6" x14ac:dyDescent="0.3">
      <c r="A3" s="4" t="s">
        <v>4148</v>
      </c>
      <c r="B3" s="4" t="s">
        <v>4152</v>
      </c>
      <c r="C3" s="5" t="s">
        <v>712</v>
      </c>
      <c r="D3" s="4" t="str">
        <f>CONCATENATE(HYPERLINK("CALLTO:%2B356%202141%205332", "+356 2141 5332"))</f>
        <v>+356 2141 5332</v>
      </c>
      <c r="E3" s="5" t="s">
        <v>4251</v>
      </c>
      <c r="F3" s="5" t="s">
        <v>4277</v>
      </c>
    </row>
    <row r="4" spans="1:6" x14ac:dyDescent="0.3">
      <c r="A4" s="2" t="s">
        <v>4149</v>
      </c>
      <c r="B4" s="2" t="s">
        <v>4079</v>
      </c>
      <c r="C4" s="3" t="s">
        <v>796</v>
      </c>
      <c r="D4" s="2" t="str">
        <f>CONCATENATE(HYPERLINK("CALLTO:%2B356%207777%201522", "+356 7777 1522"))</f>
        <v>+356 7777 1522</v>
      </c>
      <c r="E4" s="3" t="s">
        <v>3210</v>
      </c>
      <c r="F4" s="3" t="s">
        <v>3214</v>
      </c>
    </row>
    <row r="5" spans="1:6" x14ac:dyDescent="0.3">
      <c r="A5" s="4" t="s">
        <v>4150</v>
      </c>
      <c r="B5" s="4" t="s">
        <v>4153</v>
      </c>
      <c r="C5" s="5" t="s">
        <v>4205</v>
      </c>
      <c r="D5" s="4" t="str">
        <f>CONCATENATE(HYPERLINK("CALLTO:%2B356%202142%202041", "+356 2142 2041"), " / ", HYPERLINK("CALLTO:%2B356%202", "+356 2"))</f>
        <v>+356 2142 2041 / +356 2</v>
      </c>
      <c r="E5" s="5" t="s">
        <v>4252</v>
      </c>
      <c r="F5" s="5" t="s">
        <v>4278</v>
      </c>
    </row>
    <row r="6" spans="1:6" x14ac:dyDescent="0.3">
      <c r="A6" s="2" t="s">
        <v>4150</v>
      </c>
      <c r="B6" s="2" t="s">
        <v>4154</v>
      </c>
      <c r="C6" s="3" t="s">
        <v>4206</v>
      </c>
      <c r="D6" s="2" t="str">
        <f>CONCATENATE(HYPERLINK("CALLTO:%2B356%202143%202333", "+356 2143 2333"))</f>
        <v>+356 2143 2333</v>
      </c>
      <c r="E6" s="3" t="s">
        <v>4253</v>
      </c>
      <c r="F6" s="3" t="s">
        <v>4279</v>
      </c>
    </row>
    <row r="7" spans="1:6" x14ac:dyDescent="0.3">
      <c r="A7" s="4" t="s">
        <v>4150</v>
      </c>
      <c r="B7" s="4" t="s">
        <v>4155</v>
      </c>
      <c r="C7" s="5" t="s">
        <v>4207</v>
      </c>
      <c r="D7" s="4" t="str">
        <f>CONCATENATE(HYPERLINK("CALLTO:%2B356%202359%206000", "+356 2359 6000"))</f>
        <v>+356 2359 6000</v>
      </c>
      <c r="E7" s="5" t="s">
        <v>4254</v>
      </c>
      <c r="F7" s="5" t="s">
        <v>4279</v>
      </c>
    </row>
    <row r="8" spans="1:6" x14ac:dyDescent="0.3">
      <c r="A8" s="2" t="s">
        <v>4150</v>
      </c>
      <c r="B8" s="2" t="s">
        <v>4156</v>
      </c>
      <c r="C8" s="3" t="s">
        <v>4208</v>
      </c>
      <c r="D8" s="2" t="str">
        <f>CONCATENATE(HYPERLINK("CALLTO:%2B356%202298%201200", "+356 2298 1200"))</f>
        <v>+356 2298 1200</v>
      </c>
      <c r="E8" s="3" t="s">
        <v>4255</v>
      </c>
      <c r="F8" s="3" t="s">
        <v>4280</v>
      </c>
    </row>
    <row r="9" spans="1:6" x14ac:dyDescent="0.3">
      <c r="A9" s="4" t="s">
        <v>4150</v>
      </c>
      <c r="B9" s="4" t="s">
        <v>4157</v>
      </c>
      <c r="C9" s="5" t="s">
        <v>4209</v>
      </c>
      <c r="D9" s="4" t="str">
        <f>CONCATENATE(HYPERLINK("CALLTO:%2B356%202142%202003", "+356 2142 2003"), " / ", HYPERLINK("CALLTO:%2B356%209943%209191", "+356 9943 9191"))</f>
        <v>+356 2142 2003 / +356 9943 9191</v>
      </c>
      <c r="E9" s="5" t="s">
        <v>4256</v>
      </c>
      <c r="F9" s="5" t="s">
        <v>4281</v>
      </c>
    </row>
    <row r="10" spans="1:6" x14ac:dyDescent="0.3">
      <c r="A10" s="2" t="s">
        <v>4150</v>
      </c>
      <c r="B10" s="2" t="s">
        <v>4158</v>
      </c>
      <c r="C10" s="3" t="s">
        <v>4210</v>
      </c>
      <c r="D10" s="2" t="str">
        <f>CONCATENATE(HYPERLINK("CALLTO:%2B356%202124%204200", "+356 2124 4200"))</f>
        <v>+356 2124 4200</v>
      </c>
      <c r="E10" s="3" t="s">
        <v>4257</v>
      </c>
      <c r="F10" s="3" t="s">
        <v>4282</v>
      </c>
    </row>
    <row r="11" spans="1:6" x14ac:dyDescent="0.3">
      <c r="A11" s="4" t="s">
        <v>4151</v>
      </c>
      <c r="B11" s="4" t="s">
        <v>4159</v>
      </c>
      <c r="C11" s="5" t="s">
        <v>4211</v>
      </c>
      <c r="D11" s="4" t="str">
        <f>CONCATENATE(HYPERLINK("CALLTO:%2B356%209940%208339", "+356 9940 8339"), " / ", HYPERLINK("CALLTO:%2B356%207997%203852", "+356 7997 3852"))</f>
        <v>+356 9940 8339 / +356 7997 3852</v>
      </c>
      <c r="E11" s="5" t="s">
        <v>4259</v>
      </c>
      <c r="F11" s="5" t="s">
        <v>4283</v>
      </c>
    </row>
    <row r="12" spans="1:6" x14ac:dyDescent="0.3">
      <c r="A12" s="2" t="s">
        <v>4150</v>
      </c>
      <c r="B12" s="2" t="s">
        <v>4160</v>
      </c>
      <c r="C12" s="3" t="s">
        <v>4212</v>
      </c>
      <c r="D12" s="2" t="str">
        <f>CONCATENATE(HYPERLINK("CALLTO:%2B356%207997%203852", "+356 7997 3852"), " / ", HYPERLINK("CALLTO:%2B356%209940%208339", "+356 9940 8339"))</f>
        <v>+356 7997 3852 / +356 9940 8339</v>
      </c>
      <c r="E12" s="3" t="s">
        <v>4258</v>
      </c>
      <c r="F12" s="3" t="s">
        <v>4284</v>
      </c>
    </row>
    <row r="13" spans="1:6" x14ac:dyDescent="0.3">
      <c r="A13" s="4" t="s">
        <v>4150</v>
      </c>
      <c r="B13" s="4" t="s">
        <v>3077</v>
      </c>
      <c r="C13" s="5" t="s">
        <v>4092</v>
      </c>
      <c r="D13" s="4" t="str">
        <f>CONCATENATE(HYPERLINK("CALLTO:%2B356%209945%200232", "+356 9945 0232"))</f>
        <v>+356 9945 0232</v>
      </c>
      <c r="E13" s="5" t="s">
        <v>3973</v>
      </c>
      <c r="F13" s="5" t="s">
        <v>4136</v>
      </c>
    </row>
    <row r="14" spans="1:6" x14ac:dyDescent="0.3">
      <c r="A14" s="2" t="s">
        <v>4150</v>
      </c>
      <c r="B14" s="2" t="s">
        <v>4161</v>
      </c>
      <c r="C14" s="3" t="s">
        <v>3938</v>
      </c>
      <c r="D14" s="2" t="str">
        <f>CONCATENATE(HYPERLINK("CALLTO:%2B356%207999%20825579468519", "+356 7999 825579468519"))</f>
        <v>+356 7999 825579468519</v>
      </c>
      <c r="E14" s="3" t="s">
        <v>4260</v>
      </c>
      <c r="F14" s="3" t="s">
        <v>4285</v>
      </c>
    </row>
    <row r="15" spans="1:6" x14ac:dyDescent="0.3">
      <c r="A15" s="4" t="s">
        <v>4150</v>
      </c>
      <c r="B15" s="4" t="s">
        <v>4162</v>
      </c>
      <c r="C15" s="5" t="s">
        <v>4213</v>
      </c>
      <c r="D15" s="4" t="str">
        <f>CONCATENATE(HYPERLINK("CALLTO:%2B356%209945%208658", "+356 9945 8658"))</f>
        <v>+356 9945 8658</v>
      </c>
      <c r="E15" s="5" t="s">
        <v>4261</v>
      </c>
      <c r="F15" s="5" t="s">
        <v>4286</v>
      </c>
    </row>
    <row r="16" spans="1:6" x14ac:dyDescent="0.3">
      <c r="A16" s="2" t="s">
        <v>4150</v>
      </c>
      <c r="B16" s="2" t="s">
        <v>4163</v>
      </c>
      <c r="C16" s="3" t="s">
        <v>4087</v>
      </c>
      <c r="D16" s="2" t="str">
        <f>CONCATENATE(HYPERLINK("CALLTO:%2B356%207926%209566", "+356 7926 9566"))</f>
        <v>+356 7926 9566</v>
      </c>
      <c r="E16" s="3" t="s">
        <v>4262</v>
      </c>
      <c r="F16" s="3" t="s">
        <v>4287</v>
      </c>
    </row>
    <row r="17" spans="1:6" x14ac:dyDescent="0.3">
      <c r="A17" s="4" t="s">
        <v>4150</v>
      </c>
      <c r="B17" s="4" t="s">
        <v>4164</v>
      </c>
      <c r="C17" s="5" t="s">
        <v>4214</v>
      </c>
      <c r="D17" s="4" t="str">
        <f>CONCATENATE(HYPERLINK("CALLTO:%2B356%207942%204201", "+356 7942 4201"))</f>
        <v>+356 7942 4201</v>
      </c>
      <c r="E17" s="5" t="s">
        <v>4263</v>
      </c>
      <c r="F17" s="5" t="s">
        <v>4288</v>
      </c>
    </row>
    <row r="18" spans="1:6" x14ac:dyDescent="0.3">
      <c r="A18" s="2" t="s">
        <v>4149</v>
      </c>
      <c r="B18" s="2" t="s">
        <v>4165</v>
      </c>
      <c r="C18" s="3" t="s">
        <v>4215</v>
      </c>
      <c r="D18" s="2" t="str">
        <f>CONCATENATE(HYPERLINK("CALLTO:%2B356%207930%208664", "+356 7930 8664"))</f>
        <v>+356 7930 8664</v>
      </c>
      <c r="E18" s="3" t="s">
        <v>4264</v>
      </c>
      <c r="F18" s="3" t="s">
        <v>4289</v>
      </c>
    </row>
    <row r="19" spans="1:6" x14ac:dyDescent="0.3">
      <c r="A19" s="4" t="s">
        <v>4150</v>
      </c>
      <c r="B19" s="4" t="s">
        <v>4166</v>
      </c>
      <c r="C19" s="5" t="s">
        <v>4216</v>
      </c>
      <c r="D19" s="4" t="str">
        <f>CONCATENATE(HYPERLINK("CALLTO:%2B356%209989%206865", "+356 9989 6865"), " / ", HYPERLINK("CALLTO:%2B356%207970%207217", "+356 7970 7217"))</f>
        <v>+356 9989 6865 / +356 7970 7217</v>
      </c>
      <c r="E19" s="5" t="s">
        <v>4265</v>
      </c>
      <c r="F19" s="5" t="s">
        <v>4290</v>
      </c>
    </row>
    <row r="20" spans="1:6" x14ac:dyDescent="0.3">
      <c r="A20" s="2" t="s">
        <v>4150</v>
      </c>
      <c r="B20" s="2" t="s">
        <v>4167</v>
      </c>
      <c r="C20" s="3" t="s">
        <v>4217</v>
      </c>
      <c r="D20" s="2" t="str">
        <f>CONCATENATE(HYPERLINK("CALLTO:%2B356%209945%203176", "+356 9945 3176"))</f>
        <v>+356 9945 3176</v>
      </c>
      <c r="E20" s="3" t="s">
        <v>4267</v>
      </c>
      <c r="F20" s="3" t="s">
        <v>4291</v>
      </c>
    </row>
    <row r="21" spans="1:6" x14ac:dyDescent="0.3">
      <c r="A21" s="4" t="s">
        <v>4150</v>
      </c>
      <c r="B21" s="4" t="s">
        <v>4168</v>
      </c>
      <c r="C21" s="5" t="s">
        <v>4218</v>
      </c>
      <c r="D21" s="4" t="str">
        <f>CONCATENATE(HYPERLINK("CALLTO:%2B356%209944%204009", "+356 9944 4009"))</f>
        <v>+356 9944 4009</v>
      </c>
      <c r="E21" s="5" t="s">
        <v>4266</v>
      </c>
      <c r="F21" s="5" t="s">
        <v>4292</v>
      </c>
    </row>
    <row r="22" spans="1:6" x14ac:dyDescent="0.3">
      <c r="A22" s="2" t="s">
        <v>4150</v>
      </c>
      <c r="B22" s="2" t="s">
        <v>4169</v>
      </c>
      <c r="C22" s="3" t="s">
        <v>4219</v>
      </c>
      <c r="D22" s="2" t="str">
        <f>CONCATENATE(HYPERLINK("CALLTO:%2B356%209926%208398", "+356 9926 8398"))</f>
        <v>+356 9926 8398</v>
      </c>
      <c r="E22" s="3" t="s">
        <v>4268</v>
      </c>
      <c r="F22" s="3" t="s">
        <v>4293</v>
      </c>
    </row>
    <row r="23" spans="1:6" x14ac:dyDescent="0.3">
      <c r="A23" s="4" t="s">
        <v>4150</v>
      </c>
      <c r="B23" s="4" t="s">
        <v>4170</v>
      </c>
      <c r="C23" s="5" t="s">
        <v>4220</v>
      </c>
      <c r="D23" s="4" t="str">
        <f>CONCATENATE(HYPERLINK("CALLTO:%2B356%202143%202610", "+356 2143 2610"), " / ", HYPERLINK("CALLTO:%2B356%209928%208922", "+356 9928 8922"))</f>
        <v>+356 2143 2610 / +356 9928 8922</v>
      </c>
      <c r="E23" s="5" t="s">
        <v>4269</v>
      </c>
      <c r="F23" s="5" t="s">
        <v>4294</v>
      </c>
    </row>
    <row r="24" spans="1:6" x14ac:dyDescent="0.3">
      <c r="A24" s="2" t="s">
        <v>4150</v>
      </c>
      <c r="B24" s="2" t="s">
        <v>4171</v>
      </c>
      <c r="C24" s="3" t="s">
        <v>4221</v>
      </c>
      <c r="D24" s="2" t="str">
        <f>CONCATENATE(HYPERLINK("CALLTO:%2B356%207920%203090", "+356 7920 3090"))</f>
        <v>+356 7920 3090</v>
      </c>
      <c r="E24" s="3" t="s">
        <v>4270</v>
      </c>
      <c r="F24" s="3" t="s">
        <v>4295</v>
      </c>
    </row>
    <row r="25" spans="1:6" x14ac:dyDescent="0.3">
      <c r="A25" s="4" t="s">
        <v>4150</v>
      </c>
      <c r="B25" s="4" t="s">
        <v>4172</v>
      </c>
      <c r="C25" s="5" t="s">
        <v>4222</v>
      </c>
      <c r="D25" s="4" t="str">
        <f>CONCATENATE(HYPERLINK("CALLTO:%2B356%209949%207034", "+356 9949 7034"))</f>
        <v>+356 9949 7034</v>
      </c>
      <c r="E25" s="5" t="s">
        <v>4271</v>
      </c>
      <c r="F25" s="5" t="s">
        <v>4296</v>
      </c>
    </row>
    <row r="26" spans="1:6" x14ac:dyDescent="0.3">
      <c r="A26" s="2" t="s">
        <v>4150</v>
      </c>
      <c r="B26" s="2" t="s">
        <v>4173</v>
      </c>
      <c r="C26" s="3" t="s">
        <v>4223</v>
      </c>
      <c r="D26" s="2" t="str">
        <f>CONCATENATE(HYPERLINK("CALLTO:%2B356%209961%209165", "+356 9961 9165"))</f>
        <v>+356 9961 9165</v>
      </c>
      <c r="E26" s="3" t="s">
        <v>4272</v>
      </c>
      <c r="F26" s="3" t="s">
        <v>4297</v>
      </c>
    </row>
    <row r="27" spans="1:6" x14ac:dyDescent="0.3">
      <c r="A27" s="4" t="s">
        <v>4149</v>
      </c>
      <c r="B27" s="4" t="s">
        <v>4174</v>
      </c>
      <c r="C27" s="5" t="s">
        <v>4224</v>
      </c>
      <c r="D27" s="4" t="str">
        <f>CONCATENATE(HYPERLINK("CALLTO:%2B356%202167%203070", "+356 2167 3070"))</f>
        <v>+356 2167 3070</v>
      </c>
      <c r="E27" s="5" t="s">
        <v>4273</v>
      </c>
      <c r="F27" s="5" t="s">
        <v>4298</v>
      </c>
    </row>
    <row r="28" spans="1:6" x14ac:dyDescent="0.3">
      <c r="A28" s="2" t="s">
        <v>4149</v>
      </c>
      <c r="B28" s="2" t="s">
        <v>4175</v>
      </c>
      <c r="C28" s="3" t="s">
        <v>4225</v>
      </c>
      <c r="D28" s="2" t="str">
        <f>CONCATENATE(HYPERLINK("CALLTO:%2B356%207775%200959", "+356 7775 0959"))</f>
        <v>+356 7775 0959</v>
      </c>
      <c r="E28" s="3" t="s">
        <v>4274</v>
      </c>
      <c r="F28" s="3" t="s">
        <v>4299</v>
      </c>
    </row>
    <row r="29" spans="1:6" x14ac:dyDescent="0.3">
      <c r="A29" s="4" t="s">
        <v>4149</v>
      </c>
      <c r="B29" s="4" t="s">
        <v>4176</v>
      </c>
      <c r="C29" s="5" t="s">
        <v>4226</v>
      </c>
      <c r="D29" s="4" t="str">
        <f>CONCATENATE(HYPERLINK("CALLTO:%2B356%202164%200957", "+356 2164 0957"))</f>
        <v>+356 2164 0957</v>
      </c>
      <c r="E29" s="5" t="s">
        <v>4275</v>
      </c>
      <c r="F29" s="5" t="s">
        <v>4300</v>
      </c>
    </row>
    <row r="30" spans="1:6" x14ac:dyDescent="0.3">
      <c r="A30" s="2" t="s">
        <v>4149</v>
      </c>
      <c r="B30" s="2" t="s">
        <v>4177</v>
      </c>
      <c r="C30" s="3" t="s">
        <v>4227</v>
      </c>
      <c r="D30" s="2" t="str">
        <f>CONCATENATE(HYPERLINK("CALLTO:%2B356%207903%203168", "+356 7903 3168"))</f>
        <v>+356 7903 3168</v>
      </c>
      <c r="E30" s="2"/>
      <c r="F30" s="3" t="s">
        <v>4301</v>
      </c>
    </row>
    <row r="31" spans="1:6" x14ac:dyDescent="0.3">
      <c r="A31" s="4" t="s">
        <v>4149</v>
      </c>
      <c r="B31" s="4" t="s">
        <v>4178</v>
      </c>
      <c r="C31" s="5" t="s">
        <v>4228</v>
      </c>
      <c r="D31" s="4" t="str">
        <f>CONCATENATE(HYPERLINK("CALLTO:%2B356%207799%209491", "+356 7799 9491"))</f>
        <v>+356 7799 9491</v>
      </c>
      <c r="E31" s="4"/>
      <c r="F31" s="5" t="s">
        <v>4302</v>
      </c>
    </row>
    <row r="32" spans="1:6" x14ac:dyDescent="0.3">
      <c r="A32" s="2" t="s">
        <v>4149</v>
      </c>
      <c r="B32" s="2" t="s">
        <v>4179</v>
      </c>
      <c r="C32" s="3" t="s">
        <v>4229</v>
      </c>
      <c r="D32" s="2" t="str">
        <f>CONCATENATE(HYPERLINK("CALLTO:%2B356%209902%203475", "+356 9902 3475"))</f>
        <v>+356 9902 3475</v>
      </c>
      <c r="E32" s="2"/>
      <c r="F32" s="2"/>
    </row>
    <row r="33" spans="1:6" x14ac:dyDescent="0.3">
      <c r="A33" s="4" t="s">
        <v>4149</v>
      </c>
      <c r="B33" s="4" t="s">
        <v>4180</v>
      </c>
      <c r="C33" s="5" t="s">
        <v>4230</v>
      </c>
      <c r="D33" s="4"/>
      <c r="E33" s="4"/>
      <c r="F33" s="4"/>
    </row>
    <row r="34" spans="1:6" x14ac:dyDescent="0.3">
      <c r="A34" s="2" t="s">
        <v>4149</v>
      </c>
      <c r="B34" s="2" t="s">
        <v>4181</v>
      </c>
      <c r="C34" s="3" t="s">
        <v>4231</v>
      </c>
      <c r="D34" s="2"/>
      <c r="E34" s="2"/>
      <c r="F34" s="2"/>
    </row>
    <row r="35" spans="1:6" x14ac:dyDescent="0.3">
      <c r="A35" s="4" t="s">
        <v>4149</v>
      </c>
      <c r="B35" s="4" t="s">
        <v>4182</v>
      </c>
      <c r="C35" s="5" t="s">
        <v>4232</v>
      </c>
      <c r="D35" s="4"/>
      <c r="E35" s="4"/>
      <c r="F35" s="4"/>
    </row>
    <row r="36" spans="1:6" x14ac:dyDescent="0.3">
      <c r="A36" s="2" t="s">
        <v>4149</v>
      </c>
      <c r="B36" s="2" t="s">
        <v>4183</v>
      </c>
      <c r="C36" s="3" t="s">
        <v>4233</v>
      </c>
      <c r="D36" s="2"/>
      <c r="E36" s="2"/>
      <c r="F36" s="2"/>
    </row>
    <row r="37" spans="1:6" x14ac:dyDescent="0.3">
      <c r="A37" s="4" t="s">
        <v>4149</v>
      </c>
      <c r="B37" s="4" t="s">
        <v>4184</v>
      </c>
      <c r="C37" s="5" t="s">
        <v>3957</v>
      </c>
      <c r="D37" s="4"/>
      <c r="E37" s="4"/>
      <c r="F37" s="4"/>
    </row>
    <row r="38" spans="1:6" x14ac:dyDescent="0.3">
      <c r="A38" s="2" t="s">
        <v>4149</v>
      </c>
      <c r="B38" s="2" t="s">
        <v>4185</v>
      </c>
      <c r="C38" s="3" t="s">
        <v>4234</v>
      </c>
      <c r="D38" s="2"/>
      <c r="E38" s="2"/>
      <c r="F38" s="2"/>
    </row>
    <row r="39" spans="1:6" x14ac:dyDescent="0.3">
      <c r="A39" s="4" t="s">
        <v>4149</v>
      </c>
      <c r="B39" s="4" t="s">
        <v>4186</v>
      </c>
      <c r="C39" s="5" t="s">
        <v>4235</v>
      </c>
      <c r="D39" s="4"/>
      <c r="E39" s="4"/>
      <c r="F39" s="4"/>
    </row>
    <row r="40" spans="1:6" x14ac:dyDescent="0.3">
      <c r="A40" s="2" t="s">
        <v>4149</v>
      </c>
      <c r="B40" s="2" t="s">
        <v>4187</v>
      </c>
      <c r="C40" s="3" t="s">
        <v>4236</v>
      </c>
      <c r="D40" s="2"/>
      <c r="E40" s="2"/>
      <c r="F40" s="2"/>
    </row>
    <row r="41" spans="1:6" x14ac:dyDescent="0.3">
      <c r="A41" s="4" t="s">
        <v>4149</v>
      </c>
      <c r="B41" s="4" t="s">
        <v>4188</v>
      </c>
      <c r="C41" s="5" t="s">
        <v>4237</v>
      </c>
      <c r="D41" s="4"/>
      <c r="E41" s="4"/>
      <c r="F41" s="4"/>
    </row>
    <row r="42" spans="1:6" x14ac:dyDescent="0.3">
      <c r="A42" s="2" t="s">
        <v>4149</v>
      </c>
      <c r="B42" s="2" t="s">
        <v>4189</v>
      </c>
      <c r="C42" s="3" t="s">
        <v>4238</v>
      </c>
      <c r="D42" s="2"/>
      <c r="E42" s="2"/>
      <c r="F42" s="2"/>
    </row>
    <row r="43" spans="1:6" x14ac:dyDescent="0.3">
      <c r="A43" s="4" t="s">
        <v>4149</v>
      </c>
      <c r="B43" s="4" t="s">
        <v>4190</v>
      </c>
      <c r="C43" s="5" t="s">
        <v>4239</v>
      </c>
      <c r="D43" s="4"/>
      <c r="E43" s="4"/>
      <c r="F43" s="4"/>
    </row>
    <row r="44" spans="1:6" x14ac:dyDescent="0.3">
      <c r="A44" s="2" t="s">
        <v>4149</v>
      </c>
      <c r="B44" s="2" t="s">
        <v>4191</v>
      </c>
      <c r="C44" s="3" t="s">
        <v>4240</v>
      </c>
      <c r="D44" s="2"/>
      <c r="E44" s="2"/>
      <c r="F44" s="2"/>
    </row>
    <row r="45" spans="1:6" x14ac:dyDescent="0.3">
      <c r="A45" s="4" t="s">
        <v>4149</v>
      </c>
      <c r="B45" s="4" t="s">
        <v>4192</v>
      </c>
      <c r="C45" s="5" t="s">
        <v>4214</v>
      </c>
      <c r="D45" s="4"/>
      <c r="E45" s="4"/>
      <c r="F45" s="4"/>
    </row>
    <row r="46" spans="1:6" x14ac:dyDescent="0.3">
      <c r="A46" s="2" t="s">
        <v>4149</v>
      </c>
      <c r="B46" s="2" t="s">
        <v>4194</v>
      </c>
      <c r="C46" s="3" t="s">
        <v>4241</v>
      </c>
      <c r="D46" s="2"/>
      <c r="E46" s="2"/>
      <c r="F46" s="2"/>
    </row>
    <row r="47" spans="1:6" x14ac:dyDescent="0.3">
      <c r="A47" s="4"/>
      <c r="B47" s="4" t="s">
        <v>4193</v>
      </c>
      <c r="C47" s="5" t="s">
        <v>4242</v>
      </c>
      <c r="D47" s="4"/>
      <c r="E47" s="4"/>
      <c r="F47" s="4"/>
    </row>
    <row r="48" spans="1:6" x14ac:dyDescent="0.3">
      <c r="A48" s="2"/>
      <c r="B48" s="2" t="s">
        <v>4195</v>
      </c>
      <c r="C48" s="3" t="s">
        <v>4243</v>
      </c>
      <c r="D48" s="2"/>
      <c r="E48" s="2"/>
      <c r="F48" s="2"/>
    </row>
    <row r="49" spans="1:6" x14ac:dyDescent="0.3">
      <c r="A49" s="4"/>
      <c r="B49" s="4" t="s">
        <v>4196</v>
      </c>
      <c r="C49" s="5" t="s">
        <v>4244</v>
      </c>
      <c r="D49" s="4"/>
      <c r="E49" s="4"/>
      <c r="F49" s="4"/>
    </row>
    <row r="50" spans="1:6" x14ac:dyDescent="0.3">
      <c r="A50" s="2"/>
      <c r="B50" s="2" t="s">
        <v>4197</v>
      </c>
      <c r="C50" s="3" t="s">
        <v>4245</v>
      </c>
      <c r="D50" s="2"/>
      <c r="E50" s="2"/>
      <c r="F50" s="2"/>
    </row>
    <row r="51" spans="1:6" x14ac:dyDescent="0.3">
      <c r="A51" s="4"/>
      <c r="B51" s="4" t="s">
        <v>4198</v>
      </c>
      <c r="C51" s="5" t="s">
        <v>4246</v>
      </c>
      <c r="D51" s="4"/>
      <c r="E51" s="4"/>
      <c r="F51" s="4"/>
    </row>
    <row r="52" spans="1:6" x14ac:dyDescent="0.3">
      <c r="A52" s="2"/>
      <c r="B52" s="2" t="s">
        <v>4199</v>
      </c>
      <c r="C52" s="3" t="s">
        <v>4247</v>
      </c>
      <c r="D52" s="2"/>
      <c r="E52" s="2"/>
      <c r="F52" s="2"/>
    </row>
    <row r="53" spans="1:6" x14ac:dyDescent="0.3">
      <c r="A53" s="4"/>
      <c r="B53" s="4" t="s">
        <v>4200</v>
      </c>
      <c r="C53" s="5" t="s">
        <v>4107</v>
      </c>
      <c r="D53" s="4"/>
      <c r="E53" s="4"/>
      <c r="F53" s="4"/>
    </row>
    <row r="54" spans="1:6" x14ac:dyDescent="0.3">
      <c r="A54" s="2"/>
      <c r="B54" s="2" t="s">
        <v>4202</v>
      </c>
      <c r="C54" s="3" t="s">
        <v>4106</v>
      </c>
      <c r="D54" s="2"/>
      <c r="E54" s="2"/>
      <c r="F54" s="2"/>
    </row>
    <row r="55" spans="1:6" x14ac:dyDescent="0.3">
      <c r="A55" s="4"/>
      <c r="B55" s="4" t="s">
        <v>3746</v>
      </c>
      <c r="C55" s="5" t="s">
        <v>3754</v>
      </c>
      <c r="D55" s="4"/>
      <c r="E55" s="4"/>
      <c r="F55" s="4"/>
    </row>
    <row r="56" spans="1:6" x14ac:dyDescent="0.3">
      <c r="A56" s="2"/>
      <c r="B56" s="2" t="s">
        <v>4201</v>
      </c>
      <c r="C56" s="3" t="s">
        <v>4248</v>
      </c>
      <c r="D56" s="2"/>
      <c r="E56" s="2"/>
      <c r="F56" s="2"/>
    </row>
    <row r="57" spans="1:6" x14ac:dyDescent="0.3">
      <c r="A57" s="4"/>
      <c r="B57" s="4" t="s">
        <v>4203</v>
      </c>
      <c r="C57" s="5" t="s">
        <v>4249</v>
      </c>
      <c r="D57" s="4"/>
      <c r="E57" s="4"/>
      <c r="F57" s="4"/>
    </row>
    <row r="58" spans="1:6" x14ac:dyDescent="0.3">
      <c r="A58" s="2"/>
      <c r="B58" s="2" t="s">
        <v>4204</v>
      </c>
      <c r="C58" s="3" t="s">
        <v>4250</v>
      </c>
      <c r="D58" s="2"/>
      <c r="E58" s="2"/>
      <c r="F58" s="2"/>
    </row>
  </sheetData>
  <hyperlinks>
    <hyperlink ref="C2" r:id="rId1" tooltip="Send a mail to info@axconstruction.mt" xr:uid="{00000000-0004-0000-4500-000000000000}"/>
    <hyperlink ref="C3" r:id="rId2" tooltip="Send a mail to info@attardbros.com" xr:uid="{00000000-0004-0000-4500-000001000000}"/>
    <hyperlink ref="C4" r:id="rId3" tooltip="Send a mail to contact@kibitec.com" xr:uid="{00000000-0004-0000-4500-000002000000}"/>
    <hyperlink ref="C5" r:id="rId4" tooltip="Send a mail to info@bbconstruction.mt" xr:uid="{00000000-0004-0000-4500-000003000000}"/>
    <hyperlink ref="C6" r:id="rId5" tooltip="Send a mail to info@vassallogroupmalta.com" xr:uid="{00000000-0004-0000-4500-000004000000}"/>
    <hyperlink ref="C7" r:id="rId6" tooltip="Send a mail to info@bbg.com.mt" xr:uid="{00000000-0004-0000-4500-000005000000}"/>
    <hyperlink ref="C8" r:id="rId7" tooltip="Send a mail to info@elbros.com.mt" xr:uid="{00000000-0004-0000-4500-000006000000}"/>
    <hyperlink ref="C9" r:id="rId8" tooltip="Send a mail to info@tmc.com.mt" xr:uid="{00000000-0004-0000-4500-000007000000}"/>
    <hyperlink ref="C10" r:id="rId9" tooltip="Send a mail to info@polidano-group.com" xr:uid="{00000000-0004-0000-4500-000008000000}"/>
    <hyperlink ref="C11" r:id="rId10" tooltip="Send a mail to mariogalea@hotmail.co.uk" xr:uid="{00000000-0004-0000-4500-000009000000}"/>
    <hyperlink ref="C12" r:id="rId11" tooltip="Send a mail to info@ogcw.mt" xr:uid="{00000000-0004-0000-4500-00000A000000}"/>
    <hyperlink ref="C13" r:id="rId12" tooltip="Send a mail to info@agfmalta.com" xr:uid="{00000000-0004-0000-4500-00000B000000}"/>
    <hyperlink ref="C14" r:id="rId13" tooltip="Send a mail to fourvcltd@gmail.com" xr:uid="{00000000-0004-0000-4500-00000C000000}"/>
    <hyperlink ref="C15" r:id="rId14" tooltip="Send a mail to mifsudbros@hotmail.com" xr:uid="{00000000-0004-0000-4500-00000D000000}"/>
    <hyperlink ref="C16" r:id="rId15" tooltip="Send a mail to admin@aaconstructionworks.com" xr:uid="{00000000-0004-0000-4500-00000E000000}"/>
    <hyperlink ref="C17" r:id="rId16" tooltip="Send a mail to info@talkarmnu.com.mt" xr:uid="{00000000-0004-0000-4500-00000F000000}"/>
    <hyperlink ref="C18" r:id="rId17" tooltip="Send a mail to reu_sacco@hotmail.com" xr:uid="{00000000-0004-0000-4500-000010000000}"/>
    <hyperlink ref="C19" r:id="rId18" tooltip="Send a mail to Clintonspiteri94@gmail.com" xr:uid="{00000000-0004-0000-4500-000011000000}"/>
    <hyperlink ref="C20" r:id="rId19" tooltip="Send a mail to bobli2@hotmail.com" xr:uid="{00000000-0004-0000-4500-000012000000}"/>
    <hyperlink ref="C21" r:id="rId20" tooltip="Send a mail to noelmizzi1976@gmail.com" xr:uid="{00000000-0004-0000-4500-000013000000}"/>
    <hyperlink ref="C22" r:id="rId21" tooltip="Send a mail to eman.ciantar98@gmail.com" xr:uid="{00000000-0004-0000-4500-000014000000}"/>
    <hyperlink ref="C23" r:id="rId22" tooltip="Send a mail to thomasazzopardiconstruction@gmail.com" xr:uid="{00000000-0004-0000-4500-000015000000}"/>
    <hyperlink ref="C24" r:id="rId23" tooltip="Send a mail to info@leacontractors.com" xr:uid="{00000000-0004-0000-4500-000016000000}"/>
    <hyperlink ref="C25" r:id="rId24" tooltip="Send a mail to info@mtfbonannoltd.com" xr:uid="{00000000-0004-0000-4500-000017000000}"/>
    <hyperlink ref="C26" r:id="rId25" tooltip="Send a mail to apicontractors@gmail.com" xr:uid="{00000000-0004-0000-4500-000018000000}"/>
    <hyperlink ref="C27" r:id="rId26" tooltip="Send a mail to info@barbrosgroup.com" xr:uid="{00000000-0004-0000-4500-000019000000}"/>
    <hyperlink ref="C28" r:id="rId27" tooltip="Send a mail to sadevelopmentsltd@gmail.com" xr:uid="{00000000-0004-0000-4500-00001A000000}"/>
    <hyperlink ref="C29" r:id="rId28" tooltip="Send a mail to joseph@zahraltd.com" xr:uid="{00000000-0004-0000-4500-00001B000000}"/>
    <hyperlink ref="C30" r:id="rId29" tooltip="Send a mail to info@optimaprojects.mt" xr:uid="{00000000-0004-0000-4500-00001C000000}"/>
    <hyperlink ref="C31" r:id="rId30" tooltip="Send a mail to info@brandprojectsltd.com" xr:uid="{00000000-0004-0000-4500-00001D000000}"/>
    <hyperlink ref="C32" r:id="rId31" tooltip="Send a mail to info@fsh.com.mt" xr:uid="{00000000-0004-0000-4500-00001E000000}"/>
    <hyperlink ref="C33" r:id="rId32" tooltip="Send a mail to info@bgs.com.mt" xr:uid="{00000000-0004-0000-4500-00001F000000}"/>
    <hyperlink ref="C34" r:id="rId33" tooltip="Send a mail to info@ajfattard.com" xr:uid="{00000000-0004-0000-4500-000020000000}"/>
    <hyperlink ref="C35" r:id="rId34" tooltip="Send a mail to curmijonathan@gmail.com" xr:uid="{00000000-0004-0000-4500-000021000000}"/>
    <hyperlink ref="C36" r:id="rId35" tooltip="Send a mail to executiveprojectsltd@gmail.com" xr:uid="{00000000-0004-0000-4500-000022000000}"/>
    <hyperlink ref="C37" r:id="rId36" tooltip="Send a mail to info@farstoneconstruction.com" xr:uid="{00000000-0004-0000-4500-000023000000}"/>
    <hyperlink ref="C38" r:id="rId37" tooltip="Send a mail to jmsconstructionlimited@gmail.com" xr:uid="{00000000-0004-0000-4500-000024000000}"/>
    <hyperlink ref="C39" r:id="rId38" tooltip="Send a mail to info@jpisanioperationsltd.com" xr:uid="{00000000-0004-0000-4500-000025000000}"/>
    <hyperlink ref="C40" r:id="rId39" tooltip="Send a mail to rubengrima@hotmail.com" xr:uid="{00000000-0004-0000-4500-000026000000}"/>
    <hyperlink ref="C41" r:id="rId40" tooltip="Send a mail to ndbalzan@gmail.com" xr:uid="{00000000-0004-0000-4500-000027000000}"/>
    <hyperlink ref="C42" r:id="rId41" tooltip="Send a mail to cvbrgroup@gmail.com" xr:uid="{00000000-0004-0000-4500-000028000000}"/>
    <hyperlink ref="C43" r:id="rId42" tooltip="Send a mail to c.and.g.sant.cont@gmail.com" xr:uid="{00000000-0004-0000-4500-000029000000}"/>
    <hyperlink ref="C44" r:id="rId43" tooltip="Send a mail to becky@colbex.my" xr:uid="{00000000-0004-0000-4500-00002A000000}"/>
    <hyperlink ref="C45" r:id="rId44" tooltip="Send a mail to info@talkarmnu.com.mt" xr:uid="{00000000-0004-0000-4500-00002B000000}"/>
    <hyperlink ref="C46" r:id="rId45" tooltip="Send a mail to properties@mna.com.mt" xr:uid="{00000000-0004-0000-4500-00002C000000}"/>
    <hyperlink ref="C47" r:id="rId46" tooltip="Send a mail to justconstructionworks@gmail.com" xr:uid="{00000000-0004-0000-4500-00002D000000}"/>
    <hyperlink ref="C48" r:id="rId47" tooltip="Send a mail to info@schranzltd.com" xr:uid="{00000000-0004-0000-4500-00002E000000}"/>
    <hyperlink ref="C49" r:id="rId48" tooltip="Send a mail to loganblakepace@yahoo.com" xr:uid="{00000000-0004-0000-4500-00002F000000}"/>
    <hyperlink ref="C50" r:id="rId49" tooltip="Send a mail to marozzmifsud12@gmail.com" xr:uid="{00000000-0004-0000-4500-000030000000}"/>
    <hyperlink ref="C51" r:id="rId50" tooltip="Send a mail to mvxuereb@gmail.com" xr:uid="{00000000-0004-0000-4500-000031000000}"/>
    <hyperlink ref="C52" r:id="rId51" tooltip="Send a mail to info@taboneconstructionworks.com" xr:uid="{00000000-0004-0000-4500-000032000000}"/>
    <hyperlink ref="C53" r:id="rId52" tooltip="Send a mail to hamody.zedan00@gmail.com" xr:uid="{00000000-0004-0000-4500-000033000000}"/>
    <hyperlink ref="C54" r:id="rId53" tooltip="Send a mail to kbgprojects@hotmail.com" xr:uid="{00000000-0004-0000-4500-000034000000}"/>
    <hyperlink ref="C55" r:id="rId54" tooltip="Send a mail to amatohomeimprovements@gmail.com" xr:uid="{00000000-0004-0000-4500-000035000000}"/>
    <hyperlink ref="C56" r:id="rId55" tooltip="Send a mail to camilleri.services@gmail.com" xr:uid="{00000000-0004-0000-4500-000036000000}"/>
    <hyperlink ref="C57" r:id="rId56" tooltip="Send a mail to info@pisaniconstruction.com" xr:uid="{00000000-0004-0000-4500-000037000000}"/>
    <hyperlink ref="C58" r:id="rId57" tooltip="Send a mail to Joshua@joshuaturnkey.com" xr:uid="{00000000-0004-0000-4500-000038000000}"/>
    <hyperlink ref="E2" r:id="rId58" tooltip="Search Hardrocks Industrial Park,_x000a_L/O Burmarrad, Malta on Google Maps" xr:uid="{00000000-0004-0000-4500-000039000000}"/>
    <hyperlink ref="E3" r:id="rId59" tooltip="Search Attard Bros. Group, Industrial Zone,_x000a_Ta’ Qali, ATD 4000, Malta on Google Maps" xr:uid="{00000000-0004-0000-4500-00003A000000}"/>
    <hyperlink ref="E4" r:id="rId60" tooltip="Search Triq Domenico Cachia 54_x000a_Birkirkara, BKR1017, Malta on Google Maps" xr:uid="{00000000-0004-0000-4500-00003B000000}"/>
    <hyperlink ref="E5" r:id="rId61" tooltip="Search B&amp;B Construction Ltd._x000a_Triq il-Kappella ta’ Santa Marija, Magħtab L/O Naxxar,_x000a_NXR6510, Malta on Google Maps" xr:uid="{00000000-0004-0000-4500-00003C000000}"/>
    <hyperlink ref="E6" r:id="rId62" tooltip="Search The Three Arches_x000a_Valletta Road_x000a_Mosta. MST 9016 on Google Maps" xr:uid="{00000000-0004-0000-4500-00003D000000}"/>
    <hyperlink ref="E7" r:id="rId63" tooltip="Search Bonnici House Sardine Street, Burmarrad SPB 6073 Malta on Google Maps" xr:uid="{00000000-0004-0000-4500-00003E000000}"/>
    <hyperlink ref="E8" r:id="rId64" tooltip="Search ELBROS GROUP_x000a_ELBROS’, TRIQ L-INDUSTRIJA, KKP 9042 MALTA on Google Maps" xr:uid="{00000000-0004-0000-4500-00003F000000}"/>
    <hyperlink ref="E9" r:id="rId65" tooltip="Search Tal-Maghtab Construction Co. Ltd.,_x000a_Ramla Road,_x000a_Maghtab l/o Naxxar on Google Maps" xr:uid="{00000000-0004-0000-4500-000040000000}"/>
    <hyperlink ref="E10" r:id="rId66" tooltip="Search Hal-Farrug Road, Luqa, LQA 3078 on Google Maps" xr:uid="{00000000-0004-0000-4500-000041000000}"/>
    <hyperlink ref="E11" r:id="rId67" tooltip="Search Swietenia Triq il-Bdiewa Bidnija_x000a_Mosta_x000a_MST 5073 on Google Maps" xr:uid="{00000000-0004-0000-4500-000042000000}"/>
    <hyperlink ref="E12" r:id="rId68" tooltip="Search AGF Turnkey Contractors,_x000a_Galine’, Josmar Complex Triq id-Difiza Civili,_x000a_Mosta, Malta,  MST 1743 on Google Maps" xr:uid="{00000000-0004-0000-4500-000043000000}"/>
    <hyperlink ref="E13" r:id="rId69" tooltip="Search 8 Triq Salvu Cacciattolo , Zejtun on Google Maps" xr:uid="{00000000-0004-0000-4500-000044000000}"/>
    <hyperlink ref="E14" r:id="rId70" tooltip="Search 81-83, Triq Baskal Buhagiar ,_x000a_Mosta on Google Maps" xr:uid="{00000000-0004-0000-4500-000045000000}"/>
    <hyperlink ref="E15" r:id="rId71" tooltip="Search AA Construction Works_x000a_St. Helen, Triq Caravaggion, Ħal Għargħur on Google Maps" xr:uid="{00000000-0004-0000-4500-000046000000}"/>
    <hyperlink ref="E16" r:id="rId72" tooltip="Search 578, The Four Seasons, Triq Il-Qaliet, Marsaskala on Google Maps" xr:uid="{00000000-0004-0000-4500-000047000000}"/>
    <hyperlink ref="E17" r:id="rId73" tooltip="Search RS Construction_x000a_Clover, Apt 4 Triq Dun Karm Psaila,_x000a_Zebbug, Malta on Google Maps" xr:uid="{00000000-0004-0000-4500-000048000000}"/>
    <hyperlink ref="E18" r:id="rId74" tooltip="Search C &amp; S Services_x000a_The Orchid Triq il-Faqqus ,_x000a_Zejtun, Malta ZTN 4420 on Google Maps" xr:uid="{00000000-0004-0000-4500-000049000000}"/>
    <hyperlink ref="E19" r:id="rId75" tooltip="Search Philip Bongailas_x000a_Farmhouse Triq tal-Handaq Tal-Handaq ,_x000a_Qormi, Malta QRM 4001 on Google Maps" xr:uid="{00000000-0004-0000-4500-00004A000000}"/>
    <hyperlink ref="E20" r:id="rId76" tooltip="Search Noel Mizzi_x000a_Construction &amp; Development_x000a_117, St Joseph Street,_x000a_Paola on Google Maps" xr:uid="{00000000-0004-0000-4500-00004B000000}"/>
    <hyperlink ref="E21" r:id="rId77" tooltip="Search E.Ciantar Construction_x000a_Triq Guzeppi Busuttil ,_x000a_Siggiewi, Malta on Google Maps" xr:uid="{00000000-0004-0000-4500-00004C000000}"/>
    <hyperlink ref="E22" r:id="rId78" tooltip="Search Azzopardi Thomas Construction Ltd_x000a_Ta’ Menz Cottage Triq il-Gnien ,_x000a_Gharghur, Malta on Google Maps" xr:uid="{00000000-0004-0000-4500-00004D000000}"/>
    <hyperlink ref="E23" r:id="rId79" tooltip="Search St. Paul's Bay, Malta on Google Maps" xr:uid="{00000000-0004-0000-4500-00004E000000}"/>
    <hyperlink ref="E24" r:id="rId80" tooltip="Search Triq Mons. Mikielang Mifsud on Google Maps" xr:uid="{00000000-0004-0000-4500-00004F000000}"/>
    <hyperlink ref="E25" r:id="rId81" tooltip="Search API CONTRACTORS_x000a_91 Triq Hal Qormi ,_x000a_Hamrun HMR 2183 on Google Maps" xr:uid="{00000000-0004-0000-4500-000050000000}"/>
    <hyperlink ref="E26" r:id="rId82" tooltip="Search Barbros Group, Tal-Barrani Road, Żejtun, ŻTN 9022, Malta on Google Maps" xr:uid="{00000000-0004-0000-4500-000051000000}"/>
    <hyperlink ref="E27" r:id="rId83" tooltip="Search Zahra Group, Siggiewi Road MQB 1630 Ta' Kandja, Malta on Google Maps" xr:uid="{00000000-0004-0000-4500-000052000000}"/>
    <hyperlink ref="E28" r:id="rId84" tooltip="Search Gzira, Malta on Google Maps" xr:uid="{00000000-0004-0000-4500-000053000000}"/>
    <hyperlink ref="E29" r:id="rId85" tooltip="Search Send for Isla on Google Maps" xr:uid="{00000000-0004-0000-4500-000054000000}"/>
    <hyperlink ref="F2" r:id="rId86" tooltip="Visit axconstruction.com.mt/" xr:uid="{00000000-0004-0000-4500-000055000000}"/>
    <hyperlink ref="F3" r:id="rId87" tooltip="Visit attardbros.com/" xr:uid="{00000000-0004-0000-4500-000056000000}"/>
    <hyperlink ref="F4" r:id="rId88" tooltip="Visit kibitec.com/" xr:uid="{00000000-0004-0000-4500-000057000000}"/>
    <hyperlink ref="F5" r:id="rId89" tooltip="Visit bbconstruction.mt/" xr:uid="{00000000-0004-0000-4500-000058000000}"/>
    <hyperlink ref="F6" r:id="rId90" tooltip="Visit vassallogroupmalta.com/construction/" xr:uid="{00000000-0004-0000-4500-000059000000}"/>
    <hyperlink ref="F7" r:id="rId91" tooltip="Visit vassallogroupmalta.com/construction/" xr:uid="{00000000-0004-0000-4500-00005A000000}"/>
    <hyperlink ref="F8" r:id="rId92" tooltip="Visit elbros.com.mt/" xr:uid="{00000000-0004-0000-4500-00005B000000}"/>
    <hyperlink ref="F9" r:id="rId93" tooltip="Visit tmc.com.mt/" xr:uid="{00000000-0004-0000-4500-00005C000000}"/>
    <hyperlink ref="F10" r:id="rId94" tooltip="Visit polidano-group.com/home.html" xr:uid="{00000000-0004-0000-4500-00005D000000}"/>
    <hyperlink ref="F11" r:id="rId95" tooltip="Visit talbidnijademolitions.com/" xr:uid="{00000000-0004-0000-4500-00005E000000}"/>
    <hyperlink ref="F12" r:id="rId96" tooltip="Visit ogcivilworks.com/" xr:uid="{00000000-0004-0000-4500-00005F000000}"/>
    <hyperlink ref="F13" r:id="rId97" tooltip="Visit jslholdingsltd.com/" xr:uid="{00000000-0004-0000-4500-000060000000}"/>
    <hyperlink ref="F14" r:id="rId98" tooltip="Visit fourvcmalta.com/?utm_source=Yellow&amp;utm_medium=Yellow-Website&amp;utm_campaign=Landing-Page" xr:uid="{00000000-0004-0000-4500-000061000000}"/>
    <hyperlink ref="F15" r:id="rId99" tooltip="Visit yellow.com.mt/mifsud-brothers/building-contractors/" xr:uid="{00000000-0004-0000-4500-000062000000}"/>
    <hyperlink ref="F16" r:id="rId100" tooltip="Visit aaconstructionworks.com/?utm_source=Yellow&amp;utm_medium=Yellow-Website&amp;utm_campaign=Landing-Page" xr:uid="{00000000-0004-0000-4500-000063000000}"/>
    <hyperlink ref="F17" r:id="rId101" tooltip="Visit talkarmnu.com.mt/" xr:uid="{00000000-0004-0000-4500-000064000000}"/>
    <hyperlink ref="F18" r:id="rId102" tooltip="Visit yellow.com.mt/rs-construction/building-contractors/" xr:uid="{00000000-0004-0000-4500-000065000000}"/>
    <hyperlink ref="F19" r:id="rId103" tooltip="Visit yellow.com.mt/c-s-services/building-contractors/" xr:uid="{00000000-0004-0000-4500-000066000000}"/>
    <hyperlink ref="F20" r:id="rId104" tooltip="Visit yellow.com.mt/philip-bongailas/building-contractors/" xr:uid="{00000000-0004-0000-4500-000067000000}"/>
    <hyperlink ref="F21" r:id="rId105" tooltip="Visit noelmizzi.com/?utm_source=Yellow&amp;utm_medium=Yellow-Website&amp;utm_campaign=Landing-Page" xr:uid="{00000000-0004-0000-4500-000068000000}"/>
    <hyperlink ref="F22" r:id="rId106" tooltip="Visit yellow.com.mt/e-ciantar-construction_building-contractors+siggiewi/" xr:uid="{00000000-0004-0000-4500-000069000000}"/>
    <hyperlink ref="F23" r:id="rId107" tooltip="Visit taclimited.net/?utm_source=Yellow&amp;utm_medium=Yellow-Website&amp;utm_campaign=Landing-Page" xr:uid="{00000000-0004-0000-4500-00006A000000}"/>
    <hyperlink ref="F24" r:id="rId108" tooltip="Visit leacontractors.com/?utm_source=chatgpt.com" xr:uid="{00000000-0004-0000-4500-00006B000000}"/>
    <hyperlink ref="F25" r:id="rId109" tooltip="Visit mtfbonannoltd.com/" xr:uid="{00000000-0004-0000-4500-00006C000000}"/>
    <hyperlink ref="F26" r:id="rId110" tooltip="Visit facebook.com/profile.php?id=100064105449582&amp;utm_source=Yellow&amp;utm_medium=Yellow-Website&amp;utm_campaign=Landing-Page" xr:uid="{00000000-0004-0000-4500-00006D000000}"/>
    <hyperlink ref="F27" r:id="rId111" tooltip="Visit barbrosgroup.com/" xr:uid="{00000000-0004-0000-4500-00006E000000}"/>
    <hyperlink ref="F28" r:id="rId112" tooltip="Visit facebook.com/sadevelopments/" xr:uid="{00000000-0004-0000-4500-00006F000000}"/>
    <hyperlink ref="F29" r:id="rId113" tooltip="Visit zahragroup.com.mt/" xr:uid="{00000000-0004-0000-4500-000070000000}"/>
    <hyperlink ref="F30" r:id="rId114" tooltip="Visit facebook.com/optimaprojectsmalta/" xr:uid="{00000000-0004-0000-4500-000071000000}"/>
    <hyperlink ref="F31" r:id="rId115" tooltip="Visit facebook.com/profile.php?id=100083372109614" xr:uid="{00000000-0004-0000-4500-000072000000}"/>
  </hyperlinks>
  <pageMargins left="0.75" right="0.75" top="0.75" bottom="0.5" header="0.5" footer="0.7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83"/>
  <sheetViews>
    <sheetView workbookViewId="0"/>
  </sheetViews>
  <sheetFormatPr defaultRowHeight="14.4" x14ac:dyDescent="0.3"/>
  <cols>
    <col min="1" max="1" width="14.6640625" customWidth="1"/>
    <col min="2" max="2" width="44.44140625" customWidth="1"/>
    <col min="3" max="3" width="38.33203125" customWidth="1"/>
    <col min="4" max="4" width="29.88671875" customWidth="1"/>
    <col min="5" max="5" width="53.88671875" customWidth="1"/>
    <col min="6" max="6" width="34.6640625" customWidth="1"/>
  </cols>
  <sheetData>
    <row r="1" spans="1:6" ht="18" x14ac:dyDescent="0.35">
      <c r="A1" s="1" t="s">
        <v>4276</v>
      </c>
      <c r="B1" s="1" t="s">
        <v>3055</v>
      </c>
      <c r="C1" s="1" t="s">
        <v>3083</v>
      </c>
      <c r="D1" s="1" t="s">
        <v>4447</v>
      </c>
      <c r="E1" s="1" t="s">
        <v>3112</v>
      </c>
      <c r="F1" s="1" t="s">
        <v>3137</v>
      </c>
    </row>
    <row r="2" spans="1:6" x14ac:dyDescent="0.3">
      <c r="A2" s="2" t="s">
        <v>4303</v>
      </c>
      <c r="B2" s="2" t="s">
        <v>4311</v>
      </c>
      <c r="C2" s="3" t="s">
        <v>4381</v>
      </c>
      <c r="D2" s="2" t="str">
        <f>CONCATENATE(HYPERLINK("CALLTO:%2B356%209947%205511", "+356 9947 5511"))</f>
        <v>+356 9947 5511</v>
      </c>
      <c r="E2" s="3" t="s">
        <v>4448</v>
      </c>
      <c r="F2" s="2" t="s">
        <v>146</v>
      </c>
    </row>
    <row r="3" spans="1:6" x14ac:dyDescent="0.3">
      <c r="A3" s="4" t="s">
        <v>4303</v>
      </c>
      <c r="B3" s="4" t="s">
        <v>114</v>
      </c>
      <c r="C3" s="5" t="s">
        <v>4383</v>
      </c>
      <c r="D3" s="4" t="str">
        <f>CONCATENATE(HYPERLINK("CALLTO:%2B356%209940%205224", "+356 9940 5224"))</f>
        <v>+356 9940 5224</v>
      </c>
      <c r="E3" s="5" t="s">
        <v>4449</v>
      </c>
      <c r="F3" s="4" t="s">
        <v>146</v>
      </c>
    </row>
    <row r="4" spans="1:6" x14ac:dyDescent="0.3">
      <c r="A4" s="2" t="s">
        <v>4303</v>
      </c>
      <c r="B4" s="2" t="s">
        <v>4312</v>
      </c>
      <c r="C4" s="3" t="s">
        <v>4382</v>
      </c>
      <c r="D4" s="2" t="str">
        <f>CONCATENATE(HYPERLINK("CALLTO:%2B356%209988%208326", "+356 9988 8326"))</f>
        <v>+356 9988 8326</v>
      </c>
      <c r="E4" s="3" t="s">
        <v>4450</v>
      </c>
      <c r="F4" s="2" t="s">
        <v>146</v>
      </c>
    </row>
    <row r="5" spans="1:6" x14ac:dyDescent="0.3">
      <c r="A5" s="4" t="s">
        <v>4303</v>
      </c>
      <c r="B5" s="4" t="s">
        <v>4313</v>
      </c>
      <c r="C5" s="5" t="s">
        <v>4384</v>
      </c>
      <c r="D5" s="4" t="str">
        <f>CONCATENATE(HYPERLINK("CALLTO:%2B356%207949%206415", "+356 7949 6415"))</f>
        <v>+356 7949 6415</v>
      </c>
      <c r="E5" s="5" t="s">
        <v>4451</v>
      </c>
      <c r="F5" s="5" t="s">
        <v>4464</v>
      </c>
    </row>
    <row r="6" spans="1:6" x14ac:dyDescent="0.3">
      <c r="A6" s="2" t="s">
        <v>4303</v>
      </c>
      <c r="B6" s="2" t="s">
        <v>4314</v>
      </c>
      <c r="C6" s="3" t="s">
        <v>4385</v>
      </c>
      <c r="D6" s="2" t="str">
        <f>CONCATENATE(HYPERLINK("CALLTO:%2B356%202149%200957", "+356 2149 0957"))</f>
        <v>+356 2149 0957</v>
      </c>
      <c r="E6" s="3" t="s">
        <v>4452</v>
      </c>
      <c r="F6" s="3" t="s">
        <v>4466</v>
      </c>
    </row>
    <row r="7" spans="1:6" x14ac:dyDescent="0.3">
      <c r="A7" s="4" t="s">
        <v>4303</v>
      </c>
      <c r="B7" s="4" t="s">
        <v>4315</v>
      </c>
      <c r="C7" s="5" t="s">
        <v>4386</v>
      </c>
      <c r="D7" s="4" t="str">
        <f>CONCATENATE(HYPERLINK("CALLTO:%2B356%202167%204351", "+356 2167 4351"))</f>
        <v>+356 2167 4351</v>
      </c>
      <c r="E7" s="5" t="s">
        <v>4453</v>
      </c>
      <c r="F7" s="4" t="s">
        <v>146</v>
      </c>
    </row>
    <row r="8" spans="1:6" x14ac:dyDescent="0.3">
      <c r="A8" s="2" t="s">
        <v>4303</v>
      </c>
      <c r="B8" s="2" t="s">
        <v>4316</v>
      </c>
      <c r="C8" s="3" t="s">
        <v>4388</v>
      </c>
      <c r="D8" s="2" t="str">
        <f>CONCATENATE(HYPERLINK("CALLTO:%2B356%209984%202178", "+356 9984 2178"))</f>
        <v>+356 9984 2178</v>
      </c>
      <c r="E8" s="3" t="s">
        <v>4454</v>
      </c>
      <c r="F8" s="2" t="s">
        <v>146</v>
      </c>
    </row>
    <row r="9" spans="1:6" x14ac:dyDescent="0.3">
      <c r="A9" s="4" t="s">
        <v>4303</v>
      </c>
      <c r="B9" s="4" t="s">
        <v>4317</v>
      </c>
      <c r="C9" s="5" t="s">
        <v>4389</v>
      </c>
      <c r="D9" s="4" t="str">
        <f>CONCATENATE(HYPERLINK("CALLTO:%2B356%202123%200171", "+356 2123 0171"))</f>
        <v>+356 2123 0171</v>
      </c>
      <c r="E9" s="5" t="s">
        <v>4455</v>
      </c>
      <c r="F9" s="4" t="s">
        <v>146</v>
      </c>
    </row>
    <row r="10" spans="1:6" x14ac:dyDescent="0.3">
      <c r="A10" s="2" t="s">
        <v>4303</v>
      </c>
      <c r="B10" s="2" t="s">
        <v>4318</v>
      </c>
      <c r="C10" s="3" t="s">
        <v>4387</v>
      </c>
      <c r="D10" s="2" t="str">
        <f>CONCATENATE(HYPERLINK("CALLTO:%2B356%207926%200592", "+356 7926 0592"))</f>
        <v>+356 7926 0592</v>
      </c>
      <c r="E10" s="3" t="s">
        <v>4456</v>
      </c>
      <c r="F10" s="2" t="s">
        <v>146</v>
      </c>
    </row>
    <row r="11" spans="1:6" x14ac:dyDescent="0.3">
      <c r="A11" s="4" t="s">
        <v>4303</v>
      </c>
      <c r="B11" s="4" t="s">
        <v>4319</v>
      </c>
      <c r="C11" s="5" t="s">
        <v>2732</v>
      </c>
      <c r="D11" s="4" t="str">
        <f>CONCATENATE(HYPERLINK("CALLTO:%2B356%209949%208033", "+356 9949 8033"))</f>
        <v>+356 9949 8033</v>
      </c>
      <c r="E11" s="5" t="s">
        <v>4457</v>
      </c>
      <c r="F11" s="4" t="s">
        <v>146</v>
      </c>
    </row>
    <row r="12" spans="1:6" x14ac:dyDescent="0.3">
      <c r="A12" s="2" t="s">
        <v>4303</v>
      </c>
      <c r="B12" s="2" t="s">
        <v>4320</v>
      </c>
      <c r="C12" s="3" t="s">
        <v>4390</v>
      </c>
      <c r="D12" s="2" t="str">
        <f>CONCATENATE(HYPERLINK("CALLTO:%2B356%202148%206213", "+356 2148 6213"))</f>
        <v>+356 2148 6213</v>
      </c>
      <c r="E12" s="3" t="s">
        <v>4458</v>
      </c>
      <c r="F12" s="2" t="s">
        <v>146</v>
      </c>
    </row>
    <row r="13" spans="1:6" x14ac:dyDescent="0.3">
      <c r="A13" s="4" t="s">
        <v>4303</v>
      </c>
      <c r="B13" s="4" t="s">
        <v>4321</v>
      </c>
      <c r="C13" s="5" t="s">
        <v>4391</v>
      </c>
      <c r="D13" s="4" t="str">
        <f>CONCATENATE(HYPERLINK("CALLTO:%2B356%207920%200196", "+356 7920 0196"))</f>
        <v>+356 7920 0196</v>
      </c>
      <c r="E13" s="5" t="s">
        <v>4459</v>
      </c>
      <c r="F13" s="4" t="s">
        <v>146</v>
      </c>
    </row>
    <row r="14" spans="1:6" x14ac:dyDescent="0.3">
      <c r="A14" s="2" t="s">
        <v>4303</v>
      </c>
      <c r="B14" s="2" t="s">
        <v>187</v>
      </c>
      <c r="C14" s="3" t="s">
        <v>199</v>
      </c>
      <c r="D14" s="2" t="str">
        <f>CONCATENATE(HYPERLINK("CALLTO:%2B356%209948%205960", "+356 9948 5960"))</f>
        <v>+356 9948 5960</v>
      </c>
      <c r="E14" s="3" t="s">
        <v>4460</v>
      </c>
      <c r="F14" s="2" t="s">
        <v>146</v>
      </c>
    </row>
    <row r="15" spans="1:6" x14ac:dyDescent="0.3">
      <c r="A15" s="4" t="s">
        <v>4303</v>
      </c>
      <c r="B15" s="4" t="s">
        <v>4322</v>
      </c>
      <c r="C15" s="5" t="s">
        <v>4392</v>
      </c>
      <c r="D15" s="4" t="str">
        <f>CONCATENATE(HYPERLINK("CALLTO:%2B356%207987%206320", "+356 7987 6320"))</f>
        <v>+356 7987 6320</v>
      </c>
      <c r="E15" s="5" t="s">
        <v>4461</v>
      </c>
      <c r="F15" s="5" t="s">
        <v>2910</v>
      </c>
    </row>
    <row r="16" spans="1:6" x14ac:dyDescent="0.3">
      <c r="A16" s="2" t="s">
        <v>4304</v>
      </c>
      <c r="B16" s="2" t="s">
        <v>1248</v>
      </c>
      <c r="C16" s="3" t="s">
        <v>1319</v>
      </c>
      <c r="D16" s="2" t="str">
        <f>CONCATENATE(HYPERLINK("CALLTO:%2B356%202167%206627", "+356 2167 6627"))</f>
        <v>+356 2167 6627</v>
      </c>
      <c r="E16" s="3" t="s">
        <v>2427</v>
      </c>
      <c r="F16" s="3" t="s">
        <v>4462</v>
      </c>
    </row>
    <row r="17" spans="1:6" x14ac:dyDescent="0.3">
      <c r="A17" s="4" t="s">
        <v>4303</v>
      </c>
      <c r="B17" s="4" t="s">
        <v>4323</v>
      </c>
      <c r="C17" s="5" t="s">
        <v>4393</v>
      </c>
      <c r="D17" s="4" t="str">
        <f>CONCATENATE(HYPERLINK("CALLTO:%2B356%207725%205874", "+356 7725 5874"), " / ", HYPERLINK("CALLTO:%2B356%207965%200536", "+356 7965 0536"))</f>
        <v>+356 7725 5874 / +356 7965 0536</v>
      </c>
      <c r="E17" s="5" t="s">
        <v>4462</v>
      </c>
      <c r="F17" s="5" t="s">
        <v>1454</v>
      </c>
    </row>
    <row r="18" spans="1:6" x14ac:dyDescent="0.3">
      <c r="A18" s="2" t="s">
        <v>4305</v>
      </c>
      <c r="B18" s="2" t="s">
        <v>4324</v>
      </c>
      <c r="C18" s="3" t="s">
        <v>1299</v>
      </c>
      <c r="D18" s="2" t="str">
        <f>CONCATENATE(HYPERLINK("CALLTO:%2B356%202148%203216", "+356 2148 3216"), " / ", HYPERLINK("CALLTO:%2B356%202144%205947", "+356 2144 5947"))</f>
        <v>+356 2148 3216 / +356 2144 5947</v>
      </c>
      <c r="E18" s="3" t="s">
        <v>4463</v>
      </c>
      <c r="F18" s="3" t="s">
        <v>1057</v>
      </c>
    </row>
    <row r="19" spans="1:6" x14ac:dyDescent="0.3">
      <c r="A19" s="4" t="s">
        <v>4303</v>
      </c>
      <c r="B19" s="4" t="s">
        <v>996</v>
      </c>
      <c r="C19" s="5" t="s">
        <v>1018</v>
      </c>
      <c r="D19" s="4" t="str">
        <f>CONCATENATE(HYPERLINK("CALLTO:%2B356%209947%202226", "+356 9947 2226"))</f>
        <v>+356 9947 2226</v>
      </c>
      <c r="E19" s="5" t="s">
        <v>4465</v>
      </c>
      <c r="F19" s="4"/>
    </row>
    <row r="20" spans="1:6" x14ac:dyDescent="0.3">
      <c r="A20" s="2" t="s">
        <v>4306</v>
      </c>
      <c r="B20" s="2" t="s">
        <v>4325</v>
      </c>
      <c r="C20" s="3" t="s">
        <v>4394</v>
      </c>
      <c r="D20" s="2"/>
      <c r="E20" s="2"/>
      <c r="F20" s="2"/>
    </row>
    <row r="21" spans="1:6" x14ac:dyDescent="0.3">
      <c r="A21" s="4" t="s">
        <v>4307</v>
      </c>
      <c r="B21" s="4" t="s">
        <v>4326</v>
      </c>
      <c r="C21" s="5" t="s">
        <v>4395</v>
      </c>
      <c r="D21" s="4"/>
      <c r="E21" s="4"/>
      <c r="F21" s="4"/>
    </row>
    <row r="22" spans="1:6" x14ac:dyDescent="0.3">
      <c r="A22" s="2" t="s">
        <v>4308</v>
      </c>
      <c r="B22" s="2" t="s">
        <v>4327</v>
      </c>
      <c r="C22" s="3" t="s">
        <v>4396</v>
      </c>
      <c r="D22" s="2"/>
      <c r="E22" s="2"/>
      <c r="F22" s="2"/>
    </row>
    <row r="23" spans="1:6" x14ac:dyDescent="0.3">
      <c r="A23" s="4" t="s">
        <v>4307</v>
      </c>
      <c r="B23" s="4" t="s">
        <v>3907</v>
      </c>
      <c r="C23" s="5" t="s">
        <v>3942</v>
      </c>
      <c r="D23" s="4"/>
      <c r="E23" s="4"/>
      <c r="F23" s="4"/>
    </row>
    <row r="24" spans="1:6" x14ac:dyDescent="0.3">
      <c r="A24" s="2" t="s">
        <v>4307</v>
      </c>
      <c r="B24" s="2" t="s">
        <v>4328</v>
      </c>
      <c r="C24" s="3" t="s">
        <v>4397</v>
      </c>
      <c r="D24" s="2"/>
      <c r="E24" s="2"/>
      <c r="F24" s="2"/>
    </row>
    <row r="25" spans="1:6" x14ac:dyDescent="0.3">
      <c r="A25" s="4" t="s">
        <v>4307</v>
      </c>
      <c r="B25" s="4" t="s">
        <v>4329</v>
      </c>
      <c r="C25" s="5" t="s">
        <v>4398</v>
      </c>
      <c r="D25" s="4"/>
      <c r="E25" s="4"/>
      <c r="F25" s="4"/>
    </row>
    <row r="26" spans="1:6" x14ac:dyDescent="0.3">
      <c r="A26" s="2" t="s">
        <v>4309</v>
      </c>
      <c r="B26" s="2" t="s">
        <v>4330</v>
      </c>
      <c r="C26" s="3" t="s">
        <v>4399</v>
      </c>
      <c r="D26" s="2"/>
      <c r="E26" s="2"/>
      <c r="F26" s="2"/>
    </row>
    <row r="27" spans="1:6" x14ac:dyDescent="0.3">
      <c r="A27" s="4" t="s">
        <v>4308</v>
      </c>
      <c r="B27" s="4" t="s">
        <v>4331</v>
      </c>
      <c r="C27" s="5" t="s">
        <v>4400</v>
      </c>
      <c r="D27" s="4"/>
      <c r="E27" s="4"/>
      <c r="F27" s="4"/>
    </row>
    <row r="28" spans="1:6" x14ac:dyDescent="0.3">
      <c r="A28" s="2" t="s">
        <v>4309</v>
      </c>
      <c r="B28" s="2" t="s">
        <v>4332</v>
      </c>
      <c r="C28" s="3" t="s">
        <v>4401</v>
      </c>
      <c r="D28" s="2"/>
      <c r="E28" s="2"/>
      <c r="F28" s="2"/>
    </row>
    <row r="29" spans="1:6" x14ac:dyDescent="0.3">
      <c r="A29" s="4" t="s">
        <v>4309</v>
      </c>
      <c r="B29" s="4" t="s">
        <v>4333</v>
      </c>
      <c r="C29" s="5" t="s">
        <v>4402</v>
      </c>
      <c r="D29" s="4"/>
      <c r="E29" s="4"/>
      <c r="F29" s="4"/>
    </row>
    <row r="30" spans="1:6" x14ac:dyDescent="0.3">
      <c r="A30" s="2" t="s">
        <v>4308</v>
      </c>
      <c r="B30" s="2" t="s">
        <v>4334</v>
      </c>
      <c r="C30" s="3" t="s">
        <v>4403</v>
      </c>
      <c r="D30" s="2"/>
      <c r="E30" s="2"/>
      <c r="F30" s="2"/>
    </row>
    <row r="31" spans="1:6" x14ac:dyDescent="0.3">
      <c r="A31" s="4" t="s">
        <v>4309</v>
      </c>
      <c r="B31" s="4" t="s">
        <v>4335</v>
      </c>
      <c r="C31" s="5" t="s">
        <v>4404</v>
      </c>
      <c r="D31" s="4"/>
      <c r="E31" s="4"/>
      <c r="F31" s="4"/>
    </row>
    <row r="32" spans="1:6" x14ac:dyDescent="0.3">
      <c r="A32" s="2" t="s">
        <v>4308</v>
      </c>
      <c r="B32" s="2" t="s">
        <v>4336</v>
      </c>
      <c r="C32" s="3" t="s">
        <v>4405</v>
      </c>
      <c r="D32" s="2"/>
      <c r="E32" s="2"/>
      <c r="F32" s="2"/>
    </row>
    <row r="33" spans="1:6" x14ac:dyDescent="0.3">
      <c r="A33" s="4" t="s">
        <v>4308</v>
      </c>
      <c r="B33" s="4" t="s">
        <v>4337</v>
      </c>
      <c r="C33" s="5" t="s">
        <v>4406</v>
      </c>
      <c r="D33" s="4"/>
      <c r="E33" s="4"/>
      <c r="F33" s="4"/>
    </row>
    <row r="34" spans="1:6" x14ac:dyDescent="0.3">
      <c r="A34" s="2" t="s">
        <v>4309</v>
      </c>
      <c r="B34" s="2" t="s">
        <v>4315</v>
      </c>
      <c r="C34" s="3" t="s">
        <v>4407</v>
      </c>
      <c r="D34" s="2"/>
      <c r="E34" s="2"/>
      <c r="F34" s="2"/>
    </row>
    <row r="35" spans="1:6" x14ac:dyDescent="0.3">
      <c r="A35" s="4" t="s">
        <v>4309</v>
      </c>
      <c r="B35" s="4" t="s">
        <v>4339</v>
      </c>
      <c r="C35" s="5" t="s">
        <v>130</v>
      </c>
      <c r="D35" s="4"/>
      <c r="E35" s="4"/>
      <c r="F35" s="4"/>
    </row>
    <row r="36" spans="1:6" x14ac:dyDescent="0.3">
      <c r="A36" s="2" t="s">
        <v>4308</v>
      </c>
      <c r="B36" s="2" t="s">
        <v>4340</v>
      </c>
      <c r="C36" s="3" t="s">
        <v>4408</v>
      </c>
      <c r="D36" s="2"/>
      <c r="E36" s="2"/>
      <c r="F36" s="2"/>
    </row>
    <row r="37" spans="1:6" x14ac:dyDescent="0.3">
      <c r="A37" s="4" t="s">
        <v>4308</v>
      </c>
      <c r="B37" s="4" t="s">
        <v>4341</v>
      </c>
      <c r="C37" s="5" t="s">
        <v>4409</v>
      </c>
      <c r="D37" s="4"/>
      <c r="E37" s="4"/>
      <c r="F37" s="4"/>
    </row>
    <row r="38" spans="1:6" x14ac:dyDescent="0.3">
      <c r="A38" s="2" t="s">
        <v>4308</v>
      </c>
      <c r="B38" s="2" t="s">
        <v>4342</v>
      </c>
      <c r="C38" s="3" t="s">
        <v>4410</v>
      </c>
      <c r="D38" s="2"/>
      <c r="E38" s="2"/>
      <c r="F38" s="2"/>
    </row>
    <row r="39" spans="1:6" x14ac:dyDescent="0.3">
      <c r="A39" s="4" t="s">
        <v>4308</v>
      </c>
      <c r="B39" s="4" t="s">
        <v>4343</v>
      </c>
      <c r="C39" s="5" t="s">
        <v>4411</v>
      </c>
      <c r="D39" s="4"/>
      <c r="E39" s="4"/>
      <c r="F39" s="4"/>
    </row>
    <row r="40" spans="1:6" x14ac:dyDescent="0.3">
      <c r="A40" s="2" t="s">
        <v>4309</v>
      </c>
      <c r="B40" s="2" t="s">
        <v>4344</v>
      </c>
      <c r="C40" s="3" t="s">
        <v>4412</v>
      </c>
      <c r="D40" s="2"/>
      <c r="E40" s="2"/>
      <c r="F40" s="2"/>
    </row>
    <row r="41" spans="1:6" x14ac:dyDescent="0.3">
      <c r="A41" s="4" t="s">
        <v>4308</v>
      </c>
      <c r="B41" s="4" t="s">
        <v>4345</v>
      </c>
      <c r="C41" s="5" t="s">
        <v>4413</v>
      </c>
      <c r="D41" s="4"/>
      <c r="E41" s="4"/>
      <c r="F41" s="4"/>
    </row>
    <row r="42" spans="1:6" x14ac:dyDescent="0.3">
      <c r="A42" s="2" t="s">
        <v>4309</v>
      </c>
      <c r="B42" s="2" t="s">
        <v>4346</v>
      </c>
      <c r="C42" s="3" t="s">
        <v>4414</v>
      </c>
      <c r="D42" s="2"/>
      <c r="E42" s="2"/>
      <c r="F42" s="2"/>
    </row>
    <row r="43" spans="1:6" x14ac:dyDescent="0.3">
      <c r="A43" s="4" t="s">
        <v>4309</v>
      </c>
      <c r="B43" s="4" t="s">
        <v>4347</v>
      </c>
      <c r="C43" s="5" t="s">
        <v>4415</v>
      </c>
      <c r="D43" s="4"/>
      <c r="E43" s="4"/>
      <c r="F43" s="4"/>
    </row>
    <row r="44" spans="1:6" x14ac:dyDescent="0.3">
      <c r="A44" s="2" t="s">
        <v>4308</v>
      </c>
      <c r="B44" s="2" t="s">
        <v>4348</v>
      </c>
      <c r="C44" s="3" t="s">
        <v>4416</v>
      </c>
      <c r="D44" s="2"/>
      <c r="E44" s="2"/>
      <c r="F44" s="2"/>
    </row>
    <row r="45" spans="1:6" x14ac:dyDescent="0.3">
      <c r="A45" s="4" t="s">
        <v>4309</v>
      </c>
      <c r="B45" s="4" t="s">
        <v>4338</v>
      </c>
      <c r="C45" s="5" t="s">
        <v>2732</v>
      </c>
      <c r="D45" s="4"/>
      <c r="E45" s="4"/>
      <c r="F45" s="4"/>
    </row>
    <row r="46" spans="1:6" x14ac:dyDescent="0.3">
      <c r="A46" s="2" t="s">
        <v>4309</v>
      </c>
      <c r="B46" s="2" t="s">
        <v>4349</v>
      </c>
      <c r="C46" s="3" t="s">
        <v>4417</v>
      </c>
      <c r="D46" s="2"/>
      <c r="E46" s="2"/>
      <c r="F46" s="2"/>
    </row>
    <row r="47" spans="1:6" x14ac:dyDescent="0.3">
      <c r="A47" s="4" t="s">
        <v>4309</v>
      </c>
      <c r="B47" s="4" t="s">
        <v>4350</v>
      </c>
      <c r="C47" s="5" t="s">
        <v>4418</v>
      </c>
      <c r="D47" s="4"/>
      <c r="E47" s="4"/>
      <c r="F47" s="4"/>
    </row>
    <row r="48" spans="1:6" x14ac:dyDescent="0.3">
      <c r="A48" s="2" t="s">
        <v>4309</v>
      </c>
      <c r="B48" s="2" t="s">
        <v>4351</v>
      </c>
      <c r="C48" s="3" t="s">
        <v>4419</v>
      </c>
      <c r="D48" s="2"/>
      <c r="E48" s="2"/>
      <c r="F48" s="2"/>
    </row>
    <row r="49" spans="1:6" x14ac:dyDescent="0.3">
      <c r="A49" s="4" t="s">
        <v>4309</v>
      </c>
      <c r="B49" s="4" t="s">
        <v>4352</v>
      </c>
      <c r="C49" s="5" t="s">
        <v>4420</v>
      </c>
      <c r="D49" s="4"/>
      <c r="E49" s="4"/>
      <c r="F49" s="4"/>
    </row>
    <row r="50" spans="1:6" x14ac:dyDescent="0.3">
      <c r="A50" s="2" t="s">
        <v>4309</v>
      </c>
      <c r="B50" s="2" t="s">
        <v>4353</v>
      </c>
      <c r="C50" s="3" t="s">
        <v>4421</v>
      </c>
      <c r="D50" s="2"/>
      <c r="E50" s="2"/>
      <c r="F50" s="2"/>
    </row>
    <row r="51" spans="1:6" x14ac:dyDescent="0.3">
      <c r="A51" s="4" t="s">
        <v>4309</v>
      </c>
      <c r="B51" s="4" t="s">
        <v>4354</v>
      </c>
      <c r="C51" s="5" t="s">
        <v>4422</v>
      </c>
      <c r="D51" s="4"/>
      <c r="E51" s="4"/>
      <c r="F51" s="4"/>
    </row>
    <row r="52" spans="1:6" x14ac:dyDescent="0.3">
      <c r="A52" s="2" t="s">
        <v>4309</v>
      </c>
      <c r="B52" s="2" t="s">
        <v>4355</v>
      </c>
      <c r="C52" s="3" t="s">
        <v>4423</v>
      </c>
      <c r="D52" s="2"/>
      <c r="E52" s="2"/>
      <c r="F52" s="2"/>
    </row>
    <row r="53" spans="1:6" x14ac:dyDescent="0.3">
      <c r="A53" s="4" t="s">
        <v>4309</v>
      </c>
      <c r="B53" s="4" t="s">
        <v>4356</v>
      </c>
      <c r="C53" s="5" t="s">
        <v>4424</v>
      </c>
      <c r="D53" s="4"/>
      <c r="E53" s="4"/>
      <c r="F53" s="4"/>
    </row>
    <row r="54" spans="1:6" x14ac:dyDescent="0.3">
      <c r="A54" s="2" t="s">
        <v>4309</v>
      </c>
      <c r="B54" s="2" t="s">
        <v>4357</v>
      </c>
      <c r="C54" s="3" t="s">
        <v>4425</v>
      </c>
      <c r="D54" s="2"/>
      <c r="E54" s="2"/>
      <c r="F54" s="2"/>
    </row>
    <row r="55" spans="1:6" x14ac:dyDescent="0.3">
      <c r="A55" s="4" t="s">
        <v>4309</v>
      </c>
      <c r="B55" s="4" t="s">
        <v>4358</v>
      </c>
      <c r="C55" s="5" t="s">
        <v>4426</v>
      </c>
      <c r="D55" s="4"/>
      <c r="E55" s="4"/>
      <c r="F55" s="4"/>
    </row>
    <row r="56" spans="1:6" x14ac:dyDescent="0.3">
      <c r="A56" s="2" t="s">
        <v>4309</v>
      </c>
      <c r="B56" s="2" t="s">
        <v>4359</v>
      </c>
      <c r="C56" s="3" t="s">
        <v>4407</v>
      </c>
      <c r="D56" s="2"/>
      <c r="E56" s="2"/>
      <c r="F56" s="2"/>
    </row>
    <row r="57" spans="1:6" x14ac:dyDescent="0.3">
      <c r="A57" s="4" t="s">
        <v>4308</v>
      </c>
      <c r="B57" s="4" t="s">
        <v>4360</v>
      </c>
      <c r="C57" s="5" t="s">
        <v>4427</v>
      </c>
      <c r="D57" s="4"/>
      <c r="E57" s="4"/>
      <c r="F57" s="4"/>
    </row>
    <row r="58" spans="1:6" x14ac:dyDescent="0.3">
      <c r="A58" s="2" t="s">
        <v>4306</v>
      </c>
      <c r="B58" s="2" t="s">
        <v>4361</v>
      </c>
      <c r="C58" s="3" t="s">
        <v>4428</v>
      </c>
      <c r="D58" s="2"/>
      <c r="E58" s="2"/>
      <c r="F58" s="2"/>
    </row>
    <row r="59" spans="1:6" x14ac:dyDescent="0.3">
      <c r="A59" s="4" t="s">
        <v>4309</v>
      </c>
      <c r="B59" s="4" t="s">
        <v>106</v>
      </c>
      <c r="C59" s="5" t="s">
        <v>4429</v>
      </c>
      <c r="D59" s="4"/>
      <c r="E59" s="4"/>
      <c r="F59" s="4"/>
    </row>
    <row r="60" spans="1:6" x14ac:dyDescent="0.3">
      <c r="A60" s="2" t="s">
        <v>4310</v>
      </c>
      <c r="B60" s="2" t="s">
        <v>4363</v>
      </c>
      <c r="C60" s="3" t="s">
        <v>4430</v>
      </c>
      <c r="D60" s="2"/>
      <c r="E60" s="2"/>
      <c r="F60" s="2"/>
    </row>
    <row r="61" spans="1:6" x14ac:dyDescent="0.3">
      <c r="A61" s="4" t="s">
        <v>4310</v>
      </c>
      <c r="B61" s="4" t="s">
        <v>4364</v>
      </c>
      <c r="C61" s="5" t="s">
        <v>127</v>
      </c>
      <c r="D61" s="4"/>
      <c r="E61" s="4"/>
      <c r="F61" s="4"/>
    </row>
    <row r="62" spans="1:6" x14ac:dyDescent="0.3">
      <c r="A62" s="2" t="s">
        <v>4310</v>
      </c>
      <c r="B62" s="2" t="s">
        <v>4362</v>
      </c>
      <c r="C62" s="3" t="s">
        <v>124</v>
      </c>
      <c r="D62" s="2"/>
      <c r="E62" s="2"/>
      <c r="F62" s="2"/>
    </row>
    <row r="63" spans="1:6" x14ac:dyDescent="0.3">
      <c r="A63" s="4" t="s">
        <v>4310</v>
      </c>
      <c r="B63" s="4" t="s">
        <v>187</v>
      </c>
      <c r="C63" s="5" t="s">
        <v>199</v>
      </c>
      <c r="D63" s="4"/>
      <c r="E63" s="4"/>
      <c r="F63" s="4"/>
    </row>
    <row r="64" spans="1:6" x14ac:dyDescent="0.3">
      <c r="A64" s="2" t="s">
        <v>4310</v>
      </c>
      <c r="B64" s="2" t="s">
        <v>4366</v>
      </c>
      <c r="C64" s="3" t="s">
        <v>4431</v>
      </c>
      <c r="D64" s="2"/>
      <c r="E64" s="2"/>
      <c r="F64" s="2"/>
    </row>
    <row r="65" spans="1:6" x14ac:dyDescent="0.3">
      <c r="A65" s="4" t="s">
        <v>4310</v>
      </c>
      <c r="B65" s="4" t="s">
        <v>4365</v>
      </c>
      <c r="C65" s="5" t="s">
        <v>4432</v>
      </c>
      <c r="D65" s="4"/>
      <c r="E65" s="4"/>
      <c r="F65" s="4"/>
    </row>
    <row r="66" spans="1:6" x14ac:dyDescent="0.3">
      <c r="A66" s="2" t="s">
        <v>4310</v>
      </c>
      <c r="B66" s="2" t="s">
        <v>4368</v>
      </c>
      <c r="C66" s="3" t="s">
        <v>4433</v>
      </c>
      <c r="D66" s="2"/>
      <c r="E66" s="2"/>
      <c r="F66" s="2"/>
    </row>
    <row r="67" spans="1:6" x14ac:dyDescent="0.3">
      <c r="A67" s="4" t="s">
        <v>4310</v>
      </c>
      <c r="B67" s="4" t="s">
        <v>4369</v>
      </c>
      <c r="C67" s="5" t="s">
        <v>4434</v>
      </c>
      <c r="D67" s="4"/>
      <c r="E67" s="4"/>
      <c r="F67" s="4"/>
    </row>
    <row r="68" spans="1:6" x14ac:dyDescent="0.3">
      <c r="A68" s="2" t="s">
        <v>4310</v>
      </c>
      <c r="B68" s="2" t="s">
        <v>4370</v>
      </c>
      <c r="C68" s="3" t="s">
        <v>4435</v>
      </c>
      <c r="D68" s="2"/>
      <c r="E68" s="2"/>
      <c r="F68" s="2"/>
    </row>
    <row r="69" spans="1:6" x14ac:dyDescent="0.3">
      <c r="A69" s="4" t="s">
        <v>4309</v>
      </c>
      <c r="B69" s="4" t="s">
        <v>4316</v>
      </c>
      <c r="C69" s="5" t="s">
        <v>4412</v>
      </c>
      <c r="D69" s="4"/>
      <c r="E69" s="4"/>
      <c r="F69" s="4"/>
    </row>
    <row r="70" spans="1:6" x14ac:dyDescent="0.3">
      <c r="A70" s="2" t="s">
        <v>4309</v>
      </c>
      <c r="B70" s="2" t="s">
        <v>4312</v>
      </c>
      <c r="C70" s="3" t="s">
        <v>4382</v>
      </c>
      <c r="D70" s="2"/>
      <c r="E70" s="2"/>
      <c r="F70" s="2"/>
    </row>
    <row r="71" spans="1:6" x14ac:dyDescent="0.3">
      <c r="A71" s="4" t="s">
        <v>4309</v>
      </c>
      <c r="B71" s="4" t="s">
        <v>3077</v>
      </c>
      <c r="C71" s="5" t="s">
        <v>4436</v>
      </c>
      <c r="D71" s="4"/>
      <c r="E71" s="4"/>
      <c r="F71" s="4"/>
    </row>
    <row r="72" spans="1:6" x14ac:dyDescent="0.3">
      <c r="A72" s="2" t="s">
        <v>4309</v>
      </c>
      <c r="B72" s="2" t="s">
        <v>4367</v>
      </c>
      <c r="C72" s="3" t="s">
        <v>4437</v>
      </c>
      <c r="D72" s="2"/>
      <c r="E72" s="2"/>
      <c r="F72" s="2"/>
    </row>
    <row r="73" spans="1:6" x14ac:dyDescent="0.3">
      <c r="A73" s="4" t="s">
        <v>4309</v>
      </c>
      <c r="B73" s="4" t="s">
        <v>4371</v>
      </c>
      <c r="C73" s="5" t="s">
        <v>4438</v>
      </c>
      <c r="D73" s="4"/>
      <c r="E73" s="4"/>
      <c r="F73" s="4"/>
    </row>
    <row r="74" spans="1:6" x14ac:dyDescent="0.3">
      <c r="A74" s="2" t="s">
        <v>4309</v>
      </c>
      <c r="B74" s="2" t="s">
        <v>4372</v>
      </c>
      <c r="C74" s="3" t="s">
        <v>4439</v>
      </c>
      <c r="D74" s="2"/>
      <c r="E74" s="2"/>
      <c r="F74" s="2"/>
    </row>
    <row r="75" spans="1:6" x14ac:dyDescent="0.3">
      <c r="A75" s="4" t="s">
        <v>4309</v>
      </c>
      <c r="B75" s="4" t="s">
        <v>4373</v>
      </c>
      <c r="C75" s="5" t="s">
        <v>4440</v>
      </c>
      <c r="D75" s="4"/>
      <c r="E75" s="4"/>
      <c r="F75" s="4"/>
    </row>
    <row r="76" spans="1:6" x14ac:dyDescent="0.3">
      <c r="A76" s="2" t="s">
        <v>4309</v>
      </c>
      <c r="B76" s="2" t="s">
        <v>118</v>
      </c>
      <c r="C76" s="3" t="s">
        <v>143</v>
      </c>
      <c r="D76" s="2"/>
      <c r="E76" s="2"/>
      <c r="F76" s="2"/>
    </row>
    <row r="77" spans="1:6" x14ac:dyDescent="0.3">
      <c r="A77" s="4" t="s">
        <v>4309</v>
      </c>
      <c r="B77" s="4" t="s">
        <v>4374</v>
      </c>
      <c r="C77" s="5" t="s">
        <v>4441</v>
      </c>
      <c r="D77" s="4"/>
      <c r="E77" s="4"/>
      <c r="F77" s="4"/>
    </row>
    <row r="78" spans="1:6" x14ac:dyDescent="0.3">
      <c r="A78" s="2" t="s">
        <v>4309</v>
      </c>
      <c r="B78" s="2" t="s">
        <v>4375</v>
      </c>
      <c r="C78" s="3" t="s">
        <v>4442</v>
      </c>
      <c r="D78" s="2"/>
      <c r="E78" s="2"/>
      <c r="F78" s="2"/>
    </row>
    <row r="79" spans="1:6" x14ac:dyDescent="0.3">
      <c r="A79" s="4" t="s">
        <v>4309</v>
      </c>
      <c r="B79" s="4" t="s">
        <v>4376</v>
      </c>
      <c r="C79" s="5" t="s">
        <v>4064</v>
      </c>
      <c r="D79" s="4"/>
      <c r="E79" s="4"/>
      <c r="F79" s="4"/>
    </row>
    <row r="80" spans="1:6" x14ac:dyDescent="0.3">
      <c r="A80" s="2" t="s">
        <v>4310</v>
      </c>
      <c r="B80" s="2" t="s">
        <v>4377</v>
      </c>
      <c r="C80" s="3" t="s">
        <v>4443</v>
      </c>
      <c r="D80" s="2"/>
      <c r="E80" s="2"/>
      <c r="F80" s="2"/>
    </row>
    <row r="81" spans="1:6" x14ac:dyDescent="0.3">
      <c r="A81" s="4" t="s">
        <v>4307</v>
      </c>
      <c r="B81" s="4" t="s">
        <v>4378</v>
      </c>
      <c r="C81" s="5" t="s">
        <v>4444</v>
      </c>
      <c r="D81" s="4"/>
      <c r="E81" s="4"/>
      <c r="F81" s="4"/>
    </row>
    <row r="82" spans="1:6" x14ac:dyDescent="0.3">
      <c r="A82" s="2" t="s">
        <v>4307</v>
      </c>
      <c r="B82" s="2" t="s">
        <v>4379</v>
      </c>
      <c r="C82" s="3" t="s">
        <v>4445</v>
      </c>
      <c r="D82" s="2"/>
      <c r="E82" s="2"/>
      <c r="F82" s="2"/>
    </row>
    <row r="83" spans="1:6" x14ac:dyDescent="0.3">
      <c r="A83" s="4" t="s">
        <v>4307</v>
      </c>
      <c r="B83" s="4" t="s">
        <v>4380</v>
      </c>
      <c r="C83" s="5" t="s">
        <v>4446</v>
      </c>
      <c r="D83" s="4"/>
      <c r="E83" s="4"/>
      <c r="F83" s="4"/>
    </row>
  </sheetData>
  <hyperlinks>
    <hyperlink ref="C2" r:id="rId1" tooltip="Send a mail to louvassallo@onvol.net" xr:uid="{00000000-0004-0000-4600-000000000000}"/>
    <hyperlink ref="C3" r:id="rId2" tooltip="Send a mail to gfaenza@gmail.com/Facebook" xr:uid="{00000000-0004-0000-4600-000001000000}"/>
    <hyperlink ref="C4" r:id="rId3" tooltip="Send a mail to info@mcimalta.com" xr:uid="{00000000-0004-0000-4600-000002000000}"/>
    <hyperlink ref="C5" r:id="rId4" tooltip="Send a mail to info@melcromalta.com" xr:uid="{00000000-0004-0000-4600-000003000000}"/>
    <hyperlink ref="C6" r:id="rId5" tooltip="Send a mail to info@engenuity.com.mt" xr:uid="{00000000-0004-0000-4600-000004000000}"/>
    <hyperlink ref="C7" r:id="rId6" tooltip="Send a mail to info@bonicci.com" xr:uid="{00000000-0004-0000-4600-000005000000}"/>
    <hyperlink ref="C8" r:id="rId7" tooltip="Send a mail to jasontabone@hotmail.com/Facebook" xr:uid="{00000000-0004-0000-4600-000006000000}"/>
    <hyperlink ref="C9" r:id="rId8" tooltip="Send a mail to info@rvcltd.com.mt/" xr:uid="{00000000-0004-0000-4600-000007000000}"/>
    <hyperlink ref="C10" r:id="rId9" tooltip="Send a mail to colinfarrugia.eps@gmail.com" xr:uid="{00000000-0004-0000-4600-000008000000}"/>
    <hyperlink ref="C11" r:id="rId10" tooltip="Send a mail to kevin@cobrainstallations.com" xr:uid="{00000000-0004-0000-4600-000009000000}"/>
    <hyperlink ref="C12" r:id="rId11" tooltip="Send a mail to info@mcemalta.com" xr:uid="{00000000-0004-0000-4600-00000A000000}"/>
    <hyperlink ref="C13" r:id="rId12" tooltip="Send a mail to aaron.sil.zammit@gmail.com" xr:uid="{00000000-0004-0000-4600-00000B000000}"/>
    <hyperlink ref="C14" r:id="rId13" tooltip="Send a mail to danastasi.rt@outlook.com" xr:uid="{00000000-0004-0000-4600-00000C000000}"/>
    <hyperlink ref="C15" r:id="rId14" tooltip="Send a mail to falzonjonathan17@gmail.com" xr:uid="{00000000-0004-0000-4600-00000D000000}"/>
    <hyperlink ref="C16" r:id="rId15" tooltip="Send a mail to info@fbpmalta.com" xr:uid="{00000000-0004-0000-4600-00000E000000}"/>
    <hyperlink ref="C17" r:id="rId16" tooltip="Send a mail to clint22@live.com" xr:uid="{00000000-0004-0000-4600-00000F000000}"/>
    <hyperlink ref="C18" r:id="rId17" tooltip="Send a mail to cristalbath@onvol.net" xr:uid="{00000000-0004-0000-4600-000010000000}"/>
    <hyperlink ref="C19" r:id="rId18" tooltip="Send a mail to alex@gad.com.mt" xr:uid="{00000000-0004-0000-4600-000011000000}"/>
    <hyperlink ref="C20" r:id="rId19" tooltip="Send a mail to info@centralpower.com.mt" xr:uid="{00000000-0004-0000-4600-000012000000}"/>
    <hyperlink ref="C21" r:id="rId20" tooltip="Send a mail to jtabone@jti.com.mt" xr:uid="{00000000-0004-0000-4600-000013000000}"/>
    <hyperlink ref="C22" r:id="rId21" tooltip="Send a mail to info@aggroup.com.mt" xr:uid="{00000000-0004-0000-4600-000014000000}"/>
    <hyperlink ref="C23" r:id="rId22" tooltip="Send a mail to kitonkeith@gmail.com" xr:uid="{00000000-0004-0000-4600-000015000000}"/>
    <hyperlink ref="C24" r:id="rId23" tooltip="Send a mail to stefan@a1holdings.eu" xr:uid="{00000000-0004-0000-4600-000016000000}"/>
    <hyperlink ref="C25" r:id="rId24" tooltip="Send a mail to info@aask.com.mt" xr:uid="{00000000-0004-0000-4600-000017000000}"/>
    <hyperlink ref="C26" r:id="rId25" tooltip="Send a mail to bdi@contractor.net" xr:uid="{00000000-0004-0000-4600-000018000000}"/>
    <hyperlink ref="C27" r:id="rId26" tooltip="Send a mail to caruanareuben@hotmail.co.uk" xr:uid="{00000000-0004-0000-4600-000019000000}"/>
    <hyperlink ref="C28" r:id="rId27" tooltip="Send a mail to sayca.malta@gmail.com" xr:uid="{00000000-0004-0000-4600-00001A000000}"/>
    <hyperlink ref="C29" r:id="rId28" tooltip="Send a mail to mltproworks@gmail.com" xr:uid="{00000000-0004-0000-4600-00001B000000}"/>
    <hyperlink ref="C30" r:id="rId29" tooltip="Send a mail to Info@PrimeSolutionsMalta.com" xr:uid="{00000000-0004-0000-4600-00001C000000}"/>
    <hyperlink ref="C31" r:id="rId30" tooltip="Send a mail to massimo.aquilina28@gmail.com" xr:uid="{00000000-0004-0000-4600-00001D000000}"/>
    <hyperlink ref="C32" r:id="rId31" tooltip="Send a mail to jpc590@hotmail.com" xr:uid="{00000000-0004-0000-4600-00001E000000}"/>
    <hyperlink ref="C33" r:id="rId32" tooltip="Send a mail to info@smeagroup.com" xr:uid="{00000000-0004-0000-4600-00001F000000}"/>
    <hyperlink ref="C34" r:id="rId33" tooltip="Send a mail to taddeobonnici@gmail.com" xr:uid="{00000000-0004-0000-4600-000020000000}"/>
    <hyperlink ref="C35" r:id="rId34" tooltip="Send a mail to abinstallationsbyformosa@gmail.com" xr:uid="{00000000-0004-0000-4600-000021000000}"/>
    <hyperlink ref="C36" r:id="rId35" tooltip="Send a mail to simonelectrodes@yahoo.com" xr:uid="{00000000-0004-0000-4600-000022000000}"/>
    <hyperlink ref="C37" r:id="rId36" tooltip="Send a mail to acelectric79@gmail.com" xr:uid="{00000000-0004-0000-4600-000023000000}"/>
    <hyperlink ref="C38" r:id="rId37" tooltip="Send a mail to db.installationsltd@outlook.com" xr:uid="{00000000-0004-0000-4600-000024000000}"/>
    <hyperlink ref="C39" r:id="rId38" tooltip="Send a mail to noel.psaila@gmail.com" xr:uid="{00000000-0004-0000-4600-000025000000}"/>
    <hyperlink ref="C40" r:id="rId39" tooltip="Send a mail to jasontabone@hotmail.com" xr:uid="{00000000-0004-0000-4600-000026000000}"/>
    <hyperlink ref="C41" r:id="rId40" tooltip="Send a mail to mkmicallef@gmail.com" xr:uid="{00000000-0004-0000-4600-000027000000}"/>
    <hyperlink ref="C42" r:id="rId41" tooltip="Send a mail to falzon9903@gmail.com" xr:uid="{00000000-0004-0000-4600-000028000000}"/>
    <hyperlink ref="C43" r:id="rId42" tooltip="Send a mail to massimo_oliverio@hotmail.co.uk" xr:uid="{00000000-0004-0000-4600-000029000000}"/>
    <hyperlink ref="C44" r:id="rId43" tooltip="Send a mail to syphase@gmail.com" xr:uid="{00000000-0004-0000-4600-00002A000000}"/>
    <hyperlink ref="C45" r:id="rId44" tooltip="Send a mail to kevin@cobrainstallations.com" xr:uid="{00000000-0004-0000-4600-00002B000000}"/>
    <hyperlink ref="C46" r:id="rId45" tooltip="Send a mail to felixservices@gmail.com" xr:uid="{00000000-0004-0000-4600-00002C000000}"/>
    <hyperlink ref="C47" r:id="rId46" tooltip="Send a mail to yellowphase@gmail.com" xr:uid="{00000000-0004-0000-4600-00002D000000}"/>
    <hyperlink ref="C48" r:id="rId47" tooltip="Send a mail to kevinzammit1@hotmail.com" xr:uid="{00000000-0004-0000-4600-00002E000000}"/>
    <hyperlink ref="C49" r:id="rId48" tooltip="Send a mail to azzopaaron@gmail.com" xr:uid="{00000000-0004-0000-4600-00002F000000}"/>
    <hyperlink ref="C50" r:id="rId49" tooltip="Send a mail to micor.installations@gmail.com" xr:uid="{00000000-0004-0000-4600-000030000000}"/>
    <hyperlink ref="C51" r:id="rId50" tooltip="Send a mail to jamesmanicolo87@gmail.com" xr:uid="{00000000-0004-0000-4600-000031000000}"/>
    <hyperlink ref="C52" r:id="rId51" tooltip="Send a mail to plum.eng.pz@gmail.com" xr:uid="{00000000-0004-0000-4600-000032000000}"/>
    <hyperlink ref="C53" r:id="rId52" tooltip="Send a mail to lexlexinstallation@gmail.com" xr:uid="{00000000-0004-0000-4600-000033000000}"/>
    <hyperlink ref="C54" r:id="rId53" tooltip="Send a mail to clifford.callus@gmail.com" xr:uid="{00000000-0004-0000-4600-000034000000}"/>
    <hyperlink ref="C55" r:id="rId54" tooltip="Send a mail to neiltaboneinstallations@gmail.com" xr:uid="{00000000-0004-0000-4600-000035000000}"/>
    <hyperlink ref="C56" r:id="rId55" tooltip="Send a mail to taddeobonnici@gmail.com" xr:uid="{00000000-0004-0000-4600-000036000000}"/>
    <hyperlink ref="C57" r:id="rId56" tooltip="Send a mail to deguarajonathan@gmail.com" xr:uid="{00000000-0004-0000-4600-000037000000}"/>
    <hyperlink ref="C58" r:id="rId57" tooltip="Send a mail to info@emprojectsmalta.com" xr:uid="{00000000-0004-0000-4600-000038000000}"/>
    <hyperlink ref="C59" r:id="rId58" tooltip="Send a mail to marco@marcovella.com" xr:uid="{00000000-0004-0000-4600-000039000000}"/>
    <hyperlink ref="C60" r:id="rId59" tooltip="Send a mail to info@chi.com.mt" xr:uid="{00000000-0004-0000-4600-00003A000000}"/>
    <hyperlink ref="C61" r:id="rId60" tooltip="Send a mail to demicolijo@gmail.com" xr:uid="{00000000-0004-0000-4600-00003B000000}"/>
    <hyperlink ref="C62" r:id="rId61" tooltip="Send a mail to ilenia@actsmart.com.mt" xr:uid="{00000000-0004-0000-4600-00003C000000}"/>
    <hyperlink ref="C63" r:id="rId62" tooltip="Send a mail to danastasi.rt@outlook.com" xr:uid="{00000000-0004-0000-4600-00003D000000}"/>
    <hyperlink ref="C64" r:id="rId63" tooltip="Send a mail to ropeaccess77@gmail.com" xr:uid="{00000000-0004-0000-4600-00003E000000}"/>
    <hyperlink ref="C65" r:id="rId64" tooltip="Send a mail to api101069@gmail.com" xr:uid="{00000000-0004-0000-4600-00003F000000}"/>
    <hyperlink ref="C66" r:id="rId65" tooltip="Send a mail to anda@maltanet.net" xr:uid="{00000000-0004-0000-4600-000040000000}"/>
    <hyperlink ref="C67" r:id="rId66" tooltip="Send a mail to aboutpipes@hotmail.com" xr:uid="{00000000-0004-0000-4600-000041000000}"/>
    <hyperlink ref="C68" r:id="rId67" tooltip="Send a mail to plumber.malta@gmail.com" xr:uid="{00000000-0004-0000-4600-000042000000}"/>
    <hyperlink ref="C69" r:id="rId68" tooltip="Send a mail to jasontabone@hotmail.com" xr:uid="{00000000-0004-0000-4600-000043000000}"/>
    <hyperlink ref="C70" r:id="rId69" tooltip="Send a mail to info@mcimalta.com" xr:uid="{00000000-0004-0000-4600-000044000000}"/>
    <hyperlink ref="C71" r:id="rId70" tooltip="Send a mail to jevgatt@gmail.com" xr:uid="{00000000-0004-0000-4600-000045000000}"/>
    <hyperlink ref="C72" r:id="rId71" tooltip="Send a mail to keithvella90@gmail.com" xr:uid="{00000000-0004-0000-4600-000046000000}"/>
    <hyperlink ref="C73" r:id="rId72" tooltip="Send a mail to matthewfarrugiainstallations@gmail.com" xr:uid="{00000000-0004-0000-4600-000047000000}"/>
    <hyperlink ref="C74" r:id="rId73" tooltip="Send a mail to kurtbservices@gmail.com" xr:uid="{00000000-0004-0000-4600-000048000000}"/>
    <hyperlink ref="C75" r:id="rId74" tooltip="Send a mail to ea.solutions@hotmail.com" xr:uid="{00000000-0004-0000-4600-000049000000}"/>
    <hyperlink ref="C76" r:id="rId75" tooltip="Send a mail to info@emiliohandyman.com" xr:uid="{00000000-0004-0000-4600-00004A000000}"/>
    <hyperlink ref="C77" r:id="rId76" tooltip="Send a mail to gleinstallations@gmail.com" xr:uid="{00000000-0004-0000-4600-00004B000000}"/>
    <hyperlink ref="C78" r:id="rId77" tooltip="Send a mail to kspiteri197@gmail.com" xr:uid="{00000000-0004-0000-4600-00004C000000}"/>
    <hyperlink ref="C79" r:id="rId78" tooltip="Send a mail to harryc1@go.net.mt" xr:uid="{00000000-0004-0000-4600-00004D000000}"/>
    <hyperlink ref="C80" r:id="rId79" tooltip="Send a mail to claudioventa27@gmail.com" xr:uid="{00000000-0004-0000-4600-00004E000000}"/>
    <hyperlink ref="C81" r:id="rId80" tooltip="Send a mail to info@abs.mt" xr:uid="{00000000-0004-0000-4600-00004F000000}"/>
    <hyperlink ref="C82" r:id="rId81" tooltip="Send a mail to frankamore.plumber@gmail.com" xr:uid="{00000000-0004-0000-4600-000050000000}"/>
    <hyperlink ref="C83" r:id="rId82" tooltip="Send a mail to toolboxsolutionss@gmail.com" xr:uid="{00000000-0004-0000-4600-000051000000}"/>
    <hyperlink ref="E2" r:id="rId83" tooltip="Search 45, Mirage HSE, Triq Santu Rokku, Il-Mosta on Google Maps" xr:uid="{00000000-0004-0000-4600-000052000000}"/>
    <hyperlink ref="E3" r:id="rId84" tooltip="Search 64, Triq Is-Sajjied, Qawra on Google Maps" xr:uid="{00000000-0004-0000-4600-000053000000}"/>
    <hyperlink ref="E4" r:id="rId85" tooltip="Search 41, Triq Anglu Mallia, Birkirkara on Google Maps" xr:uid="{00000000-0004-0000-4600-000054000000}"/>
    <hyperlink ref="E5" r:id="rId86" tooltip="Search Moonshadow, Triq Santa Margerita, Is-Siggiewi on Google Maps" xr:uid="{00000000-0004-0000-4600-000055000000}"/>
    <hyperlink ref="E6" r:id="rId87" tooltip="Search Triq Tal-Hlas, Hal Qormi on Google Maps" xr:uid="{00000000-0004-0000-4600-000056000000}"/>
    <hyperlink ref="E7" r:id="rId88" tooltip="Search Creta', Dawret Hal Ghaxaq, Hal Ghaxaq on Google Maps" xr:uid="{00000000-0004-0000-4600-000057000000}"/>
    <hyperlink ref="E8" r:id="rId89" tooltip="Search 118, Crystal Heart, Triq Ignazio Saverio Mifsud, Birkirkara on Google Maps" xr:uid="{00000000-0004-0000-4600-000058000000}"/>
    <hyperlink ref="E9" r:id="rId90" tooltip="Search 65, Villa Vellas, Triq Dun Gorg Preca, Il-Hamrun on Google Maps" xr:uid="{00000000-0004-0000-4600-000059000000}"/>
    <hyperlink ref="E10" r:id="rId91" tooltip="Search Pergola, Triq Salvu Buhagiar, Bella Vista, Marsaskala, Malta on Google Maps" xr:uid="{00000000-0004-0000-4600-00005A000000}"/>
    <hyperlink ref="E11" r:id="rId92" tooltip="Search 13, St Helen House, Triq Il-Kapuccini, San Gwann, Malta on Google Maps" xr:uid="{00000000-0004-0000-4600-00005B000000}"/>
    <hyperlink ref="E12" r:id="rId93" tooltip="Search MCE House, Triq L-Industrija, Qormi, Malta on Google Maps" xr:uid="{00000000-0004-0000-4600-00005C000000}"/>
    <hyperlink ref="E13" r:id="rId94" tooltip="Search Cawsli Court, Flt 4, Triq L-Imdina, Hal Qormi, Malta on Google Maps" xr:uid="{00000000-0004-0000-4600-00005D000000}"/>
    <hyperlink ref="E14" r:id="rId95" tooltip="Search 32, Triq il-Battaljun, Mosta, Malta MST 2721 on Google Maps" xr:uid="{00000000-0004-0000-4600-00005E000000}"/>
    <hyperlink ref="E15" r:id="rId96" tooltip="Search Triq Tommaso Dingli ,_x000a_B’Kara, Malta on Google Maps" xr:uid="{00000000-0004-0000-4600-00005F000000}"/>
    <hyperlink ref="E16" r:id="rId97" tooltip="Search 139, Bajada Street, Zabbar, Malta on Google Maps" xr:uid="{00000000-0004-0000-4600-000060000000}"/>
    <hyperlink ref="E17" r:id="rId98" tooltip="Search / on Google Maps" xr:uid="{00000000-0004-0000-4600-000061000000}"/>
    <hyperlink ref="E18" r:id="rId99" tooltip="Search E. Grech Cristal Bath Ltd._x000a_Psaila Street,_x000a_Birkirkara, BKR9076 Malta on Google Maps" xr:uid="{00000000-0004-0000-4600-000062000000}"/>
    <hyperlink ref="E19" r:id="rId100" tooltip="Search GAD Finishings_x000a_21, Triq Gellewza Sewda,_x000a_Midland Park, D7_x000a_Burmarrad Road, Burmarrad LO Naxxar_x000a_Malta on Google Maps" xr:uid="{00000000-0004-0000-4600-000063000000}"/>
    <hyperlink ref="F5" r:id="rId101" tooltip="Visit melcromalta.com" xr:uid="{00000000-0004-0000-4600-000064000000}"/>
    <hyperlink ref="F6" location="'Electrical &amp; Plumbing'!https:/// engenuity.com.mt" tooltip="Visit / engenuity.com.mt" display="/ engenuity.com.mt" xr:uid="{00000000-0004-0000-4600-000065000000}"/>
    <hyperlink ref="F15" r:id="rId102" tooltip="Visit fbpmalta.com/" xr:uid="{00000000-0004-0000-4600-000066000000}"/>
    <hyperlink ref="F16" location="'Electrical &amp; Plumbing'!https:///" tooltip="Visit /" display="/" xr:uid="{00000000-0004-0000-4600-000067000000}"/>
    <hyperlink ref="F17" r:id="rId103" tooltip="Visit egrechcristalbath.com/en/home.htm" xr:uid="{00000000-0004-0000-4600-000068000000}"/>
    <hyperlink ref="F18" r:id="rId104" tooltip="Visit gad.com.mt/" xr:uid="{00000000-0004-0000-4600-000069000000}"/>
  </hyperlinks>
  <pageMargins left="0.75" right="0.75" top="0.75" bottom="0.5" header="0.5" footer="0.7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6"/>
  <sheetViews>
    <sheetView workbookViewId="0"/>
  </sheetViews>
  <sheetFormatPr defaultRowHeight="14.4" x14ac:dyDescent="0.3"/>
  <cols>
    <col min="1" max="1" width="6.33203125" customWidth="1"/>
    <col min="2" max="2" width="25.88671875" customWidth="1"/>
    <col min="3" max="3" width="34" customWidth="1"/>
    <col min="4" max="4" width="20.44140625" customWidth="1"/>
    <col min="5" max="5" width="64.6640625" customWidth="1"/>
    <col min="6" max="6" width="104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2041</v>
      </c>
      <c r="E1" s="1" t="s">
        <v>5386</v>
      </c>
      <c r="F1" s="1" t="s">
        <v>532</v>
      </c>
    </row>
    <row r="2" spans="1:6" x14ac:dyDescent="0.3">
      <c r="A2" s="2" t="s">
        <v>4467</v>
      </c>
      <c r="B2" s="2" t="s">
        <v>2152</v>
      </c>
      <c r="C2" s="3" t="s">
        <v>1505</v>
      </c>
      <c r="D2" s="2" t="s">
        <v>4505</v>
      </c>
      <c r="E2" s="3" t="s">
        <v>2166</v>
      </c>
      <c r="F2" s="3" t="s">
        <v>2174</v>
      </c>
    </row>
    <row r="3" spans="1:6" x14ac:dyDescent="0.3">
      <c r="A3" s="4" t="s">
        <v>4467</v>
      </c>
      <c r="B3" s="4" t="s">
        <v>1071</v>
      </c>
      <c r="C3" s="5" t="s">
        <v>1078</v>
      </c>
      <c r="D3" s="4" t="s">
        <v>4506</v>
      </c>
      <c r="E3" s="5" t="s">
        <v>2035</v>
      </c>
      <c r="F3" s="5" t="s">
        <v>2094</v>
      </c>
    </row>
    <row r="4" spans="1:6" x14ac:dyDescent="0.3">
      <c r="A4" s="2" t="s">
        <v>4467</v>
      </c>
      <c r="B4" s="2" t="s">
        <v>2484</v>
      </c>
      <c r="C4" s="3" t="s">
        <v>2486</v>
      </c>
      <c r="D4" s="2" t="s">
        <v>2489</v>
      </c>
      <c r="E4" s="3" t="s">
        <v>2494</v>
      </c>
      <c r="F4" s="3" t="s">
        <v>2497</v>
      </c>
    </row>
    <row r="5" spans="1:6" x14ac:dyDescent="0.3">
      <c r="A5" s="4" t="s">
        <v>4467</v>
      </c>
      <c r="B5" s="4" t="s">
        <v>4468</v>
      </c>
      <c r="C5" s="5" t="s">
        <v>4487</v>
      </c>
      <c r="D5" s="4" t="s">
        <v>4507</v>
      </c>
      <c r="E5" s="5" t="s">
        <v>4527</v>
      </c>
      <c r="F5" s="5" t="s">
        <v>4537</v>
      </c>
    </row>
    <row r="6" spans="1:6" x14ac:dyDescent="0.3">
      <c r="A6" s="2" t="s">
        <v>4467</v>
      </c>
      <c r="B6" s="2" t="s">
        <v>4469</v>
      </c>
      <c r="C6" s="3" t="s">
        <v>4488</v>
      </c>
      <c r="D6" s="2" t="s">
        <v>4508</v>
      </c>
      <c r="E6" s="3" t="s">
        <v>1743</v>
      </c>
      <c r="F6" s="3" t="s">
        <v>4538</v>
      </c>
    </row>
    <row r="7" spans="1:6" x14ac:dyDescent="0.3">
      <c r="A7" s="4" t="s">
        <v>4467</v>
      </c>
      <c r="B7" s="4" t="s">
        <v>1578</v>
      </c>
      <c r="C7" s="5" t="s">
        <v>1662</v>
      </c>
      <c r="D7" s="4" t="s">
        <v>4509</v>
      </c>
      <c r="E7" s="5" t="s">
        <v>2278</v>
      </c>
      <c r="F7" s="5" t="s">
        <v>2308</v>
      </c>
    </row>
    <row r="8" spans="1:6" x14ac:dyDescent="0.3">
      <c r="A8" s="2" t="s">
        <v>4467</v>
      </c>
      <c r="B8" s="2" t="s">
        <v>2243</v>
      </c>
      <c r="C8" s="3" t="s">
        <v>2252</v>
      </c>
      <c r="D8" s="2" t="s">
        <v>2492</v>
      </c>
      <c r="E8" s="3" t="s">
        <v>4528</v>
      </c>
      <c r="F8" s="3" t="s">
        <v>2309</v>
      </c>
    </row>
    <row r="9" spans="1:6" x14ac:dyDescent="0.3">
      <c r="A9" s="4" t="s">
        <v>4467</v>
      </c>
      <c r="B9" s="4" t="s">
        <v>4470</v>
      </c>
      <c r="C9" s="5" t="s">
        <v>4489</v>
      </c>
      <c r="D9" s="4" t="s">
        <v>4510</v>
      </c>
      <c r="E9" s="5" t="s">
        <v>4529</v>
      </c>
      <c r="F9" s="5" t="s">
        <v>4539</v>
      </c>
    </row>
    <row r="10" spans="1:6" x14ac:dyDescent="0.3">
      <c r="A10" s="2" t="s">
        <v>4467</v>
      </c>
      <c r="B10" s="2" t="s">
        <v>4471</v>
      </c>
      <c r="C10" s="3" t="s">
        <v>4490</v>
      </c>
      <c r="D10" s="2" t="s">
        <v>4511</v>
      </c>
      <c r="E10" s="3" t="s">
        <v>4530</v>
      </c>
      <c r="F10" s="3" t="s">
        <v>4540</v>
      </c>
    </row>
    <row r="11" spans="1:6" x14ac:dyDescent="0.3">
      <c r="A11" s="4" t="s">
        <v>4467</v>
      </c>
      <c r="B11" s="4" t="s">
        <v>4472</v>
      </c>
      <c r="C11" s="5" t="s">
        <v>4491</v>
      </c>
      <c r="D11" s="4" t="s">
        <v>4512</v>
      </c>
      <c r="E11" s="5" t="s">
        <v>4531</v>
      </c>
      <c r="F11" s="5" t="s">
        <v>4541</v>
      </c>
    </row>
    <row r="12" spans="1:6" x14ac:dyDescent="0.3">
      <c r="A12" s="2" t="s">
        <v>4467</v>
      </c>
      <c r="B12" s="2" t="s">
        <v>4473</v>
      </c>
      <c r="C12" s="3" t="s">
        <v>4492</v>
      </c>
      <c r="D12" s="2" t="s">
        <v>4513</v>
      </c>
      <c r="E12" s="3" t="s">
        <v>4532</v>
      </c>
      <c r="F12" s="3" t="s">
        <v>4542</v>
      </c>
    </row>
    <row r="13" spans="1:6" x14ac:dyDescent="0.3">
      <c r="A13" s="4" t="s">
        <v>4467</v>
      </c>
      <c r="B13" s="4" t="s">
        <v>4474</v>
      </c>
      <c r="C13" s="5" t="s">
        <v>4493</v>
      </c>
      <c r="D13" s="4" t="s">
        <v>4514</v>
      </c>
      <c r="E13" s="5" t="s">
        <v>4533</v>
      </c>
      <c r="F13" s="5" t="s">
        <v>4543</v>
      </c>
    </row>
    <row r="14" spans="1:6" x14ac:dyDescent="0.3">
      <c r="A14" s="2" t="s">
        <v>4467</v>
      </c>
      <c r="B14" s="2" t="s">
        <v>4475</v>
      </c>
      <c r="C14" s="3" t="s">
        <v>4494</v>
      </c>
      <c r="D14" s="2" t="s">
        <v>4515</v>
      </c>
      <c r="E14" s="3" t="s">
        <v>4535</v>
      </c>
      <c r="F14" s="3" t="s">
        <v>4544</v>
      </c>
    </row>
    <row r="15" spans="1:6" x14ac:dyDescent="0.3">
      <c r="A15" s="4" t="s">
        <v>4467</v>
      </c>
      <c r="B15" s="4" t="s">
        <v>4476</v>
      </c>
      <c r="C15" s="5" t="s">
        <v>4495</v>
      </c>
      <c r="D15" s="4" t="s">
        <v>4516</v>
      </c>
      <c r="E15" s="5" t="s">
        <v>4536</v>
      </c>
      <c r="F15" s="5" t="s">
        <v>4545</v>
      </c>
    </row>
    <row r="16" spans="1:6" x14ac:dyDescent="0.3">
      <c r="A16" s="2" t="s">
        <v>4467</v>
      </c>
      <c r="B16" s="2" t="s">
        <v>4477</v>
      </c>
      <c r="C16" s="3" t="s">
        <v>4496</v>
      </c>
      <c r="D16" s="2" t="s">
        <v>4517</v>
      </c>
      <c r="E16" s="2"/>
      <c r="F16" s="3" t="s">
        <v>92</v>
      </c>
    </row>
    <row r="17" spans="1:6" x14ac:dyDescent="0.3">
      <c r="A17" s="4" t="s">
        <v>4467</v>
      </c>
      <c r="B17" s="4" t="s">
        <v>4478</v>
      </c>
      <c r="C17" s="5" t="s">
        <v>67</v>
      </c>
      <c r="D17" s="4" t="s">
        <v>4518</v>
      </c>
      <c r="E17" s="4"/>
      <c r="F17" s="5" t="s">
        <v>4546</v>
      </c>
    </row>
    <row r="18" spans="1:6" x14ac:dyDescent="0.3">
      <c r="A18" s="2" t="s">
        <v>4467</v>
      </c>
      <c r="B18" s="2" t="s">
        <v>4479</v>
      </c>
      <c r="C18" s="3" t="s">
        <v>4497</v>
      </c>
      <c r="D18" s="2" t="s">
        <v>4519</v>
      </c>
      <c r="E18" s="2"/>
      <c r="F18" s="3" t="s">
        <v>4547</v>
      </c>
    </row>
    <row r="19" spans="1:6" x14ac:dyDescent="0.3">
      <c r="A19" s="4" t="s">
        <v>4467</v>
      </c>
      <c r="B19" s="4" t="s">
        <v>4480</v>
      </c>
      <c r="C19" s="5" t="s">
        <v>4498</v>
      </c>
      <c r="D19" s="4" t="s">
        <v>4520</v>
      </c>
      <c r="E19" s="4"/>
      <c r="F19" s="5" t="s">
        <v>4548</v>
      </c>
    </row>
    <row r="20" spans="1:6" x14ac:dyDescent="0.3">
      <c r="A20" s="2" t="s">
        <v>4467</v>
      </c>
      <c r="B20" s="2" t="s">
        <v>4481</v>
      </c>
      <c r="C20" s="3" t="s">
        <v>4499</v>
      </c>
      <c r="D20" s="2" t="s">
        <v>4521</v>
      </c>
      <c r="E20" s="2"/>
      <c r="F20" s="3" t="s">
        <v>4549</v>
      </c>
    </row>
    <row r="21" spans="1:6" x14ac:dyDescent="0.3">
      <c r="A21" s="4" t="s">
        <v>4467</v>
      </c>
      <c r="B21" s="4" t="s">
        <v>4482</v>
      </c>
      <c r="C21" s="5" t="s">
        <v>4500</v>
      </c>
      <c r="D21" s="4" t="s">
        <v>4522</v>
      </c>
      <c r="E21" s="4"/>
      <c r="F21" s="5" t="s">
        <v>4550</v>
      </c>
    </row>
    <row r="22" spans="1:6" x14ac:dyDescent="0.3">
      <c r="A22" s="2" t="s">
        <v>4467</v>
      </c>
      <c r="B22" s="2" t="s">
        <v>4483</v>
      </c>
      <c r="C22" s="3" t="s">
        <v>4501</v>
      </c>
      <c r="D22" s="2" t="s">
        <v>4523</v>
      </c>
      <c r="E22" s="2"/>
      <c r="F22" s="3" t="s">
        <v>4551</v>
      </c>
    </row>
    <row r="23" spans="1:6" x14ac:dyDescent="0.3">
      <c r="A23" s="4" t="s">
        <v>4467</v>
      </c>
      <c r="B23" s="4" t="s">
        <v>4484</v>
      </c>
      <c r="C23" s="5" t="s">
        <v>4502</v>
      </c>
      <c r="D23" s="4" t="s">
        <v>4524</v>
      </c>
      <c r="E23" s="4"/>
      <c r="F23" s="5" t="s">
        <v>4552</v>
      </c>
    </row>
    <row r="24" spans="1:6" x14ac:dyDescent="0.3">
      <c r="A24" s="2" t="s">
        <v>4467</v>
      </c>
      <c r="B24" s="2" t="s">
        <v>4485</v>
      </c>
      <c r="C24" s="3" t="s">
        <v>4503</v>
      </c>
      <c r="D24" s="2" t="s">
        <v>4525</v>
      </c>
      <c r="E24" s="2"/>
      <c r="F24" s="3" t="s">
        <v>4553</v>
      </c>
    </row>
    <row r="25" spans="1:6" x14ac:dyDescent="0.3">
      <c r="A25" s="4" t="s">
        <v>4467</v>
      </c>
      <c r="B25" s="4" t="s">
        <v>3356</v>
      </c>
      <c r="C25" s="5" t="s">
        <v>3367</v>
      </c>
      <c r="D25" s="4" t="s">
        <v>4526</v>
      </c>
      <c r="E25" s="4"/>
      <c r="F25" s="5" t="s">
        <v>4554</v>
      </c>
    </row>
    <row r="26" spans="1:6" x14ac:dyDescent="0.3">
      <c r="A26" s="2" t="s">
        <v>4467</v>
      </c>
      <c r="B26" s="2" t="s">
        <v>4486</v>
      </c>
      <c r="C26" s="3" t="s">
        <v>4504</v>
      </c>
      <c r="D26" s="2"/>
      <c r="E26" s="2"/>
      <c r="F26" s="2"/>
    </row>
  </sheetData>
  <hyperlinks>
    <hyperlink ref="C2" r:id="rId1" tooltip="Send a mail to sales@maltadiy.com" xr:uid="{00000000-0004-0000-4700-000000000000}"/>
    <hyperlink ref="C3" r:id="rId2" tooltip="Send a mail to sales@shaker.com.mt" xr:uid="{00000000-0004-0000-4700-000001000000}"/>
    <hyperlink ref="C4" r:id="rId3" tooltip="Send a mail to info@spotonmalta.com" xr:uid="{00000000-0004-0000-4700-000002000000}"/>
    <hyperlink ref="C5" r:id="rId4" tooltip="Send a mail to info@solealighting.com" xr:uid="{00000000-0004-0000-4700-000003000000}"/>
    <hyperlink ref="C6" r:id="rId5" tooltip="Send a mail to sales@lightshopmalta.com" xr:uid="{00000000-0004-0000-4700-000004000000}"/>
    <hyperlink ref="C7" r:id="rId6" tooltip="Send a mail to info@luxonas.com" xr:uid="{00000000-0004-0000-4700-000005000000}"/>
    <hyperlink ref="C8" r:id="rId7" tooltip="Send a mail to sales@lingonberries.eu" xr:uid="{00000000-0004-0000-4700-000006000000}"/>
    <hyperlink ref="C9" r:id="rId8" tooltip="Send a mail to info@ajelectric.com.mt" xr:uid="{00000000-0004-0000-4700-000007000000}"/>
    <hyperlink ref="C10" r:id="rId9" tooltip="Send a mail to info@vct.com.mt" xr:uid="{00000000-0004-0000-4700-000008000000}"/>
    <hyperlink ref="C11" r:id="rId10" tooltip="Send a mail to info@lds.com.mt" xr:uid="{00000000-0004-0000-4700-000009000000}"/>
    <hyperlink ref="C12" r:id="rId11" tooltip="Send a mail to pjelectricalandhardware@gmail.com" xr:uid="{00000000-0004-0000-4700-00000A000000}"/>
    <hyperlink ref="C13" r:id="rId12" tooltip="Send a mail to info@glsmalta.com" xr:uid="{00000000-0004-0000-4700-00000B000000}"/>
    <hyperlink ref="C14" r:id="rId13" tooltip="Send a mail to projects@glow.com.mt" xr:uid="{00000000-0004-0000-4700-00000C000000}"/>
    <hyperlink ref="C15" r:id="rId14" tooltip="Send a mail to info@transientmalta.com" xr:uid="{00000000-0004-0000-4700-00000D000000}"/>
    <hyperlink ref="C16" r:id="rId15" tooltip="Send a mail to info@rgalternatives.com" xr:uid="{00000000-0004-0000-4700-00000E000000}"/>
    <hyperlink ref="C17" r:id="rId16" tooltip="Send a mail to webshop@calleja.com.mt" xr:uid="{00000000-0004-0000-4700-00000F000000}"/>
    <hyperlink ref="C18" r:id="rId17" tooltip="Send a mail to contactus@ess.com.mt" xr:uid="{00000000-0004-0000-4700-000010000000}"/>
    <hyperlink ref="C19" r:id="rId18" tooltip="Send a mail to orders@ledlightsmalta.com" xr:uid="{00000000-0004-0000-4700-000011000000}"/>
    <hyperlink ref="C20" r:id="rId19" tooltip="Send a mail to info@brightersolutions.com.mt" xr:uid="{00000000-0004-0000-4700-000012000000}"/>
    <hyperlink ref="C21" r:id="rId20" tooltip="Send a mail to info@illumitechmalta.com" xr:uid="{00000000-0004-0000-4700-000013000000}"/>
    <hyperlink ref="C22" r:id="rId21" tooltip="Send a mail to info@elektra.com.mt" xr:uid="{00000000-0004-0000-4700-000014000000}"/>
    <hyperlink ref="C23" r:id="rId22" tooltip="Send a mail to info@farrugia.com.mt" xr:uid="{00000000-0004-0000-4700-000015000000}"/>
    <hyperlink ref="C24" r:id="rId23" tooltip="Send a mail to info@hydrolectric.com.mt" xr:uid="{00000000-0004-0000-4700-000016000000}"/>
    <hyperlink ref="C25" r:id="rId24" tooltip="Send a mail to chrisbltd1@gmail.com" xr:uid="{00000000-0004-0000-4700-000017000000}"/>
    <hyperlink ref="C26" r:id="rId25" tooltip="Send a mail to sales@imlelectric.com" xr:uid="{00000000-0004-0000-4700-000018000000}"/>
    <hyperlink ref="E2" r:id="rId26" tooltip="Search Baldacchino Building B, Triq Il-Belt Valletta, Zurrieq on Google Maps" xr:uid="{00000000-0004-0000-4700-000019000000}"/>
    <hyperlink ref="E3" r:id="rId27" tooltip="Search 3, Triq il Gibjun, San Gwann, SGN 052, Malta on Google Maps" xr:uid="{00000000-0004-0000-4700-00001A000000}"/>
    <hyperlink ref="E4" r:id="rId28" tooltip="Search 102 Palm Street,_x000a_PLA1414 Paola MALTA. on Google Maps" xr:uid="{00000000-0004-0000-4700-00001B000000}"/>
    <hyperlink ref="E5" r:id="rId29" tooltip="Search The Lightshop,_x000a_68, Naxxar Road, Birkirkara,_x000a_BKR 9048, Malta on Google Maps" xr:uid="{00000000-0004-0000-4700-00001C000000}"/>
    <hyperlink ref="E6" r:id="rId30" tooltip="Search Triq L-Mdina, Haz-Zebbug, ZBG09018 on Google Maps" xr:uid="{00000000-0004-0000-4700-00001D000000}"/>
    <hyperlink ref="E7" r:id="rId31" tooltip="Search 27 Triq Wignacourt, Birkirkara on Google Maps" xr:uid="{00000000-0004-0000-4700-00001E000000}"/>
    <hyperlink ref="E8" r:id="rId32" tooltip="Search Salvu Psaila Street, Birkirkara on Google Maps" xr:uid="{00000000-0004-0000-4700-00001F000000}"/>
    <hyperlink ref="E9" r:id="rId33" tooltip="Search Triq Dun Gorg Fiteni_x000a_Naxxar, NXR 1122, Malta on Google Maps" xr:uid="{00000000-0004-0000-4700-000020000000}"/>
    <hyperlink ref="E10" r:id="rId34" tooltip="Search 235, Burmarrad Rd, Burmarrad, SPB 9062-Malta on Google Maps" xr:uid="{00000000-0004-0000-4700-000021000000}"/>
    <hyperlink ref="E11" r:id="rId35" tooltip="Search 179, Marina Street, Pietà, Malta on Google Maps" xr:uid="{00000000-0004-0000-4700-000022000000}"/>
    <hyperlink ref="E12" r:id="rId36" tooltip="Search LTC LED Lighting _x000a_St Paul Street,_x000a_Naxxar, NXR 4016_x000a_Malta on Google Maps" xr:uid="{00000000-0004-0000-4700-000023000000}"/>
    <hyperlink ref="E13" r:id="rId37" tooltip="Search 31, Bishop Labini Street, B'Kara BKR 1270 Malta on Google Maps" xr:uid="{00000000-0004-0000-4700-000024000000}"/>
    <hyperlink ref="E14" r:id="rId38" tooltip="Search Zone 4, Central Business District, Triq San Gwakkin, Birkirkara CBD 4030 on Google Maps" xr:uid="{00000000-0004-0000-4700-000025000000}"/>
    <hyperlink ref="E15" r:id="rId39" tooltip="Search Escoupe Court,_x000a_Basement Garage No. 8,_x000a_Triq Anton Inglott,_x000a_Msida_x000a_MSD1180 on Google Maps" xr:uid="{00000000-0004-0000-4700-000026000000}"/>
    <hyperlink ref="F2" r:id="rId40" tooltip="Visit maltadiy.com/product-category/lights-and-tech/lights/" xr:uid="{00000000-0004-0000-4700-000027000000}"/>
    <hyperlink ref="F3" r:id="rId41" tooltip="Visit shaker.com.mt/" xr:uid="{00000000-0004-0000-4700-000028000000}"/>
    <hyperlink ref="F4" r:id="rId42" tooltip="Visit spotonmalta.com/" xr:uid="{00000000-0004-0000-4700-000029000000}"/>
    <hyperlink ref="F5" r:id="rId43" tooltip="Visit facebook.com/solealighting" xr:uid="{00000000-0004-0000-4700-00002A000000}"/>
    <hyperlink ref="F6" r:id="rId44" tooltip="Visit lightshopmalta.com/en/shop/webshop/bycategory/937/name/asc/9/1/lighting.htm" xr:uid="{00000000-0004-0000-4700-00002B000000}"/>
    <hyperlink ref="F7" r:id="rId45" tooltip="Visit luxonas.com/" xr:uid="{00000000-0004-0000-4700-00002C000000}"/>
    <hyperlink ref="F8" r:id="rId46" tooltip="Visit lingonberries.mt/" xr:uid="{00000000-0004-0000-4700-00002D000000}"/>
    <hyperlink ref="F9" r:id="rId47" tooltip="Visit vct.com.mt/" xr:uid="{00000000-0004-0000-4700-00002E000000}"/>
    <hyperlink ref="F10" r:id="rId48" location="services" tooltip="Visit lds.com.mt/#services" xr:uid="{00000000-0004-0000-4700-00002F000000}"/>
    <hyperlink ref="F11" r:id="rId49" tooltip="Visit pjelectricmalta.com/" xr:uid="{00000000-0004-0000-4700-000030000000}"/>
    <hyperlink ref="F12" r:id="rId50" tooltip="Visit glsmalta.com/?page_id=78" xr:uid="{00000000-0004-0000-4700-000031000000}"/>
    <hyperlink ref="F13" r:id="rId51" tooltip="Visit glow.com.mt/" xr:uid="{00000000-0004-0000-4700-000032000000}"/>
    <hyperlink ref="F14" r:id="rId52" tooltip="Visit transientmalta.com/contact-us/" xr:uid="{00000000-0004-0000-4700-000033000000}"/>
    <hyperlink ref="F15" r:id="rId53" tooltip="Visit rgalternatives.com/en/contact/index.html" xr:uid="{00000000-0004-0000-4700-000034000000}"/>
    <hyperlink ref="F16" r:id="rId54" tooltip="Visit calleja.com.mt/contact/" xr:uid="{00000000-0004-0000-4700-000035000000}"/>
    <hyperlink ref="F17" r:id="rId55" tooltip="Visit ess.com.mt/home/contact" xr:uid="{00000000-0004-0000-4700-000036000000}"/>
    <hyperlink ref="F18" r:id="rId56" tooltip="Visit ledlightsmalta.com/index.php?route=information/contact" xr:uid="{00000000-0004-0000-4700-000037000000}"/>
    <hyperlink ref="F19" r:id="rId57" tooltip="Visit brightersolutions.com.mt/contact/" xr:uid="{00000000-0004-0000-4700-000038000000}"/>
    <hyperlink ref="F20" r:id="rId58" tooltip="Visit illumitechmalta.com/pages/contact" xr:uid="{00000000-0004-0000-4700-000039000000}"/>
    <hyperlink ref="F21" r:id="rId59" tooltip="Visit elektra.com.mt/contact-us/" xr:uid="{00000000-0004-0000-4700-00003A000000}"/>
    <hyperlink ref="F22" r:id="rId60" tooltip="Visit findit.com.mt/en/directory/listings/8817/farrugia-lighting-andamp-interiors-malta.htm?utm_source=chatgpt.com" xr:uid="{00000000-0004-0000-4700-00003B000000}"/>
    <hyperlink ref="F23" r:id="rId61" tooltip="Visit hydrolectric.com.mt/contact/" xr:uid="{00000000-0004-0000-4700-00003C000000}"/>
    <hyperlink ref="F24" r:id="rId62" tooltip="Visit yellow.com.mt/sbl-lighting-solutions/light-shops/" xr:uid="{00000000-0004-0000-4700-00003D000000}"/>
    <hyperlink ref="F25" r:id="rId63" tooltip="Visit yellow.com.mt/i-m-l-electrical-supplies-ltd/light-shops/" xr:uid="{00000000-0004-0000-4700-00003E000000}"/>
  </hyperlinks>
  <pageMargins left="0.75" right="0.75" top="0.75" bottom="0.5" header="0.5" footer="0.7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9"/>
  <sheetViews>
    <sheetView workbookViewId="0"/>
  </sheetViews>
  <sheetFormatPr defaultRowHeight="14.4" x14ac:dyDescent="0.3"/>
  <cols>
    <col min="1" max="1" width="10.44140625" customWidth="1"/>
    <col min="2" max="2" width="39.6640625" customWidth="1"/>
    <col min="3" max="3" width="29" customWidth="1"/>
    <col min="4" max="4" width="20.44140625" customWidth="1"/>
    <col min="5" max="5" width="66.33203125" customWidth="1"/>
    <col min="6" max="6" width="54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2041</v>
      </c>
      <c r="E1" s="1" t="s">
        <v>5386</v>
      </c>
      <c r="F1" s="1" t="s">
        <v>532</v>
      </c>
    </row>
    <row r="2" spans="1:6" x14ac:dyDescent="0.3">
      <c r="A2" s="2" t="s">
        <v>4555</v>
      </c>
      <c r="B2" s="2" t="s">
        <v>4534</v>
      </c>
      <c r="C2" s="3" t="s">
        <v>4567</v>
      </c>
      <c r="D2" s="2" t="s">
        <v>4586</v>
      </c>
      <c r="E2" s="3" t="s">
        <v>4604</v>
      </c>
      <c r="F2" s="3" t="s">
        <v>4620</v>
      </c>
    </row>
    <row r="3" spans="1:6" x14ac:dyDescent="0.3">
      <c r="A3" s="4" t="s">
        <v>4555</v>
      </c>
      <c r="B3" s="4" t="s">
        <v>4556</v>
      </c>
      <c r="C3" s="5" t="s">
        <v>4573</v>
      </c>
      <c r="D3" s="4" t="s">
        <v>4588</v>
      </c>
      <c r="E3" s="5" t="s">
        <v>4605</v>
      </c>
      <c r="F3" s="5" t="s">
        <v>4621</v>
      </c>
    </row>
    <row r="4" spans="1:6" x14ac:dyDescent="0.3">
      <c r="A4" s="2" t="s">
        <v>4555</v>
      </c>
      <c r="B4" s="2" t="s">
        <v>4557</v>
      </c>
      <c r="C4" s="3" t="s">
        <v>4574</v>
      </c>
      <c r="D4" s="2" t="s">
        <v>4589</v>
      </c>
      <c r="E4" s="3" t="s">
        <v>4606</v>
      </c>
      <c r="F4" s="3" t="s">
        <v>4622</v>
      </c>
    </row>
    <row r="5" spans="1:6" x14ac:dyDescent="0.3">
      <c r="A5" s="4" t="s">
        <v>4555</v>
      </c>
      <c r="B5" s="4" t="s">
        <v>4558</v>
      </c>
      <c r="C5" s="5" t="s">
        <v>4206</v>
      </c>
      <c r="D5" s="4" t="s">
        <v>4590</v>
      </c>
      <c r="E5" s="5" t="s">
        <v>2514</v>
      </c>
      <c r="F5" s="5" t="s">
        <v>4623</v>
      </c>
    </row>
    <row r="6" spans="1:6" x14ac:dyDescent="0.3">
      <c r="A6" s="2" t="s">
        <v>4555</v>
      </c>
      <c r="B6" s="2" t="s">
        <v>4559</v>
      </c>
      <c r="C6" s="3" t="s">
        <v>1014</v>
      </c>
      <c r="D6" s="2" t="s">
        <v>4591</v>
      </c>
      <c r="E6" s="3" t="s">
        <v>4608</v>
      </c>
      <c r="F6" s="3" t="s">
        <v>1053</v>
      </c>
    </row>
    <row r="7" spans="1:6" x14ac:dyDescent="0.3">
      <c r="A7" s="4" t="s">
        <v>4555</v>
      </c>
      <c r="B7" s="4" t="s">
        <v>4560</v>
      </c>
      <c r="C7" s="5" t="s">
        <v>4575</v>
      </c>
      <c r="D7" s="4" t="s">
        <v>4592</v>
      </c>
      <c r="E7" s="5" t="s">
        <v>4607</v>
      </c>
      <c r="F7" s="5" t="s">
        <v>4624</v>
      </c>
    </row>
    <row r="8" spans="1:6" x14ac:dyDescent="0.3">
      <c r="A8" s="2" t="s">
        <v>4555</v>
      </c>
      <c r="B8" s="2" t="s">
        <v>4561</v>
      </c>
      <c r="C8" s="3" t="s">
        <v>4576</v>
      </c>
      <c r="D8" s="2" t="s">
        <v>4593</v>
      </c>
      <c r="E8" s="3" t="s">
        <v>4609</v>
      </c>
      <c r="F8" s="3" t="s">
        <v>4625</v>
      </c>
    </row>
    <row r="9" spans="1:6" x14ac:dyDescent="0.3">
      <c r="A9" s="4" t="s">
        <v>4555</v>
      </c>
      <c r="B9" s="4" t="s">
        <v>4562</v>
      </c>
      <c r="C9" s="5" t="s">
        <v>4577</v>
      </c>
      <c r="D9" s="4" t="s">
        <v>4594</v>
      </c>
      <c r="E9" s="5" t="s">
        <v>4610</v>
      </c>
      <c r="F9" s="5" t="s">
        <v>4626</v>
      </c>
    </row>
    <row r="10" spans="1:6" x14ac:dyDescent="0.3">
      <c r="A10" s="2" t="s">
        <v>4555</v>
      </c>
      <c r="B10" s="2" t="s">
        <v>4563</v>
      </c>
      <c r="C10" s="3" t="s">
        <v>4578</v>
      </c>
      <c r="D10" s="2" t="s">
        <v>4595</v>
      </c>
      <c r="E10" s="3" t="s">
        <v>4611</v>
      </c>
      <c r="F10" s="3" t="s">
        <v>4627</v>
      </c>
    </row>
    <row r="11" spans="1:6" x14ac:dyDescent="0.3">
      <c r="A11" s="4" t="s">
        <v>4555</v>
      </c>
      <c r="B11" s="4" t="s">
        <v>1586</v>
      </c>
      <c r="C11" s="5" t="s">
        <v>1670</v>
      </c>
      <c r="D11" s="4" t="s">
        <v>4596</v>
      </c>
      <c r="E11" s="5" t="s">
        <v>4612</v>
      </c>
      <c r="F11" s="5" t="s">
        <v>4628</v>
      </c>
    </row>
    <row r="12" spans="1:6" x14ac:dyDescent="0.3">
      <c r="A12" s="2" t="s">
        <v>4555</v>
      </c>
      <c r="B12" s="2" t="s">
        <v>4564</v>
      </c>
      <c r="C12" s="3" t="s">
        <v>4579</v>
      </c>
      <c r="D12" s="2" t="s">
        <v>4597</v>
      </c>
      <c r="E12" s="3" t="s">
        <v>4613</v>
      </c>
      <c r="F12" s="3" t="s">
        <v>4564</v>
      </c>
    </row>
    <row r="13" spans="1:6" x14ac:dyDescent="0.3">
      <c r="A13" s="4" t="s">
        <v>4555</v>
      </c>
      <c r="B13" s="4" t="s">
        <v>4565</v>
      </c>
      <c r="C13" s="5" t="s">
        <v>4580</v>
      </c>
      <c r="D13" s="4" t="s">
        <v>4598</v>
      </c>
      <c r="E13" s="5" t="s">
        <v>4614</v>
      </c>
      <c r="F13" s="5" t="s">
        <v>4629</v>
      </c>
    </row>
    <row r="14" spans="1:6" x14ac:dyDescent="0.3">
      <c r="A14" s="2" t="s">
        <v>4555</v>
      </c>
      <c r="B14" s="2" t="s">
        <v>4566</v>
      </c>
      <c r="C14" s="3" t="s">
        <v>4581</v>
      </c>
      <c r="D14" s="2" t="s">
        <v>4599</v>
      </c>
      <c r="E14" s="3" t="s">
        <v>4615</v>
      </c>
      <c r="F14" s="3" t="s">
        <v>4630</v>
      </c>
    </row>
    <row r="15" spans="1:6" x14ac:dyDescent="0.3">
      <c r="A15" s="4" t="s">
        <v>4555</v>
      </c>
      <c r="B15" s="4" t="s">
        <v>4568</v>
      </c>
      <c r="C15" s="5" t="s">
        <v>4582</v>
      </c>
      <c r="D15" s="4" t="s">
        <v>4600</v>
      </c>
      <c r="E15" s="5" t="s">
        <v>4616</v>
      </c>
      <c r="F15" s="5" t="s">
        <v>4632</v>
      </c>
    </row>
    <row r="16" spans="1:6" x14ac:dyDescent="0.3">
      <c r="A16" s="2" t="s">
        <v>4555</v>
      </c>
      <c r="B16" s="2" t="s">
        <v>4569</v>
      </c>
      <c r="C16" s="3" t="s">
        <v>4583</v>
      </c>
      <c r="D16" s="2" t="s">
        <v>4601</v>
      </c>
      <c r="E16" s="3" t="s">
        <v>4617</v>
      </c>
      <c r="F16" s="2"/>
    </row>
    <row r="17" spans="1:6" x14ac:dyDescent="0.3">
      <c r="A17" s="4" t="s">
        <v>4555</v>
      </c>
      <c r="B17" s="4" t="s">
        <v>4570</v>
      </c>
      <c r="C17" s="5" t="s">
        <v>4584</v>
      </c>
      <c r="D17" s="4" t="s">
        <v>4602</v>
      </c>
      <c r="E17" s="5" t="s">
        <v>4618</v>
      </c>
      <c r="F17" s="4"/>
    </row>
    <row r="18" spans="1:6" x14ac:dyDescent="0.3">
      <c r="A18" s="2" t="s">
        <v>4555</v>
      </c>
      <c r="B18" s="2" t="s">
        <v>4571</v>
      </c>
      <c r="C18" s="3" t="s">
        <v>4585</v>
      </c>
      <c r="D18" s="2" t="s">
        <v>4603</v>
      </c>
      <c r="E18" s="3" t="s">
        <v>4619</v>
      </c>
      <c r="F18" s="2"/>
    </row>
    <row r="19" spans="1:6" x14ac:dyDescent="0.3">
      <c r="A19" s="4" t="s">
        <v>4555</v>
      </c>
      <c r="B19" s="4" t="s">
        <v>4572</v>
      </c>
      <c r="C19" s="5" t="s">
        <v>4587</v>
      </c>
      <c r="D19" s="4"/>
      <c r="E19" s="4"/>
      <c r="F19" s="4"/>
    </row>
  </sheetData>
  <hyperlinks>
    <hyperlink ref="C2" r:id="rId1" tooltip="Send a mail to info@matrixscaffolding.com" xr:uid="{00000000-0004-0000-4800-000000000000}"/>
    <hyperlink ref="C3" r:id="rId2" tooltip="Send a mail to info@makaw.com.mt" xr:uid="{00000000-0004-0000-4800-000001000000}"/>
    <hyperlink ref="C4" r:id="rId3" tooltip="Send a mail to reucal01@gmail.com" xr:uid="{00000000-0004-0000-4800-000002000000}"/>
    <hyperlink ref="C5" r:id="rId4" tooltip="Send a mail to info@vassallogroupmalta.com" xr:uid="{00000000-0004-0000-4800-000003000000}"/>
    <hyperlink ref="C6" r:id="rId5" tooltip="Send a mail to info@mbfmalta.com" xr:uid="{00000000-0004-0000-4800-000004000000}"/>
    <hyperlink ref="C7" r:id="rId6" tooltip="Send a mail to sslscaffolding@gmail.com" xr:uid="{00000000-0004-0000-4800-000005000000}"/>
    <hyperlink ref="C8" r:id="rId7" tooltip="Send a mail to info@ptrmachinery.com" xr:uid="{00000000-0004-0000-4800-000006000000}"/>
    <hyperlink ref="C9" r:id="rId8" tooltip="Send a mail to info@multitrademalta.com" xr:uid="{00000000-0004-0000-4800-000007000000}"/>
    <hyperlink ref="C10" r:id="rId9" tooltip="Send a mail to sales@rigscaffolding.com.mt" xr:uid="{00000000-0004-0000-4800-000008000000}"/>
    <hyperlink ref="C11" r:id="rId10" tooltip="Send a mail to info@farrugiagroup.com" xr:uid="{00000000-0004-0000-4800-000009000000}"/>
    <hyperlink ref="C12" r:id="rId11" tooltip="Send a mail to superior.malta@gmail.com" xr:uid="{00000000-0004-0000-4800-00000A000000}"/>
    <hyperlink ref="C13" r:id="rId12" tooltip="Send a mail to josephcutajar8@gmail.com" xr:uid="{00000000-0004-0000-4800-00000B000000}"/>
    <hyperlink ref="C14" r:id="rId13" tooltip="Send a mail to maescaffolding@gmail.com" xr:uid="{00000000-0004-0000-4800-00000C000000}"/>
    <hyperlink ref="C15" r:id="rId14" tooltip="Send a mail to gbt@onvol.net" xr:uid="{00000000-0004-0000-4800-00000D000000}"/>
    <hyperlink ref="C16" r:id="rId15" tooltip="Send a mail to bty@go.net.mt" xr:uid="{00000000-0004-0000-4800-00000E000000}"/>
    <hyperlink ref="C17" r:id="rId16" tooltip="Send a mail to arawconstructions@gmail.com" xr:uid="{00000000-0004-0000-4800-00000F000000}"/>
    <hyperlink ref="C18" r:id="rId17" tooltip="Send a mail to nfo@access.com.mt" xr:uid="{00000000-0004-0000-4800-000010000000}"/>
    <hyperlink ref="C19" r:id="rId18" tooltip="Send a mail to info@agius.com.mt" xr:uid="{00000000-0004-0000-4800-000011000000}"/>
    <hyperlink ref="E2" r:id="rId19" tooltip="Search Young Vella Estates, Plot 4-5, Triq Tal-Handaq, Handaq, Qormi, QRM4000 on Google Maps" xr:uid="{00000000-0004-0000-4800-000012000000}"/>
    <hyperlink ref="E3" r:id="rId20" tooltip="Search : The Warehouse, Triq Hal-Gharghur, Birkirkara, BKR 2903 on Google Maps" xr:uid="{00000000-0004-0000-4800-000013000000}"/>
    <hyperlink ref="E4" r:id="rId21" tooltip="Search Zone 1, Central Business District, Triq l-Imdina, Birkirkara, CBD 1010 on Google Maps" xr:uid="{00000000-0004-0000-4800-000014000000}"/>
    <hyperlink ref="E5" r:id="rId22" tooltip="Search Mosta, Malta on Google Maps" xr:uid="{00000000-0004-0000-4800-000015000000}"/>
    <hyperlink ref="E6" r:id="rId23" tooltip="Search 70, Riviera Court/2, Triq Forrest, San Ġiljan, STJ 2032 on Google Maps" xr:uid="{00000000-0004-0000-4800-000016000000}"/>
    <hyperlink ref="E7" r:id="rId24" tooltip="Search 159, Triq Annibale Preca, Ħal Lija on Google Maps" xr:uid="{00000000-0004-0000-4800-000017000000}"/>
    <hyperlink ref="E8" r:id="rId25" tooltip="Search riq il-Gargir, Rabat, RBT 4638 on Google Maps" xr:uid="{00000000-0004-0000-4800-000018000000}"/>
    <hyperlink ref="E9" r:id="rId26" tooltip="Search Siggiewi Road, Żebbuġ, ZBG 2301 on Google Maps" xr:uid="{00000000-0004-0000-4800-000019000000}"/>
    <hyperlink ref="E10" r:id="rId27" tooltip="Search Malta on Google Maps" xr:uid="{00000000-0004-0000-4800-00001A000000}"/>
    <hyperlink ref="E11" r:id="rId28" tooltip="Search 61, Triq Santa Liberata, Il-Kalkara, Malta on Google Maps" xr:uid="{00000000-0004-0000-4800-00001B000000}"/>
    <hyperlink ref="E12" r:id="rId29" tooltip="Search Merhba Triq I-Istefanotis,Sta Lucija,Malta SLC 1810 on Google Maps" xr:uid="{00000000-0004-0000-4800-00001C000000}"/>
    <hyperlink ref="E13" r:id="rId30" tooltip="Search Triq tal-Gallu ,Fgura,Malta FGR 1114 on Google Maps" xr:uid="{00000000-0004-0000-4800-00001D000000}"/>
    <hyperlink ref="E14" r:id="rId31" tooltip="Search Our Dream Triq in-Nutar Zarb ,_x000a_Attard, Malta ATD 9041 on Google Maps" xr:uid="{00000000-0004-0000-4800-00001E000000}"/>
    <hyperlink ref="E15" r:id="rId32" tooltip="Search c/o M Space Triq Oscar Zammit ,_x000a_Msida, Malta MSD 1280 on Google Maps" xr:uid="{00000000-0004-0000-4800-00001F000000}"/>
    <hyperlink ref="E16" r:id="rId33" tooltip="Search 15a Triq Tonin Mallia Vernon ,_x000a_Xewkija-Gozo, Gozo XWK 2502 on Google Maps" xr:uid="{00000000-0004-0000-4800-000020000000}"/>
    <hyperlink ref="E17" r:id="rId34" tooltip="Search M4 Shopping Complex Triq il-Linja ,_x000a_Attard, Malta ATD 1234 on Google Maps" xr:uid="{00000000-0004-0000-4800-000021000000}"/>
    <hyperlink ref="E18" r:id="rId35" tooltip="Search Triq il-Belt Valletta ,_x000a_Mqabba, Malta MQB 9019 on Google Maps" xr:uid="{00000000-0004-0000-4800-000022000000}"/>
    <hyperlink ref="F2" r:id="rId36" tooltip="Visit matrixscaffolding.com" xr:uid="{00000000-0004-0000-4800-000023000000}"/>
    <hyperlink ref="F3" r:id="rId37" tooltip="Visit makawscaffolding.com" xr:uid="{00000000-0004-0000-4800-000024000000}"/>
    <hyperlink ref="F4" location="Scaffolding!https://: gscmalta.com" tooltip="Visit : gscmalta.com" display=": gscmalta.com" xr:uid="{00000000-0004-0000-4800-000025000000}"/>
    <hyperlink ref="F5" r:id="rId38" tooltip="Visit vassallogroupmalta.com" xr:uid="{00000000-0004-0000-4800-000026000000}"/>
    <hyperlink ref="F6" r:id="rId39" tooltip="Visit mbfmalta.com" xr:uid="{00000000-0004-0000-4800-000027000000}"/>
    <hyperlink ref="F7" r:id="rId40" tooltip="Visit scaffoldingsystemltd.com" xr:uid="{00000000-0004-0000-4800-000028000000}"/>
    <hyperlink ref="F8" r:id="rId41" tooltip="Visit ptrmachinery.com" xr:uid="{00000000-0004-0000-4800-000029000000}"/>
    <hyperlink ref="F9" r:id="rId42" tooltip="Visit multitrademalta.com" xr:uid="{00000000-0004-0000-4800-00002A000000}"/>
    <hyperlink ref="F10" location="Scaffolding!https://Rig Scaffolding Ltd - Malta" tooltip="Visit Rig Scaffolding Ltd - Malta" display="Rig Scaffolding Ltd - Malta" xr:uid="{00000000-0004-0000-4800-00002B000000}"/>
    <hyperlink ref="F11" r:id="rId43" tooltip="Visit farrugiagroup.com" xr:uid="{00000000-0004-0000-4800-00002C000000}"/>
    <hyperlink ref="F12" location="Scaffolding!https://Superior Construction Malta" tooltip="Visit Superior Construction Malta" display="Superior Construction Malta" xr:uid="{00000000-0004-0000-4800-00002D000000}"/>
    <hyperlink ref="F13" r:id="rId44" tooltip="Visit facebook.com/people/MAE-scaffolding/100054415933841/_x000a_Suggest update" xr:uid="{00000000-0004-0000-4800-00002E000000}"/>
    <hyperlink ref="F14" r:id="rId45" tooltip="Visit facebook.com/GBTMalta/_x000a_Suggest update" xr:uid="{00000000-0004-0000-4800-00002F000000}"/>
    <hyperlink ref="F15" r:id="rId46" tooltip="Visit btytrading.com" xr:uid="{00000000-0004-0000-4800-000030000000}"/>
  </hyperlinks>
  <pageMargins left="0.75" right="0.75" top="0.75" bottom="0.5" header="0.5" footer="0.7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7"/>
  <sheetViews>
    <sheetView workbookViewId="0"/>
  </sheetViews>
  <sheetFormatPr defaultRowHeight="14.4" x14ac:dyDescent="0.3"/>
  <cols>
    <col min="1" max="1" width="7.6640625" customWidth="1"/>
    <col min="2" max="2" width="18.33203125" customWidth="1"/>
    <col min="3" max="3" width="24.5546875" customWidth="1"/>
    <col min="4" max="4" width="18.109375" customWidth="1"/>
    <col min="5" max="5" width="79.44140625" customWidth="1"/>
    <col min="6" max="6" width="34.664062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828</v>
      </c>
      <c r="E1" s="1" t="s">
        <v>526</v>
      </c>
      <c r="F1" s="1" t="s">
        <v>20</v>
      </c>
    </row>
    <row r="2" spans="1:6" x14ac:dyDescent="0.3">
      <c r="A2" s="2" t="s">
        <v>4631</v>
      </c>
      <c r="B2" s="2" t="s">
        <v>1110</v>
      </c>
      <c r="C2" s="3" t="s">
        <v>791</v>
      </c>
      <c r="D2" s="2" t="str">
        <f>CONCATENATE(HYPERLINK("CALLTO:%2B356%202149%201111", "+356 2149 1111"))</f>
        <v>+356 2149 1111</v>
      </c>
      <c r="E2" s="3" t="s">
        <v>1139</v>
      </c>
      <c r="F2" s="3" t="s">
        <v>1154</v>
      </c>
    </row>
    <row r="3" spans="1:6" x14ac:dyDescent="0.3">
      <c r="A3" s="4" t="s">
        <v>4633</v>
      </c>
      <c r="B3" s="4" t="s">
        <v>1110</v>
      </c>
      <c r="C3" s="5" t="s">
        <v>791</v>
      </c>
      <c r="D3" s="4" t="str">
        <f>CONCATENATE(HYPERLINK("CALLTO:%2B356%202149%201111", "+356 2149 1111"))</f>
        <v>+356 2149 1111</v>
      </c>
      <c r="E3" s="5" t="s">
        <v>1139</v>
      </c>
      <c r="F3" s="5" t="s">
        <v>1154</v>
      </c>
    </row>
    <row r="4" spans="1:6" x14ac:dyDescent="0.3">
      <c r="A4" s="2" t="s">
        <v>4633</v>
      </c>
      <c r="B4" s="2" t="s">
        <v>1547</v>
      </c>
      <c r="C4" s="3" t="s">
        <v>1632</v>
      </c>
      <c r="D4" s="2" t="str">
        <f>CONCATENATE(HYPERLINK("CALLTO:%2B356%207710%205385", "+356 7710 5385"))</f>
        <v>+356 7710 5385</v>
      </c>
      <c r="E4" s="3" t="s">
        <v>1715</v>
      </c>
      <c r="F4" s="3" t="s">
        <v>4636</v>
      </c>
    </row>
    <row r="5" spans="1:6" x14ac:dyDescent="0.3">
      <c r="A5" s="4" t="s">
        <v>4633</v>
      </c>
      <c r="B5" s="4" t="s">
        <v>2155</v>
      </c>
      <c r="C5" s="5" t="s">
        <v>2161</v>
      </c>
      <c r="D5" s="4" t="str">
        <f>CONCATENATE(HYPERLINK("CALLTO:%2B356%202133%204145", "+356 2133 4145"))</f>
        <v>+356 2133 4145</v>
      </c>
      <c r="E5" s="5" t="s">
        <v>2168</v>
      </c>
      <c r="F5" s="5" t="s">
        <v>2176</v>
      </c>
    </row>
    <row r="6" spans="1:6" x14ac:dyDescent="0.3">
      <c r="A6" s="2" t="s">
        <v>4633</v>
      </c>
      <c r="B6" s="2" t="s">
        <v>1069</v>
      </c>
      <c r="C6" s="3" t="s">
        <v>1079</v>
      </c>
      <c r="D6" s="2" t="str">
        <f>CONCATENATE(HYPERLINK("CALLTO:%2B356%202132%200433", "+356 2132 0433"))</f>
        <v>+356 2132 0433</v>
      </c>
      <c r="E6" s="3" t="s">
        <v>4634</v>
      </c>
      <c r="F6" s="3" t="s">
        <v>1088</v>
      </c>
    </row>
    <row r="7" spans="1:6" x14ac:dyDescent="0.3">
      <c r="E7" t="s">
        <v>146</v>
      </c>
    </row>
  </sheetData>
  <hyperlinks>
    <hyperlink ref="C2" r:id="rId1" tooltip="Send a mail to info@devalier.com.mt" xr:uid="{00000000-0004-0000-4900-000000000000}"/>
    <hyperlink ref="C3" r:id="rId2" tooltip="Send a mail to info@devalier.com.mt" xr:uid="{00000000-0004-0000-4900-000001000000}"/>
    <hyperlink ref="C4" r:id="rId3" tooltip="Send a mail to sales@malta-design.com" xr:uid="{00000000-0004-0000-4900-000002000000}"/>
    <hyperlink ref="C5" r:id="rId4" tooltip="Send a mail to info@linkprojects.com.mt" xr:uid="{00000000-0004-0000-4900-000003000000}"/>
    <hyperlink ref="C6" r:id="rId5" tooltip="Send a mail to sales@dimech-ent.com" xr:uid="{00000000-0004-0000-4900-000004000000}"/>
    <hyperlink ref="E2" r:id="rId6" tooltip="Search The Old Factory, San Gwakkin str, Mriehel,Central Business District Birkirkara CBD, 3030 on Google Maps" xr:uid="{00000000-0004-0000-4900-000005000000}"/>
    <hyperlink ref="E3" r:id="rId7" tooltip="Search The Old Factory, San Gwakkin str, Mriehel,Central Business District Birkirkara CBD, 3030 on Google Maps" xr:uid="{00000000-0004-0000-4900-000006000000}"/>
    <hyperlink ref="E4" r:id="rId8" tooltip="Search Malta Design_x000a_33 Triq l-Oleandru ,_x000a_San Giljan, Malta on Google Maps" xr:uid="{00000000-0004-0000-4900-000007000000}"/>
    <hyperlink ref="E5" r:id="rId9" tooltip="Search 70, Ta' Xbiex Seafront , Msida, Malta on Google Maps" xr:uid="{00000000-0004-0000-4900-000008000000}"/>
    <hyperlink ref="E6" r:id="rId10" tooltip="Search Triq Valletta, Luqa, Malta on Google Maps" xr:uid="{00000000-0004-0000-4900-000009000000}"/>
    <hyperlink ref="F2" r:id="rId11" tooltip="Visit dv.mt/" xr:uid="{00000000-0004-0000-4900-00000A000000}"/>
    <hyperlink ref="F3" r:id="rId12" tooltip="Visit dv.mt/" xr:uid="{00000000-0004-0000-4900-00000B000000}"/>
    <hyperlink ref="F4" r:id="rId13" tooltip="Visit malta-design.com/en/57007-pergolas" xr:uid="{00000000-0004-0000-4900-00000C000000}"/>
    <hyperlink ref="F5" r:id="rId14" tooltip="Visit linkprojects.com.mt/" xr:uid="{00000000-0004-0000-4900-00000D000000}"/>
    <hyperlink ref="F6" r:id="rId15" tooltip="Visit dimech-ent.com/" xr:uid="{00000000-0004-0000-4900-00000E000000}"/>
  </hyperlinks>
  <pageMargins left="0.75" right="0.75" top="0.75" bottom="0.5" header="0.5" footer="0.7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34"/>
  <sheetViews>
    <sheetView workbookViewId="0"/>
  </sheetViews>
  <sheetFormatPr defaultRowHeight="14.4" x14ac:dyDescent="0.3"/>
  <cols>
    <col min="1" max="1" width="13.5546875" customWidth="1"/>
    <col min="2" max="2" width="46.44140625" customWidth="1"/>
    <col min="3" max="3" width="50.88671875" customWidth="1"/>
    <col min="4" max="4" width="45.33203125" customWidth="1"/>
    <col min="5" max="5" width="71.6640625" customWidth="1"/>
    <col min="6" max="6" width="146" customWidth="1"/>
  </cols>
  <sheetData>
    <row r="1" spans="1:6" ht="18" x14ac:dyDescent="0.35">
      <c r="A1" s="1" t="s">
        <v>5384</v>
      </c>
      <c r="B1" s="1" t="s">
        <v>487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4635</v>
      </c>
      <c r="B2" s="2" t="s">
        <v>4640</v>
      </c>
      <c r="C2" s="3" t="s">
        <v>3333</v>
      </c>
      <c r="D2" s="2" t="str">
        <f>CONCATENATE(HYPERLINK("CALLTO:%2B356%209942%202429", "+356 9942 2429"))</f>
        <v>+356 9942 2429</v>
      </c>
      <c r="E2" s="3" t="s">
        <v>4692</v>
      </c>
      <c r="F2" s="3" t="s">
        <v>3678</v>
      </c>
    </row>
    <row r="3" spans="1:6" x14ac:dyDescent="0.3">
      <c r="A3" s="4" t="s">
        <v>4635</v>
      </c>
      <c r="B3" s="4" t="s">
        <v>4641</v>
      </c>
      <c r="C3" s="5" t="s">
        <v>3494</v>
      </c>
      <c r="D3" s="4" t="str">
        <f>CONCATENATE(HYPERLINK("CALLTO:%2B356%202125%207400", "+356 2125 7400"))</f>
        <v>+356 2125 7400</v>
      </c>
      <c r="E3" s="5" t="s">
        <v>4693</v>
      </c>
      <c r="F3" s="5" t="s">
        <v>3673</v>
      </c>
    </row>
    <row r="4" spans="1:6" x14ac:dyDescent="0.3">
      <c r="A4" s="2" t="s">
        <v>4635</v>
      </c>
      <c r="B4" s="2" t="s">
        <v>4639</v>
      </c>
      <c r="C4" s="3" t="s">
        <v>4668</v>
      </c>
      <c r="D4" s="2" t="str">
        <f>CONCATENATE(HYPERLINK("CALLTO:%2B356%202733%203713", "+356 2733 3713"))</f>
        <v>+356 2733 3713</v>
      </c>
      <c r="E4" s="3" t="s">
        <v>4694</v>
      </c>
      <c r="F4" s="3" t="s">
        <v>4723</v>
      </c>
    </row>
    <row r="5" spans="1:6" x14ac:dyDescent="0.3">
      <c r="A5" s="4" t="s">
        <v>4635</v>
      </c>
      <c r="B5" s="4" t="s">
        <v>4642</v>
      </c>
      <c r="C5" s="5" t="s">
        <v>1079</v>
      </c>
      <c r="D5" s="4" t="str">
        <f>CONCATENATE(HYPERLINK("CALLTO:%2B356%202132%200433", "+356 2132 0433"))</f>
        <v>+356 2132 0433</v>
      </c>
      <c r="E5" s="5" t="s">
        <v>4696</v>
      </c>
      <c r="F5" s="5" t="s">
        <v>4722</v>
      </c>
    </row>
    <row r="6" spans="1:6" x14ac:dyDescent="0.3">
      <c r="A6" s="2" t="s">
        <v>4635</v>
      </c>
      <c r="B6" s="2" t="s">
        <v>4643</v>
      </c>
      <c r="C6" s="3" t="s">
        <v>4669</v>
      </c>
      <c r="D6" s="2" t="str">
        <f>CONCATENATE(HYPERLINK("CALLTO:%2B356%202166%205212", "+356 2166 5212"))</f>
        <v>+356 2166 5212</v>
      </c>
      <c r="E6" s="3" t="s">
        <v>4695</v>
      </c>
      <c r="F6" s="3" t="s">
        <v>4725</v>
      </c>
    </row>
    <row r="7" spans="1:6" x14ac:dyDescent="0.3">
      <c r="A7" s="4" t="s">
        <v>4635</v>
      </c>
      <c r="B7" s="4" t="s">
        <v>4644</v>
      </c>
      <c r="C7" s="5" t="s">
        <v>4670</v>
      </c>
      <c r="D7" s="4" t="str">
        <f>CONCATENATE(HYPERLINK("CALLTO:%2B356%207706%208066", "+356 7706 8066"))</f>
        <v>+356 7706 8066</v>
      </c>
      <c r="E7" s="5" t="s">
        <v>4697</v>
      </c>
      <c r="F7" s="5" t="s">
        <v>4726</v>
      </c>
    </row>
    <row r="8" spans="1:6" x14ac:dyDescent="0.3">
      <c r="A8" s="2" t="s">
        <v>4638</v>
      </c>
      <c r="B8" s="2" t="s">
        <v>4646</v>
      </c>
      <c r="C8" s="3" t="s">
        <v>3805</v>
      </c>
      <c r="D8" s="2" t="str">
        <f>CONCATENATE(HYPERLINK("CALLTO:%2B356%207979%204242", "+356 7979 4242"))</f>
        <v>+356 7979 4242</v>
      </c>
      <c r="E8" s="3" t="s">
        <v>4699</v>
      </c>
      <c r="F8" s="3" t="s">
        <v>4727</v>
      </c>
    </row>
    <row r="9" spans="1:6" x14ac:dyDescent="0.3">
      <c r="A9" s="4" t="s">
        <v>4638</v>
      </c>
      <c r="B9" s="4" t="s">
        <v>4647</v>
      </c>
      <c r="C9" s="5" t="s">
        <v>1079</v>
      </c>
      <c r="D9" s="4" t="str">
        <f>CONCATENATE(HYPERLINK("CALLTO:%2B356%202132%200433", "+356 2132 0433"))</f>
        <v>+356 2132 0433</v>
      </c>
      <c r="E9" s="5" t="s">
        <v>4698</v>
      </c>
      <c r="F9" s="5" t="s">
        <v>4722</v>
      </c>
    </row>
    <row r="10" spans="1:6" x14ac:dyDescent="0.3">
      <c r="A10" s="2" t="s">
        <v>4638</v>
      </c>
      <c r="B10" s="2" t="s">
        <v>4648</v>
      </c>
      <c r="C10" s="3" t="s">
        <v>3870</v>
      </c>
      <c r="D10" s="2" t="str">
        <f>CONCATENATE(HYPERLINK("CALLTO:%2B356%202144%205656", "+356 2144 5656"))</f>
        <v>+356 2144 5656</v>
      </c>
      <c r="E10" s="3" t="s">
        <v>4701</v>
      </c>
      <c r="F10" s="3" t="s">
        <v>4728</v>
      </c>
    </row>
    <row r="11" spans="1:6" x14ac:dyDescent="0.3">
      <c r="A11" s="4" t="s">
        <v>4638</v>
      </c>
      <c r="B11" s="4" t="s">
        <v>4649</v>
      </c>
      <c r="C11" s="5" t="s">
        <v>3567</v>
      </c>
      <c r="D11" s="4" t="str">
        <f>CONCATENATE(HYPERLINK("CALLTO:%2B356%209982%202867", "+356 9982 2867"))</f>
        <v>+356 9982 2867</v>
      </c>
      <c r="E11" s="5" t="s">
        <v>4700</v>
      </c>
      <c r="F11" s="5" t="s">
        <v>4724</v>
      </c>
    </row>
    <row r="12" spans="1:6" x14ac:dyDescent="0.3">
      <c r="A12" s="2" t="s">
        <v>4638</v>
      </c>
      <c r="B12" s="2" t="s">
        <v>218</v>
      </c>
      <c r="C12" s="3" t="s">
        <v>228</v>
      </c>
      <c r="D12" s="2" t="str">
        <f>CONCATENATE(HYPERLINK("CALLTO:%2B356%207744%207610", "+356 7744 7610"))</f>
        <v>+356 7744 7610</v>
      </c>
      <c r="E12" s="3" t="s">
        <v>4702</v>
      </c>
      <c r="F12" s="3" t="s">
        <v>239</v>
      </c>
    </row>
    <row r="13" spans="1:6" x14ac:dyDescent="0.3">
      <c r="A13" s="4" t="s">
        <v>4638</v>
      </c>
      <c r="B13" s="4" t="s">
        <v>4650</v>
      </c>
      <c r="C13" s="5" t="s">
        <v>702</v>
      </c>
      <c r="D13" s="4" t="str">
        <f>CONCATENATE(HYPERLINK("CALLTO:%2B356%202141%201111", "+356 2141 1111"))</f>
        <v>+356 2141 1111</v>
      </c>
      <c r="E13" s="5" t="s">
        <v>3812</v>
      </c>
      <c r="F13" s="5" t="s">
        <v>743</v>
      </c>
    </row>
    <row r="14" spans="1:6" x14ac:dyDescent="0.3">
      <c r="A14" s="2" t="s">
        <v>4638</v>
      </c>
      <c r="B14" s="2" t="s">
        <v>4651</v>
      </c>
      <c r="C14" s="3" t="s">
        <v>4672</v>
      </c>
      <c r="D14" s="2" t="str">
        <f>CONCATENATE(HYPERLINK("CALLTO:%2B356%202142%202040", "+356 2142 2040"))</f>
        <v>+356 2142 2040</v>
      </c>
      <c r="E14" s="3" t="s">
        <v>4703</v>
      </c>
      <c r="F14" s="3" t="s">
        <v>4729</v>
      </c>
    </row>
    <row r="15" spans="1:6" x14ac:dyDescent="0.3">
      <c r="A15" s="4" t="s">
        <v>4638</v>
      </c>
      <c r="B15" s="4" t="s">
        <v>4652</v>
      </c>
      <c r="C15" s="5" t="s">
        <v>4671</v>
      </c>
      <c r="D15" s="4" t="str">
        <f>CONCATENATE(HYPERLINK("CALLTO:%2B356%209948%207412", "+356 9948 7412"))</f>
        <v>+356 9948 7412</v>
      </c>
      <c r="E15" s="5" t="s">
        <v>4704</v>
      </c>
      <c r="F15" s="5" t="s">
        <v>4731</v>
      </c>
    </row>
    <row r="16" spans="1:6" x14ac:dyDescent="0.3">
      <c r="A16" s="2" t="s">
        <v>4638</v>
      </c>
      <c r="B16" s="2" t="s">
        <v>4653</v>
      </c>
      <c r="C16" s="3" t="s">
        <v>4674</v>
      </c>
      <c r="D16" s="2" t="str">
        <f>CONCATENATE(HYPERLINK("CALLTO:%2B356%202742%204632", "+356 2742 4632"))</f>
        <v>+356 2742 4632</v>
      </c>
      <c r="E16" s="3" t="s">
        <v>4706</v>
      </c>
      <c r="F16" s="3" t="s">
        <v>4732</v>
      </c>
    </row>
    <row r="17" spans="1:6" x14ac:dyDescent="0.3">
      <c r="A17" s="4" t="s">
        <v>4638</v>
      </c>
      <c r="B17" s="4" t="s">
        <v>4654</v>
      </c>
      <c r="C17" s="5" t="s">
        <v>2599</v>
      </c>
      <c r="D17" s="4" t="str">
        <f>CONCATENATE(HYPERLINK("CALLTO:%2B356%209944%206043", "+356 9944 6043"))</f>
        <v>+356 9944 6043</v>
      </c>
      <c r="E17" s="5" t="s">
        <v>4707</v>
      </c>
      <c r="F17" s="5" t="s">
        <v>3704</v>
      </c>
    </row>
    <row r="18" spans="1:6" x14ac:dyDescent="0.3">
      <c r="A18" s="2" t="s">
        <v>4638</v>
      </c>
      <c r="B18" s="2" t="s">
        <v>4655</v>
      </c>
      <c r="C18" s="3" t="s">
        <v>4673</v>
      </c>
      <c r="D18" s="2" t="str">
        <f>CONCATENATE(HYPERLINK("CALLTO:%2B356%202141%209787", "+356 2141 9787"))</f>
        <v>+356 2141 9787</v>
      </c>
      <c r="E18" s="3" t="s">
        <v>2889</v>
      </c>
      <c r="F18" s="3" t="s">
        <v>2902</v>
      </c>
    </row>
    <row r="19" spans="1:6" x14ac:dyDescent="0.3">
      <c r="A19" s="4" t="s">
        <v>4638</v>
      </c>
      <c r="B19" s="4" t="s">
        <v>221</v>
      </c>
      <c r="C19" s="5" t="s">
        <v>4676</v>
      </c>
      <c r="D19" s="4" t="str">
        <f>CONCATENATE(HYPERLINK("CALLTO:%2B356%202141%200441", "+356 2141 0441"))</f>
        <v>+356 2141 0441</v>
      </c>
      <c r="E19" s="5" t="s">
        <v>4708</v>
      </c>
      <c r="F19" s="5" t="s">
        <v>4730</v>
      </c>
    </row>
    <row r="20" spans="1:6" x14ac:dyDescent="0.3">
      <c r="A20" s="2" t="s">
        <v>4638</v>
      </c>
      <c r="B20" s="2" t="s">
        <v>4656</v>
      </c>
      <c r="C20" s="2" t="s">
        <v>4675</v>
      </c>
      <c r="D20" s="2" t="str">
        <f>CONCATENATE(HYPERLINK("CALLTO:%2B356%202145%206028", "+356 2145 6028"))</f>
        <v>+356 2145 6028</v>
      </c>
      <c r="E20" s="3" t="s">
        <v>4705</v>
      </c>
      <c r="F20" s="2" t="s">
        <v>146</v>
      </c>
    </row>
    <row r="21" spans="1:6" x14ac:dyDescent="0.3">
      <c r="A21" s="4" t="s">
        <v>4638</v>
      </c>
      <c r="B21" s="4" t="s">
        <v>4657</v>
      </c>
      <c r="C21" s="5" t="s">
        <v>4677</v>
      </c>
      <c r="D21" s="4" t="str">
        <f>CONCATENATE(HYPERLINK("CALLTO:%2B356%202122%206396", "+356 2122 6396"))</f>
        <v>+356 2122 6396</v>
      </c>
      <c r="E21" s="5" t="s">
        <v>4709</v>
      </c>
      <c r="F21" s="4" t="s">
        <v>146</v>
      </c>
    </row>
    <row r="22" spans="1:6" x14ac:dyDescent="0.3">
      <c r="A22" s="2" t="s">
        <v>4638</v>
      </c>
      <c r="B22" s="2" t="s">
        <v>4658</v>
      </c>
      <c r="C22" s="3" t="s">
        <v>4679</v>
      </c>
      <c r="D22" s="2" t="str">
        <f>CONCATENATE(HYPERLINK("CALLTO:%2B356%202182%207421", "+356 2182 7421"))</f>
        <v>+356 2182 7421</v>
      </c>
      <c r="E22" s="3" t="s">
        <v>4710</v>
      </c>
      <c r="F22" s="3" t="s">
        <v>4734</v>
      </c>
    </row>
    <row r="23" spans="1:6" x14ac:dyDescent="0.3">
      <c r="A23" s="4" t="s">
        <v>4638</v>
      </c>
      <c r="B23" s="4" t="s">
        <v>4659</v>
      </c>
      <c r="C23" s="5" t="s">
        <v>4678</v>
      </c>
      <c r="D23" s="4" t="str">
        <f>CONCATENATE(HYPERLINK("CALLTO:%2B356%207940%202368", "+356 7940 2368"))</f>
        <v>+356 7940 2368</v>
      </c>
      <c r="E23" s="5" t="s">
        <v>4711</v>
      </c>
      <c r="F23" s="5" t="s">
        <v>4733</v>
      </c>
    </row>
    <row r="24" spans="1:6" x14ac:dyDescent="0.3">
      <c r="A24" s="2" t="s">
        <v>4638</v>
      </c>
      <c r="B24" s="2" t="s">
        <v>4660</v>
      </c>
      <c r="C24" s="3" t="s">
        <v>4680</v>
      </c>
      <c r="D24" s="2" t="str">
        <f>CONCATENATE(HYPERLINK("CALLTO:%2B356%202123%202190", "+356 2123 2190"))</f>
        <v>+356 2123 2190</v>
      </c>
      <c r="E24" s="3" t="s">
        <v>4712</v>
      </c>
      <c r="F24" s="3" t="s">
        <v>4735</v>
      </c>
    </row>
    <row r="25" spans="1:6" x14ac:dyDescent="0.3">
      <c r="A25" s="4" t="s">
        <v>4638</v>
      </c>
      <c r="B25" s="4" t="s">
        <v>993</v>
      </c>
      <c r="C25" s="5" t="s">
        <v>1015</v>
      </c>
      <c r="D25" s="4" t="str">
        <f>CONCATENATE(HYPERLINK("CALLTO:%2B356%202137%207378", "+356 2137 7378"))</f>
        <v>+356 2137 7378</v>
      </c>
      <c r="E25" s="5" t="s">
        <v>1036</v>
      </c>
      <c r="F25" s="5" t="s">
        <v>1054</v>
      </c>
    </row>
    <row r="26" spans="1:6" x14ac:dyDescent="0.3">
      <c r="A26" s="2" t="s">
        <v>4638</v>
      </c>
      <c r="B26" s="2" t="s">
        <v>3863</v>
      </c>
      <c r="C26" s="3" t="s">
        <v>3868</v>
      </c>
      <c r="D26" s="2" t="str">
        <f>CONCATENATE(HYPERLINK("CALLTO:%2B356%202755%205525", "+356 2755 5525"))</f>
        <v>+356 2755 5525</v>
      </c>
      <c r="E26" s="3" t="s">
        <v>3878</v>
      </c>
      <c r="F26" s="3" t="s">
        <v>3886</v>
      </c>
    </row>
    <row r="27" spans="1:6" x14ac:dyDescent="0.3">
      <c r="A27" s="4" t="s">
        <v>4638</v>
      </c>
      <c r="B27" s="4" t="s">
        <v>4645</v>
      </c>
      <c r="C27" s="5" t="s">
        <v>1633</v>
      </c>
      <c r="D27" s="4" t="str">
        <f>CONCATENATE(HYPERLINK("CALLTO:%2B356%202131%200334", "+356 2131 0334"))</f>
        <v>+356 2131 0334</v>
      </c>
      <c r="E27" s="5" t="s">
        <v>1716</v>
      </c>
      <c r="F27" s="5" t="s">
        <v>1806</v>
      </c>
    </row>
    <row r="28" spans="1:6" x14ac:dyDescent="0.3">
      <c r="A28" s="2" t="s">
        <v>4637</v>
      </c>
      <c r="B28" s="2" t="s">
        <v>2152</v>
      </c>
      <c r="C28" s="3" t="s">
        <v>1505</v>
      </c>
      <c r="D28" s="2" t="str">
        <f>CONCATENATE(HYPERLINK("CALLTO:%2B356%202034%201569", "+356 2034 1569"))</f>
        <v>+356 2034 1569</v>
      </c>
      <c r="E28" s="3" t="s">
        <v>2166</v>
      </c>
      <c r="F28" s="3" t="s">
        <v>4737</v>
      </c>
    </row>
    <row r="29" spans="1:6" x14ac:dyDescent="0.3">
      <c r="A29" s="4" t="s">
        <v>4637</v>
      </c>
      <c r="B29" s="4" t="s">
        <v>3779</v>
      </c>
      <c r="C29" s="5" t="s">
        <v>4681</v>
      </c>
      <c r="D29" s="4" t="str">
        <f>CONCATENATE(HYPERLINK("CALLTO:%2B356%202143%200936", "+356 2143 0936"), " / ", HYPERLINK("CALLTO:%2B356%209943%200936", "+356 9943 0936"))</f>
        <v>+356 2143 0936 / +356 9943 0936</v>
      </c>
      <c r="E29" s="5" t="s">
        <v>4713</v>
      </c>
      <c r="F29" s="5" t="s">
        <v>4738</v>
      </c>
    </row>
    <row r="30" spans="1:6" x14ac:dyDescent="0.3">
      <c r="A30" s="2" t="s">
        <v>4637</v>
      </c>
      <c r="B30" s="2" t="s">
        <v>3789</v>
      </c>
      <c r="C30" s="3" t="s">
        <v>3805</v>
      </c>
      <c r="D30" s="2" t="str">
        <f>CONCATENATE(HYPERLINK("CALLTO:%2B356%207979%204242", "+356 7979 4242"), " / ", HYPERLINK("CALLTO:%2B356%207770%207433", "+356 7770 7433"))</f>
        <v>+356 7979 4242 / +356 7770 7433</v>
      </c>
      <c r="E30" s="3" t="s">
        <v>3825</v>
      </c>
      <c r="F30" s="3" t="s">
        <v>3850</v>
      </c>
    </row>
    <row r="31" spans="1:6" x14ac:dyDescent="0.3">
      <c r="A31" s="4" t="s">
        <v>4637</v>
      </c>
      <c r="B31" s="4" t="s">
        <v>2159</v>
      </c>
      <c r="C31" s="5" t="s">
        <v>2594</v>
      </c>
      <c r="D31" s="4" t="str">
        <f>CONCATENATE(HYPERLINK("CALLTO:%2B356%202141%206753", "+356 2141 6753"))</f>
        <v>+356 2141 6753</v>
      </c>
      <c r="E31" s="5" t="s">
        <v>2611</v>
      </c>
      <c r="F31" s="5" t="s">
        <v>2632</v>
      </c>
    </row>
    <row r="32" spans="1:6" x14ac:dyDescent="0.3">
      <c r="A32" s="2" t="s">
        <v>4637</v>
      </c>
      <c r="B32" s="2" t="s">
        <v>3292</v>
      </c>
      <c r="C32" s="3" t="s">
        <v>3308</v>
      </c>
      <c r="D32" s="2" t="str">
        <f>CONCATENATE(HYPERLINK("CALLTO:%2B356%202141%208411", "+356 2141 8411"), " / ", HYPERLINK("CALLTO:%2B356%202", "+356 2"))</f>
        <v>+356 2141 8411 / +356 2</v>
      </c>
      <c r="E32" s="3" t="s">
        <v>4714</v>
      </c>
      <c r="F32" s="3" t="s">
        <v>1052</v>
      </c>
    </row>
    <row r="33" spans="1:6" x14ac:dyDescent="0.3">
      <c r="A33" s="4" t="s">
        <v>4637</v>
      </c>
      <c r="B33" s="4" t="s">
        <v>4661</v>
      </c>
      <c r="C33" s="5" t="s">
        <v>1937</v>
      </c>
      <c r="D33" s="4" t="str">
        <f>CONCATENATE(HYPERLINK("CALLTO:%2B356%202033%204532", "+356 2033 4532"))</f>
        <v>+356 2033 4532</v>
      </c>
      <c r="E33" s="5" t="s">
        <v>4715</v>
      </c>
      <c r="F33" s="5" t="s">
        <v>2302</v>
      </c>
    </row>
    <row r="34" spans="1:6" x14ac:dyDescent="0.3">
      <c r="A34" s="2" t="s">
        <v>4637</v>
      </c>
      <c r="B34" s="2" t="s">
        <v>3398</v>
      </c>
      <c r="C34" s="2" t="s">
        <v>3489</v>
      </c>
      <c r="D34" s="2" t="str">
        <f>CONCATENATE(HYPERLINK("CALLTO:%2B356%202137%204563", "+356 2137 4563"))</f>
        <v>+356 2137 4563</v>
      </c>
      <c r="E34" s="3" t="s">
        <v>3578</v>
      </c>
      <c r="F34" s="3" t="s">
        <v>743</v>
      </c>
    </row>
    <row r="35" spans="1:6" x14ac:dyDescent="0.3">
      <c r="A35" s="4" t="s">
        <v>3397</v>
      </c>
      <c r="B35" s="4" t="s">
        <v>3399</v>
      </c>
      <c r="C35" s="5" t="s">
        <v>3490</v>
      </c>
      <c r="D35" s="4" t="str">
        <f>CONCATENATE(HYPERLINK("CALLTO:%2B356%209989%209781", "+356 9989 9781"), " / ", HYPERLINK("CALLTO:%2B356%209942%204136", "+356 9942 4136"))</f>
        <v>+356 9989 9781 / +356 9942 4136</v>
      </c>
      <c r="E35" s="5" t="s">
        <v>3579</v>
      </c>
      <c r="F35" s="5" t="s">
        <v>3670</v>
      </c>
    </row>
    <row r="36" spans="1:6" x14ac:dyDescent="0.3">
      <c r="A36" s="2" t="s">
        <v>3397</v>
      </c>
      <c r="B36" s="2" t="s">
        <v>3400</v>
      </c>
      <c r="C36" s="3" t="s">
        <v>3491</v>
      </c>
      <c r="D36" s="2" t="str">
        <f>CONCATENATE(HYPERLINK("CALLTO:%2B356%202141%203044", "+356 2141 3044"))</f>
        <v>+356 2141 3044</v>
      </c>
      <c r="E36" s="3" t="s">
        <v>3580</v>
      </c>
      <c r="F36" s="3" t="s">
        <v>3671</v>
      </c>
    </row>
    <row r="37" spans="1:6" x14ac:dyDescent="0.3">
      <c r="A37" s="4" t="s">
        <v>3397</v>
      </c>
      <c r="B37" s="4" t="s">
        <v>3401</v>
      </c>
      <c r="C37" s="5" t="s">
        <v>3492</v>
      </c>
      <c r="D37" s="4" t="str">
        <f>CONCATENATE(HYPERLINK("CALLTO:%2B356%202141%209787", "+356 2141 9787"))</f>
        <v>+356 2141 9787</v>
      </c>
      <c r="E37" s="5" t="s">
        <v>3581</v>
      </c>
      <c r="F37" s="5" t="s">
        <v>2902</v>
      </c>
    </row>
    <row r="38" spans="1:6" x14ac:dyDescent="0.3">
      <c r="A38" s="2" t="s">
        <v>3397</v>
      </c>
      <c r="B38" s="2" t="s">
        <v>3402</v>
      </c>
      <c r="C38" s="3" t="s">
        <v>3493</v>
      </c>
      <c r="D38" s="2" t="str">
        <f>CONCATENATE(HYPERLINK("CALLTO:%2B356%202134%204620", "+356 2134 4620"))</f>
        <v>+356 2134 4620</v>
      </c>
      <c r="E38" s="3" t="s">
        <v>3582</v>
      </c>
      <c r="F38" s="3" t="s">
        <v>3672</v>
      </c>
    </row>
    <row r="39" spans="1:6" x14ac:dyDescent="0.3">
      <c r="A39" s="4" t="s">
        <v>3397</v>
      </c>
      <c r="B39" s="4" t="s">
        <v>3407</v>
      </c>
      <c r="C39" s="5" t="s">
        <v>3498</v>
      </c>
      <c r="D39" s="4" t="str">
        <f>CONCATENATE(HYPERLINK("CALLTO:%2B356%207996%200410", "+356 7996 0410"))</f>
        <v>+356 7996 0410</v>
      </c>
      <c r="E39" s="5" t="s">
        <v>3587</v>
      </c>
      <c r="F39" s="4" t="s">
        <v>146</v>
      </c>
    </row>
    <row r="40" spans="1:6" x14ac:dyDescent="0.3">
      <c r="A40" s="2" t="s">
        <v>3397</v>
      </c>
      <c r="B40" s="2" t="s">
        <v>3403</v>
      </c>
      <c r="C40" s="3" t="s">
        <v>3494</v>
      </c>
      <c r="D40" s="2" t="str">
        <f>CONCATENATE(HYPERLINK("CALLTO:%2B356%202125%207400", "+356 2125 7400"))</f>
        <v>+356 2125 7400</v>
      </c>
      <c r="E40" s="3" t="s">
        <v>3583</v>
      </c>
      <c r="F40" s="3" t="s">
        <v>3673</v>
      </c>
    </row>
    <row r="41" spans="1:6" x14ac:dyDescent="0.3">
      <c r="A41" s="4" t="s">
        <v>3397</v>
      </c>
      <c r="B41" s="4" t="s">
        <v>3404</v>
      </c>
      <c r="C41" s="5" t="s">
        <v>3495</v>
      </c>
      <c r="D41" s="4" t="str">
        <f>CONCATENATE(HYPERLINK("CALLTO:%2B356%209947%205183", "+356 9947 5183"))</f>
        <v>+356 9947 5183</v>
      </c>
      <c r="E41" s="5" t="s">
        <v>3584</v>
      </c>
      <c r="F41" s="5" t="s">
        <v>3674</v>
      </c>
    </row>
    <row r="42" spans="1:6" x14ac:dyDescent="0.3">
      <c r="A42" s="2" t="s">
        <v>3397</v>
      </c>
      <c r="B42" s="2" t="s">
        <v>3405</v>
      </c>
      <c r="C42" s="3" t="s">
        <v>3496</v>
      </c>
      <c r="D42" s="2" t="str">
        <f>CONCATENATE(HYPERLINK("CALLTO:%2B356%202182%204287", "+356 2182 4287"))</f>
        <v>+356 2182 4287</v>
      </c>
      <c r="E42" s="3" t="s">
        <v>3585</v>
      </c>
      <c r="F42" s="3" t="s">
        <v>3675</v>
      </c>
    </row>
    <row r="43" spans="1:6" x14ac:dyDescent="0.3">
      <c r="A43" s="4" t="s">
        <v>3397</v>
      </c>
      <c r="B43" s="4" t="s">
        <v>3406</v>
      </c>
      <c r="C43" s="5" t="s">
        <v>3497</v>
      </c>
      <c r="D43" s="4" t="str">
        <f>CONCATENATE(HYPERLINK("CALLTO:%2B356%202155%201166", "+356 2155 1166"))</f>
        <v>+356 2155 1166</v>
      </c>
      <c r="E43" s="5" t="s">
        <v>3586</v>
      </c>
      <c r="F43" s="5" t="s">
        <v>3676</v>
      </c>
    </row>
    <row r="44" spans="1:6" x14ac:dyDescent="0.3">
      <c r="A44" s="2" t="s">
        <v>3397</v>
      </c>
      <c r="B44" s="2" t="s">
        <v>3412</v>
      </c>
      <c r="C44" s="3" t="s">
        <v>3503</v>
      </c>
      <c r="D44" s="2" t="str">
        <f>CONCATENATE(HYPERLINK("CALLTO:%2B356%209946%209316", "+356 9946 9316"))</f>
        <v>+356 9946 9316</v>
      </c>
      <c r="E44" s="3" t="s">
        <v>3592</v>
      </c>
      <c r="F44" s="3" t="s">
        <v>3680</v>
      </c>
    </row>
    <row r="45" spans="1:6" x14ac:dyDescent="0.3">
      <c r="A45" s="4" t="s">
        <v>3397</v>
      </c>
      <c r="B45" s="4" t="s">
        <v>3482</v>
      </c>
      <c r="C45" s="5" t="s">
        <v>3567</v>
      </c>
      <c r="D45" s="4" t="str">
        <f>CONCATENATE(HYPERLINK("CALLTO:%2B356%209982%202867", "+356 9982 2867"))</f>
        <v>+356 9982 2867</v>
      </c>
      <c r="E45" s="5" t="s">
        <v>3662</v>
      </c>
      <c r="F45" s="5" t="s">
        <v>4739</v>
      </c>
    </row>
    <row r="46" spans="1:6" x14ac:dyDescent="0.3">
      <c r="A46" s="2" t="s">
        <v>3397</v>
      </c>
      <c r="B46" s="2" t="s">
        <v>3408</v>
      </c>
      <c r="C46" s="3" t="s">
        <v>3499</v>
      </c>
      <c r="D46" s="2" t="str">
        <f>CONCATENATE(HYPERLINK("CALLTO:%2B356%209947%206549", "+356 9947 6549"))</f>
        <v>+356 9947 6549</v>
      </c>
      <c r="E46" s="3" t="s">
        <v>3588</v>
      </c>
      <c r="F46" s="2" t="s">
        <v>146</v>
      </c>
    </row>
    <row r="47" spans="1:6" x14ac:dyDescent="0.3">
      <c r="A47" s="4" t="s">
        <v>3397</v>
      </c>
      <c r="B47" s="4" t="s">
        <v>3409</v>
      </c>
      <c r="C47" s="5" t="s">
        <v>3500</v>
      </c>
      <c r="D47" s="4" t="str">
        <f>CONCATENATE(HYPERLINK("CALLTO:%2B356%202148%203389", "+356 2148 3389"), " / ", HYPERLINK("CALLTO:%2B356%209945%204376", "+356 9945 4376"), " / ", HYPERLINK("CALLTO:%2B356%209988%205657", "+356 9988 5657"))</f>
        <v>+356 2148 3389 / +356 9945 4376 / +356 9988 5657</v>
      </c>
      <c r="E47" s="5" t="s">
        <v>3589</v>
      </c>
      <c r="F47" s="5" t="s">
        <v>3677</v>
      </c>
    </row>
    <row r="48" spans="1:6" x14ac:dyDescent="0.3">
      <c r="A48" s="2" t="s">
        <v>3397</v>
      </c>
      <c r="B48" s="2" t="s">
        <v>3410</v>
      </c>
      <c r="C48" s="3" t="s">
        <v>3501</v>
      </c>
      <c r="D48" s="2" t="str">
        <f>CONCATENATE(HYPERLINK("CALLTO:%2B356%209942%202429", "+356 9942 2429"))</f>
        <v>+356 9942 2429</v>
      </c>
      <c r="E48" s="3" t="s">
        <v>3590</v>
      </c>
      <c r="F48" s="3" t="s">
        <v>3678</v>
      </c>
    </row>
    <row r="49" spans="1:6" x14ac:dyDescent="0.3">
      <c r="A49" s="4" t="s">
        <v>3397</v>
      </c>
      <c r="B49" s="4" t="s">
        <v>3411</v>
      </c>
      <c r="C49" s="5" t="s">
        <v>4682</v>
      </c>
      <c r="D49" s="4" t="str">
        <f>CONCATENATE(HYPERLINK("CALLTO:%2B356%209947%203598", "+356 9947 3598"))</f>
        <v>+356 9947 3598</v>
      </c>
      <c r="E49" s="5" t="s">
        <v>3591</v>
      </c>
      <c r="F49" s="5" t="s">
        <v>3679</v>
      </c>
    </row>
    <row r="50" spans="1:6" x14ac:dyDescent="0.3">
      <c r="A50" s="2" t="s">
        <v>3397</v>
      </c>
      <c r="B50" s="2" t="s">
        <v>4662</v>
      </c>
      <c r="C50" s="3" t="s">
        <v>4683</v>
      </c>
      <c r="D50" s="2" t="str">
        <f>CONCATENATE(HYPERLINK("CALLTO:%2B356%209947%204358", "+356 9947 4358"))</f>
        <v>+356 9947 4358</v>
      </c>
      <c r="E50" s="3" t="s">
        <v>4716</v>
      </c>
      <c r="F50" s="3" t="s">
        <v>4740</v>
      </c>
    </row>
    <row r="51" spans="1:6" x14ac:dyDescent="0.3">
      <c r="A51" s="4" t="s">
        <v>3397</v>
      </c>
      <c r="B51" s="4" t="s">
        <v>3414</v>
      </c>
      <c r="C51" s="5" t="s">
        <v>708</v>
      </c>
      <c r="D51" s="4" t="str">
        <f>CONCATENATE(HYPERLINK("CALLTO:%2B356%202146%204761", "+356 2146 4761"))</f>
        <v>+356 2146 4761</v>
      </c>
      <c r="E51" s="5" t="s">
        <v>3594</v>
      </c>
      <c r="F51" s="5" t="s">
        <v>750</v>
      </c>
    </row>
    <row r="52" spans="1:6" x14ac:dyDescent="0.3">
      <c r="A52" s="2" t="s">
        <v>3397</v>
      </c>
      <c r="B52" s="2" t="s">
        <v>3413</v>
      </c>
      <c r="C52" s="3" t="s">
        <v>3504</v>
      </c>
      <c r="D52" s="2" t="str">
        <f>CONCATENATE(HYPERLINK("CALLTO:%2B356%209909%200706", "+356 9909 0706"))</f>
        <v>+356 9909 0706</v>
      </c>
      <c r="E52" s="3" t="s">
        <v>3593</v>
      </c>
      <c r="F52" s="3" t="s">
        <v>3681</v>
      </c>
    </row>
    <row r="53" spans="1:6" x14ac:dyDescent="0.3">
      <c r="A53" s="4" t="s">
        <v>3397</v>
      </c>
      <c r="B53" s="4" t="s">
        <v>3417</v>
      </c>
      <c r="C53" s="5" t="s">
        <v>3507</v>
      </c>
      <c r="D53" s="4" t="str">
        <f>CONCATENATE(HYPERLINK("CALLTO:%2B356%209947%201116", "+356 9947 1116"))</f>
        <v>+356 9947 1116</v>
      </c>
      <c r="E53" s="5" t="s">
        <v>3597</v>
      </c>
      <c r="F53" s="5" t="s">
        <v>4741</v>
      </c>
    </row>
    <row r="54" spans="1:6" x14ac:dyDescent="0.3">
      <c r="A54" s="2" t="s">
        <v>3397</v>
      </c>
      <c r="B54" s="2" t="s">
        <v>3415</v>
      </c>
      <c r="C54" s="3" t="s">
        <v>3505</v>
      </c>
      <c r="D54" s="2" t="str">
        <f>CONCATENATE(HYPERLINK("CALLTO:%2B356%209944%203727", "+356 9944 3727"), " / ", HYPERLINK("CALLTO:%2B356%209944%203727", "+356 9944 3727"))</f>
        <v>+356 9944 3727 / +356 9944 3727</v>
      </c>
      <c r="E54" s="3" t="s">
        <v>3595</v>
      </c>
      <c r="F54" s="3" t="s">
        <v>3682</v>
      </c>
    </row>
    <row r="55" spans="1:6" x14ac:dyDescent="0.3">
      <c r="A55" s="4" t="s">
        <v>3397</v>
      </c>
      <c r="B55" s="4" t="s">
        <v>3416</v>
      </c>
      <c r="C55" s="5" t="s">
        <v>3506</v>
      </c>
      <c r="D55" s="4" t="str">
        <f>CONCATENATE(HYPERLINK("CALLTO:%2B356%209949%208678", "+356 9949 8678"))</f>
        <v>+356 9949 8678</v>
      </c>
      <c r="E55" s="5" t="s">
        <v>3596</v>
      </c>
      <c r="F55" s="5" t="s">
        <v>3683</v>
      </c>
    </row>
    <row r="56" spans="1:6" x14ac:dyDescent="0.3">
      <c r="A56" s="2" t="s">
        <v>3397</v>
      </c>
      <c r="B56" s="2" t="s">
        <v>3418</v>
      </c>
      <c r="C56" s="3" t="s">
        <v>3508</v>
      </c>
      <c r="D56" s="2" t="str">
        <f>CONCATENATE(HYPERLINK("CALLTO:%2B356%209940%203980", "+356 9940 3980"))</f>
        <v>+356 9940 3980</v>
      </c>
      <c r="E56" s="3" t="s">
        <v>3598</v>
      </c>
      <c r="F56" s="3" t="s">
        <v>3685</v>
      </c>
    </row>
    <row r="57" spans="1:6" x14ac:dyDescent="0.3">
      <c r="A57" s="4" t="s">
        <v>3397</v>
      </c>
      <c r="B57" s="4" t="s">
        <v>3419</v>
      </c>
      <c r="C57" s="5" t="s">
        <v>3509</v>
      </c>
      <c r="D57" s="4" t="str">
        <f>CONCATENATE(HYPERLINK("CALLTO:%2B356%207922%207976", "+356 7922 7976"))</f>
        <v>+356 7922 7976</v>
      </c>
      <c r="E57" s="5" t="s">
        <v>3599</v>
      </c>
      <c r="F57" s="5" t="s">
        <v>3686</v>
      </c>
    </row>
    <row r="58" spans="1:6" x14ac:dyDescent="0.3">
      <c r="A58" s="2" t="s">
        <v>3397</v>
      </c>
      <c r="B58" s="2" t="s">
        <v>3420</v>
      </c>
      <c r="C58" s="3" t="s">
        <v>3510</v>
      </c>
      <c r="D58" s="2" t="str">
        <f>CONCATENATE(HYPERLINK("CALLTO:%2B356%209942%205030", "+356 9942 5030"))</f>
        <v>+356 9942 5030</v>
      </c>
      <c r="E58" s="3" t="s">
        <v>3600</v>
      </c>
      <c r="F58" s="2" t="s">
        <v>146</v>
      </c>
    </row>
    <row r="59" spans="1:6" x14ac:dyDescent="0.3">
      <c r="A59" s="4" t="s">
        <v>3397</v>
      </c>
      <c r="B59" s="4" t="s">
        <v>3421</v>
      </c>
      <c r="C59" s="5" t="s">
        <v>3511</v>
      </c>
      <c r="D59" s="4" t="str">
        <f>CONCATENATE(HYPERLINK("CALLTO:%2B356%207944%209303", "+356 7944 9303"))</f>
        <v>+356 7944 9303</v>
      </c>
      <c r="E59" s="5" t="s">
        <v>3601</v>
      </c>
      <c r="F59" s="5" t="s">
        <v>3687</v>
      </c>
    </row>
    <row r="60" spans="1:6" x14ac:dyDescent="0.3">
      <c r="A60" s="2" t="s">
        <v>3397</v>
      </c>
      <c r="B60" s="2" t="s">
        <v>4663</v>
      </c>
      <c r="C60" s="3" t="s">
        <v>4684</v>
      </c>
      <c r="D60" s="2" t="str">
        <f>CONCATENATE(HYPERLINK("CALLTO:%2B356%202147%202304", "+356 2147 2304"))</f>
        <v>+356 2147 2304</v>
      </c>
      <c r="E60" s="3" t="s">
        <v>4717</v>
      </c>
      <c r="F60" s="3" t="s">
        <v>4742</v>
      </c>
    </row>
    <row r="61" spans="1:6" x14ac:dyDescent="0.3">
      <c r="A61" s="4" t="s">
        <v>3397</v>
      </c>
      <c r="B61" s="4" t="s">
        <v>3483</v>
      </c>
      <c r="C61" s="5" t="s">
        <v>3568</v>
      </c>
      <c r="D61" s="4" t="str">
        <f>CONCATENATE(HYPERLINK("CALLTO:%2B356%202713%203292", "+356 2713 3292"))</f>
        <v>+356 2713 3292</v>
      </c>
      <c r="E61" s="5" t="s">
        <v>3663</v>
      </c>
      <c r="F61" s="5" t="s">
        <v>3735</v>
      </c>
    </row>
    <row r="62" spans="1:6" x14ac:dyDescent="0.3">
      <c r="A62" s="2" t="s">
        <v>3397</v>
      </c>
      <c r="B62" s="2" t="s">
        <v>3422</v>
      </c>
      <c r="C62" s="3" t="s">
        <v>3512</v>
      </c>
      <c r="D62" s="2" t="str">
        <f>CONCATENATE(HYPERLINK("CALLTO:%2B356%207996%202212", "+356 7996 2212"))</f>
        <v>+356 7996 2212</v>
      </c>
      <c r="E62" s="3" t="s">
        <v>3602</v>
      </c>
      <c r="F62" s="2" t="s">
        <v>146</v>
      </c>
    </row>
    <row r="63" spans="1:6" x14ac:dyDescent="0.3">
      <c r="A63" s="4" t="s">
        <v>3397</v>
      </c>
      <c r="B63" s="4" t="s">
        <v>3423</v>
      </c>
      <c r="C63" s="5" t="s">
        <v>3513</v>
      </c>
      <c r="D63" s="4" t="str">
        <f>CONCATENATE(HYPERLINK("CALLTO:%2B356%209949%201398", "+356 9949 1398"))</f>
        <v>+356 9949 1398</v>
      </c>
      <c r="E63" s="5" t="s">
        <v>3603</v>
      </c>
      <c r="F63" s="4" t="s">
        <v>146</v>
      </c>
    </row>
    <row r="64" spans="1:6" x14ac:dyDescent="0.3">
      <c r="A64" s="2" t="s">
        <v>3397</v>
      </c>
      <c r="B64" s="2" t="s">
        <v>3424</v>
      </c>
      <c r="C64" s="3" t="s">
        <v>3514</v>
      </c>
      <c r="D64" s="2" t="str">
        <f>CONCATENATE(HYPERLINK("CALLTO:%2B356%207923%206634", "+356 7923 6634"))</f>
        <v>+356 7923 6634</v>
      </c>
      <c r="E64" s="3" t="s">
        <v>3604</v>
      </c>
      <c r="F64" s="2" t="s">
        <v>146</v>
      </c>
    </row>
    <row r="65" spans="1:6" x14ac:dyDescent="0.3">
      <c r="A65" s="4" t="s">
        <v>3397</v>
      </c>
      <c r="B65" s="4" t="s">
        <v>3425</v>
      </c>
      <c r="C65" s="5" t="s">
        <v>3515</v>
      </c>
      <c r="D65" s="4" t="str">
        <f>CONCATENATE(HYPERLINK("CALLTO:%2B356%202145%206570", "+356 2145 6570"))</f>
        <v>+356 2145 6570</v>
      </c>
      <c r="E65" s="5" t="s">
        <v>3605</v>
      </c>
      <c r="F65" s="5" t="s">
        <v>3688</v>
      </c>
    </row>
    <row r="66" spans="1:6" x14ac:dyDescent="0.3">
      <c r="A66" s="2" t="s">
        <v>3397</v>
      </c>
      <c r="B66" s="2" t="s">
        <v>3484</v>
      </c>
      <c r="C66" s="3" t="s">
        <v>3569</v>
      </c>
      <c r="D66" s="2" t="str">
        <f>CONCATENATE(HYPERLINK("CALLTO:%2B356%209942%202382", "+356 9942 2382"))</f>
        <v>+356 9942 2382</v>
      </c>
      <c r="E66" s="3" t="s">
        <v>3664</v>
      </c>
      <c r="F66" s="3" t="s">
        <v>3736</v>
      </c>
    </row>
    <row r="67" spans="1:6" x14ac:dyDescent="0.3">
      <c r="A67" s="4" t="s">
        <v>3397</v>
      </c>
      <c r="B67" s="4" t="s">
        <v>3426</v>
      </c>
      <c r="C67" s="5" t="s">
        <v>3516</v>
      </c>
      <c r="D67" s="4" t="str">
        <f>CONCATENATE(HYPERLINK("CALLTO:%2B356%209982%208812", "+356 9982 8812"))</f>
        <v>+356 9982 8812</v>
      </c>
      <c r="E67" s="5" t="s">
        <v>3606</v>
      </c>
      <c r="F67" s="4" t="s">
        <v>146</v>
      </c>
    </row>
    <row r="68" spans="1:6" x14ac:dyDescent="0.3">
      <c r="A68" s="2" t="s">
        <v>3397</v>
      </c>
      <c r="B68" s="2" t="s">
        <v>3427</v>
      </c>
      <c r="C68" s="3" t="s">
        <v>3517</v>
      </c>
      <c r="D68" s="2" t="str">
        <f>CONCATENATE(HYPERLINK("CALLTO:%2B356%207967%205584", "+356 7967 5584"))</f>
        <v>+356 7967 5584</v>
      </c>
      <c r="E68" s="3" t="s">
        <v>3607</v>
      </c>
      <c r="F68" s="2" t="s">
        <v>146</v>
      </c>
    </row>
    <row r="69" spans="1:6" x14ac:dyDescent="0.3">
      <c r="A69" s="4" t="s">
        <v>3397</v>
      </c>
      <c r="B69" s="4" t="s">
        <v>3428</v>
      </c>
      <c r="C69" s="5" t="s">
        <v>3518</v>
      </c>
      <c r="D69" s="4" t="str">
        <f>CONCATENATE(HYPERLINK("CALLTO:%2B356%207925%206551", "+356 7925 6551"))</f>
        <v>+356 7925 6551</v>
      </c>
      <c r="E69" s="5" t="s">
        <v>3608</v>
      </c>
      <c r="F69" s="5" t="s">
        <v>3689</v>
      </c>
    </row>
    <row r="70" spans="1:6" x14ac:dyDescent="0.3">
      <c r="A70" s="2" t="s">
        <v>3397</v>
      </c>
      <c r="B70" s="2" t="s">
        <v>3429</v>
      </c>
      <c r="C70" s="3" t="s">
        <v>4685</v>
      </c>
      <c r="D70" s="2" t="str">
        <f>CONCATENATE(HYPERLINK("CALLTO:%2B356%202124%201922", "+356 2124 1922"))</f>
        <v>+356 2124 1922</v>
      </c>
      <c r="E70" s="3" t="s">
        <v>3609</v>
      </c>
      <c r="F70" s="3" t="s">
        <v>3690</v>
      </c>
    </row>
    <row r="71" spans="1:6" x14ac:dyDescent="0.3">
      <c r="A71" s="4" t="s">
        <v>3397</v>
      </c>
      <c r="B71" s="4" t="s">
        <v>3430</v>
      </c>
      <c r="C71" s="5" t="s">
        <v>3520</v>
      </c>
      <c r="D71" s="4" t="str">
        <f>CONCATENATE(HYPERLINK("CALLTO:%2B356%202149%201643", "+356 2149 1643"))</f>
        <v>+356 2149 1643</v>
      </c>
      <c r="E71" s="5" t="s">
        <v>3610</v>
      </c>
      <c r="F71" s="5" t="s">
        <v>3691</v>
      </c>
    </row>
    <row r="72" spans="1:6" x14ac:dyDescent="0.3">
      <c r="A72" s="2" t="s">
        <v>3397</v>
      </c>
      <c r="B72" s="2" t="s">
        <v>3431</v>
      </c>
      <c r="C72" s="3" t="s">
        <v>3521</v>
      </c>
      <c r="D72" s="2" t="str">
        <f>CONCATENATE(HYPERLINK("CALLTO:%2B356%209986%202647", "+356 9986 2647"))</f>
        <v>+356 9986 2647</v>
      </c>
      <c r="E72" s="3" t="s">
        <v>3611</v>
      </c>
      <c r="F72" s="3" t="s">
        <v>3692</v>
      </c>
    </row>
    <row r="73" spans="1:6" x14ac:dyDescent="0.3">
      <c r="A73" s="4" t="s">
        <v>3397</v>
      </c>
      <c r="B73" s="4" t="s">
        <v>3432</v>
      </c>
      <c r="C73" s="5" t="s">
        <v>3522</v>
      </c>
      <c r="D73" s="4" t="str">
        <f>CONCATENATE(HYPERLINK("CALLTO:%2B356%209927%207571", "+356 9927 7571"))</f>
        <v>+356 9927 7571</v>
      </c>
      <c r="E73" s="5" t="s">
        <v>3612</v>
      </c>
      <c r="F73" s="5" t="s">
        <v>3693</v>
      </c>
    </row>
    <row r="74" spans="1:6" x14ac:dyDescent="0.3">
      <c r="A74" s="2" t="s">
        <v>3397</v>
      </c>
      <c r="B74" s="2" t="s">
        <v>3433</v>
      </c>
      <c r="C74" s="3" t="s">
        <v>3523</v>
      </c>
      <c r="D74" s="2" t="str">
        <f>CONCATENATE(HYPERLINK("CALLTO:%2B356%202149%202432", "+356 2149 2432"))</f>
        <v>+356 2149 2432</v>
      </c>
      <c r="E74" s="3" t="s">
        <v>3613</v>
      </c>
      <c r="F74" s="3" t="s">
        <v>3694</v>
      </c>
    </row>
    <row r="75" spans="1:6" x14ac:dyDescent="0.3">
      <c r="A75" s="4" t="s">
        <v>3397</v>
      </c>
      <c r="B75" s="4" t="s">
        <v>3434</v>
      </c>
      <c r="C75" s="5" t="s">
        <v>3524</v>
      </c>
      <c r="D75" s="4" t="str">
        <f>CONCATENATE(HYPERLINK("CALLTO:%2B356%207905%208588", "+356 7905 8588"))</f>
        <v>+356 7905 8588</v>
      </c>
      <c r="E75" s="5" t="s">
        <v>3614</v>
      </c>
      <c r="F75" s="5" t="s">
        <v>3695</v>
      </c>
    </row>
    <row r="76" spans="1:6" x14ac:dyDescent="0.3">
      <c r="A76" s="2" t="s">
        <v>3397</v>
      </c>
      <c r="B76" s="2" t="s">
        <v>3435</v>
      </c>
      <c r="C76" s="3" t="s">
        <v>3526</v>
      </c>
      <c r="D76" s="2" t="str">
        <f>CONCATENATE(HYPERLINK("CALLTO:%2B356%209920%207248", "+356 9920 7248"))</f>
        <v>+356 9920 7248</v>
      </c>
      <c r="E76" s="3" t="s">
        <v>1768</v>
      </c>
      <c r="F76" s="3" t="s">
        <v>3696</v>
      </c>
    </row>
    <row r="77" spans="1:6" x14ac:dyDescent="0.3">
      <c r="A77" s="4" t="s">
        <v>3397</v>
      </c>
      <c r="B77" s="4" t="s">
        <v>3436</v>
      </c>
      <c r="C77" s="5" t="s">
        <v>3525</v>
      </c>
      <c r="D77" s="4" t="str">
        <f>CONCATENATE(HYPERLINK("CALLTO:%2B356%209949%204304", "+356 9949 4304"))</f>
        <v>+356 9949 4304</v>
      </c>
      <c r="E77" s="5" t="s">
        <v>3615</v>
      </c>
      <c r="F77" s="5" t="s">
        <v>3697</v>
      </c>
    </row>
    <row r="78" spans="1:6" x14ac:dyDescent="0.3">
      <c r="A78" s="2" t="s">
        <v>3397</v>
      </c>
      <c r="B78" s="2" t="s">
        <v>3437</v>
      </c>
      <c r="C78" s="3" t="s">
        <v>3527</v>
      </c>
      <c r="D78" s="2" t="str">
        <f>CONCATENATE(HYPERLINK("CALLTO:%2B356%207732%200648", "+356 7732 0648"))</f>
        <v>+356 7732 0648</v>
      </c>
      <c r="E78" s="3" t="s">
        <v>3616</v>
      </c>
      <c r="F78" s="3" t="s">
        <v>3698</v>
      </c>
    </row>
    <row r="79" spans="1:6" x14ac:dyDescent="0.3">
      <c r="A79" s="4" t="s">
        <v>3397</v>
      </c>
      <c r="B79" s="4" t="s">
        <v>4664</v>
      </c>
      <c r="C79" s="5" t="s">
        <v>4686</v>
      </c>
      <c r="D79" s="4" t="str">
        <f>CONCATENATE(HYPERLINK("CALLTO:%2B356%207906%203704", "+356 7906 3704"))</f>
        <v>+356 7906 3704</v>
      </c>
      <c r="E79" s="5" t="s">
        <v>4718</v>
      </c>
      <c r="F79" s="4" t="s">
        <v>146</v>
      </c>
    </row>
    <row r="80" spans="1:6" x14ac:dyDescent="0.3">
      <c r="A80" s="2" t="s">
        <v>3397</v>
      </c>
      <c r="B80" s="2" t="s">
        <v>3485</v>
      </c>
      <c r="C80" s="3" t="s">
        <v>4687</v>
      </c>
      <c r="D80" s="2" t="str">
        <f>CONCATENATE(HYPERLINK("CALLTO:%2B356%209986%207777", "+356 9986 7777"))</f>
        <v>+356 9986 7777</v>
      </c>
      <c r="E80" s="3" t="s">
        <v>3665</v>
      </c>
      <c r="F80" s="3" t="s">
        <v>3737</v>
      </c>
    </row>
    <row r="81" spans="1:6" x14ac:dyDescent="0.3">
      <c r="A81" s="4" t="s">
        <v>3397</v>
      </c>
      <c r="B81" s="4" t="s">
        <v>3438</v>
      </c>
      <c r="C81" s="5" t="s">
        <v>3528</v>
      </c>
      <c r="D81" s="4" t="str">
        <f>CONCATENATE(HYPERLINK("CALLTO:%2B356%209942%204050", "+356 9942 4050"))</f>
        <v>+356 9942 4050</v>
      </c>
      <c r="E81" s="5" t="s">
        <v>3617</v>
      </c>
      <c r="F81" s="5" t="s">
        <v>3699</v>
      </c>
    </row>
    <row r="82" spans="1:6" x14ac:dyDescent="0.3">
      <c r="A82" s="2" t="s">
        <v>3397</v>
      </c>
      <c r="B82" s="2" t="s">
        <v>3439</v>
      </c>
      <c r="C82" s="3" t="s">
        <v>3529</v>
      </c>
      <c r="D82" s="2" t="str">
        <f>CONCATENATE(HYPERLINK("CALLTO:%2B356%207926%202163", "+356 7926 2163"))</f>
        <v>+356 7926 2163</v>
      </c>
      <c r="E82" s="3" t="s">
        <v>3618</v>
      </c>
      <c r="F82" s="3" t="s">
        <v>3700</v>
      </c>
    </row>
    <row r="83" spans="1:6" x14ac:dyDescent="0.3">
      <c r="A83" s="4" t="s">
        <v>3397</v>
      </c>
      <c r="B83" s="4" t="s">
        <v>3440</v>
      </c>
      <c r="C83" s="5" t="s">
        <v>3530</v>
      </c>
      <c r="D83" s="4" t="str">
        <f>CONCATENATE(HYPERLINK("CALLTO:%2B356%207798%200389", "+356 7798 0389"))</f>
        <v>+356 7798 0389</v>
      </c>
      <c r="E83" s="5" t="s">
        <v>3619</v>
      </c>
      <c r="F83" s="5" t="s">
        <v>3701</v>
      </c>
    </row>
    <row r="84" spans="1:6" x14ac:dyDescent="0.3">
      <c r="A84" s="2" t="s">
        <v>3397</v>
      </c>
      <c r="B84" s="2" t="s">
        <v>3441</v>
      </c>
      <c r="C84" s="3" t="s">
        <v>4688</v>
      </c>
      <c r="D84" s="2" t="str">
        <f>CONCATENATE(HYPERLINK("CALLTO:%2B356%202149%200588", "+356 2149 0588"))</f>
        <v>+356 2149 0588</v>
      </c>
      <c r="E84" s="3" t="s">
        <v>3620</v>
      </c>
      <c r="F84" s="3" t="s">
        <v>3702</v>
      </c>
    </row>
    <row r="85" spans="1:6" x14ac:dyDescent="0.3">
      <c r="A85" s="4" t="s">
        <v>3397</v>
      </c>
      <c r="B85" s="4" t="s">
        <v>3442</v>
      </c>
      <c r="C85" s="5" t="s">
        <v>3532</v>
      </c>
      <c r="D85" s="4" t="str">
        <f>CONCATENATE(HYPERLINK("CALLTO:%2B356%209982%205244", "+356 9982 5244"))</f>
        <v>+356 9982 5244</v>
      </c>
      <c r="E85" s="5" t="s">
        <v>3621</v>
      </c>
      <c r="F85" s="4" t="s">
        <v>146</v>
      </c>
    </row>
    <row r="86" spans="1:6" x14ac:dyDescent="0.3">
      <c r="A86" s="2" t="s">
        <v>3397</v>
      </c>
      <c r="B86" s="2" t="s">
        <v>3486</v>
      </c>
      <c r="C86" s="3" t="s">
        <v>3572</v>
      </c>
      <c r="D86" s="2" t="str">
        <f>CONCATENATE(HYPERLINK("CALLTO:%2B356%202762%206262", "+356 2762 6262"))</f>
        <v>+356 2762 6262</v>
      </c>
      <c r="E86" s="3" t="s">
        <v>3666</v>
      </c>
      <c r="F86" s="3" t="s">
        <v>4743</v>
      </c>
    </row>
    <row r="87" spans="1:6" x14ac:dyDescent="0.3">
      <c r="A87" s="4" t="s">
        <v>3397</v>
      </c>
      <c r="B87" s="4" t="s">
        <v>3443</v>
      </c>
      <c r="C87" s="5" t="s">
        <v>3533</v>
      </c>
      <c r="D87" s="4" t="str">
        <f>CONCATENATE(HYPERLINK("CALLTO:%2B356%209924%202312", "+356 9924 2312"))</f>
        <v>+356 9924 2312</v>
      </c>
      <c r="E87" s="5" t="s">
        <v>3622</v>
      </c>
      <c r="F87" s="5" t="s">
        <v>3703</v>
      </c>
    </row>
    <row r="88" spans="1:6" x14ac:dyDescent="0.3">
      <c r="A88" s="2" t="s">
        <v>3397</v>
      </c>
      <c r="B88" s="2" t="s">
        <v>682</v>
      </c>
      <c r="C88" s="3" t="s">
        <v>710</v>
      </c>
      <c r="D88" s="2" t="str">
        <f>CONCATENATE(HYPERLINK("CALLTO:%2B356%202145%202831", "+356 2145 2831"))</f>
        <v>+356 2145 2831</v>
      </c>
      <c r="E88" s="3" t="s">
        <v>3623</v>
      </c>
      <c r="F88" s="3" t="s">
        <v>3704</v>
      </c>
    </row>
    <row r="89" spans="1:6" x14ac:dyDescent="0.3">
      <c r="A89" s="4" t="s">
        <v>3397</v>
      </c>
      <c r="B89" s="4" t="s">
        <v>3444</v>
      </c>
      <c r="C89" s="5" t="s">
        <v>2599</v>
      </c>
      <c r="D89" s="4" t="str">
        <f>CONCATENATE(HYPERLINK("CALLTO:%2B356%202138%202595", "+356 2138 2595"))</f>
        <v>+356 2138 2595</v>
      </c>
      <c r="E89" s="5" t="s">
        <v>3624</v>
      </c>
      <c r="F89" s="5" t="s">
        <v>3669</v>
      </c>
    </row>
    <row r="90" spans="1:6" x14ac:dyDescent="0.3">
      <c r="A90" s="2" t="s">
        <v>3397</v>
      </c>
      <c r="B90" s="2" t="s">
        <v>3445</v>
      </c>
      <c r="C90" s="3" t="s">
        <v>3534</v>
      </c>
      <c r="D90" s="2" t="str">
        <f>CONCATENATE(HYPERLINK("CALLTO:%2B356%207909%201797", "+356 7909 1797"))</f>
        <v>+356 7909 1797</v>
      </c>
      <c r="E90" s="3" t="s">
        <v>3625</v>
      </c>
      <c r="F90" s="3" t="s">
        <v>3706</v>
      </c>
    </row>
    <row r="91" spans="1:6" x14ac:dyDescent="0.3">
      <c r="A91" s="4" t="s">
        <v>3397</v>
      </c>
      <c r="B91" s="4" t="s">
        <v>3446</v>
      </c>
      <c r="C91" s="5" t="s">
        <v>3535</v>
      </c>
      <c r="D91" s="4" t="str">
        <f>CONCATENATE(HYPERLINK("CALLTO:%2B356%202146%201078", "+356 2146 1078"))</f>
        <v>+356 2146 1078</v>
      </c>
      <c r="E91" s="5" t="s">
        <v>3626</v>
      </c>
      <c r="F91" s="5" t="s">
        <v>3707</v>
      </c>
    </row>
    <row r="92" spans="1:6" x14ac:dyDescent="0.3">
      <c r="A92" s="2" t="s">
        <v>3397</v>
      </c>
      <c r="B92" s="2" t="s">
        <v>3447</v>
      </c>
      <c r="C92" s="3" t="s">
        <v>3536</v>
      </c>
      <c r="D92" s="2" t="str">
        <f>CONCATENATE(HYPERLINK("CALLTO:%2B356%209947%202592", "+356 9947 2592"))</f>
        <v>+356 9947 2592</v>
      </c>
      <c r="E92" s="3" t="s">
        <v>3627</v>
      </c>
      <c r="F92" s="2" t="s">
        <v>146</v>
      </c>
    </row>
    <row r="93" spans="1:6" x14ac:dyDescent="0.3">
      <c r="A93" s="4" t="s">
        <v>3397</v>
      </c>
      <c r="B93" s="4" t="s">
        <v>3448</v>
      </c>
      <c r="C93" s="5" t="s">
        <v>3537</v>
      </c>
      <c r="D93" s="4" t="str">
        <f>CONCATENATE(HYPERLINK("CALLTO:%2B356%202146%203522", "+356 2146 3522"))</f>
        <v>+356 2146 3522</v>
      </c>
      <c r="E93" s="5" t="s">
        <v>3628</v>
      </c>
      <c r="F93" s="5" t="s">
        <v>744</v>
      </c>
    </row>
    <row r="94" spans="1:6" x14ac:dyDescent="0.3">
      <c r="A94" s="2" t="s">
        <v>3397</v>
      </c>
      <c r="B94" s="2" t="s">
        <v>3449</v>
      </c>
      <c r="C94" s="3" t="s">
        <v>3538</v>
      </c>
      <c r="D94" s="2" t="str">
        <f>CONCATENATE(HYPERLINK("CALLTO:%2B356%207005%20238925", "+356 7005 238925"))</f>
        <v>+356 7005 238925</v>
      </c>
      <c r="E94" s="3" t="s">
        <v>3629</v>
      </c>
      <c r="F94" s="3" t="s">
        <v>3708</v>
      </c>
    </row>
    <row r="95" spans="1:6" x14ac:dyDescent="0.3">
      <c r="A95" s="4" t="s">
        <v>3397</v>
      </c>
      <c r="B95" s="4" t="s">
        <v>3450</v>
      </c>
      <c r="C95" s="5" t="s">
        <v>3539</v>
      </c>
      <c r="D95" s="4" t="str">
        <f>CONCATENATE(HYPERLINK("CALLTO:%2B356%209947%203343", "+356 9947 3343"))</f>
        <v>+356 9947 3343</v>
      </c>
      <c r="E95" s="5" t="s">
        <v>3630</v>
      </c>
      <c r="F95" s="4" t="s">
        <v>146</v>
      </c>
    </row>
    <row r="96" spans="1:6" x14ac:dyDescent="0.3">
      <c r="A96" s="2" t="s">
        <v>3397</v>
      </c>
      <c r="B96" s="2" t="s">
        <v>3451</v>
      </c>
      <c r="C96" s="3" t="s">
        <v>3540</v>
      </c>
      <c r="D96" s="2" t="str">
        <f>CONCATENATE(HYPERLINK("CALLTO:%2B356%209993%208509", "+356 9993 8509"))</f>
        <v>+356 9993 8509</v>
      </c>
      <c r="E96" s="3" t="s">
        <v>3631</v>
      </c>
      <c r="F96" s="3" t="s">
        <v>3709</v>
      </c>
    </row>
    <row r="97" spans="1:6" x14ac:dyDescent="0.3">
      <c r="A97" s="4" t="s">
        <v>3397</v>
      </c>
      <c r="B97" s="4" t="s">
        <v>4665</v>
      </c>
      <c r="C97" s="5" t="s">
        <v>3799</v>
      </c>
      <c r="D97" s="4" t="str">
        <f>CONCATENATE(HYPERLINK("CALLTO:%2B356%202143%200936", "+356 2143 0936"))</f>
        <v>+356 2143 0936</v>
      </c>
      <c r="E97" s="5" t="s">
        <v>4719</v>
      </c>
      <c r="F97" s="5" t="s">
        <v>4744</v>
      </c>
    </row>
    <row r="98" spans="1:6" x14ac:dyDescent="0.3">
      <c r="A98" s="2" t="s">
        <v>3397</v>
      </c>
      <c r="B98" s="2" t="s">
        <v>677</v>
      </c>
      <c r="C98" s="3" t="s">
        <v>705</v>
      </c>
      <c r="D98" s="2" t="str">
        <f>CONCATENATE(HYPERLINK("CALLTO:%2B356%202149%202908", "+356 2149 2908"))</f>
        <v>+356 2149 2908</v>
      </c>
      <c r="E98" s="3" t="s">
        <v>3632</v>
      </c>
      <c r="F98" s="3" t="s">
        <v>747</v>
      </c>
    </row>
    <row r="99" spans="1:6" x14ac:dyDescent="0.3">
      <c r="A99" s="4" t="s">
        <v>3397</v>
      </c>
      <c r="B99" s="4" t="s">
        <v>3452</v>
      </c>
      <c r="C99" s="5" t="s">
        <v>3541</v>
      </c>
      <c r="D99" s="4" t="str">
        <f>CONCATENATE(HYPERLINK("CALLTO:%2B356%207965%207308", "+356 7965 7308"))</f>
        <v>+356 7965 7308</v>
      </c>
      <c r="E99" s="5" t="s">
        <v>3633</v>
      </c>
      <c r="F99" s="5" t="s">
        <v>3710</v>
      </c>
    </row>
    <row r="100" spans="1:6" x14ac:dyDescent="0.3">
      <c r="A100" s="2" t="s">
        <v>3397</v>
      </c>
      <c r="B100" s="2" t="s">
        <v>3453</v>
      </c>
      <c r="C100" s="3" t="s">
        <v>3542</v>
      </c>
      <c r="D100" s="2" t="str">
        <f>CONCATENATE(HYPERLINK("CALLTO:%2B356%202122%206320", "+356 2122 6320"))</f>
        <v>+356 2122 6320</v>
      </c>
      <c r="E100" s="3" t="s">
        <v>3634</v>
      </c>
      <c r="F100" s="3" t="s">
        <v>3711</v>
      </c>
    </row>
    <row r="101" spans="1:6" x14ac:dyDescent="0.3">
      <c r="A101" s="4" t="s">
        <v>3397</v>
      </c>
      <c r="B101" s="4" t="s">
        <v>3454</v>
      </c>
      <c r="C101" s="4" t="s">
        <v>3543</v>
      </c>
      <c r="D101" s="4" t="str">
        <f>CONCATENATE(HYPERLINK("CALLTO:%2B356%207972%207953", "+356 7972 7953"))</f>
        <v>+356 7972 7953</v>
      </c>
      <c r="E101" s="5" t="s">
        <v>3635</v>
      </c>
      <c r="F101" s="5" t="s">
        <v>3712</v>
      </c>
    </row>
    <row r="102" spans="1:6" x14ac:dyDescent="0.3">
      <c r="A102" s="2" t="s">
        <v>3397</v>
      </c>
      <c r="B102" s="2" t="s">
        <v>3455</v>
      </c>
      <c r="C102" s="3" t="s">
        <v>3544</v>
      </c>
      <c r="D102" s="2" t="str">
        <f>CONCATENATE(HYPERLINK("CALLTO:%2B356%209944%200946", "+356 9944 0946"))</f>
        <v>+356 9944 0946</v>
      </c>
      <c r="E102" s="3" t="s">
        <v>3636</v>
      </c>
      <c r="F102" s="2" t="s">
        <v>146</v>
      </c>
    </row>
    <row r="103" spans="1:6" x14ac:dyDescent="0.3">
      <c r="A103" s="4" t="s">
        <v>3397</v>
      </c>
      <c r="B103" s="4" t="s">
        <v>3456</v>
      </c>
      <c r="C103" s="5" t="s">
        <v>3545</v>
      </c>
      <c r="D103" s="4" t="str">
        <f>CONCATENATE(HYPERLINK("CALLTO:%2B356%202748%205677", "+356 2748 5677"))</f>
        <v>+356 2748 5677</v>
      </c>
      <c r="E103" s="5" t="s">
        <v>3637</v>
      </c>
      <c r="F103" s="5" t="s">
        <v>3713</v>
      </c>
    </row>
    <row r="104" spans="1:6" x14ac:dyDescent="0.3">
      <c r="A104" s="2" t="s">
        <v>3397</v>
      </c>
      <c r="B104" s="2" t="s">
        <v>3457</v>
      </c>
      <c r="C104" s="3" t="s">
        <v>3546</v>
      </c>
      <c r="D104" s="2" t="str">
        <f>CONCATENATE(HYPERLINK("CALLTO:%2B356%207905%205395", "+356 7905 5395"))</f>
        <v>+356 7905 5395</v>
      </c>
      <c r="E104" s="3" t="s">
        <v>3638</v>
      </c>
      <c r="F104" s="3" t="s">
        <v>3714</v>
      </c>
    </row>
    <row r="105" spans="1:6" x14ac:dyDescent="0.3">
      <c r="A105" s="4" t="s">
        <v>3397</v>
      </c>
      <c r="B105" s="4" t="s">
        <v>4666</v>
      </c>
      <c r="C105" s="5" t="s">
        <v>4689</v>
      </c>
      <c r="D105" s="4" t="str">
        <f>CONCATENATE(HYPERLINK("CALLTO:%2B356%209984%200970", "+356 9984 0970"))</f>
        <v>+356 9984 0970</v>
      </c>
      <c r="E105" s="5" t="s">
        <v>4720</v>
      </c>
      <c r="F105" s="4" t="s">
        <v>146</v>
      </c>
    </row>
    <row r="106" spans="1:6" x14ac:dyDescent="0.3">
      <c r="A106" s="2" t="s">
        <v>3397</v>
      </c>
      <c r="B106" s="2" t="s">
        <v>3458</v>
      </c>
      <c r="C106" s="3" t="s">
        <v>3547</v>
      </c>
      <c r="D106" s="2" t="str">
        <f>CONCATENATE(HYPERLINK("CALLTO:%2B356%209949%200300", "+356 9949 0300"))</f>
        <v>+356 9949 0300</v>
      </c>
      <c r="E106" s="3" t="s">
        <v>3639</v>
      </c>
      <c r="F106" s="3" t="s">
        <v>3715</v>
      </c>
    </row>
    <row r="107" spans="1:6" x14ac:dyDescent="0.3">
      <c r="A107" s="4" t="s">
        <v>3397</v>
      </c>
      <c r="B107" s="4" t="s">
        <v>3459</v>
      </c>
      <c r="C107" s="5" t="s">
        <v>3548</v>
      </c>
      <c r="D107" s="4" t="str">
        <f>CONCATENATE(HYPERLINK("CALLTO:%2B356%202180%204756", "+356 2180 4756"))</f>
        <v>+356 2180 4756</v>
      </c>
      <c r="E107" s="5" t="s">
        <v>3640</v>
      </c>
      <c r="F107" s="5" t="s">
        <v>3716</v>
      </c>
    </row>
    <row r="108" spans="1:6" x14ac:dyDescent="0.3">
      <c r="A108" s="2" t="s">
        <v>3397</v>
      </c>
      <c r="B108" s="2" t="s">
        <v>3460</v>
      </c>
      <c r="C108" s="3" t="s">
        <v>3549</v>
      </c>
      <c r="D108" s="2" t="str">
        <f>CONCATENATE(HYPERLINK("CALLTO:%2B356%202166%200170", "+356 2166 0170"))</f>
        <v>+356 2166 0170</v>
      </c>
      <c r="E108" s="3" t="s">
        <v>3641</v>
      </c>
      <c r="F108" s="3" t="s">
        <v>3717</v>
      </c>
    </row>
    <row r="109" spans="1:6" x14ac:dyDescent="0.3">
      <c r="A109" s="4" t="s">
        <v>3397</v>
      </c>
      <c r="B109" s="4" t="s">
        <v>3461</v>
      </c>
      <c r="C109" s="5" t="s">
        <v>3550</v>
      </c>
      <c r="D109" s="4" t="str">
        <f>CONCATENATE(HYPERLINK("CALLTO:%2B356%209913%201020", "+356 9913 1020"))</f>
        <v>+356 9913 1020</v>
      </c>
      <c r="E109" s="5" t="s">
        <v>3642</v>
      </c>
      <c r="F109" s="5" t="s">
        <v>3718</v>
      </c>
    </row>
    <row r="110" spans="1:6" x14ac:dyDescent="0.3">
      <c r="A110" s="2" t="s">
        <v>3397</v>
      </c>
      <c r="B110" s="2" t="s">
        <v>3462</v>
      </c>
      <c r="C110" s="3" t="s">
        <v>3551</v>
      </c>
      <c r="D110" s="2" t="str">
        <f>CONCATENATE(HYPERLINK("CALLTO:%2B356%209983%205642", "+356 9983 5642"))</f>
        <v>+356 9983 5642</v>
      </c>
      <c r="E110" s="3" t="s">
        <v>3643</v>
      </c>
      <c r="F110" s="2" t="s">
        <v>146</v>
      </c>
    </row>
    <row r="111" spans="1:6" x14ac:dyDescent="0.3">
      <c r="A111" s="4" t="s">
        <v>3397</v>
      </c>
      <c r="B111" s="4" t="s">
        <v>3463</v>
      </c>
      <c r="C111" s="5" t="s">
        <v>3552</v>
      </c>
      <c r="D111" s="4" t="str">
        <f>CONCATENATE(HYPERLINK("CALLTO:%2B356%202169%205051", "+356 2169 5051"))</f>
        <v>+356 2169 5051</v>
      </c>
      <c r="E111" s="5" t="s">
        <v>3644</v>
      </c>
      <c r="F111" s="4" t="s">
        <v>146</v>
      </c>
    </row>
    <row r="112" spans="1:6" x14ac:dyDescent="0.3">
      <c r="A112" s="2" t="s">
        <v>3397</v>
      </c>
      <c r="B112" s="2" t="s">
        <v>2569</v>
      </c>
      <c r="C112" s="3" t="s">
        <v>2588</v>
      </c>
      <c r="D112" s="2" t="str">
        <f>CONCATENATE(HYPERLINK("CALLTO:%2B356%207943%204443", "+356 7943 4443"), " / ", HYPERLINK("CALLTO:%2B356%202143%204443", "+356 2143 4443"))</f>
        <v>+356 7943 4443 / +356 2143 4443</v>
      </c>
      <c r="E112" s="3" t="s">
        <v>2607</v>
      </c>
      <c r="F112" s="3" t="s">
        <v>2626</v>
      </c>
    </row>
    <row r="113" spans="1:6" x14ac:dyDescent="0.3">
      <c r="A113" s="4" t="s">
        <v>3397</v>
      </c>
      <c r="B113" s="4" t="s">
        <v>3465</v>
      </c>
      <c r="C113" s="5" t="s">
        <v>3553</v>
      </c>
      <c r="D113" s="4" t="str">
        <f>CONCATENATE(HYPERLINK("CALLTO:%2B356%209984%200315", "+356 9984 0315"))</f>
        <v>+356 9984 0315</v>
      </c>
      <c r="E113" s="5" t="s">
        <v>3646</v>
      </c>
      <c r="F113" s="4" t="s">
        <v>146</v>
      </c>
    </row>
    <row r="114" spans="1:6" x14ac:dyDescent="0.3">
      <c r="A114" s="2" t="s">
        <v>3397</v>
      </c>
      <c r="B114" s="2" t="s">
        <v>3466</v>
      </c>
      <c r="C114" s="3" t="s">
        <v>3574</v>
      </c>
      <c r="D114" s="2" t="str">
        <f>CONCATENATE(HYPERLINK("CALLTO:%2B356%202148%206022", "+356 2148 6022"))</f>
        <v>+356 2148 6022</v>
      </c>
      <c r="E114" s="3" t="s">
        <v>3647</v>
      </c>
      <c r="F114" s="3" t="s">
        <v>3719</v>
      </c>
    </row>
    <row r="115" spans="1:6" x14ac:dyDescent="0.3">
      <c r="A115" s="4" t="s">
        <v>3397</v>
      </c>
      <c r="B115" s="4" t="s">
        <v>4667</v>
      </c>
      <c r="C115" s="5" t="s">
        <v>4690</v>
      </c>
      <c r="D115" s="4" t="str">
        <f>CONCATENATE(HYPERLINK("CALLTO:%2B356%209949%209054", "+356 9949 9054"))</f>
        <v>+356 9949 9054</v>
      </c>
      <c r="E115" s="5" t="s">
        <v>4721</v>
      </c>
      <c r="F115" s="4" t="s">
        <v>146</v>
      </c>
    </row>
    <row r="116" spans="1:6" x14ac:dyDescent="0.3">
      <c r="A116" s="2" t="s">
        <v>3397</v>
      </c>
      <c r="B116" s="2" t="s">
        <v>3467</v>
      </c>
      <c r="C116" s="3" t="s">
        <v>3555</v>
      </c>
      <c r="D116" s="2" t="str">
        <f>CONCATENATE(HYPERLINK("CALLTO:%2B356%209947%203849", "+356 9947 3849"))</f>
        <v>+356 9947 3849</v>
      </c>
      <c r="E116" s="3" t="s">
        <v>3648</v>
      </c>
      <c r="F116" s="2" t="s">
        <v>146</v>
      </c>
    </row>
    <row r="117" spans="1:6" x14ac:dyDescent="0.3">
      <c r="A117" s="4" t="s">
        <v>3397</v>
      </c>
      <c r="B117" s="4" t="s">
        <v>3468</v>
      </c>
      <c r="C117" s="5" t="s">
        <v>3556</v>
      </c>
      <c r="D117" s="4" t="str">
        <f>CONCATENATE(HYPERLINK("CALLTO:%2B356%202155%204149", "+356 2155 4149"))</f>
        <v>+356 2155 4149</v>
      </c>
      <c r="E117" s="5" t="s">
        <v>3649</v>
      </c>
      <c r="F117" s="5" t="s">
        <v>3720</v>
      </c>
    </row>
    <row r="118" spans="1:6" x14ac:dyDescent="0.3">
      <c r="A118" s="2" t="s">
        <v>3397</v>
      </c>
      <c r="B118" s="2" t="s">
        <v>3469</v>
      </c>
      <c r="C118" s="3" t="s">
        <v>3557</v>
      </c>
      <c r="D118" s="2" t="str">
        <f>CONCATENATE(HYPERLINK("CALLTO:%2B356%209940%202482", "+356 9940 2482"))</f>
        <v>+356 9940 2482</v>
      </c>
      <c r="E118" s="3" t="s">
        <v>3650</v>
      </c>
      <c r="F118" s="3" t="s">
        <v>3721</v>
      </c>
    </row>
    <row r="119" spans="1:6" x14ac:dyDescent="0.3">
      <c r="A119" s="4" t="s">
        <v>3397</v>
      </c>
      <c r="B119" s="4" t="s">
        <v>3470</v>
      </c>
      <c r="C119" s="5" t="s">
        <v>3558</v>
      </c>
      <c r="D119" s="4" t="str">
        <f>CONCATENATE(HYPERLINK("CALLTO:%2B356%209949%207740", "+356 9949 7740"))</f>
        <v>+356 9949 7740</v>
      </c>
      <c r="E119" s="5" t="s">
        <v>3636</v>
      </c>
      <c r="F119" s="5" t="s">
        <v>3722</v>
      </c>
    </row>
    <row r="120" spans="1:6" x14ac:dyDescent="0.3">
      <c r="A120" s="2" t="s">
        <v>3397</v>
      </c>
      <c r="B120" s="2" t="s">
        <v>3471</v>
      </c>
      <c r="C120" s="3" t="s">
        <v>3559</v>
      </c>
      <c r="D120" s="2" t="str">
        <f>CONCATENATE(HYPERLINK("CALLTO:%2B356%202144%209878", "+356 2144 9878"))</f>
        <v>+356 2144 9878</v>
      </c>
      <c r="E120" s="3" t="s">
        <v>3651</v>
      </c>
      <c r="F120" s="3" t="s">
        <v>3723</v>
      </c>
    </row>
    <row r="121" spans="1:6" x14ac:dyDescent="0.3">
      <c r="A121" s="4" t="s">
        <v>3397</v>
      </c>
      <c r="B121" s="4" t="s">
        <v>3472</v>
      </c>
      <c r="C121" s="4" t="s">
        <v>146</v>
      </c>
      <c r="D121" s="4" t="str">
        <f>CONCATENATE(HYPERLINK("CALLTO:%2B356%209942%202717", "+356 9942 2717"))</f>
        <v>+356 9942 2717</v>
      </c>
      <c r="E121" s="5" t="s">
        <v>3652</v>
      </c>
      <c r="F121" s="4" t="s">
        <v>146</v>
      </c>
    </row>
    <row r="122" spans="1:6" x14ac:dyDescent="0.3">
      <c r="A122" s="2" t="s">
        <v>3397</v>
      </c>
      <c r="B122" s="2" t="s">
        <v>3473</v>
      </c>
      <c r="C122" s="3" t="s">
        <v>3560</v>
      </c>
      <c r="D122" s="2" t="str">
        <f>CONCATENATE(HYPERLINK("CALLTO:%2B356%209932%200809", "+356 9932 0809"))</f>
        <v>+356 9932 0809</v>
      </c>
      <c r="E122" s="3" t="s">
        <v>3653</v>
      </c>
      <c r="F122" s="3" t="s">
        <v>3724</v>
      </c>
    </row>
    <row r="123" spans="1:6" x14ac:dyDescent="0.3">
      <c r="A123" s="4" t="s">
        <v>3397</v>
      </c>
      <c r="B123" s="4" t="s">
        <v>3474</v>
      </c>
      <c r="C123" s="5" t="s">
        <v>3561</v>
      </c>
      <c r="D123" s="4" t="str">
        <f>CONCATENATE(HYPERLINK("CALLTO:%2B356%209946%200052", "+356 9946 0052"))</f>
        <v>+356 9946 0052</v>
      </c>
      <c r="E123" s="5" t="s">
        <v>3654</v>
      </c>
      <c r="F123" s="4" t="s">
        <v>146</v>
      </c>
    </row>
    <row r="124" spans="1:6" x14ac:dyDescent="0.3">
      <c r="A124" s="2" t="s">
        <v>3397</v>
      </c>
      <c r="B124" s="2" t="s">
        <v>3475</v>
      </c>
      <c r="C124" s="3" t="s">
        <v>3562</v>
      </c>
      <c r="D124" s="2" t="str">
        <f>CONCATENATE(HYPERLINK("CALLTO:%2B356%209939%205416", "+356 9939 5416"))</f>
        <v>+356 9939 5416</v>
      </c>
      <c r="E124" s="3" t="s">
        <v>3655</v>
      </c>
      <c r="F124" s="3" t="s">
        <v>3725</v>
      </c>
    </row>
    <row r="125" spans="1:6" x14ac:dyDescent="0.3">
      <c r="A125" s="4" t="s">
        <v>3397</v>
      </c>
      <c r="B125" s="4" t="s">
        <v>3487</v>
      </c>
      <c r="C125" s="5" t="s">
        <v>4691</v>
      </c>
      <c r="D125" s="4" t="str">
        <f>CONCATENATE(HYPERLINK("CALLTO:%2B356%209944%204220", "+356 9944 4220"))</f>
        <v>+356 9944 4220</v>
      </c>
      <c r="E125" s="5" t="s">
        <v>3667</v>
      </c>
      <c r="F125" s="4" t="s">
        <v>146</v>
      </c>
    </row>
    <row r="126" spans="1:6" x14ac:dyDescent="0.3">
      <c r="A126" s="2" t="s">
        <v>3397</v>
      </c>
      <c r="B126" s="2" t="s">
        <v>3476</v>
      </c>
      <c r="C126" s="3" t="s">
        <v>3563</v>
      </c>
      <c r="D126" s="2" t="str">
        <f>CONCATENATE(HYPERLINK("CALLTO:%2B356%202146%205156", "+356 2146 5156"))</f>
        <v>+356 2146 5156</v>
      </c>
      <c r="E126" s="3" t="s">
        <v>3656</v>
      </c>
      <c r="F126" s="3" t="s">
        <v>3726</v>
      </c>
    </row>
    <row r="127" spans="1:6" x14ac:dyDescent="0.3">
      <c r="A127" s="4" t="s">
        <v>3397</v>
      </c>
      <c r="B127" s="4" t="s">
        <v>3477</v>
      </c>
      <c r="C127" s="5" t="s">
        <v>1077</v>
      </c>
      <c r="D127" s="4" t="str">
        <f>CONCATENATE(HYPERLINK("CALLTO:%2B356%202180%208802", "+356 2180 8802"))</f>
        <v>+356 2180 8802</v>
      </c>
      <c r="E127" s="5" t="s">
        <v>3657</v>
      </c>
      <c r="F127" s="5" t="s">
        <v>3727</v>
      </c>
    </row>
    <row r="128" spans="1:6" x14ac:dyDescent="0.3">
      <c r="A128" s="2" t="s">
        <v>3397</v>
      </c>
      <c r="B128" s="2" t="s">
        <v>3488</v>
      </c>
      <c r="C128" s="3" t="s">
        <v>3576</v>
      </c>
      <c r="D128" s="2" t="str">
        <f>CONCATENATE(HYPERLINK("CALLTO:%2B356%209959%204709", "+356 9959 4709"))</f>
        <v>+356 9959 4709</v>
      </c>
      <c r="E128" s="3" t="s">
        <v>3668</v>
      </c>
      <c r="F128" s="3" t="s">
        <v>3739</v>
      </c>
    </row>
    <row r="129" spans="1:6" x14ac:dyDescent="0.3">
      <c r="A129" s="4" t="s">
        <v>3397</v>
      </c>
      <c r="B129" s="4" t="s">
        <v>3478</v>
      </c>
      <c r="C129" s="5" t="s">
        <v>3564</v>
      </c>
      <c r="D129" s="4" t="str">
        <f>CONCATENATE(HYPERLINK("CALLTO:%2B356%202182%202143", "+356 2182 2143"))</f>
        <v>+356 2182 2143</v>
      </c>
      <c r="E129" s="5" t="s">
        <v>3658</v>
      </c>
      <c r="F129" s="5" t="s">
        <v>3728</v>
      </c>
    </row>
    <row r="130" spans="1:6" x14ac:dyDescent="0.3">
      <c r="A130" s="2" t="s">
        <v>3397</v>
      </c>
      <c r="B130" s="2" t="s">
        <v>3479</v>
      </c>
      <c r="C130" s="2" t="s">
        <v>146</v>
      </c>
      <c r="D130" s="2" t="str">
        <f>CONCATENATE(HYPERLINK("CALLTO:%2B356%209984%207115", "+356 9984 7115"))</f>
        <v>+356 9984 7115</v>
      </c>
      <c r="E130" s="3" t="s">
        <v>3659</v>
      </c>
      <c r="F130" s="2" t="s">
        <v>146</v>
      </c>
    </row>
    <row r="131" spans="1:6" x14ac:dyDescent="0.3">
      <c r="A131" s="4" t="s">
        <v>3397</v>
      </c>
      <c r="B131" s="4" t="s">
        <v>3480</v>
      </c>
      <c r="C131" s="5" t="s">
        <v>3577</v>
      </c>
      <c r="D131" s="4" t="str">
        <f>CONCATENATE(HYPERLINK("CALLTO:%2B356%209945%200440", "+356 9945 0440"))</f>
        <v>+356 9945 0440</v>
      </c>
      <c r="E131" s="5" t="s">
        <v>3660</v>
      </c>
      <c r="F131" s="5" t="s">
        <v>3729</v>
      </c>
    </row>
    <row r="132" spans="1:6" x14ac:dyDescent="0.3">
      <c r="A132" s="2" t="s">
        <v>3397</v>
      </c>
      <c r="B132" s="2" t="s">
        <v>3481</v>
      </c>
      <c r="C132" s="3" t="s">
        <v>3566</v>
      </c>
      <c r="D132" s="2" t="str">
        <f>CONCATENATE(HYPERLINK("CALLTO:%2B356%202155%204058", "+356 2155 4058"))</f>
        <v>+356 2155 4058</v>
      </c>
      <c r="E132" s="3" t="s">
        <v>3661</v>
      </c>
      <c r="F132" s="3" t="s">
        <v>3730</v>
      </c>
    </row>
    <row r="133" spans="1:6" x14ac:dyDescent="0.3">
      <c r="A133" s="4" t="s">
        <v>3397</v>
      </c>
      <c r="B133" s="4" t="s">
        <v>3082</v>
      </c>
      <c r="C133" s="5" t="s">
        <v>3109</v>
      </c>
      <c r="D133" s="4" t="str">
        <f>CONCATENATE(HYPERLINK("CALLTO:%2B356%207709%202277", "+356 7709 2277"))</f>
        <v>+356 7709 2277</v>
      </c>
      <c r="E133" s="4"/>
      <c r="F133" s="5" t="s">
        <v>3143</v>
      </c>
    </row>
    <row r="134" spans="1:6" x14ac:dyDescent="0.3">
      <c r="A134" s="2" t="s">
        <v>3397</v>
      </c>
      <c r="B134" s="2"/>
      <c r="C134" s="2"/>
      <c r="D134" s="2"/>
      <c r="E134" s="2"/>
      <c r="F134" s="2"/>
    </row>
  </sheetData>
  <hyperlinks>
    <hyperlink ref="C2" r:id="rId1" tooltip="Send a mail to sales@brandimports.com.mt" xr:uid="{00000000-0004-0000-4A00-000000000000}"/>
    <hyperlink ref="C3" r:id="rId2" tooltip="Send a mail to sales@newstylesmalta.com" xr:uid="{00000000-0004-0000-4A00-000001000000}"/>
    <hyperlink ref="C4" r:id="rId3" tooltip="Send a mail to info@aluscreens.com" xr:uid="{00000000-0004-0000-4A00-000002000000}"/>
    <hyperlink ref="C5" r:id="rId4" tooltip="Send a mail to sales@dimech-ent.com" xr:uid="{00000000-0004-0000-4A00-000003000000}"/>
    <hyperlink ref="C6" r:id="rId5" tooltip="Send a mail to info@aluagemalta.com" xr:uid="{00000000-0004-0000-4A00-000004000000}"/>
    <hyperlink ref="C7" r:id="rId6" tooltip="Send a mail to info@hirisegroup.com.mt" xr:uid="{00000000-0004-0000-4A00-000005000000}"/>
    <hyperlink ref="C8" r:id="rId7" tooltip="Send a mail to info@ddoorcompany.com" xr:uid="{00000000-0004-0000-4A00-000006000000}"/>
    <hyperlink ref="C9" r:id="rId8" tooltip="Send a mail to sales@dimech-ent.com" xr:uid="{00000000-0004-0000-4A00-000007000000}"/>
    <hyperlink ref="C10" r:id="rId9" tooltip="Send a mail to info@fourwalls.com.mt" xr:uid="{00000000-0004-0000-4A00-000008000000}"/>
    <hyperlink ref="C11" r:id="rId10" tooltip="Send a mail to info@sfdoorstyles.com.mt" xr:uid="{00000000-0004-0000-4A00-000009000000}"/>
    <hyperlink ref="C12" r:id="rId11" tooltip="Send a mail to info@domestica.com.mt" xr:uid="{00000000-0004-0000-4A00-00000A000000}"/>
    <hyperlink ref="C13" r:id="rId12" tooltip="Send a mail to info@pvc.com.mt" xr:uid="{00000000-0004-0000-4A00-00000B000000}"/>
    <hyperlink ref="C14" r:id="rId13" tooltip="Send a mail to info@italtrade.com.mt" xr:uid="{00000000-0004-0000-4A00-00000C000000}"/>
    <hyperlink ref="C15" r:id="rId14" tooltip="Send a mail to hello@starfurniture.com.mt" xr:uid="{00000000-0004-0000-4A00-00000D000000}"/>
    <hyperlink ref="C16" r:id="rId15" tooltip="Send a mail to sales@powerhousemalta.com.eu" xr:uid="{00000000-0004-0000-4A00-00000E000000}"/>
    <hyperlink ref="C17" r:id="rId16" tooltip="Send a mail to sales@pvcmalta.com" xr:uid="{00000000-0004-0000-4A00-00000F000000}"/>
    <hyperlink ref="C18" r:id="rId17" tooltip="Send a mail to clients@framegrip.com" xr:uid="{00000000-0004-0000-4A00-000010000000}"/>
    <hyperlink ref="C19" r:id="rId18" tooltip="Send a mail to pdgl@go.net.mt" xr:uid="{00000000-0004-0000-4A00-000011000000}"/>
    <hyperlink ref="C21" r:id="rId19" tooltip="Send a mail to clydeaquil@gmail.com" xr:uid="{00000000-0004-0000-4A00-000012000000}"/>
    <hyperlink ref="C22" r:id="rId20" tooltip="Send a mail to info@alfredbaldacchinoltd.net" xr:uid="{00000000-0004-0000-4A00-000013000000}"/>
    <hyperlink ref="C23" r:id="rId21" tooltip="Send a mail to info@nkwoodworks.com" xr:uid="{00000000-0004-0000-4A00-000014000000}"/>
    <hyperlink ref="C24" r:id="rId22" tooltip="Send a mail to occas2@gmail.com" xr:uid="{00000000-0004-0000-4A00-000015000000}"/>
    <hyperlink ref="C25" r:id="rId23" tooltip="Send a mail to info@grfmalta.com" xr:uid="{00000000-0004-0000-4A00-000016000000}"/>
    <hyperlink ref="C26" r:id="rId24" tooltip="Send a mail to info@casconeporteefinestre.it" xr:uid="{00000000-0004-0000-4A00-000017000000}"/>
    <hyperlink ref="C27" r:id="rId25" tooltip="Send a mail to info@promaninteriors.com" xr:uid="{00000000-0004-0000-4A00-000018000000}"/>
    <hyperlink ref="C28" r:id="rId26" tooltip="Send a mail to sales@maltadiy.com" xr:uid="{00000000-0004-0000-4A00-000019000000}"/>
    <hyperlink ref="C29" r:id="rId27" tooltip="Send a mail to info@cassarwordworks.com" xr:uid="{00000000-0004-0000-4A00-00001A000000}"/>
    <hyperlink ref="C30" r:id="rId28" tooltip="Send a mail to info@ddoorcompany.com" xr:uid="{00000000-0004-0000-4A00-00001B000000}"/>
    <hyperlink ref="C31" r:id="rId29" tooltip="Send a mail to shop@megastore.com.mt" xr:uid="{00000000-0004-0000-4A00-00001C000000}"/>
    <hyperlink ref="C32" r:id="rId30" tooltip="Send a mail to sales@bitmac.mt" xr:uid="{00000000-0004-0000-4A00-00001D000000}"/>
    <hyperlink ref="C33" r:id="rId31" tooltip="Send a mail to sales@maltashopper.com" xr:uid="{00000000-0004-0000-4A00-00001E000000}"/>
    <hyperlink ref="C35" r:id="rId32" tooltip="Send a mail to stakterinacons@outlook.com" xr:uid="{00000000-0004-0000-4A00-00001F000000}"/>
    <hyperlink ref="C36" r:id="rId33" tooltip="Send a mail to info@stanthonyww.com" xr:uid="{00000000-0004-0000-4A00-000020000000}"/>
    <hyperlink ref="C37" r:id="rId34" tooltip="Send a mail to info@framegrip.com" xr:uid="{00000000-0004-0000-4A00-000021000000}"/>
    <hyperlink ref="C38" r:id="rId35" tooltip="Send a mail to sales@jlautier.com" xr:uid="{00000000-0004-0000-4A00-000022000000}"/>
    <hyperlink ref="C39" r:id="rId36" tooltip="Send a mail to info@a1finishesltd.com" xr:uid="{00000000-0004-0000-4A00-000023000000}"/>
    <hyperlink ref="C40" r:id="rId37" tooltip="Send a mail to sales@newstylesmalta.com" xr:uid="{00000000-0004-0000-4A00-000024000000}"/>
    <hyperlink ref="C41" r:id="rId38" tooltip="Send a mail to info@grimafurniture.com" xr:uid="{00000000-0004-0000-4A00-000025000000}"/>
    <hyperlink ref="C42" r:id="rId39" tooltip="Send a mail to info@amabilegalea.com" xr:uid="{00000000-0004-0000-4A00-000026000000}"/>
    <hyperlink ref="C43" r:id="rId40" tooltip="Send a mail to info@gozoaluminium.com" xr:uid="{00000000-0004-0000-4A00-000027000000}"/>
    <hyperlink ref="C44" r:id="rId41" tooltip="Send a mail to nu-aluminium@outlook.com" xr:uid="{00000000-0004-0000-4A00-000028000000}"/>
    <hyperlink ref="C45" r:id="rId42" tooltip="Send a mail to info@sfdoorstyles.com.mt" xr:uid="{00000000-0004-0000-4A00-000029000000}"/>
    <hyperlink ref="C46" r:id="rId43" tooltip="Send a mail to parus984@gmail.com" xr:uid="{00000000-0004-0000-4A00-00002A000000}"/>
    <hyperlink ref="C47" r:id="rId44" tooltip="Send a mail to info@afdaaluminium.com" xr:uid="{00000000-0004-0000-4A00-00002B000000}"/>
    <hyperlink ref="C48" r:id="rId45" tooltip="Send a mail to info@brandimports.com.mt" xr:uid="{00000000-0004-0000-4A00-00002C000000}"/>
    <hyperlink ref="C49" r:id="rId46" tooltip="Send a mail to j3alumiunium@gmail.com" xr:uid="{00000000-0004-0000-4A00-00002D000000}"/>
    <hyperlink ref="C50" r:id="rId47" tooltip="Send a mail to sgt1183@gmail.com" xr:uid="{00000000-0004-0000-4A00-00002E000000}"/>
    <hyperlink ref="C51" r:id="rId48" tooltip="Send a mail to info@nicholas.mt" xr:uid="{00000000-0004-0000-4A00-00002F000000}"/>
    <hyperlink ref="C52" r:id="rId49" tooltip="Send a mail to info@ihomes.com.mt" xr:uid="{00000000-0004-0000-4A00-000030000000}"/>
    <hyperlink ref="C53" r:id="rId50" tooltip="Send a mail to abelawoodworks@gmail.com" xr:uid="{00000000-0004-0000-4A00-000031000000}"/>
    <hyperlink ref="C54" r:id="rId51" tooltip="Send a mail to chayron186@gmail.com" xr:uid="{00000000-0004-0000-4A00-000032000000}"/>
    <hyperlink ref="C55" r:id="rId52" tooltip="Send a mail to josefvella72@gmail.com" xr:uid="{00000000-0004-0000-4A00-000033000000}"/>
    <hyperlink ref="C56" r:id="rId53" tooltip="Send a mail to northalu@gmail.com" xr:uid="{00000000-0004-0000-4A00-000034000000}"/>
    <hyperlink ref="C57" r:id="rId54" tooltip="Send a mail to agood.installations@yahoo.com" xr:uid="{00000000-0004-0000-4A00-000035000000}"/>
    <hyperlink ref="C58" r:id="rId55" tooltip="Send a mail to gsf-1200@hotmail.com" xr:uid="{00000000-0004-0000-4A00-000036000000}"/>
    <hyperlink ref="C59" r:id="rId56" tooltip="Send a mail to jsbaluminiumworks@gmail.com" xr:uid="{00000000-0004-0000-4A00-000037000000}"/>
    <hyperlink ref="C60" r:id="rId57" tooltip="Send a mail to classicdesignwoodworks@gmail.com" xr:uid="{00000000-0004-0000-4A00-000038000000}"/>
    <hyperlink ref="C61" r:id="rId58" tooltip="Send a mail to sales@doorsandmore.in" xr:uid="{00000000-0004-0000-4A00-000039000000}"/>
    <hyperlink ref="C62" r:id="rId59" tooltip="Send a mail to mario.camilleri9@gmail.com" xr:uid="{00000000-0004-0000-4A00-00003A000000}"/>
    <hyperlink ref="C63" r:id="rId60" tooltip="Send a mail to info@acaluminium.com" xr:uid="{00000000-0004-0000-4A00-00003B000000}"/>
    <hyperlink ref="C64" r:id="rId61" tooltip="Send a mail to lexport@go.com.mt" xr:uid="{00000000-0004-0000-4A00-00003C000000}"/>
    <hyperlink ref="C65" r:id="rId62" tooltip="Send a mail to sales@adoremore.eu" xr:uid="{00000000-0004-0000-4A00-00003D000000}"/>
    <hyperlink ref="C66" r:id="rId63" tooltip="Send a mail to info@acmamalta.com" xr:uid="{00000000-0004-0000-4A00-00003E000000}"/>
    <hyperlink ref="C67" r:id="rId64" tooltip="Send a mail to alfalu@melita.com" xr:uid="{00000000-0004-0000-4A00-00003F000000}"/>
    <hyperlink ref="C68" r:id="rId65" tooltip="Send a mail to xandrumallia@gmail.com" xr:uid="{00000000-0004-0000-4A00-000040000000}"/>
    <hyperlink ref="C69" r:id="rId66" tooltip="Send a mail to info@alukey.com.mt" xr:uid="{00000000-0004-0000-4A00-000041000000}"/>
    <hyperlink ref="C70" r:id="rId67" tooltip="Send a mail to alultd@go.net.mt" xr:uid="{00000000-0004-0000-4A00-000042000000}"/>
    <hyperlink ref="C71" r:id="rId68" tooltip="Send a mail to info@aluwoodmalta.com" xr:uid="{00000000-0004-0000-4A00-000043000000}"/>
    <hyperlink ref="C72" r:id="rId69" tooltip="Send a mail to andrewvella66@gmail.com" xr:uid="{00000000-0004-0000-4A00-000044000000}"/>
    <hyperlink ref="C73" r:id="rId70" tooltip="Send a mail to azzopardialuminiumworks@gmail.com" xr:uid="{00000000-0004-0000-4A00-000045000000}"/>
    <hyperlink ref="C74" r:id="rId71" tooltip="Send a mail to info@basonaluminium.com" xr:uid="{00000000-0004-0000-4A00-000046000000}"/>
    <hyperlink ref="C75" r:id="rId72" tooltip="Send a mail to borgaluminiummalta@gmail.com" xr:uid="{00000000-0004-0000-4A00-000047000000}"/>
    <hyperlink ref="C76" r:id="rId73" tooltip="Send a mail to henry@bpapertures.com" xr:uid="{00000000-0004-0000-4A00-000048000000}"/>
    <hyperlink ref="C77" r:id="rId74" tooltip="Send a mail to cdsaluminium@gmail.com" xr:uid="{00000000-0004-0000-4A00-000049000000}"/>
    <hyperlink ref="C78" r:id="rId75" tooltip="Send a mail to info@cagroup.com.mt" xr:uid="{00000000-0004-0000-4A00-00004A000000}"/>
    <hyperlink ref="C79" r:id="rId76" tooltip="Send a mail to cachiapatrick68@gmail.com" xr:uid="{00000000-0004-0000-4A00-00004B000000}"/>
    <hyperlink ref="C80" r:id="rId77" tooltip="Send a mail to sales@tcalu.com" xr:uid="{00000000-0004-0000-4A00-00004C000000}"/>
    <hyperlink ref="C81" r:id="rId78" tooltip="Send a mail to mrgmv@onvol.net" xr:uid="{00000000-0004-0000-4A00-00004D000000}"/>
    <hyperlink ref="C82" r:id="rId79" tooltip="Send a mail to chocoaluminium@gmail.com" xr:uid="{00000000-0004-0000-4A00-00004E000000}"/>
    <hyperlink ref="C83" r:id="rId80" tooltip="Send a mail to info@comforabita.com" xr:uid="{00000000-0004-0000-4A00-00004F000000}"/>
    <hyperlink ref="C84" r:id="rId81" tooltip="Send a mail to info@cda.com.mt" xr:uid="{00000000-0004-0000-4A00-000050000000}"/>
    <hyperlink ref="C85" r:id="rId82" tooltip="Send a mail to daniobarbara1977@gmail.com" xr:uid="{00000000-0004-0000-4A00-000051000000}"/>
    <hyperlink ref="C86" r:id="rId83" tooltip="Send a mail to info@deckor.com.mt" xr:uid="{00000000-0004-0000-4A00-000052000000}"/>
    <hyperlink ref="C87" r:id="rId84" tooltip="Send a mail to savdim65@gmail.com" xr:uid="{00000000-0004-0000-4A00-000053000000}"/>
    <hyperlink ref="C88" r:id="rId85" tooltip="Send a mail to info@dinglialuminium.com" xr:uid="{00000000-0004-0000-4A00-000054000000}"/>
    <hyperlink ref="C89" r:id="rId86" tooltip="Send a mail to sales@pvcmalta.com" xr:uid="{00000000-0004-0000-4A00-000055000000}"/>
    <hyperlink ref="C90" r:id="rId87" tooltip="Send a mail to dxaluworks@gmail.com" xr:uid="{00000000-0004-0000-4A00-000056000000}"/>
    <hyperlink ref="C91" r:id="rId88" tooltip="Send a mail to info@expressaluminium.com" xr:uid="{00000000-0004-0000-4A00-000057000000}"/>
    <hyperlink ref="C92" r:id="rId89" tooltip="Send a mail to simdebwebb@hotmail.com" xr:uid="{00000000-0004-0000-4A00-000058000000}"/>
    <hyperlink ref="C93" r:id="rId90" tooltip="Send a mail to sales@finestralmalta.com" xr:uid="{00000000-0004-0000-4A00-000059000000}"/>
    <hyperlink ref="C94" r:id="rId91" tooltip="Send a mail to faworks123@gmail.com" xr:uid="{00000000-0004-0000-4A00-00005A000000}"/>
    <hyperlink ref="C95" r:id="rId92" tooltip="Send a mail to azzopardimark8@gmail.com" xr:uid="{00000000-0004-0000-4A00-00005B000000}"/>
    <hyperlink ref="C96" r:id="rId93" tooltip="Send a mail to info@alugiorgio.com" xr:uid="{00000000-0004-0000-4A00-00005C000000}"/>
    <hyperlink ref="C97" r:id="rId94" tooltip="Send a mail to info@cassarwoodworks.com" xr:uid="{00000000-0004-0000-4A00-00005D000000}"/>
    <hyperlink ref="C98" r:id="rId95" tooltip="Send a mail to info@grahamaluminium.com" xr:uid="{00000000-0004-0000-4A00-00005E000000}"/>
    <hyperlink ref="C99" r:id="rId96" tooltip="Send a mail to guysmalta@gmail.com" xr:uid="{00000000-0004-0000-4A00-00005F000000}"/>
    <hyperlink ref="C100" r:id="rId97" tooltip="Send a mail to horvinltd@gmail.com" xr:uid="{00000000-0004-0000-4A00-000060000000}"/>
    <hyperlink ref="C102" r:id="rId98" tooltip="Send a mail to johnjandb@gmail.com" xr:uid="{00000000-0004-0000-4A00-000061000000}"/>
    <hyperlink ref="C103" r:id="rId99" tooltip="Send a mail to info@jcdaluminium.com" xr:uid="{00000000-0004-0000-4A00-000062000000}"/>
    <hyperlink ref="C104" r:id="rId100" tooltip="Send a mail to jk.aluminium@yahoo.com" xr:uid="{00000000-0004-0000-4A00-000063000000}"/>
    <hyperlink ref="C105" r:id="rId101" tooltip="Send a mail to jborg0408@gmail.com" xr:uid="{00000000-0004-0000-4A00-000064000000}"/>
    <hyperlink ref="C106" r:id="rId102" tooltip="Send a mail to admin@jamarmalta.com" xr:uid="{00000000-0004-0000-4A00-000065000000}"/>
    <hyperlink ref="C107" r:id="rId103" tooltip="Send a mail to info@jasonaluminium.com" xr:uid="{00000000-0004-0000-4A00-000066000000}"/>
    <hyperlink ref="C108" r:id="rId104" tooltip="Send a mail to kkalworks@gmail.com" xr:uid="{00000000-0004-0000-4A00-000067000000}"/>
    <hyperlink ref="C109" r:id="rId105" tooltip="Send a mail to bjorn.vassallo@gmail.com" xr:uid="{00000000-0004-0000-4A00-000068000000}"/>
    <hyperlink ref="C110" r:id="rId106" tooltip="Send a mail to gmuscat@live.com" xr:uid="{00000000-0004-0000-4A00-000069000000}"/>
    <hyperlink ref="C111" r:id="rId107" tooltip="Send a mail to nicdimech@gmail.com" xr:uid="{00000000-0004-0000-4A00-00006A000000}"/>
    <hyperlink ref="C112" r:id="rId108" tooltip="Send a mail to info@nigeldimech.com" xr:uid="{00000000-0004-0000-4A00-00006B000000}"/>
    <hyperlink ref="C113" r:id="rId109" tooltip="Send a mail to matteo.pisani40@gmail.com" xr:uid="{00000000-0004-0000-4A00-00006C000000}"/>
    <hyperlink ref="C114" r:id="rId110" tooltip="Send a mail to gormialum@gmail.com" xr:uid="{00000000-0004-0000-4A00-00006D000000}"/>
    <hyperlink ref="C115" r:id="rId111" tooltip="Send a mail to raluminiumworks@hotmail.com" xr:uid="{00000000-0004-0000-4A00-00006E000000}"/>
    <hyperlink ref="C116" r:id="rId112" tooltip="Send a mail to rcalworks@gmail.com" xr:uid="{00000000-0004-0000-4A00-00006F000000}"/>
    <hyperlink ref="C117" r:id="rId113" tooltip="Send a mail to rapa.aluminium@gmail.com" xr:uid="{00000000-0004-0000-4A00-000070000000}"/>
    <hyperlink ref="C118" r:id="rId114" tooltip="Send a mail to raymondfarrugia74@gmail.com" xr:uid="{00000000-0004-0000-4A00-000071000000}"/>
    <hyperlink ref="C119" r:id="rId115" tooltip="Send a mail to refinedaluworks@gmail.com" xr:uid="{00000000-0004-0000-4A00-000072000000}"/>
    <hyperlink ref="C120" r:id="rId116" tooltip="Send a mail to info@servgroupmalta.com" xr:uid="{00000000-0004-0000-4A00-000073000000}"/>
    <hyperlink ref="C122" r:id="rId117" tooltip="Send a mail to info@sptechniques.com" xr:uid="{00000000-0004-0000-4A00-000074000000}"/>
    <hyperlink ref="C123" r:id="rId118" tooltip="Send a mail to sunaluminium@hotmail.com" xr:uid="{00000000-0004-0000-4A00-000075000000}"/>
    <hyperlink ref="C124" r:id="rId119" tooltip="Send a mail to t.camillerialuminium@hotmail.com" xr:uid="{00000000-0004-0000-4A00-000076000000}"/>
    <hyperlink ref="C125" r:id="rId120" tooltip="Send a mail to tonnaalum@yahoo.com" xr:uid="{00000000-0004-0000-4A00-000077000000}"/>
    <hyperlink ref="C126" r:id="rId121" tooltip="Send a mail to info@towergroupmalta.com" xr:uid="{00000000-0004-0000-4A00-000078000000}"/>
    <hyperlink ref="C127" r:id="rId122" tooltip="Send a mail to info@trendsltdmalta.com" xr:uid="{00000000-0004-0000-4A00-000079000000}"/>
    <hyperlink ref="C128" r:id="rId123" tooltip="Send a mail to valormalta@gmail.com" xr:uid="{00000000-0004-0000-4A00-00007A000000}"/>
    <hyperlink ref="C129" r:id="rId124" tooltip="Send a mail to mario@windmillmalta.com" xr:uid="{00000000-0004-0000-4A00-00007B000000}"/>
    <hyperlink ref="C131" r:id="rId125" tooltip="Send a mail to luke@woodware.mt" xr:uid="{00000000-0004-0000-4A00-00007C000000}"/>
    <hyperlink ref="C132" r:id="rId126" tooltip="Send a mail to zammitalu@gmail.com" xr:uid="{00000000-0004-0000-4A00-00007D000000}"/>
    <hyperlink ref="C133" r:id="rId127" tooltip="Send a mail to info@rgroupmt.com" xr:uid="{00000000-0004-0000-4A00-00007E000000}"/>
    <hyperlink ref="E2" r:id="rId128" tooltip="Search Showroom 26, Triq Haz-Zabbar, Paola, Malta on Google Maps" xr:uid="{00000000-0004-0000-4A00-00007F000000}"/>
    <hyperlink ref="E3" r:id="rId129" tooltip="Search SUB 030A, Qasam Industrijali, San Ġwann, SGN 3000, Malta on Google Maps" xr:uid="{00000000-0004-0000-4A00-000080000000}"/>
    <hyperlink ref="E4" r:id="rId130" tooltip="Search Mdina Road, Żebbuġ, ZBG 01, Malta on Google Maps" xr:uid="{00000000-0004-0000-4A00-000081000000}"/>
    <hyperlink ref="E5" r:id="rId131" tooltip="Search Centre Point, Triq Valletta, Ħal Luqa, LQA 1762, Malta on Google Maps" xr:uid="{00000000-0004-0000-4A00-000082000000}"/>
    <hyperlink ref="E6" r:id="rId132" tooltip="Search : Triq id-Dejma, Tarxien, Malta on Google Maps" xr:uid="{00000000-0004-0000-4A00-000083000000}"/>
    <hyperlink ref="E7" r:id="rId133" tooltip="Search Handaq, Malta on Google Maps" xr:uid="{00000000-0004-0000-4A00-000084000000}"/>
    <hyperlink ref="E8" r:id="rId134" tooltip="Search 128 old Railway Track , Santa venera , Malta on Google Maps" xr:uid="{00000000-0004-0000-4A00-000085000000}"/>
    <hyperlink ref="E9" r:id="rId135" tooltip="Search Centre point , Triq Valleta , Luqa  LQA 1762 , Malta on Google Maps" xr:uid="{00000000-0004-0000-4A00-000086000000}"/>
    <hyperlink ref="E10" r:id="rId136" tooltip="Search Triq il-Kappillan Mifsud , Santa venera , Malta on Google Maps" xr:uid="{00000000-0004-0000-4A00-000087000000}"/>
    <hyperlink ref="E11" r:id="rId137" tooltip="Search Unit 1&amp;2, Industrial Estate Luqa MT LQA 3000, Ħal Luqa on Google Maps" xr:uid="{00000000-0004-0000-4A00-000088000000}"/>
    <hyperlink ref="E12" r:id="rId138" tooltip="Search Domestica Complex, Level 1 ,Valley road , Msida  MSD 9091 ,Malta on Google Maps" xr:uid="{00000000-0004-0000-4A00-000089000000}"/>
    <hyperlink ref="E13" r:id="rId139" tooltip="Search 8 Garra, Is-Swieqi on Google Maps" xr:uid="{00000000-0004-0000-4A00-00008A000000}"/>
    <hyperlink ref="E14" r:id="rId140" tooltip="Search WC4R+335, Triq il-mosta, Lija LJA 9010 on Google Maps" xr:uid="{00000000-0004-0000-4A00-00008B000000}"/>
    <hyperlink ref="E15" r:id="rId141" tooltip="Search 73 Sir Arthur Burton Street, Mosta MST 1883, Malta on Google Maps" xr:uid="{00000000-0004-0000-4A00-00008C000000}"/>
    <hyperlink ref="E16" r:id="rId142" tooltip="Search 13 Censu Bugeja Street , Birkirkara , Malta on Google Maps" xr:uid="{00000000-0004-0000-4A00-00008D000000}"/>
    <hyperlink ref="E17" r:id="rId143" tooltip="Search 52,Triq ll-Muzika , L-Lkin , Malta IKL 1091 on Google Maps" xr:uid="{00000000-0004-0000-4A00-00008E000000}"/>
    <hyperlink ref="E18" r:id="rId144" tooltip="Search Triq Il-Mosta, Hal Lija, Malta LJA 9010 on Google Maps" xr:uid="{00000000-0004-0000-4A00-00008F000000}"/>
    <hyperlink ref="E19" r:id="rId145" tooltip="Search triq -il kappar , ll-Mosta , Malta MST 03 on Google Maps" xr:uid="{00000000-0004-0000-4A00-000090000000}"/>
    <hyperlink ref="E20" r:id="rId146" tooltip="Search Triq Mastru Gorg Cachia, Tal-Ħandaq, Ħal Qormi, Malta QRM 4000 on Google Maps" xr:uid="{00000000-0004-0000-4A00-000091000000}"/>
    <hyperlink ref="E21" r:id="rId147" tooltip="Search 166-167, Qasam Industrijali Ta' Hal Luqa, Hal Luqa, Malta on Google Maps" xr:uid="{00000000-0004-0000-4A00-000092000000}"/>
    <hyperlink ref="E22" r:id="rId148" tooltip="Search Triq Valletta Triq Gdida Fi, Hal Luqa, Malta on Google Maps" xr:uid="{00000000-0004-0000-4A00-000093000000}"/>
    <hyperlink ref="E23" r:id="rId149" tooltip="Search No 7, Triq Il-Ballut, Il-Mosta, Malta on Google Maps" xr:uid="{00000000-0004-0000-4A00-000094000000}"/>
    <hyperlink ref="E24" r:id="rId150" tooltip="Search 106, Qasam Industrijali Ta' Hal-Farrug, Hal Luqa, Hal Farrug, Malta on Google Maps" xr:uid="{00000000-0004-0000-4A00-000095000000}"/>
    <hyperlink ref="E25" r:id="rId151" tooltip="Search 117 Triq L-Assemblea Nazzjonali,_x000a_San Gwann SGN 3034, Malta on Google Maps" xr:uid="{00000000-0004-0000-4A00-000096000000}"/>
    <hyperlink ref="E26" r:id="rId152" tooltip="Search Msida Valley Road, BKR9022 Birkirkara - Malta on Google Maps" xr:uid="{00000000-0004-0000-4A00-000097000000}"/>
    <hyperlink ref="E27" r:id="rId153" tooltip="Search Proman Interiors,_x000a_115, Valley Road,_x000a_B'Kara. BKR 9022._x000a_Malta. on Google Maps" xr:uid="{00000000-0004-0000-4A00-000098000000}"/>
    <hyperlink ref="E28" r:id="rId154" tooltip="Search Baldacchino Building B, Triq Il-Belt Valletta, Zurrieq on Google Maps" xr:uid="{00000000-0004-0000-4A00-000099000000}"/>
    <hyperlink ref="E29" r:id="rId155" tooltip="Search Plot TQL027, Crafts Village, Ta'Qali, ATD 4000, Malta on Google Maps" xr:uid="{00000000-0004-0000-4A00-00009A000000}"/>
    <hyperlink ref="E30" r:id="rId156" tooltip="Search 128 Old Railway Track, Santa Venera on Google Maps" xr:uid="{00000000-0004-0000-4A00-00009B000000}"/>
    <hyperlink ref="E31" r:id="rId157" tooltip="Search Warehouse No. 25, Hard Rocks Industrial Park, Burmarrad Road, Naxxar, Malta on Google Maps" xr:uid="{00000000-0004-0000-4A00-00009C000000}"/>
    <hyperlink ref="E32" r:id="rId158" tooltip="Search Bitmac Ltd._x000a_Tal-Balal Road,_x000a_Iklin, IKL 9013_x000a_Malta on Google Maps" xr:uid="{00000000-0004-0000-4A00-00009D000000}"/>
    <hyperlink ref="E33" r:id="rId159" tooltip="Search 162 Cannon Road, Santa Venera, Malta on Google Maps" xr:uid="{00000000-0004-0000-4A00-00009E000000}"/>
    <hyperlink ref="E34" r:id="rId160" tooltip="Search 8 Triq il-Garra Victoria Gardens L-Ibrag, Swieqi on Google Maps" xr:uid="{00000000-0004-0000-4A00-00009F000000}"/>
    <hyperlink ref="E35" r:id="rId161" tooltip="Search Triq il-Kappella ta' Santa Marija, Naxxar on Google Maps" xr:uid="{00000000-0004-0000-4A00-0000A0000000}"/>
    <hyperlink ref="E36" r:id="rId162" tooltip="Search Triq il-Fortizza, Mosta on Google Maps" xr:uid="{00000000-0004-0000-4A00-0000A1000000}"/>
    <hyperlink ref="E37" r:id="rId163" tooltip="Search Triq il-Mosta, Lija on Google Maps" xr:uid="{00000000-0004-0000-4A00-0000A2000000}"/>
    <hyperlink ref="E38" r:id="rId164" tooltip="Search Triq it-Torri, Msida on Google Maps" xr:uid="{00000000-0004-0000-4A00-0000A3000000}"/>
    <hyperlink ref="E39" r:id="rId165" tooltip="Search 2 Triq Lorenzo Gafa, Zebbug on Google Maps" xr:uid="{00000000-0004-0000-4A00-0000A4000000}"/>
    <hyperlink ref="E40" r:id="rId166" tooltip="Search SUB 030A Qasam Industrijali, San Gwann on Google Maps" xr:uid="{00000000-0004-0000-4A00-0000A5000000}"/>
    <hyperlink ref="E41" r:id="rId167" tooltip="Search Zone 2 Triq L-Ghadam Central Business District, B'Kara on Google Maps" xr:uid="{00000000-0004-0000-4A00-0000A6000000}"/>
    <hyperlink ref="E42" r:id="rId168" tooltip="Search 34 Triq it-Torri San Gwann, Birgu on Google Maps" xr:uid="{00000000-0004-0000-4A00-0000A7000000}"/>
    <hyperlink ref="E43" r:id="rId169" tooltip="Search Factory GZB 2 Qasam Industrijali, Xewkija-Gozo on Google Maps" xr:uid="{00000000-0004-0000-4A00-0000A8000000}"/>
    <hyperlink ref="E44" r:id="rId170" tooltip="Search GGX 0021 Qasam Industrijali, Xewkija-Gozo on Google Maps" xr:uid="{00000000-0004-0000-4A00-0000A9000000}"/>
    <hyperlink ref="E45" r:id="rId171" tooltip="Search Unit 1 &amp; 2 Qasam Industrijali, Luqa on Google Maps" xr:uid="{00000000-0004-0000-4A00-0000AA000000}"/>
    <hyperlink ref="E46" r:id="rId172" tooltip="Search 31 Triq il-Furnar, Qormi on Google Maps" xr:uid="{00000000-0004-0000-4A00-0000AB000000}"/>
    <hyperlink ref="E47" r:id="rId173" tooltip="Search Garage 10, Level -2 Sqaq il-Mithna Triq I-Imqabba, Qrendi on Google Maps" xr:uid="{00000000-0004-0000-4A00-0000AC000000}"/>
    <hyperlink ref="E48" r:id="rId174" tooltip="Search 26 Triq Haz-Zabbar, Paola on Google Maps" xr:uid="{00000000-0004-0000-4A00-0000AD000000}"/>
    <hyperlink ref="E49" r:id="rId175" tooltip="Search Triq Mro Giorgio Zarb Tal-Handaq, Qormi on Google Maps" xr:uid="{00000000-0004-0000-4A00-0000AE000000}"/>
    <hyperlink ref="E50" r:id="rId176" tooltip="Search Triq il-Parsott, Mosta on Google Maps" xr:uid="{00000000-0004-0000-4A00-0000AF000000}"/>
    <hyperlink ref="E51" r:id="rId177" tooltip="Search 33 Triq Angelo Melilli, Zebbug on Google Maps" xr:uid="{00000000-0004-0000-4A00-0000B0000000}"/>
    <hyperlink ref="E52" r:id="rId178" tooltip="Search No5 Triq Mons Alfred Mifsud, B'Kara on Google Maps" xr:uid="{00000000-0004-0000-4A00-0000B1000000}"/>
    <hyperlink ref="E53" r:id="rId179" tooltip="Search 34 Triq Indri Psaila, Qormi on Google Maps" xr:uid="{00000000-0004-0000-4A00-0000B2000000}"/>
    <hyperlink ref="E54" r:id="rId180" tooltip="Search Emmarie Triq id-Dahla Ta' San Tumas, M'Skala on Google Maps" xr:uid="{00000000-0004-0000-4A00-0000B3000000}"/>
    <hyperlink ref="E55" r:id="rId181" tooltip="Search Garage 25 Tal-Barrani Industrial Estate Triq il-Belt Valletta, Ghaxaq on Google Maps" xr:uid="{00000000-0004-0000-4A00-0000B4000000}"/>
    <hyperlink ref="E56" r:id="rId182" tooltip="Search Scorpio Triq Garcia De Toledo Qawra, San Pawl ll-Bahar on Google Maps" xr:uid="{00000000-0004-0000-4A00-0000B5000000}"/>
    <hyperlink ref="E57" r:id="rId183" tooltip="Search Triq San Pawl ll-Bahar on Google Maps" xr:uid="{00000000-0004-0000-4A00-0000B6000000}"/>
    <hyperlink ref="E58" r:id="rId184" tooltip="Search 197 Telgha tal-Gizwiti, Marsa on Google Maps" xr:uid="{00000000-0004-0000-4A00-0000B7000000}"/>
    <hyperlink ref="E59" r:id="rId185" tooltip="Search Triq Pawlu Mifsud, Zebbug on Google Maps" xr:uid="{00000000-0004-0000-4A00-0000B8000000}"/>
    <hyperlink ref="E60" r:id="rId186" tooltip="Search Entrance 4, Showroom No 6 Triq Valletta, Marsa on Google Maps" xr:uid="{00000000-0004-0000-4A00-0000B9000000}"/>
    <hyperlink ref="E61" r:id="rId187" tooltip="Search 217 Triq Salvu Psaila, B'Kara on Google Maps" xr:uid="{00000000-0004-0000-4A00-0000BA000000}"/>
    <hyperlink ref="E62" r:id="rId188" tooltip="Search 10 Triq Bingemma, Nadur-Gozo on Google Maps" xr:uid="{00000000-0004-0000-4A00-0000BB000000}"/>
    <hyperlink ref="E63" r:id="rId189" tooltip="Search 18 Triq Salvinu Spiteri, Sta Venera on Google Maps" xr:uid="{00000000-0004-0000-4A00-0000BC000000}"/>
    <hyperlink ref="E64" r:id="rId190" tooltip="Search 124 Triq San Gejtanu, Hamrun on Google Maps" xr:uid="{00000000-0004-0000-4A00-0000BD000000}"/>
    <hyperlink ref="E65" r:id="rId191" tooltip="Search Triq id-Difiza Civili, Mosta on Google Maps" xr:uid="{00000000-0004-0000-4A00-0000BE000000}"/>
    <hyperlink ref="E66" r:id="rId192" tooltip="Search BLB 010C Qasam Industrijali, Bulebel, Zejtun on Google Maps" xr:uid="{00000000-0004-0000-4A00-0000BF000000}"/>
    <hyperlink ref="E67" r:id="rId193" tooltip="Search 45 Stella Maris Triq James Smith Qawra, San Pawl ll-Bahar on Google Maps" xr:uid="{00000000-0004-0000-4A00-0000C0000000}"/>
    <hyperlink ref="E68" r:id="rId194" tooltip="Search 4 Triq il-Lvant, Zejtun on Google Maps" xr:uid="{00000000-0004-0000-4A00-0000C1000000}"/>
    <hyperlink ref="E69" r:id="rId195" tooltip="Search 57 Triq il-Qasam Sperimentali Hal Farrug, Luqa on Google Maps" xr:uid="{00000000-0004-0000-4A00-0000C2000000}"/>
    <hyperlink ref="E70" r:id="rId196" tooltip="Search 4, 11 Triq Valletta Qasam Industrijali, Marsa on Google Maps" xr:uid="{00000000-0004-0000-4A00-0000C3000000}"/>
    <hyperlink ref="E71" r:id="rId197" tooltip="Search Plot 121, Aluwood Bldg Triq Ha; Qormi Qasam Industrijali, Luqa on Google Maps" xr:uid="{00000000-0004-0000-4A00-0000C4000000}"/>
    <hyperlink ref="E72" r:id="rId198" tooltip="Search Triq in-Naggar, Mosta on Google Maps" xr:uid="{00000000-0004-0000-4A00-0000C5000000}"/>
    <hyperlink ref="E73" r:id="rId199" tooltip="Search Garage 7, Drive In Triq Lydda, Qormi on Google Maps" xr:uid="{00000000-0004-0000-4A00-0000C6000000}"/>
    <hyperlink ref="E74" r:id="rId200" tooltip="Search Zone 3 Triq San Gwakkin Central Business District, B'Kara on Google Maps" xr:uid="{00000000-0004-0000-4A00-0000C7000000}"/>
    <hyperlink ref="E75" r:id="rId201" tooltip="Search 13, Triq Luretu Cutajar, Zebbug, Haz-Zebbug on Google Maps" xr:uid="{00000000-0004-0000-4A00-0000C8000000}"/>
    <hyperlink ref="E76" r:id="rId202" tooltip="Search Mdina Road, Zebbug on Google Maps" xr:uid="{00000000-0004-0000-4A00-0000C9000000}"/>
    <hyperlink ref="E77" r:id="rId203" tooltip="Search Garage No 2 Triq tas-Sejba, Mqabba on Google Maps" xr:uid="{00000000-0004-0000-4A00-0000CA000000}"/>
    <hyperlink ref="E78" r:id="rId204" tooltip="Search 52, Triq Pinto, Qormi on Google Maps" xr:uid="{00000000-0004-0000-4A00-0000CB000000}"/>
    <hyperlink ref="E79" r:id="rId205" tooltip="Search Garage No 1 Triq Anthony John Coleiro Tal-Handaq, Qormi on Google Maps" xr:uid="{00000000-0004-0000-4A00-0000CC000000}"/>
    <hyperlink ref="E80" r:id="rId206" tooltip="Search 3 Triq Manwel Borg Gauci, Qormi on Google Maps" xr:uid="{00000000-0004-0000-4A00-0000CD000000}"/>
    <hyperlink ref="E81" r:id="rId207" tooltip="Search 16-17 Waterside Place, Flt 9 Ix-Xatt ta' Qui Si-Sana, Sliema on Google Maps" xr:uid="{00000000-0004-0000-4A00-0000CE000000}"/>
    <hyperlink ref="E82" r:id="rId208" tooltip="Search 10c Midland Park Triq Burmarrad, Naxxar on Google Maps" xr:uid="{00000000-0004-0000-4A00-0000CF000000}"/>
    <hyperlink ref="E83" r:id="rId209" tooltip="Search Triq it-Territorji, B'Kara on Google Maps" xr:uid="{00000000-0004-0000-4A00-0000D0000000}"/>
    <hyperlink ref="E84" r:id="rId210" tooltip="Search Sub 029A Qasam Industrijali, San Gwann on Google Maps" xr:uid="{00000000-0004-0000-4A00-0000D1000000}"/>
    <hyperlink ref="E85" r:id="rId211" tooltip="Search Landscape Triq Gnien Fieres, Rabat on Google Maps" xr:uid="{00000000-0004-0000-4A00-0000D2000000}"/>
    <hyperlink ref="E86" r:id="rId212" tooltip="Search 114 Triq il-Wied, B'Kara on Google Maps" xr:uid="{00000000-0004-0000-4A00-0000D3000000}"/>
    <hyperlink ref="E87" r:id="rId213" tooltip="Search 3 Triq iz-Znuber, Mosta on Google Maps" xr:uid="{00000000-0004-0000-4A00-0000D4000000}"/>
    <hyperlink ref="E88" r:id="rId214" tooltip="Search Qasam Industrijali, Tal-Handaq, Qormi on Google Maps" xr:uid="{00000000-0004-0000-4A00-0000D5000000}"/>
    <hyperlink ref="E89" r:id="rId215" tooltip="Search 52 Triq il-Muzika, Iklin on Google Maps" xr:uid="{00000000-0004-0000-4A00-0000D6000000}"/>
    <hyperlink ref="E90" r:id="rId216" tooltip="Search Five Star Business Park Triq il-Belt Valetta, Ghaxaq on Google Maps" xr:uid="{00000000-0004-0000-4A00-0000D7000000}"/>
    <hyperlink ref="E91" r:id="rId217" tooltip="Search Express Bldg Triq Gharram, Zebbug on Google Maps" xr:uid="{00000000-0004-0000-4A00-0000D8000000}"/>
    <hyperlink ref="E92" r:id="rId218" tooltip="Search Oliand Triq Anthony John Coleiro Tal-Handaq, Qormi on Google Maps" xr:uid="{00000000-0004-0000-4A00-0000D9000000}"/>
    <hyperlink ref="E93" r:id="rId219" tooltip="Search SUB 029B Qasam Industrijali, San Gwann on Google Maps" xr:uid="{00000000-0004-0000-4A00-0000DA000000}"/>
    <hyperlink ref="E94" r:id="rId220" tooltip="Search Garage 144 Triq San Xmun, Fgura on Google Maps" xr:uid="{00000000-0004-0000-4A00-0000DB000000}"/>
    <hyperlink ref="E95" r:id="rId221" tooltip="Search 263 Triq il-Merhba, Fgura on Google Maps" xr:uid="{00000000-0004-0000-4A00-0000DC000000}"/>
    <hyperlink ref="E96" r:id="rId222" tooltip="Search Triq Mro Giuseppe Camilleri Tal-Hanhaq, Qormi on Google Maps" xr:uid="{00000000-0004-0000-4A00-0000DD000000}"/>
    <hyperlink ref="E97" r:id="rId223" tooltip="Search TQL 027 Crafts Village Ta' Qali, Attard on Google Maps" xr:uid="{00000000-0004-0000-4A00-0000DE000000}"/>
    <hyperlink ref="E98" r:id="rId224" tooltip="Search 23 Graham Aluminium Triq John Michael Testa Tal-Handaq, Qormi on Google Maps" xr:uid="{00000000-0004-0000-4A00-0000DF000000}"/>
    <hyperlink ref="E99" r:id="rId225" tooltip="Search Drive in fi triq il-Belt Valletta, Qormi on Google Maps" xr:uid="{00000000-0004-0000-4A00-0000E0000000}"/>
    <hyperlink ref="E100" r:id="rId226" tooltip="Search A 42 Qasam Industrijali, Marsa on Google Maps" xr:uid="{00000000-0004-0000-4A00-0000E1000000}"/>
    <hyperlink ref="E101" r:id="rId227" tooltip="Search Qart D'Orange Garage Trejqet il-Wied, Qormi on Google Maps" xr:uid="{00000000-0004-0000-4A00-0000E2000000}"/>
    <hyperlink ref="E102" r:id="rId228" tooltip="Search Triq I-Imdina, Zebbug on Google Maps" xr:uid="{00000000-0004-0000-4A00-0000E3000000}"/>
    <hyperlink ref="E103" r:id="rId229" tooltip="Search 13 Triq Mro Giorgio Zarb Tal-Handaq, Qormi on Google Maps" xr:uid="{00000000-0004-0000-4A00-0000E4000000}"/>
    <hyperlink ref="E104" r:id="rId230" tooltip="Search John Garage Triq Haz-Zebbug, Attard on Google Maps" xr:uid="{00000000-0004-0000-4A00-0000E5000000}"/>
    <hyperlink ref="E105" r:id="rId231" tooltip="Search Sqaq 11, Nru 2 Triq Santa Lucija, Naxxar on Google Maps" xr:uid="{00000000-0004-0000-4A00-0000E6000000}"/>
    <hyperlink ref="E106" r:id="rId232" tooltip="Search 110, Triq Dun Bartilmew Attard, Zebbug on Google Maps" xr:uid="{00000000-0004-0000-4A00-0000E7000000}"/>
    <hyperlink ref="E107" r:id="rId233" tooltip="Search KW 19J Qasam Industrijali, Kordin, Paola on Google Maps" xr:uid="{00000000-0004-0000-4A00-0000E8000000}"/>
    <hyperlink ref="E108" r:id="rId234" tooltip="Search Oceanis Triq tas-Sliema, Gzira on Google Maps" xr:uid="{00000000-0004-0000-4A00-0000E9000000}"/>
    <hyperlink ref="E109" r:id="rId235" tooltip="Search 82 Triq il-Hareb, Ghaxaq on Google Maps" xr:uid="{00000000-0004-0000-4A00-0000EA000000}"/>
    <hyperlink ref="E110" r:id="rId236" tooltip="Search 12 Triq Wenzu Despott, Tarxien on Google Maps" xr:uid="{00000000-0004-0000-4A00-0000EB000000}"/>
    <hyperlink ref="E111" r:id="rId237" tooltip="Search Garage 23 Triq il-Bizzilla, Ghaxaq on Google Maps" xr:uid="{00000000-0004-0000-4A00-0000EC000000}"/>
    <hyperlink ref="E112" r:id="rId238" tooltip="Search KKW 721, Corradino _x000a_Industrial Estate_x000a_Paola, PLA 3000, Malta on Google Maps" xr:uid="{00000000-0004-0000-4A00-0000ED000000}"/>
    <hyperlink ref="E113" r:id="rId239" tooltip="Search Casa Pisani Triq Pisoniano, Sannat-Gozo on Google Maps" xr:uid="{00000000-0004-0000-4A00-0000EE000000}"/>
    <hyperlink ref="E114" r:id="rId240" tooltip="Search Triq il-Palazz L-Ahmar, Sta Venera on Google Maps" xr:uid="{00000000-0004-0000-4A00-0000EF000000}"/>
    <hyperlink ref="E115" r:id="rId241" tooltip="Search 12 Triq il-Parsott, Mosta on Google Maps" xr:uid="{00000000-0004-0000-4A00-0000F0000000}"/>
    <hyperlink ref="E116" r:id="rId242" tooltip="Search 43 Triq Dun Bartilmew Attard, Zebbug on Google Maps" xr:uid="{00000000-0004-0000-4A00-0000F1000000}"/>
    <hyperlink ref="E117" r:id="rId243" tooltip="Search New Building Triq id-Dawwara, Victoria-Gozo on Google Maps" xr:uid="{00000000-0004-0000-4A00-0000F2000000}"/>
    <hyperlink ref="E118" r:id="rId244" tooltip="Search Triq Pietru D' Armenia, Pembroke on Google Maps" xr:uid="{00000000-0004-0000-4A00-0000F3000000}"/>
    <hyperlink ref="E119" r:id="rId245" tooltip="Search Triq I-Imdina, Zebbug on Google Maps" xr:uid="{00000000-0004-0000-4A00-0000F4000000}"/>
    <hyperlink ref="E120" r:id="rId246" tooltip="Search KW36 Qasam Indrustrijali Kordin Paola on Google Maps" xr:uid="{00000000-0004-0000-4A00-0000F5000000}"/>
    <hyperlink ref="E121" r:id="rId247" tooltip="Search Zone 2 Triq ll-Ghain Central Business District, B'Kara on Google Maps" xr:uid="{00000000-0004-0000-4A00-0000F6000000}"/>
    <hyperlink ref="E122" r:id="rId248" tooltip="Search F18, Lower Level Midland Industrial Oark Triq Burmarrad, Naxxar on Google Maps" xr:uid="{00000000-0004-0000-4A00-0000F7000000}"/>
    <hyperlink ref="E123" r:id="rId249" tooltip="Search 23 Triq Angelo Melilli, Zebbug on Google Maps" xr:uid="{00000000-0004-0000-4A00-0000F8000000}"/>
    <hyperlink ref="E124" r:id="rId250" tooltip="Search 8 Triq ll-Madonna Ta' Pompej, B'Kara on Google Maps" xr:uid="{00000000-0004-0000-4A00-0000F9000000}"/>
    <hyperlink ref="E125" r:id="rId251" tooltip="Search 29 Triq E Attard Bezzina, Zejtun on Google Maps" xr:uid="{00000000-0004-0000-4A00-0000FA000000}"/>
    <hyperlink ref="E126" r:id="rId252" tooltip="Search Towe Buildings Triq Graham, Zebbug on Google Maps" xr:uid="{00000000-0004-0000-4A00-0000FB000000}"/>
    <hyperlink ref="E127" r:id="rId253" tooltip="Search KK 011 Qasam Industrijali, Kordin, Paola on Google Maps" xr:uid="{00000000-0004-0000-4A00-0000FC000000}"/>
    <hyperlink ref="E128" r:id="rId254" tooltip="Search Triq l-isturnell Roza, Hal Luqa, Malta on Google Maps" xr:uid="{00000000-0004-0000-4A00-0000FD000000}"/>
    <hyperlink ref="E129" r:id="rId255" tooltip="Search MRA 053 Qasam Industrijali, Marsa on Google Maps" xr:uid="{00000000-0004-0000-4A00-0000FE000000}"/>
    <hyperlink ref="E130" r:id="rId256" tooltip="Search 77 Triq il-Ballut Qasam Industrijali, Mosta on Google Maps" xr:uid="{00000000-0004-0000-4A00-0000FF000000}"/>
    <hyperlink ref="E131" r:id="rId257" tooltip="Search A8 Qasam Industrijali, Marsa on Google Maps" xr:uid="{00000000-0004-0000-4A00-000000010000}"/>
    <hyperlink ref="E132" r:id="rId258" tooltip="Search Sqaq Privat Triq tal-Ghajn, Fontana-Gozo on Google Maps" xr:uid="{00000000-0004-0000-4A00-000001010000}"/>
    <hyperlink ref="F2" r:id="rId259" tooltip="Visit brandimports.com.mt" xr:uid="{00000000-0004-0000-4A00-000002010000}"/>
    <hyperlink ref="F3" r:id="rId260" tooltip="Visit newstylesmalta.com" xr:uid="{00000000-0004-0000-4A00-000003010000}"/>
    <hyperlink ref="F4" r:id="rId261" tooltip="Visit aluscreens.com" xr:uid="{00000000-0004-0000-4A00-000004010000}"/>
    <hyperlink ref="F5" r:id="rId262" tooltip="Visit dimech-ent.com" xr:uid="{00000000-0004-0000-4A00-000005010000}"/>
    <hyperlink ref="F6" r:id="rId263" tooltip="Visit aluage.com" xr:uid="{00000000-0004-0000-4A00-000006010000}"/>
    <hyperlink ref="F7" r:id="rId264" tooltip="Visit facebook.com/mtrefurbishing/" xr:uid="{00000000-0004-0000-4A00-000007010000}"/>
    <hyperlink ref="F8" r:id="rId265" tooltip="Visit ddoorcompany.com" xr:uid="{00000000-0004-0000-4A00-000008010000}"/>
    <hyperlink ref="F9" r:id="rId266" tooltip="Visit dimech-ent.com" xr:uid="{00000000-0004-0000-4A00-000009010000}"/>
    <hyperlink ref="F10" r:id="rId267" tooltip="Visit fourwalls.com.mt" xr:uid="{00000000-0004-0000-4A00-00000A010000}"/>
    <hyperlink ref="F11" r:id="rId268" tooltip="Visit sfdoorstyles.com.mt" xr:uid="{00000000-0004-0000-4A00-00000B010000}"/>
    <hyperlink ref="F12" r:id="rId269" tooltip="Visit domestica.com.mt" xr:uid="{00000000-0004-0000-4A00-00000C010000}"/>
    <hyperlink ref="F13" r:id="rId270" tooltip="Visit pvc.com.mt" xr:uid="{00000000-0004-0000-4A00-00000D010000}"/>
    <hyperlink ref="F14" r:id="rId271" tooltip="Visit italtrade.com.mt" xr:uid="{00000000-0004-0000-4A00-00000E010000}"/>
    <hyperlink ref="F15" r:id="rId272" tooltip="Visit starfurniture.com.mt" xr:uid="{00000000-0004-0000-4A00-00000F010000}"/>
    <hyperlink ref="F16" r:id="rId273" tooltip="Visit powerhousemalta.eu.com.mt" xr:uid="{00000000-0004-0000-4A00-000010010000}"/>
    <hyperlink ref="F17" r:id="rId274" tooltip="Visit pvcmalta.com" xr:uid="{00000000-0004-0000-4A00-000011010000}"/>
    <hyperlink ref="F18" r:id="rId275" tooltip="Visit framegrip.com" xr:uid="{00000000-0004-0000-4A00-000012010000}"/>
    <hyperlink ref="F19" r:id="rId276" tooltip="Visit gauciwoodsmalta.com" xr:uid="{00000000-0004-0000-4A00-000013010000}"/>
    <hyperlink ref="F22" r:id="rId277" tooltip="Visit alfredbaldacchinoltd.net" xr:uid="{00000000-0004-0000-4A00-000014010000}"/>
    <hyperlink ref="F23" r:id="rId278" tooltip="Visit nkwoodworks.com" xr:uid="{00000000-0004-0000-4A00-000015010000}"/>
    <hyperlink ref="F24" r:id="rId279" tooltip="Visit masterwoodmalta.net" xr:uid="{00000000-0004-0000-4A00-000016010000}"/>
    <hyperlink ref="F25" r:id="rId280" tooltip="Visit grfmalta.com/" xr:uid="{00000000-0004-0000-4A00-000017010000}"/>
    <hyperlink ref="F26" r:id="rId281" tooltip="Visit casconehome.com/en/index.php" xr:uid="{00000000-0004-0000-4A00-000018010000}"/>
    <hyperlink ref="F27" r:id="rId282" tooltip="Visit promaninteriors.com/" xr:uid="{00000000-0004-0000-4A00-000019010000}"/>
    <hyperlink ref="F28" r:id="rId283" tooltip="Visit maltadiy.com/product-category/doors-windows/internal-door/pocket-doors/" xr:uid="{00000000-0004-0000-4A00-00001A010000}"/>
    <hyperlink ref="F29" r:id="rId284" tooltip="Visit cassarwoodworks.com/opening-solutions-by-george-cassar-woodworks/" xr:uid="{00000000-0004-0000-4A00-00001B010000}"/>
    <hyperlink ref="F30" r:id="rId285" tooltip="Visit ddoorcompany.com/" xr:uid="{00000000-0004-0000-4A00-00001C010000}"/>
    <hyperlink ref="F31" r:id="rId286" tooltip="Visit megastore.com.mt/" xr:uid="{00000000-0004-0000-4A00-00001D010000}"/>
    <hyperlink ref="F32" r:id="rId287" tooltip="Visit bitmacltd.com/" xr:uid="{00000000-0004-0000-4A00-00001E010000}"/>
    <hyperlink ref="F33" r:id="rId288" tooltip="Visit maltashopper.com/" xr:uid="{00000000-0004-0000-4A00-00001F010000}"/>
    <hyperlink ref="F34" r:id="rId289" tooltip="Visit pvc.com.mt" xr:uid="{00000000-0004-0000-4A00-000020010000}"/>
    <hyperlink ref="F35" r:id="rId290" tooltip="Visit kbstructuresltd.com" xr:uid="{00000000-0004-0000-4A00-000021010000}"/>
    <hyperlink ref="F36" r:id="rId291" tooltip="Visit stanthonyww.com" xr:uid="{00000000-0004-0000-4A00-000022010000}"/>
    <hyperlink ref="F37" r:id="rId292" tooltip="Visit framegrip.com" xr:uid="{00000000-0004-0000-4A00-000023010000}"/>
    <hyperlink ref="F38" r:id="rId293" tooltip="Visit jlautier.com" xr:uid="{00000000-0004-0000-4A00-000024010000}"/>
    <hyperlink ref="F40" r:id="rId294" tooltip="Visit newstylesmalta.com" xr:uid="{00000000-0004-0000-4A00-000025010000}"/>
    <hyperlink ref="F41" r:id="rId295" tooltip="Visit grimafurniture.com" xr:uid="{00000000-0004-0000-4A00-000026010000}"/>
    <hyperlink ref="F42" r:id="rId296" tooltip="Visit amabilegalea.com" xr:uid="{00000000-0004-0000-4A00-000027010000}"/>
    <hyperlink ref="F43" r:id="rId297" tooltip="Visit facebook.com/GozoAluminium/" xr:uid="{00000000-0004-0000-4A00-000028010000}"/>
    <hyperlink ref="F44" r:id="rId298" tooltip="Visit facebook.com/p/Nu-Aluminium-100064044373074/" xr:uid="{00000000-0004-0000-4A00-000029010000}"/>
    <hyperlink ref="F45" r:id="rId299" tooltip="Visit sfdoorstyle.com.mt" xr:uid="{00000000-0004-0000-4A00-00002A010000}"/>
    <hyperlink ref="F47" r:id="rId300" tooltip="Visit afdaaluminium.com" xr:uid="{00000000-0004-0000-4A00-00002B010000}"/>
    <hyperlink ref="F48" r:id="rId301" tooltip="Visit brandimports.com.mt" xr:uid="{00000000-0004-0000-4A00-00002C010000}"/>
    <hyperlink ref="F49" r:id="rId302" tooltip="Visit j3alumiuniumworks.com" xr:uid="{00000000-0004-0000-4A00-00002D010000}"/>
    <hyperlink ref="F50" r:id="rId303" tooltip="Visit sgt1183woodworks.com" xr:uid="{00000000-0004-0000-4A00-00002E010000}"/>
    <hyperlink ref="F51" r:id="rId304" tooltip="Visit nicholas.mt" xr:uid="{00000000-0004-0000-4A00-00002F010000}"/>
    <hyperlink ref="F52" r:id="rId305" tooltip="Visit facebook.com/ihomes" xr:uid="{00000000-0004-0000-4A00-000030010000}"/>
    <hyperlink ref="F53" r:id="rId306" tooltip="Visit abelawoodworks.wixsite.com/abelawoodworks?utm_source=Yellow&amp;utm_medium=Yellow-Website&amp;utm_campaign=Landing-Page" xr:uid="{00000000-0004-0000-4A00-000031010000}"/>
    <hyperlink ref="F54" r:id="rId307" tooltip="Visit facebook.com/p/Melvin-Aluminium-works-100057483907699/" xr:uid="{00000000-0004-0000-4A00-000032010000}"/>
    <hyperlink ref="F55" r:id="rId308" tooltip="Visit facebook.com/p/Josef-Aluminium-Metal-Works-100054319188613/" xr:uid="{00000000-0004-0000-4A00-000033010000}"/>
    <hyperlink ref="F56" r:id="rId309" tooltip="Visit facebook.com/people/Northalu/100055070154471/?utm_source=Yellow&amp;utm_medium=Yellow-Website&amp;utm_campaign=Landing-Page#" xr:uid="{00000000-0004-0000-4A00-000034010000}"/>
    <hyperlink ref="F57" r:id="rId310" tooltip="Visit agoodchildinstallations.com" xr:uid="{00000000-0004-0000-4A00-000035010000}"/>
    <hyperlink ref="F59" r:id="rId311" tooltip="Visit facebook.com/jsbaluminium.works" xr:uid="{00000000-0004-0000-4A00-000036010000}"/>
    <hyperlink ref="F60" r:id="rId312" tooltip="Visit classicdesignwoodworksmalta.com" xr:uid="{00000000-0004-0000-4A00-000037010000}"/>
    <hyperlink ref="F61" r:id="rId313" tooltip="Visit facebook.com/doorsand.more.3" xr:uid="{00000000-0004-0000-4A00-000038010000}"/>
    <hyperlink ref="F65" r:id="rId314" tooltip="Visit adoremore.com.mt" xr:uid="{00000000-0004-0000-4A00-000039010000}"/>
    <hyperlink ref="F66" r:id="rId315" tooltip="Visit acmamalta.com" xr:uid="{00000000-0004-0000-4A00-00003A010000}"/>
    <hyperlink ref="F69" r:id="rId316" tooltip="Visit facebook.com/alukeyaluminium" xr:uid="{00000000-0004-0000-4A00-00003B010000}"/>
    <hyperlink ref="F70" r:id="rId317" tooltip="Visit aluminium-ltd.business.site" xr:uid="{00000000-0004-0000-4A00-00003C010000}"/>
    <hyperlink ref="F71" r:id="rId318" tooltip="Visit facebook.com/AluwoodCoLtd" xr:uid="{00000000-0004-0000-4A00-00003D010000}"/>
    <hyperlink ref="F72" r:id="rId319" tooltip="Visit facebook.com/people/Andrew-vella-aluminium/100064883072627/" xr:uid="{00000000-0004-0000-4A00-00003E010000}"/>
    <hyperlink ref="F73" r:id="rId320" tooltip="Visit facebook.com/azzopardialum" xr:uid="{00000000-0004-0000-4A00-00003F010000}"/>
    <hyperlink ref="F74" r:id="rId321" tooltip="Visit basonaluminium.com" xr:uid="{00000000-0004-0000-4A00-000040010000}"/>
    <hyperlink ref="F75" r:id="rId322" tooltip="Visit facebook.com/borgalum/" xr:uid="{00000000-0004-0000-4A00-000041010000}"/>
    <hyperlink ref="F76" r:id="rId323" tooltip="Visit bpapertures.com/" xr:uid="{00000000-0004-0000-4A00-000042010000}"/>
    <hyperlink ref="F77" r:id="rId324" tooltip="Visit facebook.com/people/CDS-Aluminium-work/100064086582054/" xr:uid="{00000000-0004-0000-4A00-000043010000}"/>
    <hyperlink ref="F78" r:id="rId325" tooltip="Visit cagroup.com.mt" xr:uid="{00000000-0004-0000-4A00-000044010000}"/>
    <hyperlink ref="F80" r:id="rId326" tooltip="Visit facebook.com/p/TC-Aluminium-Works-100064147390058/" xr:uid="{00000000-0004-0000-4A00-000045010000}"/>
    <hyperlink ref="F81" r:id="rId327" tooltip="Visit salamander-windows.com/?utm_source=Yellow&amp;utm_medium=Yellow-Website&amp;utm_campaign=Landing-Page" xr:uid="{00000000-0004-0000-4A00-000046010000}"/>
    <hyperlink ref="F82" r:id="rId328" tooltip="Visit facebook.com/p/Choco-aluminium-works-100064574387617/" xr:uid="{00000000-0004-0000-4A00-000047010000}"/>
    <hyperlink ref="F83" r:id="rId329" tooltip="Visit comfortabita.com" xr:uid="{00000000-0004-0000-4A00-000048010000}"/>
    <hyperlink ref="F84" r:id="rId330" tooltip="Visit cuschierigroup.com" xr:uid="{00000000-0004-0000-4A00-000049010000}"/>
    <hyperlink ref="F86" r:id="rId331" tooltip="Visit facebook.com/deckor.mt/" xr:uid="{00000000-0004-0000-4A00-00004A010000}"/>
    <hyperlink ref="F87" r:id="rId332" tooltip="Visit dimechapertures.com/" xr:uid="{00000000-0004-0000-4A00-00004B010000}"/>
    <hyperlink ref="F88" r:id="rId333" tooltip="Visit pvcmalta.com" xr:uid="{00000000-0004-0000-4A00-00004C010000}"/>
    <hyperlink ref="F89" location="Doors!https://2138 2595" tooltip="Visit 2138 2595" display="2138 2595" xr:uid="{00000000-0004-0000-4A00-00004D010000}"/>
    <hyperlink ref="F90" r:id="rId334" tooltip="Visit facebook.com/p/DX-Aluminium-Works-100064182690832/" xr:uid="{00000000-0004-0000-4A00-00004E010000}"/>
    <hyperlink ref="F91" r:id="rId335" tooltip="Visit expressaluminium.com" xr:uid="{00000000-0004-0000-4A00-00004F010000}"/>
    <hyperlink ref="F93" r:id="rId336" tooltip="Visit finestralmalta.com" xr:uid="{00000000-0004-0000-4A00-000050010000}"/>
    <hyperlink ref="F94" r:id="rId337" tooltip="Visit aluminiumworks.in" xr:uid="{00000000-0004-0000-4A00-000051010000}"/>
    <hyperlink ref="F96" r:id="rId338" tooltip="Visit facebook.com/p/Giorgio-Aluminium-Co-Ltd-100065044507710/" xr:uid="{00000000-0004-0000-4A00-000052010000}"/>
    <hyperlink ref="F97" r:id="rId339" tooltip="Visit cassarwoodworks.com" xr:uid="{00000000-0004-0000-4A00-000053010000}"/>
    <hyperlink ref="F98" r:id="rId340" tooltip="Visit grahamaluminium.com" xr:uid="{00000000-0004-0000-4A00-000054010000}"/>
    <hyperlink ref="F99" r:id="rId341" tooltip="Visit facebook.com/Guys21485785/" xr:uid="{00000000-0004-0000-4A00-000055010000}"/>
    <hyperlink ref="F100" r:id="rId342" tooltip="Visit horvinltd.com" xr:uid="{00000000-0004-0000-4A00-000056010000}"/>
    <hyperlink ref="F101" r:id="rId343" tooltip="Visit icsaluminium.yolasite.com" xr:uid="{00000000-0004-0000-4A00-000057010000}"/>
    <hyperlink ref="F103" r:id="rId344" tooltip="Visit jcdaluminium.com" xr:uid="{00000000-0004-0000-4A00-000058010000}"/>
    <hyperlink ref="F104" r:id="rId345" tooltip="Visit jk-aluminium.com" xr:uid="{00000000-0004-0000-4A00-000059010000}"/>
    <hyperlink ref="F106" r:id="rId346" tooltip="Visit jamarmalta.com" xr:uid="{00000000-0004-0000-4A00-00005A010000}"/>
    <hyperlink ref="F107" r:id="rId347" tooltip="Visit jasonaluminium.com" xr:uid="{00000000-0004-0000-4A00-00005B010000}"/>
    <hyperlink ref="F108" r:id="rId348" tooltip="Visit facebook.com/KKAluWorks/" xr:uid="{00000000-0004-0000-4A00-00005C010000}"/>
    <hyperlink ref="F109" r:id="rId349" tooltip="Visit facebook.com/p/Munita-Aluminium-100063476861515/" xr:uid="{00000000-0004-0000-4A00-00005D010000}"/>
    <hyperlink ref="F112" r:id="rId350" tooltip="Visit nigeldimech.com/" xr:uid="{00000000-0004-0000-4A00-00005E010000}"/>
    <hyperlink ref="F114" r:id="rId351" tooltip="Visit facebook.com/QormiAluminium" xr:uid="{00000000-0004-0000-4A00-00005F010000}"/>
    <hyperlink ref="F117" r:id="rId352" tooltip="Visit facebook.com/people/Rapa-Aluminium-Victoria-Gozo/100063473081953/?utm_source=Yellow&amp;utm_medium=Yellow-Website&amp;utm_campaign=Landing-Page#" xr:uid="{00000000-0004-0000-4A00-000060010000}"/>
    <hyperlink ref="F118" r:id="rId353" tooltip="Visit facebook.com/RayAluWorks/" xr:uid="{00000000-0004-0000-4A00-000061010000}"/>
    <hyperlink ref="F119" r:id="rId354" tooltip="Visit facebook.com/people/Refined-Aluminium-Metal-Works/100063567219937/?utm_source=Yellow&amp;utm_medium=Yellow-Website&amp;utm_campaign=Landing-Page#" xr:uid="{00000000-0004-0000-4A00-000062010000}"/>
    <hyperlink ref="F120" r:id="rId355" tooltip="Visit servgroupmalta.com" xr:uid="{00000000-0004-0000-4A00-000063010000}"/>
    <hyperlink ref="F122" r:id="rId356" tooltip="Visit sptechniques.com" xr:uid="{00000000-0004-0000-4A00-000064010000}"/>
    <hyperlink ref="F124" r:id="rId357" tooltip="Visit aluminium.mt/" xr:uid="{00000000-0004-0000-4A00-000065010000}"/>
    <hyperlink ref="F126" r:id="rId358" tooltip="Visit towergroupmalta.com" xr:uid="{00000000-0004-0000-4A00-000066010000}"/>
    <hyperlink ref="F127" r:id="rId359" tooltip="Visit trendsltdmalta.com" xr:uid="{00000000-0004-0000-4A00-000067010000}"/>
    <hyperlink ref="F128" r:id="rId360" tooltip="Visit valormalta.wixsite.com/valor" xr:uid="{00000000-0004-0000-4A00-000068010000}"/>
    <hyperlink ref="F129" r:id="rId361" tooltip="Visit facebook.com/windmillltd/" xr:uid="{00000000-0004-0000-4A00-000069010000}"/>
    <hyperlink ref="F131" r:id="rId362" tooltip="Visit facebook.com/bespokelocalfurniture" xr:uid="{00000000-0004-0000-4A00-00006A010000}"/>
    <hyperlink ref="F132" r:id="rId363" tooltip="Visit facebook.com/zammitaluminum/" xr:uid="{00000000-0004-0000-4A00-00006B010000}"/>
    <hyperlink ref="F133" r:id="rId364" tooltip="Visit facebook.com/RGroupMalta" xr:uid="{00000000-0004-0000-4A00-00006C010000}"/>
  </hyperlinks>
  <pageMargins left="0.75" right="0.75" top="0.75" bottom="0.5" header="0.5" footer="0.7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14"/>
  <sheetViews>
    <sheetView workbookViewId="0"/>
  </sheetViews>
  <sheetFormatPr defaultRowHeight="14.4" x14ac:dyDescent="0.3"/>
  <cols>
    <col min="1" max="1" width="7.33203125" customWidth="1"/>
    <col min="2" max="2" width="41.5546875" customWidth="1"/>
    <col min="3" max="3" width="29" customWidth="1"/>
    <col min="4" max="4" width="18.109375" customWidth="1"/>
    <col min="5" max="5" width="70.109375" customWidth="1"/>
    <col min="6" max="6" width="23.8867187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828</v>
      </c>
      <c r="E1" s="1" t="s">
        <v>526</v>
      </c>
      <c r="F1" s="1" t="s">
        <v>20</v>
      </c>
    </row>
    <row r="2" spans="1:6" x14ac:dyDescent="0.3">
      <c r="A2" s="2" t="s">
        <v>4736</v>
      </c>
      <c r="B2" s="2" t="s">
        <v>686</v>
      </c>
      <c r="C2" s="3" t="s">
        <v>715</v>
      </c>
      <c r="D2" s="2" t="str">
        <f>CONCATENATE(HYPERLINK("CALLTO:%2B356%202145%201350", "+356 2145 1350"))</f>
        <v>+356 2145 1350</v>
      </c>
      <c r="E2" s="3" t="s">
        <v>4764</v>
      </c>
      <c r="F2" s="3" t="s">
        <v>2044</v>
      </c>
    </row>
    <row r="3" spans="1:6" x14ac:dyDescent="0.3">
      <c r="A3" s="4" t="s">
        <v>4736</v>
      </c>
      <c r="B3" s="4" t="s">
        <v>4746</v>
      </c>
      <c r="C3" s="5" t="s">
        <v>723</v>
      </c>
      <c r="D3" s="4" t="str">
        <f>CONCATENATE(HYPERLINK("CALLTO:%2B356%202169%205226", "+356 2169 5226"))</f>
        <v>+356 2169 5226</v>
      </c>
      <c r="E3" s="5" t="s">
        <v>4765</v>
      </c>
      <c r="F3" s="5" t="s">
        <v>4776</v>
      </c>
    </row>
    <row r="4" spans="1:6" x14ac:dyDescent="0.3">
      <c r="A4" s="2" t="s">
        <v>4736</v>
      </c>
      <c r="B4" s="2" t="s">
        <v>4747</v>
      </c>
      <c r="C4" s="3" t="s">
        <v>4748</v>
      </c>
      <c r="D4" s="2" t="str">
        <f>CONCATENATE(HYPERLINK("CALLTO:%2B356%209949%206421", "+356 9949 6421"))</f>
        <v>+356 9949 6421</v>
      </c>
      <c r="E4" s="3" t="s">
        <v>4766</v>
      </c>
      <c r="F4" s="3" t="s">
        <v>4777</v>
      </c>
    </row>
    <row r="5" spans="1:6" x14ac:dyDescent="0.3">
      <c r="A5" s="4" t="s">
        <v>4736</v>
      </c>
      <c r="B5" s="4" t="s">
        <v>4745</v>
      </c>
      <c r="C5" s="5" t="s">
        <v>4758</v>
      </c>
      <c r="D5" s="4" t="str">
        <f>CONCATENATE(HYPERLINK("CALLTO:%2B356%209989%209673", "+356 9989 9673"))</f>
        <v>+356 9989 9673</v>
      </c>
      <c r="E5" s="5" t="s">
        <v>4767</v>
      </c>
      <c r="F5" s="5" t="s">
        <v>4779</v>
      </c>
    </row>
    <row r="6" spans="1:6" x14ac:dyDescent="0.3">
      <c r="A6" s="2" t="s">
        <v>4736</v>
      </c>
      <c r="B6" s="2" t="s">
        <v>4749</v>
      </c>
      <c r="C6" s="3" t="s">
        <v>716</v>
      </c>
      <c r="D6" s="2" t="str">
        <f>CONCATENATE(HYPERLINK("CALLTO:%2B356%202147%202714", "+356 2147 2714"))</f>
        <v>+356 2147 2714</v>
      </c>
      <c r="E6" s="3" t="s">
        <v>4768</v>
      </c>
      <c r="F6" s="3" t="s">
        <v>4780</v>
      </c>
    </row>
    <row r="7" spans="1:6" x14ac:dyDescent="0.3">
      <c r="A7" s="4" t="s">
        <v>4736</v>
      </c>
      <c r="B7" s="4" t="s">
        <v>4750</v>
      </c>
      <c r="C7" s="5" t="s">
        <v>4759</v>
      </c>
      <c r="D7" s="4" t="str">
        <f>CONCATENATE(HYPERLINK("CALLTO:%2B356%202143%203636", "+356 2143 3636"))</f>
        <v>+356 2143 3636</v>
      </c>
      <c r="E7" s="5" t="s">
        <v>4768</v>
      </c>
      <c r="F7" s="5" t="s">
        <v>4778</v>
      </c>
    </row>
    <row r="8" spans="1:6" x14ac:dyDescent="0.3">
      <c r="A8" s="2" t="s">
        <v>4736</v>
      </c>
      <c r="B8" s="2" t="s">
        <v>4751</v>
      </c>
      <c r="C8" s="3" t="s">
        <v>699</v>
      </c>
      <c r="D8" s="2" t="str">
        <f>CONCATENATE(HYPERLINK("CALLTO:%2B356%202145%200643", "+356 2145 0643"))</f>
        <v>+356 2145 0643</v>
      </c>
      <c r="E8" s="3" t="s">
        <v>4770</v>
      </c>
      <c r="F8" s="3" t="s">
        <v>740</v>
      </c>
    </row>
    <row r="9" spans="1:6" x14ac:dyDescent="0.3">
      <c r="A9" s="4" t="s">
        <v>4736</v>
      </c>
      <c r="B9" s="4" t="s">
        <v>4752</v>
      </c>
      <c r="C9" s="5" t="s">
        <v>4760</v>
      </c>
      <c r="D9" s="4" t="str">
        <f>CONCATENATE(HYPERLINK("CALLTO:%2B356%202155%207136", "+356 2155 7136"))</f>
        <v>+356 2155 7136</v>
      </c>
      <c r="E9" s="5" t="s">
        <v>4771</v>
      </c>
      <c r="F9" s="5" t="s">
        <v>4782</v>
      </c>
    </row>
    <row r="10" spans="1:6" x14ac:dyDescent="0.3">
      <c r="A10" s="2" t="s">
        <v>4736</v>
      </c>
      <c r="B10" s="2" t="s">
        <v>4753</v>
      </c>
      <c r="C10" s="3" t="s">
        <v>4762</v>
      </c>
      <c r="D10" s="2" t="str">
        <f>CONCATENATE(HYPERLINK("CALLTO:%2B356%209977%200099", "+356 9977 0099"))</f>
        <v>+356 9977 0099</v>
      </c>
      <c r="E10" s="3" t="s">
        <v>4769</v>
      </c>
      <c r="F10" s="3" t="s">
        <v>4781</v>
      </c>
    </row>
    <row r="11" spans="1:6" x14ac:dyDescent="0.3">
      <c r="A11" s="4" t="s">
        <v>4736</v>
      </c>
      <c r="B11" s="4" t="s">
        <v>4754</v>
      </c>
      <c r="C11" s="5" t="s">
        <v>4761</v>
      </c>
      <c r="D11" s="4" t="str">
        <f>CONCATENATE(HYPERLINK("CALLTO:%2B356%202155%208398", "+356 2155 8398"))</f>
        <v>+356 2155 8398</v>
      </c>
      <c r="E11" s="5" t="s">
        <v>4772</v>
      </c>
      <c r="F11" s="5" t="s">
        <v>4783</v>
      </c>
    </row>
    <row r="12" spans="1:6" x14ac:dyDescent="0.3">
      <c r="A12" s="2" t="s">
        <v>4736</v>
      </c>
      <c r="B12" s="2" t="s">
        <v>4755</v>
      </c>
      <c r="C12" s="3" t="s">
        <v>1301</v>
      </c>
      <c r="D12" s="2" t="str">
        <f>CONCATENATE(HYPERLINK("CALLTO:%2B356%209988%204194", "+356 9988 4194"))</f>
        <v>+356 9988 4194</v>
      </c>
      <c r="E12" s="3" t="s">
        <v>4773</v>
      </c>
      <c r="F12" s="3" t="s">
        <v>1456</v>
      </c>
    </row>
    <row r="13" spans="1:6" x14ac:dyDescent="0.3">
      <c r="A13" s="4" t="s">
        <v>4736</v>
      </c>
      <c r="B13" s="4" t="s">
        <v>4756</v>
      </c>
      <c r="C13" s="5" t="s">
        <v>4763</v>
      </c>
      <c r="D13" s="4" t="str">
        <f>CONCATENATE(HYPERLINK("CALLTO:%2B356%202169%206571", "+356 2169 6571"))</f>
        <v>+356 2169 6571</v>
      </c>
      <c r="E13" s="5" t="s">
        <v>4774</v>
      </c>
      <c r="F13" s="4" t="s">
        <v>146</v>
      </c>
    </row>
    <row r="14" spans="1:6" x14ac:dyDescent="0.3">
      <c r="A14" s="2" t="s">
        <v>4736</v>
      </c>
      <c r="B14" s="2" t="s">
        <v>4757</v>
      </c>
      <c r="C14" s="3" t="s">
        <v>863</v>
      </c>
      <c r="D14" s="2" t="str">
        <f>CONCATENATE(HYPERLINK("CALLTO:%2B356%202141%204090", "+356 2141 4090"))</f>
        <v>+356 2141 4090</v>
      </c>
      <c r="E14" s="3" t="s">
        <v>4775</v>
      </c>
      <c r="F14" s="2" t="s">
        <v>146</v>
      </c>
    </row>
  </sheetData>
  <hyperlinks>
    <hyperlink ref="C2" r:id="rId1" tooltip="Send a mail to info@desanamarbles.com" xr:uid="{00000000-0004-0000-4B00-000000000000}"/>
    <hyperlink ref="C3" r:id="rId2" tooltip="Send a mail to sales@marbleinnovation.com" xr:uid="{00000000-0004-0000-4B00-000001000000}"/>
    <hyperlink ref="C4" r:id="rId3" tooltip="Send a mail to rgpmarblemalta@gmail.com" xr:uid="{00000000-0004-0000-4B00-000002000000}"/>
    <hyperlink ref="C5" r:id="rId4" tooltip="Send a mail to amuscatmarble@gmail.com" xr:uid="{00000000-0004-0000-4B00-000003000000}"/>
    <hyperlink ref="C6" r:id="rId5" tooltip="Send a mail to info@cinimarbles.com" xr:uid="{00000000-0004-0000-4B00-000004000000}"/>
    <hyperlink ref="C7" r:id="rId6" tooltip="Send a mail to info@hmvella.com" xr:uid="{00000000-0004-0000-4B00-000005000000}"/>
    <hyperlink ref="C8" r:id="rId7" tooltip="Send a mail to info@rabatmarbles.com" xr:uid="{00000000-0004-0000-4B00-000006000000}"/>
    <hyperlink ref="C9" r:id="rId8" tooltip="Send a mail to info@juliansmarble.com" xr:uid="{00000000-0004-0000-4B00-000007000000}"/>
    <hyperlink ref="C10" r:id="rId9" tooltip="Send a mail to grechmarbles@onvol.net" xr:uid="{00000000-0004-0000-4B00-000008000000}"/>
    <hyperlink ref="C11" r:id="rId10" tooltip="Send a mail to afellismarbleworks@gmail.com" xr:uid="{00000000-0004-0000-4B00-000009000000}"/>
    <hyperlink ref="C12" r:id="rId11" tooltip="Send a mail to bugejamarbles@gmail.com" xr:uid="{00000000-0004-0000-4B00-00000A000000}"/>
    <hyperlink ref="C13" r:id="rId12" tooltip="Send a mail to icamill52@gmail.com" xr:uid="{00000000-0004-0000-4B00-00000B000000}"/>
    <hyperlink ref="C14" r:id="rId13" tooltip="Send a mail to info@chicliving.com.mt" xr:uid="{00000000-0004-0000-4B00-00000C000000}"/>
    <hyperlink ref="E2" r:id="rId14" tooltip="Search Buskett Road, Dingli, DGL 2709, Malta on Google Maps" xr:uid="{00000000-0004-0000-4B00-00000D000000}"/>
    <hyperlink ref="E3" r:id="rId15" tooltip="Search KKW601, Triq Kordin, Paola, Malta on Google Maps" xr:uid="{00000000-0004-0000-4B00-00000E000000}"/>
    <hyperlink ref="E4" r:id="rId16" tooltip="Search Ħaż-Żebbuġ, Malta on Google Maps" xr:uid="{00000000-0004-0000-4B00-00000F000000}"/>
    <hyperlink ref="E5" r:id="rId17" tooltip="Search 355, Triq l-Imdina, Ħal Qormi, Malta QRM 9012 on Google Maps" xr:uid="{00000000-0004-0000-4B00-000010000000}"/>
    <hyperlink ref="E6" r:id="rId18" tooltip="Search Handaq Road, Qormi, QRM 4000, Malta on Google Maps" xr:uid="{00000000-0004-0000-4B00-000011000000}"/>
    <hyperlink ref="E7" r:id="rId19" tooltip="Search Handaq Road, Qormi, QRM 4000, Malta on Google Maps" xr:uid="{00000000-0004-0000-4B00-000012000000}"/>
    <hyperlink ref="E8" r:id="rId20" tooltip="Search Labour Avenue, Rabat RBT 1769 , Malta on Google Maps" xr:uid="{00000000-0004-0000-4B00-000013000000}"/>
    <hyperlink ref="E9" r:id="rId21" tooltip="Search Marsalforn Road , xaghra , Gozo ,Malta on Google Maps" xr:uid="{00000000-0004-0000-4B00-000014000000}"/>
    <hyperlink ref="E10" r:id="rId22" tooltip="Search Triq L-Mdina , H Attard , Malta ATD 9037 on Google Maps" xr:uid="{00000000-0004-0000-4B00-000015000000}"/>
    <hyperlink ref="E11" r:id="rId23" tooltip="Search Il-Pressa, Triq Il-Biccerija, Ix-Xewkija, Gozo, Malta XWK 3000 on Google Maps" xr:uid="{00000000-0004-0000-4B00-000016000000}"/>
    <hyperlink ref="E12" r:id="rId24" tooltip="Search Zone 3, Central Business District, Triq San Gwakkin, Birkirkara, Mriehel, Malta on Google Maps" xr:uid="{00000000-0004-0000-4B00-000017000000}"/>
    <hyperlink ref="E13" r:id="rId25" tooltip="Search Triq Hal Tarxien, Il-Gudja, Malta ZTN 14 on Google Maps" xr:uid="{00000000-0004-0000-4B00-000018000000}"/>
    <hyperlink ref="E14" r:id="rId26" tooltip="Search triq Durumblat, Il-Mosta, Malta MST 4816 on Google Maps" xr:uid="{00000000-0004-0000-4B00-000019000000}"/>
    <hyperlink ref="F2" r:id="rId27" tooltip="Visit desanamarbles.com" xr:uid="{00000000-0004-0000-4B00-00001A000000}"/>
    <hyperlink ref="F3" r:id="rId28" tooltip="Visit marbleinnovation.com" xr:uid="{00000000-0004-0000-4B00-00001B000000}"/>
    <hyperlink ref="F4" r:id="rId29" tooltip="Visit rgpmarblemalta.com" xr:uid="{00000000-0004-0000-4B00-00001C000000}"/>
    <hyperlink ref="F5" r:id="rId30" tooltip="Visit muscarmarbleworks.com" xr:uid="{00000000-0004-0000-4B00-00001D000000}"/>
    <hyperlink ref="F6" r:id="rId31" tooltip="Visit cinimarbles.com" xr:uid="{00000000-0004-0000-4B00-00001E000000}"/>
    <hyperlink ref="F7" r:id="rId32" tooltip="Visit halmanvella.com" xr:uid="{00000000-0004-0000-4B00-00001F000000}"/>
    <hyperlink ref="F8" r:id="rId33" tooltip="Visit rabatmarbles.com" xr:uid="{00000000-0004-0000-4B00-000020000000}"/>
    <hyperlink ref="F9" r:id="rId34" tooltip="Visit juliansmarble.com" xr:uid="{00000000-0004-0000-4B00-000021000000}"/>
    <hyperlink ref="F10" r:id="rId35" tooltip="Visit cgrechmarbles.com" xr:uid="{00000000-0004-0000-4B00-000022000000}"/>
    <hyperlink ref="F11" r:id="rId36" tooltip="Visit afellismarbleworks.com" xr:uid="{00000000-0004-0000-4B00-000023000000}"/>
    <hyperlink ref="F12" r:id="rId37" tooltip="Visit bugeja-marbles.com" xr:uid="{00000000-0004-0000-4B00-000024000000}"/>
  </hyperlinks>
  <pageMargins left="0.75" right="0.75" top="0.75" bottom="0.5" header="0.5" footer="0.7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4"/>
  <sheetViews>
    <sheetView workbookViewId="0"/>
  </sheetViews>
  <sheetFormatPr defaultRowHeight="14.4" x14ac:dyDescent="0.3"/>
  <cols>
    <col min="1" max="1" width="11.6640625" customWidth="1"/>
    <col min="2" max="2" width="18.33203125" customWidth="1"/>
    <col min="3" max="3" width="26.44140625" customWidth="1"/>
    <col min="4" max="4" width="29.88671875" customWidth="1"/>
    <col min="5" max="5" width="46.88671875" customWidth="1"/>
    <col min="6" max="6" width="71.441406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4637</v>
      </c>
      <c r="B2" s="2" t="s">
        <v>2152</v>
      </c>
      <c r="C2" s="3" t="s">
        <v>1505</v>
      </c>
      <c r="D2" s="2" t="str">
        <f>CONCATENATE(HYPERLINK("CALLTO:%2B356%202034%201569", "+356 2034 1569"))</f>
        <v>+356 2034 1569</v>
      </c>
      <c r="E2" s="3" t="s">
        <v>2166</v>
      </c>
      <c r="F2" s="3" t="s">
        <v>4737</v>
      </c>
    </row>
    <row r="3" spans="1:6" x14ac:dyDescent="0.3">
      <c r="A3" s="4" t="s">
        <v>4637</v>
      </c>
      <c r="B3" s="4" t="s">
        <v>3779</v>
      </c>
      <c r="C3" s="5" t="s">
        <v>4681</v>
      </c>
      <c r="D3" s="4" t="str">
        <f>CONCATENATE(HYPERLINK("CALLTO:%2B356%202143%200936", "+356 2143 0936"), " / ", HYPERLINK("CALLTO:%2B356%209943%200936", "+356 9943 0936"))</f>
        <v>+356 2143 0936 / +356 9943 0936</v>
      </c>
      <c r="E3" s="5" t="s">
        <v>4713</v>
      </c>
      <c r="F3" s="5" t="s">
        <v>4738</v>
      </c>
    </row>
    <row r="4" spans="1:6" x14ac:dyDescent="0.3">
      <c r="A4" s="2" t="s">
        <v>4637</v>
      </c>
      <c r="B4" s="2" t="s">
        <v>3789</v>
      </c>
      <c r="C4" s="3" t="s">
        <v>3805</v>
      </c>
      <c r="D4" s="2" t="str">
        <f>CONCATENATE(HYPERLINK("CALLTO:%2B356%207979%204242", "+356 7979 4242"), " / ", HYPERLINK("CALLTO:%2B356%207770%207433", "+356 7770 7433"))</f>
        <v>+356 7979 4242 / +356 7770 7433</v>
      </c>
      <c r="E4" s="3" t="s">
        <v>3825</v>
      </c>
      <c r="F4" s="3" t="s">
        <v>3850</v>
      </c>
    </row>
  </sheetData>
  <hyperlinks>
    <hyperlink ref="C2" r:id="rId1" tooltip="Send a mail to sales@maltadiy.com" xr:uid="{00000000-0004-0000-4C00-000000000000}"/>
    <hyperlink ref="C3" r:id="rId2" tooltip="Send a mail to info@cassarwordworks.com" xr:uid="{00000000-0004-0000-4C00-000001000000}"/>
    <hyperlink ref="C4" r:id="rId3" tooltip="Send a mail to info@ddoorcompany.com" xr:uid="{00000000-0004-0000-4C00-000002000000}"/>
    <hyperlink ref="E2" r:id="rId4" tooltip="Search Baldacchino Building B, Triq Il-Belt Valletta, Zurrieq on Google Maps" xr:uid="{00000000-0004-0000-4C00-000003000000}"/>
    <hyperlink ref="E3" r:id="rId5" tooltip="Search Plot TQL027, Crafts Village, Ta'Qali, ATD 4000, Malta on Google Maps" xr:uid="{00000000-0004-0000-4C00-000004000000}"/>
    <hyperlink ref="E4" r:id="rId6" tooltip="Search 128 Old Railway Track, Santa Venera on Google Maps" xr:uid="{00000000-0004-0000-4C00-000005000000}"/>
    <hyperlink ref="F2" r:id="rId7" tooltip="Visit maltadiy.com/product-category/doors-windows/internal-door/pocket-doors/" xr:uid="{00000000-0004-0000-4C00-000006000000}"/>
    <hyperlink ref="F3" r:id="rId8" tooltip="Visit cassarwoodworks.com/opening-solutions-by-george-cassar-woodworks/" xr:uid="{00000000-0004-0000-4C00-000007000000}"/>
    <hyperlink ref="F4" r:id="rId9" tooltip="Visit ddoorcompany.com/" xr:uid="{00000000-0004-0000-4C00-000008000000}"/>
  </hyperlinks>
  <pageMargins left="0.75" right="0.75" top="0.75" bottom="0.5" header="0.5" footer="0.7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1"/>
  <sheetViews>
    <sheetView workbookViewId="0"/>
  </sheetViews>
  <sheetFormatPr defaultRowHeight="14.4" x14ac:dyDescent="0.3"/>
  <cols>
    <col min="1" max="1" width="13.5546875" customWidth="1"/>
    <col min="2" max="2" width="25.88671875" customWidth="1"/>
    <col min="3" max="3" width="46.5546875" customWidth="1"/>
    <col min="4" max="4" width="18.6640625" customWidth="1"/>
    <col min="5" max="5" width="60.5546875" customWidth="1"/>
    <col min="6" max="6" width="31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526</v>
      </c>
      <c r="F1" s="1" t="s">
        <v>532</v>
      </c>
    </row>
    <row r="2" spans="1:6" x14ac:dyDescent="0.3">
      <c r="A2" s="2" t="s">
        <v>4638</v>
      </c>
      <c r="B2" s="2" t="s">
        <v>4646</v>
      </c>
      <c r="C2" s="3" t="s">
        <v>3805</v>
      </c>
      <c r="D2" s="2" t="str">
        <f>CONCATENATE(HYPERLINK("CALLTO:%2B356%207979%204242", "+356 7979 4242"))</f>
        <v>+356 7979 4242</v>
      </c>
      <c r="E2" s="3" t="s">
        <v>4699</v>
      </c>
      <c r="F2" s="3" t="s">
        <v>4727</v>
      </c>
    </row>
    <row r="3" spans="1:6" x14ac:dyDescent="0.3">
      <c r="A3" s="4" t="s">
        <v>4638</v>
      </c>
      <c r="B3" s="4" t="s">
        <v>4647</v>
      </c>
      <c r="C3" s="5" t="s">
        <v>1079</v>
      </c>
      <c r="D3" s="4" t="str">
        <f>CONCATENATE(HYPERLINK("CALLTO:%2B356%202132%200433", "+356 2132 0433"))</f>
        <v>+356 2132 0433</v>
      </c>
      <c r="E3" s="5" t="s">
        <v>4698</v>
      </c>
      <c r="F3" s="5" t="s">
        <v>4722</v>
      </c>
    </row>
    <row r="4" spans="1:6" x14ac:dyDescent="0.3">
      <c r="A4" s="2" t="s">
        <v>4638</v>
      </c>
      <c r="B4" s="2" t="s">
        <v>4648</v>
      </c>
      <c r="C4" s="3" t="s">
        <v>3870</v>
      </c>
      <c r="D4" s="2" t="str">
        <f>CONCATENATE(HYPERLINK("CALLTO:%2B356%202144%205656", "+356 2144 5656"))</f>
        <v>+356 2144 5656</v>
      </c>
      <c r="E4" s="3" t="s">
        <v>4701</v>
      </c>
      <c r="F4" s="3" t="s">
        <v>4728</v>
      </c>
    </row>
    <row r="5" spans="1:6" x14ac:dyDescent="0.3">
      <c r="A5" s="4" t="s">
        <v>4638</v>
      </c>
      <c r="B5" s="4" t="s">
        <v>4649</v>
      </c>
      <c r="C5" s="5" t="s">
        <v>3567</v>
      </c>
      <c r="D5" s="4" t="str">
        <f>CONCATENATE(HYPERLINK("CALLTO:%2B356%209982%202867", "+356 9982 2867"))</f>
        <v>+356 9982 2867</v>
      </c>
      <c r="E5" s="5" t="s">
        <v>4700</v>
      </c>
      <c r="F5" s="5" t="s">
        <v>4724</v>
      </c>
    </row>
    <row r="6" spans="1:6" x14ac:dyDescent="0.3">
      <c r="A6" s="2" t="s">
        <v>4638</v>
      </c>
      <c r="B6" s="2" t="s">
        <v>218</v>
      </c>
      <c r="C6" s="3" t="s">
        <v>228</v>
      </c>
      <c r="D6" s="2" t="str">
        <f>CONCATENATE(HYPERLINK("CALLTO:%2B356%207744%207610", "+356 7744 7610"))</f>
        <v>+356 7744 7610</v>
      </c>
      <c r="E6" s="3" t="s">
        <v>4702</v>
      </c>
      <c r="F6" s="3" t="s">
        <v>239</v>
      </c>
    </row>
    <row r="7" spans="1:6" x14ac:dyDescent="0.3">
      <c r="A7" s="4" t="s">
        <v>4638</v>
      </c>
      <c r="B7" s="4" t="s">
        <v>4650</v>
      </c>
      <c r="C7" s="5" t="s">
        <v>702</v>
      </c>
      <c r="D7" s="4" t="str">
        <f>CONCATENATE(HYPERLINK("CALLTO:%2B356%202141%201111", "+356 2141 1111"))</f>
        <v>+356 2141 1111</v>
      </c>
      <c r="E7" s="5" t="s">
        <v>3812</v>
      </c>
      <c r="F7" s="5" t="s">
        <v>743</v>
      </c>
    </row>
    <row r="8" spans="1:6" x14ac:dyDescent="0.3">
      <c r="A8" s="2" t="s">
        <v>4638</v>
      </c>
      <c r="B8" s="2" t="s">
        <v>4651</v>
      </c>
      <c r="C8" s="3" t="s">
        <v>4672</v>
      </c>
      <c r="D8" s="2" t="str">
        <f>CONCATENATE(HYPERLINK("CALLTO:%2B356%202142%202040", "+356 2142 2040"))</f>
        <v>+356 2142 2040</v>
      </c>
      <c r="E8" s="3" t="s">
        <v>4703</v>
      </c>
      <c r="F8" s="3" t="s">
        <v>4729</v>
      </c>
    </row>
    <row r="9" spans="1:6" x14ac:dyDescent="0.3">
      <c r="A9" s="4" t="s">
        <v>4638</v>
      </c>
      <c r="B9" s="4" t="s">
        <v>4652</v>
      </c>
      <c r="C9" s="5" t="s">
        <v>4671</v>
      </c>
      <c r="D9" s="4" t="str">
        <f>CONCATENATE(HYPERLINK("CALLTO:%2B356%209948%207412", "+356 9948 7412"))</f>
        <v>+356 9948 7412</v>
      </c>
      <c r="E9" s="5" t="s">
        <v>4704</v>
      </c>
      <c r="F9" s="5" t="s">
        <v>4731</v>
      </c>
    </row>
    <row r="10" spans="1:6" x14ac:dyDescent="0.3">
      <c r="A10" s="2" t="s">
        <v>4638</v>
      </c>
      <c r="B10" s="2" t="s">
        <v>4653</v>
      </c>
      <c r="C10" s="3" t="s">
        <v>4674</v>
      </c>
      <c r="D10" s="2" t="str">
        <f>CONCATENATE(HYPERLINK("CALLTO:%2B356%202742%204632", "+356 2742 4632"))</f>
        <v>+356 2742 4632</v>
      </c>
      <c r="E10" s="3" t="s">
        <v>4706</v>
      </c>
      <c r="F10" s="3" t="s">
        <v>4732</v>
      </c>
    </row>
    <row r="11" spans="1:6" x14ac:dyDescent="0.3">
      <c r="A11" s="4" t="s">
        <v>4638</v>
      </c>
      <c r="B11" s="4" t="s">
        <v>4654</v>
      </c>
      <c r="C11" s="5" t="s">
        <v>2599</v>
      </c>
      <c r="D11" s="4" t="str">
        <f>CONCATENATE(HYPERLINK("CALLTO:%2B356%209944%206043", "+356 9944 6043"))</f>
        <v>+356 9944 6043</v>
      </c>
      <c r="E11" s="5" t="s">
        <v>4707</v>
      </c>
      <c r="F11" s="5" t="s">
        <v>3704</v>
      </c>
    </row>
    <row r="12" spans="1:6" x14ac:dyDescent="0.3">
      <c r="A12" s="2" t="s">
        <v>4638</v>
      </c>
      <c r="B12" s="2" t="s">
        <v>4655</v>
      </c>
      <c r="C12" s="3" t="s">
        <v>4673</v>
      </c>
      <c r="D12" s="2" t="str">
        <f>CONCATENATE(HYPERLINK("CALLTO:%2B356%202141%209787", "+356 2141 9787"))</f>
        <v>+356 2141 9787</v>
      </c>
      <c r="E12" s="3" t="s">
        <v>2889</v>
      </c>
      <c r="F12" s="3" t="s">
        <v>2902</v>
      </c>
    </row>
    <row r="13" spans="1:6" x14ac:dyDescent="0.3">
      <c r="A13" s="4" t="s">
        <v>4638</v>
      </c>
      <c r="B13" s="4" t="s">
        <v>221</v>
      </c>
      <c r="C13" s="5" t="s">
        <v>4676</v>
      </c>
      <c r="D13" s="4" t="str">
        <f>CONCATENATE(HYPERLINK("CALLTO:%2B356%202141%200441", "+356 2141 0441"))</f>
        <v>+356 2141 0441</v>
      </c>
      <c r="E13" s="5" t="s">
        <v>4708</v>
      </c>
      <c r="F13" s="5" t="s">
        <v>4730</v>
      </c>
    </row>
    <row r="14" spans="1:6" x14ac:dyDescent="0.3">
      <c r="A14" s="2" t="s">
        <v>4638</v>
      </c>
      <c r="B14" s="2" t="s">
        <v>4656</v>
      </c>
      <c r="C14" s="2" t="s">
        <v>4675</v>
      </c>
      <c r="D14" s="2" t="str">
        <f>CONCATENATE(HYPERLINK("CALLTO:%2B356%202145%206028", "+356 2145 6028"))</f>
        <v>+356 2145 6028</v>
      </c>
      <c r="E14" s="3" t="s">
        <v>4705</v>
      </c>
      <c r="F14" s="2" t="s">
        <v>146</v>
      </c>
    </row>
    <row r="15" spans="1:6" x14ac:dyDescent="0.3">
      <c r="A15" s="4" t="s">
        <v>4638</v>
      </c>
      <c r="B15" s="4" t="s">
        <v>4657</v>
      </c>
      <c r="C15" s="5" t="s">
        <v>4677</v>
      </c>
      <c r="D15" s="4" t="str">
        <f>CONCATENATE(HYPERLINK("CALLTO:%2B356%202122%206396", "+356 2122 6396"))</f>
        <v>+356 2122 6396</v>
      </c>
      <c r="E15" s="5" t="s">
        <v>4709</v>
      </c>
      <c r="F15" s="4" t="s">
        <v>146</v>
      </c>
    </row>
    <row r="16" spans="1:6" x14ac:dyDescent="0.3">
      <c r="A16" s="2" t="s">
        <v>4638</v>
      </c>
      <c r="B16" s="2" t="s">
        <v>4658</v>
      </c>
      <c r="C16" s="3" t="s">
        <v>4679</v>
      </c>
      <c r="D16" s="2" t="str">
        <f>CONCATENATE(HYPERLINK("CALLTO:%2B356%202182%207421", "+356 2182 7421"))</f>
        <v>+356 2182 7421</v>
      </c>
      <c r="E16" s="3" t="s">
        <v>4710</v>
      </c>
      <c r="F16" s="3" t="s">
        <v>4734</v>
      </c>
    </row>
    <row r="17" spans="1:6" x14ac:dyDescent="0.3">
      <c r="A17" s="4" t="s">
        <v>4638</v>
      </c>
      <c r="B17" s="4" t="s">
        <v>4659</v>
      </c>
      <c r="C17" s="5" t="s">
        <v>4678</v>
      </c>
      <c r="D17" s="4" t="str">
        <f>CONCATENATE(HYPERLINK("CALLTO:%2B356%207940%202368", "+356 7940 2368"))</f>
        <v>+356 7940 2368</v>
      </c>
      <c r="E17" s="5" t="s">
        <v>4711</v>
      </c>
      <c r="F17" s="5" t="s">
        <v>4733</v>
      </c>
    </row>
    <row r="18" spans="1:6" x14ac:dyDescent="0.3">
      <c r="A18" s="2" t="s">
        <v>4638</v>
      </c>
      <c r="B18" s="2" t="s">
        <v>4660</v>
      </c>
      <c r="C18" s="3" t="s">
        <v>4680</v>
      </c>
      <c r="D18" s="2" t="str">
        <f>CONCATENATE(HYPERLINK("CALLTO:%2B356%202123%202190", "+356 2123 2190"))</f>
        <v>+356 2123 2190</v>
      </c>
      <c r="E18" s="3" t="s">
        <v>4712</v>
      </c>
      <c r="F18" s="3" t="s">
        <v>4735</v>
      </c>
    </row>
    <row r="19" spans="1:6" x14ac:dyDescent="0.3">
      <c r="A19" s="4" t="s">
        <v>4638</v>
      </c>
      <c r="B19" s="4" t="s">
        <v>993</v>
      </c>
      <c r="C19" s="5" t="s">
        <v>1015</v>
      </c>
      <c r="D19" s="4" t="str">
        <f>CONCATENATE(HYPERLINK("CALLTO:%2B356%202137%207378", "+356 2137 7378"))</f>
        <v>+356 2137 7378</v>
      </c>
      <c r="E19" s="5" t="s">
        <v>1036</v>
      </c>
      <c r="F19" s="5" t="s">
        <v>1054</v>
      </c>
    </row>
    <row r="20" spans="1:6" x14ac:dyDescent="0.3">
      <c r="A20" s="2" t="s">
        <v>4638</v>
      </c>
      <c r="B20" s="2" t="s">
        <v>3863</v>
      </c>
      <c r="C20" s="3" t="s">
        <v>3868</v>
      </c>
      <c r="D20" s="2" t="str">
        <f>CONCATENATE(HYPERLINK("CALLTO:%2B356%202755%205525", "+356 2755 5525"))</f>
        <v>+356 2755 5525</v>
      </c>
      <c r="E20" s="3" t="s">
        <v>3878</v>
      </c>
      <c r="F20" s="3" t="s">
        <v>3886</v>
      </c>
    </row>
    <row r="21" spans="1:6" x14ac:dyDescent="0.3">
      <c r="A21" s="4" t="s">
        <v>4638</v>
      </c>
      <c r="B21" s="4" t="s">
        <v>4645</v>
      </c>
      <c r="C21" s="5" t="s">
        <v>1633</v>
      </c>
      <c r="D21" s="4" t="str">
        <f>CONCATENATE(HYPERLINK("CALLTO:%2B356%202131%200334", "+356 2131 0334"))</f>
        <v>+356 2131 0334</v>
      </c>
      <c r="E21" s="5" t="s">
        <v>1716</v>
      </c>
      <c r="F21" s="5" t="s">
        <v>1806</v>
      </c>
    </row>
  </sheetData>
  <hyperlinks>
    <hyperlink ref="C2" r:id="rId1" tooltip="Send a mail to info@ddoorcompany.com" xr:uid="{00000000-0004-0000-4D00-000000000000}"/>
    <hyperlink ref="C3" r:id="rId2" tooltip="Send a mail to sales@dimech-ent.com" xr:uid="{00000000-0004-0000-4D00-000001000000}"/>
    <hyperlink ref="C4" r:id="rId3" tooltip="Send a mail to info@fourwalls.com.mt" xr:uid="{00000000-0004-0000-4D00-000002000000}"/>
    <hyperlink ref="C5" r:id="rId4" tooltip="Send a mail to info@sfdoorstyles.com.mt" xr:uid="{00000000-0004-0000-4D00-000003000000}"/>
    <hyperlink ref="C6" r:id="rId5" tooltip="Send a mail to info@domestica.com.mt" xr:uid="{00000000-0004-0000-4D00-000004000000}"/>
    <hyperlink ref="C7" r:id="rId6" tooltip="Send a mail to info@pvc.com.mt" xr:uid="{00000000-0004-0000-4D00-000005000000}"/>
    <hyperlink ref="C8" r:id="rId7" tooltip="Send a mail to info@italtrade.com.mt" xr:uid="{00000000-0004-0000-4D00-000006000000}"/>
    <hyperlink ref="C9" r:id="rId8" tooltip="Send a mail to hello@starfurniture.com.mt" xr:uid="{00000000-0004-0000-4D00-000007000000}"/>
    <hyperlink ref="C10" r:id="rId9" tooltip="Send a mail to sales@powerhousemalta.com.eu" xr:uid="{00000000-0004-0000-4D00-000008000000}"/>
    <hyperlink ref="C11" r:id="rId10" tooltip="Send a mail to sales@pvcmalta.com" xr:uid="{00000000-0004-0000-4D00-000009000000}"/>
    <hyperlink ref="C12" r:id="rId11" tooltip="Send a mail to clients@framegrip.com" xr:uid="{00000000-0004-0000-4D00-00000A000000}"/>
    <hyperlink ref="C13" r:id="rId12" tooltip="Send a mail to pdgl@go.net.mt" xr:uid="{00000000-0004-0000-4D00-00000B000000}"/>
    <hyperlink ref="C15" r:id="rId13" tooltip="Send a mail to clydeaquil@gmail.com" xr:uid="{00000000-0004-0000-4D00-00000C000000}"/>
    <hyperlink ref="C16" r:id="rId14" tooltip="Send a mail to info@alfredbaldacchinoltd.net" xr:uid="{00000000-0004-0000-4D00-00000D000000}"/>
    <hyperlink ref="C17" r:id="rId15" tooltip="Send a mail to info@nkwoodworks.com" xr:uid="{00000000-0004-0000-4D00-00000E000000}"/>
    <hyperlink ref="C18" r:id="rId16" tooltip="Send a mail to occas2@gmail.com" xr:uid="{00000000-0004-0000-4D00-00000F000000}"/>
    <hyperlink ref="C19" r:id="rId17" tooltip="Send a mail to info@grfmalta.com" xr:uid="{00000000-0004-0000-4D00-000010000000}"/>
    <hyperlink ref="C20" r:id="rId18" tooltip="Send a mail to info@casconeporteefinestre.it" xr:uid="{00000000-0004-0000-4D00-000011000000}"/>
    <hyperlink ref="C21" r:id="rId19" tooltip="Send a mail to info@promaninteriors.com" xr:uid="{00000000-0004-0000-4D00-000012000000}"/>
    <hyperlink ref="E2" r:id="rId20" tooltip="Search 128 old Railway Track , Santa venera , Malta on Google Maps" xr:uid="{00000000-0004-0000-4D00-000013000000}"/>
    <hyperlink ref="E3" r:id="rId21" tooltip="Search Centre point , Triq Valleta , Luqa  LQA 1762 , Malta on Google Maps" xr:uid="{00000000-0004-0000-4D00-000014000000}"/>
    <hyperlink ref="E4" r:id="rId22" tooltip="Search Triq il-Kappillan Mifsud , Santa venera , Malta on Google Maps" xr:uid="{00000000-0004-0000-4D00-000015000000}"/>
    <hyperlink ref="E5" r:id="rId23" tooltip="Search Unit 1&amp;2, Industrial Estate Luqa MT LQA 3000, Ħal Luqa on Google Maps" xr:uid="{00000000-0004-0000-4D00-000016000000}"/>
    <hyperlink ref="E6" r:id="rId24" tooltip="Search Domestica Complex, Level 1 ,Valley road , Msida  MSD 9091 ,Malta on Google Maps" xr:uid="{00000000-0004-0000-4D00-000017000000}"/>
    <hyperlink ref="E7" r:id="rId25" tooltip="Search 8 Garra, Is-Swieqi on Google Maps" xr:uid="{00000000-0004-0000-4D00-000018000000}"/>
    <hyperlink ref="E8" r:id="rId26" tooltip="Search WC4R+335, Triq il-mosta, Lija LJA 9010 on Google Maps" xr:uid="{00000000-0004-0000-4D00-000019000000}"/>
    <hyperlink ref="E9" r:id="rId27" tooltip="Search 73 Sir Arthur Burton Street, Mosta MST 1883, Malta on Google Maps" xr:uid="{00000000-0004-0000-4D00-00001A000000}"/>
    <hyperlink ref="E10" r:id="rId28" tooltip="Search 13 Censu Bugeja Street , Birkirkara , Malta on Google Maps" xr:uid="{00000000-0004-0000-4D00-00001B000000}"/>
    <hyperlink ref="E11" r:id="rId29" tooltip="Search 52,Triq ll-Muzika , L-Lkin , Malta IKL 1091 on Google Maps" xr:uid="{00000000-0004-0000-4D00-00001C000000}"/>
    <hyperlink ref="E12" r:id="rId30" tooltip="Search Triq Il-Mosta, Hal Lija, Malta LJA 9010 on Google Maps" xr:uid="{00000000-0004-0000-4D00-00001D000000}"/>
    <hyperlink ref="E13" r:id="rId31" tooltip="Search triq -il kappar , ll-Mosta , Malta MST 03 on Google Maps" xr:uid="{00000000-0004-0000-4D00-00001E000000}"/>
    <hyperlink ref="E14" r:id="rId32" tooltip="Search Triq Mastru Gorg Cachia, Tal-Ħandaq, Ħal Qormi, Malta QRM 4000 on Google Maps" xr:uid="{00000000-0004-0000-4D00-00001F000000}"/>
    <hyperlink ref="E15" r:id="rId33" tooltip="Search 166-167, Qasam Industrijali Ta' Hal Luqa, Hal Luqa, Malta on Google Maps" xr:uid="{00000000-0004-0000-4D00-000020000000}"/>
    <hyperlink ref="E16" r:id="rId34" tooltip="Search Triq Valletta Triq Gdida Fi, Hal Luqa, Malta on Google Maps" xr:uid="{00000000-0004-0000-4D00-000021000000}"/>
    <hyperlink ref="E17" r:id="rId35" tooltip="Search No 7, Triq Il-Ballut, Il-Mosta, Malta on Google Maps" xr:uid="{00000000-0004-0000-4D00-000022000000}"/>
    <hyperlink ref="E18" r:id="rId36" tooltip="Search 106, Qasam Industrijali Ta' Hal-Farrug, Hal Luqa, Hal Farrug, Malta on Google Maps" xr:uid="{00000000-0004-0000-4D00-000023000000}"/>
    <hyperlink ref="E19" r:id="rId37" tooltip="Search 117 Triq L-Assemblea Nazzjonali,_x000a_San Gwann SGN 3034, Malta on Google Maps" xr:uid="{00000000-0004-0000-4D00-000024000000}"/>
    <hyperlink ref="E20" r:id="rId38" tooltip="Search Msida Valley Road, BKR9022 Birkirkara - Malta on Google Maps" xr:uid="{00000000-0004-0000-4D00-000025000000}"/>
    <hyperlink ref="E21" r:id="rId39" tooltip="Search Proman Interiors,_x000a_115, Valley Road,_x000a_B'Kara. BKR 9022._x000a_Malta. on Google Maps" xr:uid="{00000000-0004-0000-4D00-000026000000}"/>
    <hyperlink ref="F2" r:id="rId40" tooltip="Visit ddoorcompany.com" xr:uid="{00000000-0004-0000-4D00-000027000000}"/>
    <hyperlink ref="F3" r:id="rId41" tooltip="Visit dimech-ent.com" xr:uid="{00000000-0004-0000-4D00-000028000000}"/>
    <hyperlink ref="F4" r:id="rId42" tooltip="Visit fourwalls.com.mt" xr:uid="{00000000-0004-0000-4D00-000029000000}"/>
    <hyperlink ref="F5" r:id="rId43" tooltip="Visit sfdoorstyles.com.mt" xr:uid="{00000000-0004-0000-4D00-00002A000000}"/>
    <hyperlink ref="F6" r:id="rId44" tooltip="Visit domestica.com.mt" xr:uid="{00000000-0004-0000-4D00-00002B000000}"/>
    <hyperlink ref="F7" r:id="rId45" tooltip="Visit pvc.com.mt" xr:uid="{00000000-0004-0000-4D00-00002C000000}"/>
    <hyperlink ref="F8" r:id="rId46" tooltip="Visit italtrade.com.mt" xr:uid="{00000000-0004-0000-4D00-00002D000000}"/>
    <hyperlink ref="F9" r:id="rId47" tooltip="Visit starfurniture.com.mt" xr:uid="{00000000-0004-0000-4D00-00002E000000}"/>
    <hyperlink ref="F10" r:id="rId48" tooltip="Visit powerhousemalta.eu.com.mt" xr:uid="{00000000-0004-0000-4D00-00002F000000}"/>
    <hyperlink ref="F11" r:id="rId49" tooltip="Visit pvcmalta.com" xr:uid="{00000000-0004-0000-4D00-000030000000}"/>
    <hyperlink ref="F12" r:id="rId50" tooltip="Visit framegrip.com" xr:uid="{00000000-0004-0000-4D00-000031000000}"/>
    <hyperlink ref="F13" r:id="rId51" tooltip="Visit gauciwoodsmalta.com" xr:uid="{00000000-0004-0000-4D00-000032000000}"/>
    <hyperlink ref="F16" r:id="rId52" tooltip="Visit alfredbaldacchinoltd.net" xr:uid="{00000000-0004-0000-4D00-000033000000}"/>
    <hyperlink ref="F17" r:id="rId53" tooltip="Visit nkwoodworks.com" xr:uid="{00000000-0004-0000-4D00-000034000000}"/>
    <hyperlink ref="F18" r:id="rId54" tooltip="Visit masterwoodmalta.net" xr:uid="{00000000-0004-0000-4D00-000035000000}"/>
    <hyperlink ref="F19" r:id="rId55" tooltip="Visit grfmalta.com/" xr:uid="{00000000-0004-0000-4D00-000036000000}"/>
    <hyperlink ref="F20" r:id="rId56" tooltip="Visit casconehome.com/en/index.php" xr:uid="{00000000-0004-0000-4D00-000037000000}"/>
    <hyperlink ref="F21" r:id="rId57" tooltip="Visit promaninteriors.com/" xr:uid="{00000000-0004-0000-4D00-000038000000}"/>
  </hyperlinks>
  <pageMargins left="0.75" right="0.75" top="0.75" bottom="0.5" header="0.5" footer="0.7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36"/>
  <sheetViews>
    <sheetView workbookViewId="0"/>
  </sheetViews>
  <sheetFormatPr defaultRowHeight="14.4" x14ac:dyDescent="0.3"/>
  <cols>
    <col min="1" max="1" width="14.88671875" customWidth="1"/>
    <col min="2" max="2" width="33.6640625" customWidth="1"/>
    <col min="3" max="3" width="32.6640625" customWidth="1"/>
    <col min="4" max="4" width="18.6640625" customWidth="1"/>
    <col min="5" max="5" width="65.5546875" customWidth="1"/>
    <col min="6" max="6" width="90.6640625" customWidth="1"/>
  </cols>
  <sheetData>
    <row r="1" spans="1:6" ht="18" x14ac:dyDescent="0.35">
      <c r="A1" s="1" t="s">
        <v>4784</v>
      </c>
      <c r="B1" s="1" t="s">
        <v>2338</v>
      </c>
      <c r="C1" s="1" t="s">
        <v>507</v>
      </c>
      <c r="D1" s="1" t="s">
        <v>525</v>
      </c>
      <c r="E1" s="1" t="s">
        <v>526</v>
      </c>
      <c r="F1" s="1" t="s">
        <v>532</v>
      </c>
    </row>
    <row r="2" spans="1:6" x14ac:dyDescent="0.3">
      <c r="A2" s="2" t="s">
        <v>4785</v>
      </c>
      <c r="B2" s="2" t="s">
        <v>4787</v>
      </c>
      <c r="C2" s="3" t="s">
        <v>4815</v>
      </c>
      <c r="D2" s="2" t="str">
        <f>CONCATENATE(HYPERLINK("CALLTO:%2B356%202142%200534", "+356 2142 0534"))</f>
        <v>+356 2142 0534</v>
      </c>
      <c r="E2" s="3" t="s">
        <v>4836</v>
      </c>
      <c r="F2" s="3" t="s">
        <v>4863</v>
      </c>
    </row>
    <row r="3" spans="1:6" x14ac:dyDescent="0.3">
      <c r="A3" s="4" t="s">
        <v>4785</v>
      </c>
      <c r="B3" s="4" t="s">
        <v>4786</v>
      </c>
      <c r="C3" s="5" t="s">
        <v>4814</v>
      </c>
      <c r="D3" s="4" t="str">
        <f>CONCATENATE(HYPERLINK("CALLTO:%2B356%202385%200400", "+356 2385 0400"))</f>
        <v>+356 2385 0400</v>
      </c>
      <c r="E3" s="5" t="s">
        <v>4838</v>
      </c>
      <c r="F3" s="5" t="s">
        <v>4865</v>
      </c>
    </row>
    <row r="4" spans="1:6" x14ac:dyDescent="0.3">
      <c r="A4" s="2" t="s">
        <v>4785</v>
      </c>
      <c r="B4" s="2" t="s">
        <v>4789</v>
      </c>
      <c r="C4" s="3" t="s">
        <v>4816</v>
      </c>
      <c r="D4" s="2" t="str">
        <f>CONCATENATE(HYPERLINK("CALLTO:%2B356%202395%206000", "+356 2395 6000"))</f>
        <v>+356 2395 6000</v>
      </c>
      <c r="E4" s="3" t="s">
        <v>4837</v>
      </c>
      <c r="F4" s="3" t="s">
        <v>4866</v>
      </c>
    </row>
    <row r="5" spans="1:6" x14ac:dyDescent="0.3">
      <c r="A5" s="4" t="s">
        <v>4785</v>
      </c>
      <c r="B5" s="4" t="s">
        <v>4790</v>
      </c>
      <c r="C5" s="5" t="s">
        <v>4817</v>
      </c>
      <c r="D5" s="4" t="str">
        <f>CONCATENATE(HYPERLINK("CALLTO:%2B356%202149%208658", "+356 2149 8658"))</f>
        <v>+356 2149 8658</v>
      </c>
      <c r="E5" s="5" t="s">
        <v>4839</v>
      </c>
      <c r="F5" s="5" t="s">
        <v>4867</v>
      </c>
    </row>
    <row r="6" spans="1:6" x14ac:dyDescent="0.3">
      <c r="A6" s="2" t="s">
        <v>4785</v>
      </c>
      <c r="B6" s="2" t="s">
        <v>4791</v>
      </c>
      <c r="C6" s="3" t="s">
        <v>788</v>
      </c>
      <c r="D6" s="2" t="str">
        <f>CONCATENATE(HYPERLINK("CALLTO:%2B356%207777%205495", "+356 7777 5495"))</f>
        <v>+356 7777 5495</v>
      </c>
      <c r="E6" s="3" t="s">
        <v>4840</v>
      </c>
      <c r="F6" s="3" t="s">
        <v>4868</v>
      </c>
    </row>
    <row r="7" spans="1:6" x14ac:dyDescent="0.3">
      <c r="A7" s="4" t="s">
        <v>4785</v>
      </c>
      <c r="B7" s="4" t="s">
        <v>4792</v>
      </c>
      <c r="C7" s="5" t="s">
        <v>4818</v>
      </c>
      <c r="D7" s="4" t="str">
        <f>CONCATENATE(HYPERLINK("CALLTO:%2B356%202123%200777", "+356 2123 0777"))</f>
        <v>+356 2123 0777</v>
      </c>
      <c r="E7" s="5" t="s">
        <v>4841</v>
      </c>
      <c r="F7" s="5" t="s">
        <v>4869</v>
      </c>
    </row>
    <row r="8" spans="1:6" x14ac:dyDescent="0.3">
      <c r="A8" s="2" t="s">
        <v>4785</v>
      </c>
      <c r="B8" s="2" t="s">
        <v>4793</v>
      </c>
      <c r="C8" s="3" t="s">
        <v>4819</v>
      </c>
      <c r="D8" s="2" t="str">
        <f>CONCATENATE(HYPERLINK("CALLTO:%2B356%209906%207974", "+356 9906 7974"))</f>
        <v>+356 9906 7974</v>
      </c>
      <c r="E8" s="3" t="s">
        <v>4842</v>
      </c>
      <c r="F8" s="2" t="s">
        <v>146</v>
      </c>
    </row>
    <row r="9" spans="1:6" x14ac:dyDescent="0.3">
      <c r="A9" s="4" t="s">
        <v>4785</v>
      </c>
      <c r="B9" s="4" t="s">
        <v>4794</v>
      </c>
      <c r="C9" s="5" t="s">
        <v>4820</v>
      </c>
      <c r="D9" s="4" t="str">
        <f>CONCATENATE(HYPERLINK("CALLTO:%2B356%207944%201914", "+356 7944 1914"))</f>
        <v>+356 7944 1914</v>
      </c>
      <c r="E9" s="5" t="s">
        <v>4843</v>
      </c>
      <c r="F9" s="4" t="s">
        <v>146</v>
      </c>
    </row>
    <row r="10" spans="1:6" x14ac:dyDescent="0.3">
      <c r="A10" s="2" t="s">
        <v>4785</v>
      </c>
      <c r="B10" s="2" t="s">
        <v>4788</v>
      </c>
      <c r="C10" s="3" t="s">
        <v>4821</v>
      </c>
      <c r="D10" s="2" t="str">
        <f>CONCATENATE(HYPERLINK("CALLTO:%2B356%209923%209995", "+356 9923 9995"))</f>
        <v>+356 9923 9995</v>
      </c>
      <c r="E10" s="3" t="s">
        <v>4844</v>
      </c>
      <c r="F10" s="2" t="s">
        <v>146</v>
      </c>
    </row>
    <row r="11" spans="1:6" x14ac:dyDescent="0.3">
      <c r="A11" s="4" t="s">
        <v>4785</v>
      </c>
      <c r="B11" s="4" t="s">
        <v>4795</v>
      </c>
      <c r="C11" s="5" t="s">
        <v>4822</v>
      </c>
      <c r="D11" s="4" t="str">
        <f>CONCATENATE(HYPERLINK("CALLTO:%2B356%209945%207674", "+356 9945 7674"))</f>
        <v>+356 9945 7674</v>
      </c>
      <c r="E11" s="5" t="s">
        <v>4845</v>
      </c>
      <c r="F11" s="4" t="s">
        <v>146</v>
      </c>
    </row>
    <row r="12" spans="1:6" x14ac:dyDescent="0.3">
      <c r="A12" s="2" t="s">
        <v>4785</v>
      </c>
      <c r="B12" s="2" t="s">
        <v>895</v>
      </c>
      <c r="C12" s="3" t="s">
        <v>912</v>
      </c>
      <c r="D12" s="2" t="str">
        <f>CONCATENATE(HYPERLINK("CALLTO:%2B356%202137%207181", "+356 2137 7181"))</f>
        <v>+356 2137 7181</v>
      </c>
      <c r="E12" s="3" t="s">
        <v>4846</v>
      </c>
      <c r="F12" s="2" t="s">
        <v>146</v>
      </c>
    </row>
    <row r="13" spans="1:6" x14ac:dyDescent="0.3">
      <c r="A13" s="4" t="s">
        <v>4785</v>
      </c>
      <c r="B13" s="4" t="s">
        <v>4797</v>
      </c>
      <c r="C13" s="5" t="s">
        <v>2885</v>
      </c>
      <c r="D13" s="4" t="str">
        <f>CONCATENATE(HYPERLINK("CALLTO:%2B356%202122%207330", "+356 2122 7330"))</f>
        <v>+356 2122 7330</v>
      </c>
      <c r="E13" s="5" t="s">
        <v>4847</v>
      </c>
      <c r="F13" s="5" t="s">
        <v>4870</v>
      </c>
    </row>
    <row r="14" spans="1:6" x14ac:dyDescent="0.3">
      <c r="A14" s="2" t="s">
        <v>4785</v>
      </c>
      <c r="B14" s="2" t="s">
        <v>4798</v>
      </c>
      <c r="C14" s="3" t="s">
        <v>72</v>
      </c>
      <c r="D14" s="2" t="str">
        <f>CONCATENATE(HYPERLINK("CALLTO:%2B356%209926%203762", "+356 9926 3762"))</f>
        <v>+356 9926 3762</v>
      </c>
      <c r="E14" s="3" t="s">
        <v>4848</v>
      </c>
      <c r="F14" s="3" t="s">
        <v>4871</v>
      </c>
    </row>
    <row r="15" spans="1:6" x14ac:dyDescent="0.3">
      <c r="A15" s="4" t="s">
        <v>4785</v>
      </c>
      <c r="B15" s="4" t="s">
        <v>2968</v>
      </c>
      <c r="C15" s="5" t="s">
        <v>2986</v>
      </c>
      <c r="D15" s="4" t="str">
        <f>CONCATENATE(HYPERLINK("CALLTO:%2B356%202134%201697", "+356 2134 1697"))</f>
        <v>+356 2134 1697</v>
      </c>
      <c r="E15" s="5" t="s">
        <v>4849</v>
      </c>
      <c r="F15" s="5" t="s">
        <v>3022</v>
      </c>
    </row>
    <row r="16" spans="1:6" x14ac:dyDescent="0.3">
      <c r="A16" s="2" t="s">
        <v>4785</v>
      </c>
      <c r="B16" s="2" t="s">
        <v>1912</v>
      </c>
      <c r="C16" s="3" t="s">
        <v>1960</v>
      </c>
      <c r="D16" s="2" t="str">
        <f>CONCATENATE(HYPERLINK("CALLTO:%2B356%202124%201307", "+356 2124 1307"))</f>
        <v>+356 2124 1307</v>
      </c>
      <c r="E16" s="3" t="s">
        <v>4850</v>
      </c>
      <c r="F16" s="3" t="s">
        <v>2087</v>
      </c>
    </row>
    <row r="17" spans="1:6" x14ac:dyDescent="0.3">
      <c r="A17" s="4" t="s">
        <v>4785</v>
      </c>
      <c r="B17" s="4" t="s">
        <v>4314</v>
      </c>
      <c r="C17" s="5" t="s">
        <v>4385</v>
      </c>
      <c r="D17" s="4" t="str">
        <f>CONCATENATE(HYPERLINK("CALLTO:%2B356%202149%200957", "+356 2149 0957"))</f>
        <v>+356 2149 0957</v>
      </c>
      <c r="E17" s="5" t="s">
        <v>4852</v>
      </c>
      <c r="F17" s="5" t="s">
        <v>4864</v>
      </c>
    </row>
    <row r="18" spans="1:6" x14ac:dyDescent="0.3">
      <c r="A18" s="2" t="s">
        <v>4785</v>
      </c>
      <c r="B18" s="2" t="s">
        <v>4799</v>
      </c>
      <c r="C18" s="3" t="s">
        <v>4824</v>
      </c>
      <c r="D18" s="2" t="str">
        <f>CONCATENATE(HYPERLINK("CALLTO:%2B356%202156%209006", "+356 2156 9006"))</f>
        <v>+356 2156 9006</v>
      </c>
      <c r="E18" s="3" t="s">
        <v>4851</v>
      </c>
      <c r="F18" s="3" t="s">
        <v>4873</v>
      </c>
    </row>
    <row r="19" spans="1:6" x14ac:dyDescent="0.3">
      <c r="A19" s="4" t="s">
        <v>4785</v>
      </c>
      <c r="B19" s="4" t="s">
        <v>4800</v>
      </c>
      <c r="C19" s="5" t="s">
        <v>4823</v>
      </c>
      <c r="D19" s="4" t="str">
        <f>CONCATENATE(HYPERLINK("CALLTO:%2B356%207925%209496", "+356 7925 9496"))</f>
        <v>+356 7925 9496</v>
      </c>
      <c r="E19" s="5" t="s">
        <v>4853</v>
      </c>
      <c r="F19" s="4" t="s">
        <v>146</v>
      </c>
    </row>
    <row r="20" spans="1:6" x14ac:dyDescent="0.3">
      <c r="A20" s="2" t="s">
        <v>4785</v>
      </c>
      <c r="B20" s="2" t="s">
        <v>4801</v>
      </c>
      <c r="C20" s="3" t="s">
        <v>55</v>
      </c>
      <c r="D20" s="2" t="str">
        <f>CONCATENATE(HYPERLINK("CALLTO:%2B356%209999%204570", "+356 9999 4570"))</f>
        <v>+356 9999 4570</v>
      </c>
      <c r="E20" s="3" t="s">
        <v>4854</v>
      </c>
      <c r="F20" s="2" t="s">
        <v>146</v>
      </c>
    </row>
    <row r="21" spans="1:6" x14ac:dyDescent="0.3">
      <c r="A21" s="4" t="s">
        <v>4785</v>
      </c>
      <c r="B21" s="4" t="s">
        <v>4796</v>
      </c>
      <c r="C21" s="5" t="s">
        <v>66</v>
      </c>
      <c r="D21" s="4" t="str">
        <f>CONCATENATE(HYPERLINK("CALLTO:%2B356%202138%202091", "+356 2138 2091"))</f>
        <v>+356 2138 2091</v>
      </c>
      <c r="E21" s="5" t="s">
        <v>4855</v>
      </c>
      <c r="F21" s="4" t="s">
        <v>146</v>
      </c>
    </row>
    <row r="22" spans="1:6" x14ac:dyDescent="0.3">
      <c r="A22" s="2" t="s">
        <v>4785</v>
      </c>
      <c r="B22" s="2" t="s">
        <v>4802</v>
      </c>
      <c r="C22" s="3" t="s">
        <v>4825</v>
      </c>
      <c r="D22" s="2" t="str">
        <f>CONCATENATE(HYPERLINK("CALLTO:%2B356%207775%201441", "+356 7775 1441"))</f>
        <v>+356 7775 1441</v>
      </c>
      <c r="E22" s="3" t="s">
        <v>4856</v>
      </c>
      <c r="F22" s="3" t="s">
        <v>4874</v>
      </c>
    </row>
    <row r="23" spans="1:6" x14ac:dyDescent="0.3">
      <c r="A23" s="4" t="s">
        <v>4785</v>
      </c>
      <c r="B23" s="4" t="s">
        <v>4803</v>
      </c>
      <c r="C23" s="5" t="s">
        <v>4826</v>
      </c>
      <c r="D23" s="4" t="str">
        <f>CONCATENATE(HYPERLINK("CALLTO:%2B356%207705%207791", "+356 7705 7791"))</f>
        <v>+356 7705 7791</v>
      </c>
      <c r="E23" s="5" t="s">
        <v>4857</v>
      </c>
      <c r="F23" s="5" t="s">
        <v>4875</v>
      </c>
    </row>
    <row r="24" spans="1:6" x14ac:dyDescent="0.3">
      <c r="A24" s="2" t="s">
        <v>4785</v>
      </c>
      <c r="B24" s="2" t="s">
        <v>4804</v>
      </c>
      <c r="C24" s="3" t="s">
        <v>4827</v>
      </c>
      <c r="D24" s="2" t="str">
        <f>CONCATENATE(HYPERLINK("CALLTO:%2B356%202149%201477", "+356 2149 1477"))</f>
        <v>+356 2149 1477</v>
      </c>
      <c r="E24" s="3" t="s">
        <v>4858</v>
      </c>
      <c r="F24" s="3" t="s">
        <v>4876</v>
      </c>
    </row>
    <row r="25" spans="1:6" x14ac:dyDescent="0.3">
      <c r="A25" s="4" t="s">
        <v>4785</v>
      </c>
      <c r="B25" s="4" t="s">
        <v>4805</v>
      </c>
      <c r="C25" s="5" t="s">
        <v>4828</v>
      </c>
      <c r="D25" s="4" t="str">
        <f>CONCATENATE(HYPERLINK("CALLTO:%2B356%202778%208400", "+356 2778 8400"))</f>
        <v>+356 2778 8400</v>
      </c>
      <c r="E25" s="5" t="s">
        <v>4859</v>
      </c>
      <c r="F25" s="5" t="s">
        <v>4877</v>
      </c>
    </row>
    <row r="26" spans="1:6" x14ac:dyDescent="0.3">
      <c r="A26" s="2" t="s">
        <v>4785</v>
      </c>
      <c r="B26" s="2" t="s">
        <v>3265</v>
      </c>
      <c r="C26" s="3" t="s">
        <v>3270</v>
      </c>
      <c r="D26" s="2" t="str">
        <f>CONCATENATE(HYPERLINK("CALLTO:%2B356%202144%201361", "+356 2144 1361"))</f>
        <v>+356 2144 1361</v>
      </c>
      <c r="E26" s="3" t="s">
        <v>4860</v>
      </c>
      <c r="F26" s="3" t="s">
        <v>3282</v>
      </c>
    </row>
    <row r="27" spans="1:6" x14ac:dyDescent="0.3">
      <c r="A27" s="4" t="s">
        <v>4785</v>
      </c>
      <c r="B27" s="4" t="s">
        <v>4806</v>
      </c>
      <c r="C27" s="5" t="s">
        <v>4829</v>
      </c>
      <c r="D27" s="4" t="str">
        <f>CONCATENATE(HYPERLINK("CALLTO:%2B356%202723%204567", "+356 2723 4567"))</f>
        <v>+356 2723 4567</v>
      </c>
      <c r="E27" s="5" t="s">
        <v>4861</v>
      </c>
      <c r="F27" s="5" t="s">
        <v>4878</v>
      </c>
    </row>
    <row r="28" spans="1:6" x14ac:dyDescent="0.3">
      <c r="A28" s="2" t="s">
        <v>4785</v>
      </c>
      <c r="B28" s="2" t="s">
        <v>4807</v>
      </c>
      <c r="C28" s="3" t="s">
        <v>61</v>
      </c>
      <c r="D28" s="2" t="str">
        <f>CONCATENATE(HYPERLINK("CALLTO:%2B356%202122%202122", "+356 2122 2122"))</f>
        <v>+356 2122 2122</v>
      </c>
      <c r="E28" s="3" t="s">
        <v>4862</v>
      </c>
      <c r="F28" s="3" t="s">
        <v>4879</v>
      </c>
    </row>
    <row r="29" spans="1:6" x14ac:dyDescent="0.3">
      <c r="A29" s="4" t="s">
        <v>4785</v>
      </c>
      <c r="B29" s="4" t="s">
        <v>4808</v>
      </c>
      <c r="C29" s="5" t="s">
        <v>4830</v>
      </c>
      <c r="D29" s="4" t="str">
        <f>CONCATENATE(HYPERLINK("CALLTO:%2B356%209988%200900", "+356 9988 0900"))</f>
        <v>+356 9988 0900</v>
      </c>
      <c r="E29" s="4"/>
      <c r="F29" s="5" t="s">
        <v>4880</v>
      </c>
    </row>
    <row r="30" spans="1:6" x14ac:dyDescent="0.3">
      <c r="A30" s="2" t="s">
        <v>4785</v>
      </c>
      <c r="B30" s="2" t="s">
        <v>4809</v>
      </c>
      <c r="C30" s="3" t="s">
        <v>4831</v>
      </c>
      <c r="D30" s="2" t="str">
        <f>CONCATENATE(HYPERLINK("CALLTO:%2B356%207998%209032", "+356 7998 9032"))</f>
        <v>+356 7998 9032</v>
      </c>
      <c r="E30" s="2"/>
      <c r="F30" s="3" t="s">
        <v>4881</v>
      </c>
    </row>
    <row r="31" spans="1:6" x14ac:dyDescent="0.3">
      <c r="A31" s="4" t="s">
        <v>4785</v>
      </c>
      <c r="B31" s="4" t="s">
        <v>4810</v>
      </c>
      <c r="C31" s="5" t="s">
        <v>4832</v>
      </c>
      <c r="D31" s="4" t="str">
        <f>CONCATENATE(HYPERLINK("CALLTO:%2B356%207939%208421", "+356 7939 8421"))</f>
        <v>+356 7939 8421</v>
      </c>
      <c r="E31" s="4"/>
      <c r="F31" s="5" t="s">
        <v>4882</v>
      </c>
    </row>
    <row r="32" spans="1:6" x14ac:dyDescent="0.3">
      <c r="A32" s="2" t="s">
        <v>4785</v>
      </c>
      <c r="B32" s="2" t="s">
        <v>4812</v>
      </c>
      <c r="C32" s="3" t="s">
        <v>4833</v>
      </c>
      <c r="D32" s="2" t="str">
        <f>CONCATENATE(HYPERLINK("CALLTO:%2B356%202169%203945", "+356 2169 3945"))</f>
        <v>+356 2169 3945</v>
      </c>
      <c r="E32" s="2"/>
      <c r="F32" s="3" t="s">
        <v>4883</v>
      </c>
    </row>
    <row r="33" spans="1:6" x14ac:dyDescent="0.3">
      <c r="A33" s="4" t="s">
        <v>4785</v>
      </c>
      <c r="B33" s="4" t="s">
        <v>4811</v>
      </c>
      <c r="C33" s="5" t="s">
        <v>4834</v>
      </c>
      <c r="D33" s="4"/>
      <c r="E33" s="4"/>
      <c r="F33" s="4"/>
    </row>
    <row r="34" spans="1:6" x14ac:dyDescent="0.3">
      <c r="A34" s="2" t="s">
        <v>4785</v>
      </c>
      <c r="B34" s="2" t="s">
        <v>4813</v>
      </c>
      <c r="C34" s="3" t="s">
        <v>4835</v>
      </c>
      <c r="D34" s="2"/>
      <c r="E34" s="2"/>
      <c r="F34" s="2"/>
    </row>
    <row r="35" spans="1:6" x14ac:dyDescent="0.3">
      <c r="A35" s="4" t="s">
        <v>4785</v>
      </c>
      <c r="B35" s="4" t="s">
        <v>31</v>
      </c>
      <c r="C35" s="4"/>
      <c r="D35" s="4"/>
      <c r="E35" s="4"/>
      <c r="F35" s="4"/>
    </row>
    <row r="36" spans="1:6" x14ac:dyDescent="0.3">
      <c r="A36" s="2" t="s">
        <v>4785</v>
      </c>
      <c r="B36" s="2"/>
      <c r="C36" s="2"/>
      <c r="D36" s="2"/>
      <c r="E36" s="2"/>
      <c r="F36" s="2"/>
    </row>
  </sheetData>
  <hyperlinks>
    <hyperlink ref="C2" r:id="rId1" tooltip="Send a mail to jethro@able.com.mnt" xr:uid="{00000000-0004-0000-4E00-000000000000}"/>
    <hyperlink ref="C3" r:id="rId2" tooltip="Send a mail to info@maa.com.mt" xr:uid="{00000000-0004-0000-4E00-000001000000}"/>
    <hyperlink ref="C4" r:id="rId3" tooltip="Send a mail to sales@btmalta.com" xr:uid="{00000000-0004-0000-4E00-000002000000}"/>
    <hyperlink ref="C5" r:id="rId4" tooltip="Send a mail to sales@cutrico.com" xr:uid="{00000000-0004-0000-4E00-000003000000}"/>
    <hyperlink ref="C6" r:id="rId5" tooltip="Send a mail to airsolutions@ezee.mt" xr:uid="{00000000-0004-0000-4E00-000004000000}"/>
    <hyperlink ref="C7" r:id="rId6" tooltip="Send a mail to info@casmalta.com" xr:uid="{00000000-0004-0000-4E00-000005000000}"/>
    <hyperlink ref="C8" r:id="rId7" tooltip="Send a mail to reniergrima.com@gmail.com" xr:uid="{00000000-0004-0000-4E00-000006000000}"/>
    <hyperlink ref="C9" r:id="rId8" tooltip="Send a mail to info@shead.com.mt" xr:uid="{00000000-0004-0000-4E00-000007000000}"/>
    <hyperlink ref="C10" r:id="rId9" tooltip="Send a mail to bamburas583@gmail.com" xr:uid="{00000000-0004-0000-4E00-000008000000}"/>
    <hyperlink ref="C11" r:id="rId10" tooltip="Send a mail to maintainit.mt@gmail.com" xr:uid="{00000000-0004-0000-4E00-000009000000}"/>
    <hyperlink ref="C12" r:id="rId11" tooltip="Send a mail to futurahomeappliances@gmail.com" xr:uid="{00000000-0004-0000-4E00-00000A000000}"/>
    <hyperlink ref="C13" r:id="rId12" tooltip="Send a mail to info@attardsmalta.com" xr:uid="{00000000-0004-0000-4E00-00000B000000}"/>
    <hyperlink ref="C14" r:id="rId13" tooltip="Send a mail to afenech@smarteffects.com.mt" xr:uid="{00000000-0004-0000-4E00-00000C000000}"/>
    <hyperlink ref="C15" r:id="rId14" tooltip="Send a mail to info@titan.mizzi.com.mt" xr:uid="{00000000-0004-0000-4E00-00000D000000}"/>
    <hyperlink ref="C16" r:id="rId15" tooltip="Send a mail to showroom@itc-malta.com" xr:uid="{00000000-0004-0000-4E00-00000E000000}"/>
    <hyperlink ref="C17" r:id="rId16" tooltip="Send a mail to info@engenuity.com.mt" xr:uid="{00000000-0004-0000-4E00-00000F000000}"/>
    <hyperlink ref="C18" r:id="rId17" tooltip="Send a mail to info@econetique.com" xr:uid="{00000000-0004-0000-4E00-000010000000}"/>
    <hyperlink ref="C19" r:id="rId18" tooltip="Send a mail to info@knlservice.com" xr:uid="{00000000-0004-0000-4E00-000011000000}"/>
    <hyperlink ref="C20" r:id="rId19" tooltip="Send a mail to info@hvacsupplies.eu" xr:uid="{00000000-0004-0000-4E00-000012000000}"/>
    <hyperlink ref="C21" r:id="rId20" tooltip="Send a mail to sales@midea.mt" xr:uid="{00000000-0004-0000-4E00-000013000000}"/>
    <hyperlink ref="C22" r:id="rId21" tooltip="Send a mail to info@ac-malta.com" xr:uid="{00000000-0004-0000-4E00-000014000000}"/>
    <hyperlink ref="C23" r:id="rId22" tooltip="Send a mail to gyorgymihalka@gmail.com" xr:uid="{00000000-0004-0000-4E00-000015000000}"/>
    <hyperlink ref="C24" r:id="rId23" tooltip="Send a mail to sales@tekno.com.mt" xr:uid="{00000000-0004-0000-4E00-000016000000}"/>
    <hyperlink ref="C25" r:id="rId24" tooltip="Send a mail to mekanika@gasan.com" xr:uid="{00000000-0004-0000-4E00-000017000000}"/>
    <hyperlink ref="C26" r:id="rId25" tooltip="Send a mail to enquiries@panta.mt" xr:uid="{00000000-0004-0000-4E00-000018000000}"/>
    <hyperlink ref="C27" r:id="rId26" tooltip="Send a mail to info@clima755.com" xr:uid="{00000000-0004-0000-4E00-000019000000}"/>
    <hyperlink ref="C28" r:id="rId27" tooltip="Send a mail to info@cooltekservices.com.mt" xr:uid="{00000000-0004-0000-4E00-00001A000000}"/>
    <hyperlink ref="C29" r:id="rId28" tooltip="Send a mail to sales@arjakon.com" xr:uid="{00000000-0004-0000-4E00-00001B000000}"/>
    <hyperlink ref="C30" r:id="rId29" tooltip="Send a mail to sales@vairni.com" xr:uid="{00000000-0004-0000-4E00-00001C000000}"/>
    <hyperlink ref="C31" r:id="rId30" tooltip="Send a mail to Stefandebono90@gmail.com" xr:uid="{00000000-0004-0000-4E00-00001D000000}"/>
    <hyperlink ref="C32" r:id="rId31" tooltip="Send a mail to info@novatrading.com.mt" xr:uid="{00000000-0004-0000-4E00-00001E000000}"/>
    <hyperlink ref="C33" r:id="rId32" tooltip="Send a mail to sales@venturamalta.com" xr:uid="{00000000-0004-0000-4E00-00001F000000}"/>
    <hyperlink ref="C34" r:id="rId33" tooltip="Send a mail to mark_nova@hotmail.com" xr:uid="{00000000-0004-0000-4E00-000020000000}"/>
    <hyperlink ref="E2" r:id="rId34" tooltip="Search baxa buildings, Triq Valleta , II-Mosta MST 9010 on Google Maps" xr:uid="{00000000-0004-0000-4E00-000021000000}"/>
    <hyperlink ref="E3" r:id="rId35" tooltip="Search Daikin Showroom, Triq Il-Belt Valletta, Hal Qormi QRM 3619 on Google Maps" xr:uid="{00000000-0004-0000-4E00-000022000000}"/>
    <hyperlink ref="E4" r:id="rId36" tooltip="Search B.T. Buildings, 300, Triq San Tumas, Hal Tarxien TXN 1602 on Google Maps" xr:uid="{00000000-0004-0000-4E00-000023000000}"/>
    <hyperlink ref="E5" r:id="rId37" tooltip="Search Cutrico Building, Triq L-Imriehel, Mriehel, Birkirkara BKR 3000 on Google Maps" xr:uid="{00000000-0004-0000-4E00-000024000000}"/>
    <hyperlink ref="E6" r:id="rId38" tooltip="Search Triq Il-Blata L-Kahla, Santa Venera on Google Maps" xr:uid="{00000000-0004-0000-4E00-000025000000}"/>
    <hyperlink ref="E7" r:id="rId39" tooltip="Search 307, Triq Misrah Il-Barrieri, Santa Venera SVR 1758 on Google Maps" xr:uid="{00000000-0004-0000-4E00-000026000000}"/>
    <hyperlink ref="E8" r:id="rId40" tooltip="Search Triq Guzeppi Agius, Is-Siggiewi on Google Maps" xr:uid="{00000000-0004-0000-4E00-000027000000}"/>
    <hyperlink ref="E9" r:id="rId41" tooltip="Search Triq Tal-Mensija, San Gwann on Google Maps" xr:uid="{00000000-0004-0000-4E00-000028000000}"/>
    <hyperlink ref="E10" r:id="rId42" tooltip="Search Flat 4, Hinxman Court, Trejqet Il-Gewz, Ir-Rabat, Il-Bahrija on Google Maps" xr:uid="{00000000-0004-0000-4E00-000029000000}"/>
    <hyperlink ref="E11" r:id="rId43" tooltip="Search Phoenix Apartments, No 5, Triq Tas-Sisla, Birkirkara, Is-Swatar on Google Maps" xr:uid="{00000000-0004-0000-4E00-00002A000000}"/>
    <hyperlink ref="E12" r:id="rId44" tooltip="Search 220, Triq In-Naxxar, San Ġwann, Malta SGN 9030 on Google Maps" xr:uid="{00000000-0004-0000-4E00-00002B000000}"/>
    <hyperlink ref="E13" r:id="rId45" tooltip="Search 125, Triq Il-Kbira San Ġużepp, Ħamrun, Malta on Google Maps" xr:uid="{00000000-0004-0000-4E00-00002C000000}"/>
    <hyperlink ref="E14" r:id="rId46" tooltip="Search MPT Business Centre, Level 3, Triq Dun Karm, Birkirkara, Malta on Google Maps" xr:uid="{00000000-0004-0000-4E00-00002D000000}"/>
    <hyperlink ref="E15" r:id="rId47" tooltip="Search The Lyric, Triq Antonio Bosio, Msida, Malta on Google Maps" xr:uid="{00000000-0004-0000-4E00-00002E000000}"/>
    <hyperlink ref="E16" r:id="rId48" tooltip="Search Triq Nazzjonali, Ħamrun, Malta on Google Maps" xr:uid="{00000000-0004-0000-4E00-00002F000000}"/>
    <hyperlink ref="E17" r:id="rId49" tooltip="Search Triq Tal-Hlas ,Hal Qormi , Malta on Google Maps" xr:uid="{00000000-0004-0000-4E00-000030000000}"/>
    <hyperlink ref="E18" r:id="rId50" tooltip="Search Triq L-Industrija, Xewkija, Gozo on Google Maps" xr:uid="{00000000-0004-0000-4E00-000031000000}"/>
    <hyperlink ref="E19" r:id="rId51" tooltip="Search 9D, Midland Micro Enterprise Park, Triq Il-Burmarrad, Burmarrad, Malta on Google Maps" xr:uid="{00000000-0004-0000-4E00-000032000000}"/>
    <hyperlink ref="E20" r:id="rId52" tooltip="Search Triq Ħal Luqa, Qormi, QRM 9070 on Google Maps" xr:uid="{00000000-0004-0000-4E00-000033000000}"/>
    <hyperlink ref="E21" r:id="rId53" tooltip="Search 168, Luqa Industrial Estate, Luqa on Google Maps" xr:uid="{00000000-0004-0000-4E00-000034000000}"/>
    <hyperlink ref="E22" r:id="rId54" tooltip="Search Air Conditioners Malta , San Giljan on Google Maps" xr:uid="{00000000-0004-0000-4E00-000035000000}"/>
    <hyperlink ref="E23" r:id="rId55" tooltip="Search Triq Is-Salib ta L-Imriehel, Birkirkara on Google Maps" xr:uid="{00000000-0004-0000-4E00-000036000000}"/>
    <hyperlink ref="E24" r:id="rId56" tooltip="Search GPL Business Centre,_x000a_Triq l-Esportaturi Zone 1,_x000a_Central Business District,_x000a_L-Imriehel CBD 1040 on Google Maps" xr:uid="{00000000-0004-0000-4E00-000037000000}"/>
    <hyperlink ref="E25" r:id="rId57" tooltip="Search Valley Road Msida on Google Maps" xr:uid="{00000000-0004-0000-4E00-000038000000}"/>
    <hyperlink ref="E26" r:id="rId58" tooltip="Search 18, Guzeppi Licari, Birkirkara, Malta on Google Maps" xr:uid="{00000000-0004-0000-4E00-000039000000}"/>
    <hyperlink ref="E27" r:id="rId59" tooltip="Search Vairni Services Ltd_x000a_5 Triq Titu Brandsma ,_x000a_Fgura, Malta FGR 2131 on Google Maps" xr:uid="{00000000-0004-0000-4E00-00003A000000}"/>
    <hyperlink ref="E28" r:id="rId60" tooltip="Search 29 Maggie Moran Street, Paola on Google Maps" xr:uid="{00000000-0004-0000-4E00-00003B000000}"/>
    <hyperlink ref="F2" r:id="rId61" tooltip="Visit able.com.mt" xr:uid="{00000000-0004-0000-4E00-00003C000000}"/>
    <hyperlink ref="F3" r:id="rId62" tooltip="Visit daikin.com.mt" xr:uid="{00000000-0004-0000-4E00-00003D000000}"/>
    <hyperlink ref="F4" r:id="rId63" tooltip="Visit btmalta.com" xr:uid="{00000000-0004-0000-4E00-00003E000000}"/>
    <hyperlink ref="F5" r:id="rId64" tooltip="Visit cutrico.com" xr:uid="{00000000-0004-0000-4E00-00003F000000}"/>
    <hyperlink ref="F6" r:id="rId65" tooltip="Visit airsolutions.com.mt" xr:uid="{00000000-0004-0000-4E00-000040000000}"/>
    <hyperlink ref="F7" r:id="rId66" tooltip="Visit casmalta.com" xr:uid="{00000000-0004-0000-4E00-000041000000}"/>
    <hyperlink ref="F13" r:id="rId67" tooltip="Visit attardsmalta.com" xr:uid="{00000000-0004-0000-4E00-000042000000}"/>
    <hyperlink ref="F14" r:id="rId68" tooltip="Visit smarteffects.com.mt" xr:uid="{00000000-0004-0000-4E00-000043000000}"/>
    <hyperlink ref="F15" r:id="rId69" tooltip="Visit titan.com.mt" xr:uid="{00000000-0004-0000-4E00-000044000000}"/>
    <hyperlink ref="F16" r:id="rId70" tooltip="Visit itc-malta.com" xr:uid="{00000000-0004-0000-4E00-000045000000}"/>
    <hyperlink ref="F17" r:id="rId71" tooltip="Visit engenuity.com.mt" xr:uid="{00000000-0004-0000-4E00-000046000000}"/>
    <hyperlink ref="F18" r:id="rId72" tooltip="Visit econetique.com" xr:uid="{00000000-0004-0000-4E00-000047000000}"/>
    <hyperlink ref="F22" r:id="rId73" tooltip="Visit ac-malta.com/en/contacts.html" xr:uid="{00000000-0004-0000-4E00-000048000000}"/>
    <hyperlink ref="F23" r:id="rId74" tooltip="Visit coolforyoumalta.com/?brid=ZrlreT6d_V10djmjAX8k5Q" xr:uid="{00000000-0004-0000-4E00-000049000000}"/>
    <hyperlink ref="F24" r:id="rId75" tooltip="Visit tekno.com.mt/contact/" xr:uid="{00000000-0004-0000-4E00-00004A000000}"/>
    <hyperlink ref="F25" r:id="rId76" tooltip="Visit mekanika.com.mt/?brid=yOf5xAjx5Rj8r2210S_NJg" xr:uid="{00000000-0004-0000-4E00-00004B000000}"/>
    <hyperlink ref="F26" r:id="rId77" tooltip="Visit panta.mt/" xr:uid="{00000000-0004-0000-4E00-00004C000000}"/>
    <hyperlink ref="F27" r:id="rId78" tooltip="Visit clima755.com/" xr:uid="{00000000-0004-0000-4E00-00004D000000}"/>
    <hyperlink ref="F28" r:id="rId79" tooltip="Visit cooltekservices.com.mt/" xr:uid="{00000000-0004-0000-4E00-00004E000000}"/>
    <hyperlink ref="F29" r:id="rId80" tooltip="Visit yellow.com.mt/arjakon-co-ltd/air-conditioners/" xr:uid="{00000000-0004-0000-4E00-00004F000000}"/>
    <hyperlink ref="F30" r:id="rId81" tooltip="Visit vairni.com/wp/?utm_source=Yellow&amp;utm_medium=Yellow-Website&amp;utm_campaign=Landing-Page" xr:uid="{00000000-0004-0000-4E00-000050000000}"/>
    <hyperlink ref="F31" r:id="rId82" tooltip="Visit facebook.com/steffannnn/" xr:uid="{00000000-0004-0000-4E00-000051000000}"/>
    <hyperlink ref="F32" r:id="rId83" tooltip="Visit novatrading.com.mt/contact/" xr:uid="{00000000-0004-0000-4E00-000052000000}"/>
  </hyperlinks>
  <pageMargins left="0.75" right="0.75" top="0.75" bottom="0.5" header="0.5" footer="0.7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7"/>
  <sheetViews>
    <sheetView workbookViewId="0"/>
  </sheetViews>
  <sheetFormatPr defaultRowHeight="14.4" x14ac:dyDescent="0.3"/>
  <cols>
    <col min="1" max="1" width="15.6640625" customWidth="1"/>
    <col min="2" max="2" width="40.6640625" customWidth="1"/>
    <col min="3" max="3" width="30.88671875" customWidth="1"/>
    <col min="4" max="4" width="18.6640625" customWidth="1"/>
    <col min="5" max="5" width="81.44140625" customWidth="1"/>
    <col min="6" max="6" width="33.10937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20</v>
      </c>
    </row>
    <row r="2" spans="1:6" x14ac:dyDescent="0.3">
      <c r="A2" s="2" t="s">
        <v>4884</v>
      </c>
      <c r="B2" s="2" t="s">
        <v>4885</v>
      </c>
      <c r="C2" s="3" t="s">
        <v>1079</v>
      </c>
      <c r="D2" s="2" t="str">
        <f>CONCATENATE(HYPERLINK("CALLTO:%2B356%202132%200433", "+356 2132 0433"))</f>
        <v>+356 2132 0433</v>
      </c>
      <c r="E2" s="3" t="s">
        <v>4906</v>
      </c>
      <c r="F2" s="3" t="s">
        <v>4921</v>
      </c>
    </row>
    <row r="3" spans="1:6" x14ac:dyDescent="0.3">
      <c r="A3" s="4" t="s">
        <v>4884</v>
      </c>
      <c r="B3" s="4" t="s">
        <v>2311</v>
      </c>
      <c r="C3" s="5" t="s">
        <v>4898</v>
      </c>
      <c r="D3" s="4" t="str">
        <f>CONCATENATE(HYPERLINK("CALLTO:%2B356%202298%208000", "+356 2298 8000"))</f>
        <v>+356 2298 8000</v>
      </c>
      <c r="E3" s="5" t="s">
        <v>4907</v>
      </c>
      <c r="F3" s="5" t="s">
        <v>4922</v>
      </c>
    </row>
    <row r="4" spans="1:6" x14ac:dyDescent="0.3">
      <c r="A4" s="2" t="s">
        <v>4884</v>
      </c>
      <c r="B4" s="2" t="s">
        <v>4872</v>
      </c>
      <c r="C4" s="3" t="s">
        <v>4897</v>
      </c>
      <c r="D4" s="2" t="str">
        <f>CONCATENATE(HYPERLINK("CALLTO:%2B356%209944%209872", "+356 9944 9872"))</f>
        <v>+356 9944 9872</v>
      </c>
      <c r="E4" s="3" t="s">
        <v>4908</v>
      </c>
      <c r="F4" s="3" t="s">
        <v>4920</v>
      </c>
    </row>
    <row r="5" spans="1:6" x14ac:dyDescent="0.3">
      <c r="A5" s="4" t="s">
        <v>4884</v>
      </c>
      <c r="B5" s="4" t="s">
        <v>4886</v>
      </c>
      <c r="C5" s="5" t="s">
        <v>2392</v>
      </c>
      <c r="D5" s="4" t="str">
        <f>CONCATENATE(HYPERLINK("CALLTO:%2B356%202180%204588", "+356 2180 4588"))</f>
        <v>+356 2180 4588</v>
      </c>
      <c r="E5" s="5" t="s">
        <v>4909</v>
      </c>
      <c r="F5" s="5" t="s">
        <v>2462</v>
      </c>
    </row>
    <row r="6" spans="1:6" x14ac:dyDescent="0.3">
      <c r="A6" s="2" t="s">
        <v>4884</v>
      </c>
      <c r="B6" s="2" t="s">
        <v>4888</v>
      </c>
      <c r="C6" s="3" t="s">
        <v>1937</v>
      </c>
      <c r="D6" s="2" t="str">
        <f>CONCATENATE(HYPERLINK("CALLTO:%2B356%202033%204532", "+356 2033 4532"))</f>
        <v>+356 2033 4532</v>
      </c>
      <c r="E6" s="3" t="s">
        <v>4910</v>
      </c>
      <c r="F6" s="3" t="s">
        <v>2060</v>
      </c>
    </row>
    <row r="7" spans="1:6" x14ac:dyDescent="0.3">
      <c r="A7" s="4" t="s">
        <v>4884</v>
      </c>
      <c r="B7" s="4" t="s">
        <v>4889</v>
      </c>
      <c r="C7" s="5" t="s">
        <v>2599</v>
      </c>
      <c r="D7" s="4" t="str">
        <f>CONCATENATE(HYPERLINK("CALLTO:%2B356%202138%202595", "+356 2138 2595"))</f>
        <v>+356 2138 2595</v>
      </c>
      <c r="E7" s="5" t="s">
        <v>4911</v>
      </c>
      <c r="F7" s="4" t="s">
        <v>146</v>
      </c>
    </row>
    <row r="8" spans="1:6" x14ac:dyDescent="0.3">
      <c r="A8" s="2" t="s">
        <v>4884</v>
      </c>
      <c r="B8" s="2" t="s">
        <v>4887</v>
      </c>
      <c r="C8" s="3" t="s">
        <v>704</v>
      </c>
      <c r="D8" s="2" t="str">
        <f>CONCATENATE(HYPERLINK("CALLTO:%2B356%202146%206668", "+356 2146 6668"))</f>
        <v>+356 2146 6668</v>
      </c>
      <c r="E8" s="3" t="s">
        <v>1341</v>
      </c>
      <c r="F8" s="2" t="s">
        <v>146</v>
      </c>
    </row>
    <row r="9" spans="1:6" x14ac:dyDescent="0.3">
      <c r="A9" s="4" t="s">
        <v>4884</v>
      </c>
      <c r="B9" s="4" t="s">
        <v>4891</v>
      </c>
      <c r="C9" s="5" t="s">
        <v>4899</v>
      </c>
      <c r="D9" s="4" t="str">
        <f>CONCATENATE(HYPERLINK("CALLTO:%2B356%207727%201493", "+356 7727 1493"))</f>
        <v>+356 7727 1493</v>
      </c>
      <c r="E9" s="5" t="s">
        <v>4912</v>
      </c>
      <c r="F9" s="4" t="s">
        <v>146</v>
      </c>
    </row>
    <row r="10" spans="1:6" x14ac:dyDescent="0.3">
      <c r="A10" s="2" t="s">
        <v>4884</v>
      </c>
      <c r="B10" s="2" t="s">
        <v>4890</v>
      </c>
      <c r="C10" s="3" t="s">
        <v>4900</v>
      </c>
      <c r="D10" s="2" t="str">
        <f>CONCATENATE(HYPERLINK("CALLTO:%2B356%209949%204363", "+356 9949 4363"))</f>
        <v>+356 9949 4363</v>
      </c>
      <c r="E10" s="3" t="s">
        <v>4913</v>
      </c>
      <c r="F10" s="3" t="s">
        <v>4924</v>
      </c>
    </row>
    <row r="11" spans="1:6" x14ac:dyDescent="0.3">
      <c r="A11" s="4" t="s">
        <v>4884</v>
      </c>
      <c r="B11" s="4" t="s">
        <v>4893</v>
      </c>
      <c r="C11" s="5" t="s">
        <v>4901</v>
      </c>
      <c r="D11" s="4" t="str">
        <f>CONCATENATE(HYPERLINK("CALLTO:%2B356%202169%202917", "+356 2169 2917"))</f>
        <v>+356 2169 2917</v>
      </c>
      <c r="E11" s="5" t="s">
        <v>4914</v>
      </c>
      <c r="F11" s="5" t="s">
        <v>4925</v>
      </c>
    </row>
    <row r="12" spans="1:6" x14ac:dyDescent="0.3">
      <c r="A12" s="2" t="s">
        <v>4884</v>
      </c>
      <c r="B12" s="2" t="s">
        <v>4892</v>
      </c>
      <c r="C12" s="3" t="s">
        <v>4902</v>
      </c>
      <c r="D12" s="2" t="str">
        <f>CONCATENATE(HYPERLINK("CALLTO:%2B356%202144%204348", "+356 2144 4348"))</f>
        <v>+356 2144 4348</v>
      </c>
      <c r="E12" s="3" t="s">
        <v>4915</v>
      </c>
      <c r="F12" s="3" t="s">
        <v>4923</v>
      </c>
    </row>
    <row r="13" spans="1:6" x14ac:dyDescent="0.3">
      <c r="A13" s="4" t="s">
        <v>4884</v>
      </c>
      <c r="B13" s="4" t="s">
        <v>4895</v>
      </c>
      <c r="C13" s="5" t="s">
        <v>2161</v>
      </c>
      <c r="D13" s="4" t="str">
        <f>CONCATENATE(HYPERLINK("CALLTO:%2B356%202133%204145", "+356 2133 4145"))</f>
        <v>+356 2133 4145</v>
      </c>
      <c r="E13" s="5" t="s">
        <v>4917</v>
      </c>
      <c r="F13" s="5" t="s">
        <v>4926</v>
      </c>
    </row>
    <row r="14" spans="1:6" x14ac:dyDescent="0.3">
      <c r="A14" s="2" t="s">
        <v>4884</v>
      </c>
      <c r="B14" s="2" t="s">
        <v>4896</v>
      </c>
      <c r="C14" s="3" t="s">
        <v>4903</v>
      </c>
      <c r="D14" s="2" t="str">
        <f>CONCATENATE(HYPERLINK("CALLTO:%2B356%202148%205203", "+356 2148 5203"))</f>
        <v>+356 2148 5203</v>
      </c>
      <c r="E14" s="3" t="s">
        <v>4916</v>
      </c>
      <c r="F14" s="3" t="s">
        <v>4927</v>
      </c>
    </row>
    <row r="15" spans="1:6" x14ac:dyDescent="0.3">
      <c r="A15" s="4" t="s">
        <v>4884</v>
      </c>
      <c r="B15" s="4" t="s">
        <v>2323</v>
      </c>
      <c r="C15" s="5" t="s">
        <v>4904</v>
      </c>
      <c r="D15" s="4" t="str">
        <f>CONCATENATE(HYPERLINK("CALLTO:%2B356%207909%205062", "+356 7909 5062"))</f>
        <v>+356 7909 5062</v>
      </c>
      <c r="E15" s="5" t="s">
        <v>4918</v>
      </c>
      <c r="F15" s="5" t="s">
        <v>4928</v>
      </c>
    </row>
    <row r="16" spans="1:6" x14ac:dyDescent="0.3">
      <c r="A16" s="2" t="s">
        <v>4884</v>
      </c>
      <c r="B16" s="2" t="s">
        <v>4894</v>
      </c>
      <c r="C16" s="3" t="s">
        <v>4905</v>
      </c>
      <c r="D16" s="2" t="str">
        <f>CONCATENATE(HYPERLINK("CALLTO:%2B356%201243%20430892", "+356 1243 430892"))</f>
        <v>+356 1243 430892</v>
      </c>
      <c r="E16" s="3" t="s">
        <v>4919</v>
      </c>
      <c r="F16" s="3" t="s">
        <v>4929</v>
      </c>
    </row>
    <row r="17" spans="1:6" x14ac:dyDescent="0.3">
      <c r="A17" s="4" t="s">
        <v>4884</v>
      </c>
      <c r="B17" s="4" t="s">
        <v>3034</v>
      </c>
      <c r="C17" s="5" t="s">
        <v>3037</v>
      </c>
      <c r="D17" s="4" t="str">
        <f>CONCATENATE(HYPERLINK("CALLTO:%2B356%202144%207379", "+356 2144 7379"))</f>
        <v>+356 2144 7379</v>
      </c>
      <c r="E17" s="5" t="s">
        <v>3040</v>
      </c>
      <c r="F17" s="5" t="s">
        <v>3043</v>
      </c>
    </row>
  </sheetData>
  <hyperlinks>
    <hyperlink ref="C2" r:id="rId1" tooltip="Send a mail to sales@dimech-ent.com" xr:uid="{00000000-0004-0000-4F00-000000000000}"/>
    <hyperlink ref="C3" r:id="rId2" tooltip="Send a mail to Sales@pmhobby.com.mt" xr:uid="{00000000-0004-0000-4F00-000001000000}"/>
    <hyperlink ref="C4" r:id="rId3" tooltip="Send a mail to timbers@demajo.com" xr:uid="{00000000-0004-0000-4F00-000002000000}"/>
    <hyperlink ref="C5" r:id="rId4" tooltip="Send a mail to info@calypsomfg.com" xr:uid="{00000000-0004-0000-4F00-000003000000}"/>
    <hyperlink ref="C6" r:id="rId5" tooltip="Send a mail to sales@maltashopper.com" xr:uid="{00000000-0004-0000-4F00-000004000000}"/>
    <hyperlink ref="C7" r:id="rId6" tooltip="Send a mail to sales@pvcmalta.com" xr:uid="{00000000-0004-0000-4F00-000005000000}"/>
    <hyperlink ref="C8" r:id="rId7" tooltip="Send a mail to bmsltdmalta@gmail.com" xr:uid="{00000000-0004-0000-4F00-000006000000}"/>
    <hyperlink ref="C9" r:id="rId8" tooltip="Send a mail to info@galtd.com" xr:uid="{00000000-0004-0000-4F00-000007000000}"/>
    <hyperlink ref="C10" r:id="rId9" tooltip="Send a mail to info@marineservicesmalta.com" xr:uid="{00000000-0004-0000-4F00-000008000000}"/>
    <hyperlink ref="C11" r:id="rId10" tooltip="Send a mail to info@adrewvassallo.com" xr:uid="{00000000-0004-0000-4F00-000009000000}"/>
    <hyperlink ref="C12" r:id="rId11" tooltip="Send a mail to info@theprofessionalsmalta.com" xr:uid="{00000000-0004-0000-4F00-00000A000000}"/>
    <hyperlink ref="C13" r:id="rId12" tooltip="Send a mail to info@linkprojects.com.mt" xr:uid="{00000000-0004-0000-4F00-00000B000000}"/>
    <hyperlink ref="C14" r:id="rId13" tooltip="Send a mail to info@protrade.com.mt" xr:uid="{00000000-0004-0000-4F00-00000C000000}"/>
    <hyperlink ref="C15" r:id="rId14" tooltip="Send a mail to info@salibawoodworks.com" xr:uid="{00000000-0004-0000-4F00-00000D000000}"/>
    <hyperlink ref="C16" r:id="rId15" tooltip="Send a mail to sales@deckfab.co.uk" xr:uid="{00000000-0004-0000-4F00-00000E000000}"/>
    <hyperlink ref="C17" r:id="rId16" tooltip="Send a mail to tuttoparquetmalta@gmail.com" xr:uid="{00000000-0004-0000-4F00-00000F000000}"/>
    <hyperlink ref="E2" r:id="rId17" tooltip="Search Centre Point, Triq Valletta, Luqa, Malta LQA 1762 on Google Maps" xr:uid="{00000000-0004-0000-4F00-000010000000}"/>
    <hyperlink ref="E3" r:id="rId18" tooltip="Search Zone 1, Central Business District, Bone Street, Mriehel Bypass – Birkirkara, CBD1060 Malta on Google Maps" xr:uid="{00000000-0004-0000-4F00-000011000000}"/>
    <hyperlink ref="E4" r:id="rId19" tooltip="Search Olive Square, Qormi, QRM 11, Malta on Google Maps" xr:uid="{00000000-0004-0000-4F00-000012000000}"/>
    <hyperlink ref="E5" r:id="rId20" tooltip="Search 5, Cospicua Road, Fgura FGR 1261, Malta on Google Maps" xr:uid="{00000000-0004-0000-4F00-000013000000}"/>
    <hyperlink ref="E6" r:id="rId21" tooltip="Search 162, Cannon Road, Santa Venera, Malta on Google Maps" xr:uid="{00000000-0004-0000-4F00-000014000000}"/>
    <hyperlink ref="E7" r:id="rId22" tooltip="Search 52 Triq il-Mużika, Iklin, IKL 1091, Malta on Google Maps" xr:uid="{00000000-0004-0000-4F00-000015000000}"/>
    <hyperlink ref="E8" r:id="rId23" tooltip="Search Mdina Road, Qormi, QRM 9011, Malta on Google Maps" xr:uid="{00000000-0004-0000-4F00-000016000000}"/>
    <hyperlink ref="E9" r:id="rId24" tooltip="Search Triq Tumas Galea, Birkirkara, BKR 4519, Malta on Google Maps" xr:uid="{00000000-0004-0000-4F00-000017000000}"/>
    <hyperlink ref="E10" r:id="rId25" tooltip="Search MSL Boat Yard, Triq il-Kappella ta’ Santa Marija, Magħtab, Naxxar, NXR 6511, Malta on Google Maps" xr:uid="{00000000-0004-0000-4F00-000018000000}"/>
    <hyperlink ref="E11" r:id="rId26" tooltip="Search triq Ħal Tarxien, Il-Gudja, Malta on Google Maps" xr:uid="{00000000-0004-0000-4F00-000019000000}"/>
    <hyperlink ref="E12" r:id="rId27" tooltip="Search Qormi, Malta on Google Maps" xr:uid="{00000000-0004-0000-4F00-00001A000000}"/>
    <hyperlink ref="E13" r:id="rId28" tooltip="Search VFWV+V77, ix-Xatt, Ta' Xbiex on Google Maps" xr:uid="{00000000-0004-0000-4F00-00001B000000}"/>
    <hyperlink ref="E14" r:id="rId29" tooltip="Search Zone 5, Triq Is-Sebħ, Central Business District, Qormi, Malta on Google Maps" xr:uid="{00000000-0004-0000-4F00-00001C000000}"/>
    <hyperlink ref="E15" r:id="rId30" tooltip="Search St Mary Garage, Triq Ħal Tarxien, Gudja, Malta on Google Maps" xr:uid="{00000000-0004-0000-4F00-00001D000000}"/>
    <hyperlink ref="E16" r:id="rId31" tooltip="Search malta on Google Maps" xr:uid="{00000000-0004-0000-4F00-00001E000000}"/>
    <hyperlink ref="E17" r:id="rId32" tooltip="Search 10, Triq Dun Karm_x000a_Birkirkara, Malta on Google Maps" xr:uid="{00000000-0004-0000-4F00-00001F000000}"/>
    <hyperlink ref="F2" r:id="rId33" tooltip="Visit dimech-ent.com/outdoors" xr:uid="{00000000-0004-0000-4F00-000020000000}"/>
    <hyperlink ref="F3" r:id="rId34" tooltip="Visit pmhobby.com.mt" xr:uid="{00000000-0004-0000-4F00-000021000000}"/>
    <hyperlink ref="F4" r:id="rId35" tooltip="Visit demajotimbers.com" xr:uid="{00000000-0004-0000-4F00-000022000000}"/>
    <hyperlink ref="F5" r:id="rId36" tooltip="Visit calypsomfg.com" xr:uid="{00000000-0004-0000-4F00-000023000000}"/>
    <hyperlink ref="F6" r:id="rId37" tooltip="Visit maltashopper.com" xr:uid="{00000000-0004-0000-4F00-000024000000}"/>
    <hyperlink ref="F10" r:id="rId38" tooltip="Visit marineservicesmalta.com" xr:uid="{00000000-0004-0000-4F00-000025000000}"/>
    <hyperlink ref="F11" r:id="rId39" tooltip="Visit andrewvassallo.com" xr:uid="{00000000-0004-0000-4F00-000026000000}"/>
    <hyperlink ref="F12" r:id="rId40" tooltip="Visit theprofessionalsmalta.com" xr:uid="{00000000-0004-0000-4F00-000027000000}"/>
    <hyperlink ref="F13" r:id="rId41" tooltip="Visit linkprojects.com.mt" xr:uid="{00000000-0004-0000-4F00-000028000000}"/>
    <hyperlink ref="F14" r:id="rId42" tooltip="Visit protrade.com.mt" xr:uid="{00000000-0004-0000-4F00-000029000000}"/>
    <hyperlink ref="F15" r:id="rId43" tooltip="Visit salibawoodworks.com" xr:uid="{00000000-0004-0000-4F00-00002A000000}"/>
    <hyperlink ref="F16" r:id="rId44" tooltip="Visit deckfabmarine.com" xr:uid="{00000000-0004-0000-4F00-00002B000000}"/>
    <hyperlink ref="F17" r:id="rId45" tooltip="Visit tuttoparquetmalta.com/index.html" xr:uid="{00000000-0004-0000-4F00-00002C000000}"/>
  </hyperlinks>
  <pageMargins left="0.75" right="0.75" top="0.75" bottom="0.5" header="0.5" footer="0.7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17"/>
  <sheetViews>
    <sheetView workbookViewId="0"/>
  </sheetViews>
  <sheetFormatPr defaultRowHeight="14.4" x14ac:dyDescent="0.3"/>
  <cols>
    <col min="1" max="1" width="10.88671875" customWidth="1"/>
    <col min="2" max="2" width="33.109375" customWidth="1"/>
    <col min="3" max="3" width="30" customWidth="1"/>
    <col min="4" max="4" width="45.33203125" customWidth="1"/>
    <col min="5" max="5" width="71.5546875" customWidth="1"/>
    <col min="6" max="6" width="20.33203125" customWidth="1"/>
    <col min="7" max="7" width="55.5546875" customWidth="1"/>
  </cols>
  <sheetData>
    <row r="1" spans="1:7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5386</v>
      </c>
      <c r="F1" s="1" t="s">
        <v>20</v>
      </c>
      <c r="G1" s="1" t="s">
        <v>866</v>
      </c>
    </row>
    <row r="2" spans="1:7" x14ac:dyDescent="0.3">
      <c r="A2" s="2" t="s">
        <v>4931</v>
      </c>
      <c r="B2" s="2" t="s">
        <v>4932</v>
      </c>
      <c r="C2" s="3" t="s">
        <v>802</v>
      </c>
      <c r="D2" s="2" t="str">
        <f>CONCATENATE(HYPERLINK("CALLTO:%2B356%202169%202917", "+356 2169 2917"))</f>
        <v>+356 2169 2917</v>
      </c>
      <c r="E2" s="3" t="s">
        <v>4947</v>
      </c>
      <c r="F2" s="3" t="s">
        <v>4925</v>
      </c>
      <c r="G2" s="2" t="s">
        <v>146</v>
      </c>
    </row>
    <row r="3" spans="1:7" x14ac:dyDescent="0.3">
      <c r="A3" s="4" t="s">
        <v>4931</v>
      </c>
      <c r="B3" s="4" t="s">
        <v>4930</v>
      </c>
      <c r="C3" s="5" t="s">
        <v>3202</v>
      </c>
      <c r="D3" s="4" t="str">
        <f>CONCATENATE(HYPERLINK("CALLTO:%2B356%209949%203628", "+356 9949 3628"))</f>
        <v>+356 9949 3628</v>
      </c>
      <c r="E3" s="5" t="s">
        <v>4948</v>
      </c>
      <c r="F3" s="5" t="s">
        <v>4955</v>
      </c>
      <c r="G3" s="4" t="s">
        <v>4959</v>
      </c>
    </row>
    <row r="4" spans="1:7" x14ac:dyDescent="0.3">
      <c r="A4" s="2" t="s">
        <v>4931</v>
      </c>
      <c r="B4" s="2" t="s">
        <v>4934</v>
      </c>
      <c r="C4" s="3" t="s">
        <v>1291</v>
      </c>
      <c r="D4" s="2" t="str">
        <f>CONCATENATE(HYPERLINK("CALLTO:%2B356%202144%209641", "+356 2144 9641"))</f>
        <v>+356 2144 9641</v>
      </c>
      <c r="E4" s="3" t="s">
        <v>4950</v>
      </c>
      <c r="F4" s="3" t="s">
        <v>1445</v>
      </c>
      <c r="G4" s="2" t="s">
        <v>4960</v>
      </c>
    </row>
    <row r="5" spans="1:7" x14ac:dyDescent="0.3">
      <c r="A5" s="4" t="s">
        <v>4931</v>
      </c>
      <c r="B5" s="4" t="s">
        <v>4933</v>
      </c>
      <c r="C5" s="5" t="s">
        <v>4942</v>
      </c>
      <c r="D5" s="4" t="str">
        <f>CONCATENATE(HYPERLINK("CALLTO:%2B356%202143%203636", "+356 2143 3636"))</f>
        <v>+356 2143 3636</v>
      </c>
      <c r="E5" s="5" t="s">
        <v>4949</v>
      </c>
      <c r="F5" s="5" t="s">
        <v>4956</v>
      </c>
      <c r="G5" s="4" t="s">
        <v>4961</v>
      </c>
    </row>
    <row r="6" spans="1:7" x14ac:dyDescent="0.3">
      <c r="A6" s="2" t="s">
        <v>4931</v>
      </c>
      <c r="B6" s="2" t="s">
        <v>4936</v>
      </c>
      <c r="C6" s="3" t="s">
        <v>1296</v>
      </c>
      <c r="D6" s="2" t="str">
        <f>CONCATENATE(HYPERLINK("CALLTO:%2B356%202549%203000", "+356 2549 3000"))</f>
        <v>+356 2549 3000</v>
      </c>
      <c r="E6" s="3" t="s">
        <v>4951</v>
      </c>
      <c r="F6" s="3" t="s">
        <v>1451</v>
      </c>
      <c r="G6" s="2" t="s">
        <v>4962</v>
      </c>
    </row>
    <row r="7" spans="1:7" x14ac:dyDescent="0.3">
      <c r="A7" s="4" t="s">
        <v>4931</v>
      </c>
      <c r="B7" s="4" t="s">
        <v>4935</v>
      </c>
      <c r="C7" s="5" t="s">
        <v>2162</v>
      </c>
      <c r="D7" s="4" t="str">
        <f>CONCATENATE(HYPERLINK("CALLTO:%2B356%202277%203000", "+356 2277 3000"))</f>
        <v>+356 2277 3000</v>
      </c>
      <c r="E7" s="5" t="s">
        <v>4953</v>
      </c>
      <c r="F7" s="5" t="s">
        <v>4958</v>
      </c>
      <c r="G7" s="4" t="s">
        <v>4963</v>
      </c>
    </row>
    <row r="8" spans="1:7" x14ac:dyDescent="0.3">
      <c r="A8" s="2" t="s">
        <v>4931</v>
      </c>
      <c r="B8" s="2" t="s">
        <v>4937</v>
      </c>
      <c r="C8" s="3" t="s">
        <v>4943</v>
      </c>
      <c r="D8" s="2" t="str">
        <f>CONCATENATE(HYPERLINK("CALLTO:%2B356%202144%201234", "+356 2144 1234"), " / ", HYPERLINK("CALLTO:%2B356%202155%206694", "+356 2155 6694"), " / ", HYPERLINK("CALLTO:%2B356%202149%201111", "+356 2149 1111"))</f>
        <v>+356 2144 1234 / +356 2155 6694 / +356 2149 1111</v>
      </c>
      <c r="E8" s="3" t="s">
        <v>3261</v>
      </c>
      <c r="F8" s="3" t="s">
        <v>2172</v>
      </c>
      <c r="G8" s="2" t="s">
        <v>4964</v>
      </c>
    </row>
    <row r="9" spans="1:7" x14ac:dyDescent="0.3">
      <c r="A9" s="4" t="s">
        <v>4931</v>
      </c>
      <c r="B9" s="4" t="s">
        <v>2542</v>
      </c>
      <c r="C9" s="5" t="s">
        <v>1015</v>
      </c>
      <c r="D9" s="4" t="str">
        <f>CONCATENATE(HYPERLINK("CALLTO:%2B356%202134%205678", "+356 2134 5678"))</f>
        <v>+356 2134 5678</v>
      </c>
      <c r="E9" s="5" t="s">
        <v>4952</v>
      </c>
      <c r="F9" s="5" t="s">
        <v>4957</v>
      </c>
      <c r="G9" s="4" t="s">
        <v>4965</v>
      </c>
    </row>
    <row r="10" spans="1:7" x14ac:dyDescent="0.3">
      <c r="A10" s="2" t="s">
        <v>4931</v>
      </c>
      <c r="B10" s="2" t="s">
        <v>4939</v>
      </c>
      <c r="C10" s="3" t="s">
        <v>1077</v>
      </c>
      <c r="D10" s="2" t="str">
        <f>CONCATENATE(HYPERLINK("CALLTO:%2B356%202180%208802", "+356 2180 8802"))</f>
        <v>+356 2180 8802</v>
      </c>
      <c r="E10" s="3" t="s">
        <v>4954</v>
      </c>
      <c r="F10" s="3" t="s">
        <v>3727</v>
      </c>
      <c r="G10" s="2"/>
    </row>
    <row r="11" spans="1:7" x14ac:dyDescent="0.3">
      <c r="A11" s="4" t="s">
        <v>4931</v>
      </c>
      <c r="B11" s="4" t="s">
        <v>998</v>
      </c>
      <c r="C11" s="5" t="s">
        <v>1019</v>
      </c>
      <c r="D11" s="4" t="str">
        <f>CONCATENATE(HYPERLINK("CALLTO:%2B356%209949%202278", "+356 9949 2278"))</f>
        <v>+356 9949 2278</v>
      </c>
      <c r="E11" s="5" t="s">
        <v>1041</v>
      </c>
      <c r="F11" s="5" t="s">
        <v>1058</v>
      </c>
      <c r="G11" s="4"/>
    </row>
    <row r="12" spans="1:7" x14ac:dyDescent="0.3">
      <c r="A12" s="2" t="s">
        <v>4931</v>
      </c>
      <c r="B12" s="2" t="s">
        <v>3930</v>
      </c>
      <c r="C12" s="3" t="s">
        <v>3966</v>
      </c>
      <c r="D12" s="2" t="str">
        <f>CONCATENATE(HYPERLINK("CALLTO:%2B356%209971%202105", "+356 9971 2105"))</f>
        <v>+356 9971 2105</v>
      </c>
      <c r="E12" s="2"/>
      <c r="F12" s="2"/>
      <c r="G12" s="2"/>
    </row>
    <row r="13" spans="1:7" x14ac:dyDescent="0.3">
      <c r="A13" s="4" t="s">
        <v>4931</v>
      </c>
      <c r="B13" s="4" t="s">
        <v>4938</v>
      </c>
      <c r="C13" s="5" t="s">
        <v>4429</v>
      </c>
      <c r="D13" s="4" t="str">
        <f>CONCATENATE(HYPERLINK("CALLTO:%2B356%202737%200730", "+356 2737 0730"))</f>
        <v>+356 2737 0730</v>
      </c>
      <c r="E13" s="4"/>
      <c r="F13" s="4"/>
      <c r="G13" s="4"/>
    </row>
    <row r="14" spans="1:7" x14ac:dyDescent="0.3">
      <c r="A14" s="2" t="s">
        <v>4931</v>
      </c>
      <c r="B14" s="2" t="s">
        <v>4940</v>
      </c>
      <c r="C14" s="3" t="s">
        <v>4944</v>
      </c>
      <c r="D14" s="2" t="str">
        <f>CONCATENATE(HYPERLINK("CALLTO:%2B356%202133%204145", "+356 2133 4145"))</f>
        <v>+356 2133 4145</v>
      </c>
      <c r="E14" s="2"/>
      <c r="F14" s="2"/>
      <c r="G14" s="2"/>
    </row>
    <row r="15" spans="1:7" x14ac:dyDescent="0.3">
      <c r="A15" s="4" t="s">
        <v>4931</v>
      </c>
      <c r="B15" s="4" t="s">
        <v>2155</v>
      </c>
      <c r="C15" s="5" t="s">
        <v>2161</v>
      </c>
      <c r="D15" s="4"/>
      <c r="E15" s="4"/>
      <c r="F15" s="4"/>
      <c r="G15" s="4"/>
    </row>
    <row r="16" spans="1:7" x14ac:dyDescent="0.3">
      <c r="A16" s="2" t="s">
        <v>4931</v>
      </c>
      <c r="B16" s="2" t="s">
        <v>3306</v>
      </c>
      <c r="C16" s="3" t="s">
        <v>4945</v>
      </c>
      <c r="D16" s="2"/>
      <c r="E16" s="2"/>
      <c r="F16" s="2"/>
      <c r="G16" s="2"/>
    </row>
    <row r="17" spans="1:7" x14ac:dyDescent="0.3">
      <c r="A17" s="4" t="s">
        <v>4931</v>
      </c>
      <c r="B17" s="4" t="s">
        <v>4941</v>
      </c>
      <c r="C17" s="5" t="s">
        <v>4946</v>
      </c>
      <c r="D17" s="4"/>
      <c r="E17" s="4"/>
      <c r="F17" s="4"/>
      <c r="G17" s="4"/>
    </row>
  </sheetData>
  <hyperlinks>
    <hyperlink ref="C2" r:id="rId1" tooltip="Send a mail to info@andrewvassallo.com" xr:uid="{00000000-0004-0000-5000-000000000000}"/>
    <hyperlink ref="C3" r:id="rId2" tooltip="Send a mail to tcj@mbm.com.mt" xr:uid="{00000000-0004-0000-5000-000001000000}"/>
    <hyperlink ref="C4" r:id="rId3" tooltip="Send a mail to sales@carinibathrooms.com" xr:uid="{00000000-0004-0000-5000-000002000000}"/>
    <hyperlink ref="C5" r:id="rId4" tooltip="Send a mail to info@hmkint.com" xr:uid="{00000000-0004-0000-5000-000003000000}"/>
    <hyperlink ref="C6" r:id="rId5" tooltip="Send a mail to info@fino.com.mt" xr:uid="{00000000-0004-0000-5000-000004000000}"/>
    <hyperlink ref="C7" r:id="rId6" tooltip="Send a mail to info@vivendo.mt" xr:uid="{00000000-0004-0000-5000-000005000000}"/>
    <hyperlink ref="C8" r:id="rId7" tooltip="Send a mail to info@dv.mt" xr:uid="{00000000-0004-0000-5000-000006000000}"/>
    <hyperlink ref="C9" r:id="rId8" tooltip="Send a mail to info@grfmalta.com" xr:uid="{00000000-0004-0000-5000-000007000000}"/>
    <hyperlink ref="C10" r:id="rId9" tooltip="Send a mail to info@trendsltdmalta.com" xr:uid="{00000000-0004-0000-5000-000008000000}"/>
    <hyperlink ref="C11" r:id="rId10" tooltip="Send a mail to xil@xuerebinstall.com" xr:uid="{00000000-0004-0000-5000-000009000000}"/>
    <hyperlink ref="C12" r:id="rId11" tooltip="Send a mail to allroundservices9@gmail.com" xr:uid="{00000000-0004-0000-5000-00000A000000}"/>
    <hyperlink ref="C13" r:id="rId12" tooltip="Send a mail to marco@marcovella.com" xr:uid="{00000000-0004-0000-5000-00000B000000}"/>
    <hyperlink ref="C14" r:id="rId13" tooltip="Send a mail to info@fourseasonspools.com.mt" xr:uid="{00000000-0004-0000-5000-00000C000000}"/>
    <hyperlink ref="C15" r:id="rId14" tooltip="Send a mail to info@linkprojects.com.mt" xr:uid="{00000000-0004-0000-5000-00000D000000}"/>
    <hyperlink ref="C16" r:id="rId15" tooltip="Send a mail to info@ptk.mt" xr:uid="{00000000-0004-0000-5000-00000E000000}"/>
    <hyperlink ref="C17" r:id="rId16" tooltip="Send a mail to info@medprojects.com.mt" xr:uid="{00000000-0004-0000-5000-00000F000000}"/>
    <hyperlink ref="E2" r:id="rId17" tooltip="Search Tarxien Road, Gudja, GDJ 1905, Malta on Google Maps" xr:uid="{00000000-0004-0000-5000-000010000000}"/>
    <hyperlink ref="E3" r:id="rId18" tooltip="Search M4 Shopping Complex, Triq il-Linja, Attard, ATD1234, Malta on Google Maps" xr:uid="{00000000-0004-0000-5000-000011000000}"/>
    <hyperlink ref="E4" r:id="rId19" tooltip="Search 435,St. Joseph High Road , St Venera , Malta on Google Maps" xr:uid="{00000000-0004-0000-5000-000012000000}"/>
    <hyperlink ref="E5" r:id="rId20" tooltip="Search The Factory, Mosta Road, Lija, LJA9016, Malta on Google Maps" xr:uid="{00000000-0004-0000-5000-000013000000}"/>
    <hyperlink ref="E6" r:id="rId21" tooltip="Search Fino Buildings, Triq l-Imdina, Zone 4, Central Business District, Birkirkara, Malta on Google Maps" xr:uid="{00000000-0004-0000-5000-000014000000}"/>
    <hyperlink ref="E7" r:id="rId22" tooltip="Search Mdina, road Qormi,Malta on Google Maps" xr:uid="{00000000-0004-0000-5000-000015000000}"/>
    <hyperlink ref="E8" r:id="rId23" tooltip="Search Fairline Centre, Santa Marta Str, Victoria Gozo, VCT 2552, Malta on Google Maps" xr:uid="{00000000-0004-0000-5000-000016000000}"/>
    <hyperlink ref="E9" r:id="rId24" tooltip="Search 117 Triq L-Assemblea Nazzjonali, San Ġwann SGN 3034 on Google Maps" xr:uid="{00000000-0004-0000-5000-000017000000}"/>
    <hyperlink ref="E10" r:id="rId25" tooltip="Search Triq il-Karmnu, Luqa, Malta on Google Maps" xr:uid="{00000000-0004-0000-5000-000018000000}"/>
    <hyperlink ref="E11" r:id="rId26" tooltip="Search Xuereb Installations Ltd. Tal-Hlas Road, Qormi QRM 5011. Malta on Google Maps" xr:uid="{00000000-0004-0000-5000-000019000000}"/>
    <hyperlink ref="F2" r:id="rId27" tooltip="Visit andrewvassallo.com" xr:uid="{00000000-0004-0000-5000-00001A000000}"/>
    <hyperlink ref="F3" r:id="rId28" tooltip="Visit mbm.com.mt" xr:uid="{00000000-0004-0000-5000-00001B000000}"/>
    <hyperlink ref="F4" r:id="rId29" tooltip="Visit carinibathrooms.com" xr:uid="{00000000-0004-0000-5000-00001C000000}"/>
    <hyperlink ref="F5" r:id="rId30" tooltip="Visit hmkint.com" xr:uid="{00000000-0004-0000-5000-00001D000000}"/>
    <hyperlink ref="F6" r:id="rId31" tooltip="Visit fino.com.mt" xr:uid="{00000000-0004-0000-5000-00001E000000}"/>
    <hyperlink ref="F7" r:id="rId32" tooltip="Visit vivendo.com" xr:uid="{00000000-0004-0000-5000-00001F000000}"/>
    <hyperlink ref="F8" r:id="rId33" tooltip="Visit dv.mt" xr:uid="{00000000-0004-0000-5000-000020000000}"/>
    <hyperlink ref="F9" r:id="rId34" tooltip="Visit grfmalta.com" xr:uid="{00000000-0004-0000-5000-000021000000}"/>
    <hyperlink ref="F10" r:id="rId35" tooltip="Visit trendsltdmalta.com" xr:uid="{00000000-0004-0000-5000-000022000000}"/>
    <hyperlink ref="F11" r:id="rId36" tooltip="Visit xuerebinstall.com/" xr:uid="{00000000-0004-0000-5000-000023000000}"/>
  </hyperlinks>
  <pageMargins left="0.75" right="0.75" top="0.75" bottom="0.5" header="0.5" footer="0.7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8"/>
  <sheetViews>
    <sheetView workbookViewId="0"/>
  </sheetViews>
  <sheetFormatPr defaultRowHeight="14.4" x14ac:dyDescent="0.3"/>
  <cols>
    <col min="1" max="1" width="6.33203125" customWidth="1"/>
    <col min="2" max="2" width="24.6640625" customWidth="1"/>
    <col min="3" max="3" width="28.6640625" customWidth="1"/>
    <col min="4" max="4" width="18.6640625" customWidth="1"/>
    <col min="5" max="5" width="101.6640625" customWidth="1"/>
    <col min="6" max="6" width="33.88671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4966</v>
      </c>
      <c r="B2" s="2" t="s">
        <v>4968</v>
      </c>
      <c r="C2" s="3" t="s">
        <v>4972</v>
      </c>
      <c r="D2" s="2" t="str">
        <f>CONCATENATE(HYPERLINK("CALLTO:%2B356%209942%204646", "+356 9942 4646"))</f>
        <v>+356 9942 4646</v>
      </c>
      <c r="E2" s="3" t="s">
        <v>4977</v>
      </c>
      <c r="F2" s="3" t="s">
        <v>4980</v>
      </c>
    </row>
    <row r="3" spans="1:6" x14ac:dyDescent="0.3">
      <c r="A3" s="4" t="s">
        <v>4966</v>
      </c>
      <c r="B3" s="4" t="s">
        <v>4969</v>
      </c>
      <c r="C3" s="5" t="s">
        <v>4973</v>
      </c>
      <c r="D3" s="4" t="str">
        <f>CONCATENATE(HYPERLINK("CALLTO:%2B356%209942%204646", "+356 9942 4646"))</f>
        <v>+356 9942 4646</v>
      </c>
      <c r="E3" s="5" t="s">
        <v>4976</v>
      </c>
      <c r="F3" s="5" t="s">
        <v>4982</v>
      </c>
    </row>
    <row r="4" spans="1:6" x14ac:dyDescent="0.3">
      <c r="A4" s="2" t="s">
        <v>4966</v>
      </c>
      <c r="B4" s="2" t="s">
        <v>989</v>
      </c>
      <c r="C4" s="3" t="s">
        <v>4975</v>
      </c>
      <c r="D4" s="2" t="str">
        <f>CONCATENATE(HYPERLINK("CALLTO:%2B356%202141%208411", "+356 2141 8411"))</f>
        <v>+356 2141 8411</v>
      </c>
      <c r="E4" s="3" t="s">
        <v>4979</v>
      </c>
      <c r="F4" s="3" t="s">
        <v>4984</v>
      </c>
    </row>
    <row r="5" spans="1:6" x14ac:dyDescent="0.3">
      <c r="A5" s="4" t="s">
        <v>4966</v>
      </c>
      <c r="B5" s="4" t="s">
        <v>4967</v>
      </c>
      <c r="C5" s="5" t="s">
        <v>791</v>
      </c>
      <c r="D5" s="4" t="str">
        <f>CONCATENATE(HYPERLINK("CALLTO:%2B356%202149%201111", "+356 2149 1111"))</f>
        <v>+356 2149 1111</v>
      </c>
      <c r="E5" s="5" t="s">
        <v>821</v>
      </c>
      <c r="F5" s="5" t="s">
        <v>1153</v>
      </c>
    </row>
    <row r="6" spans="1:6" x14ac:dyDescent="0.3">
      <c r="A6" s="2" t="s">
        <v>4966</v>
      </c>
      <c r="B6" s="2" t="s">
        <v>4970</v>
      </c>
      <c r="C6" s="3" t="s">
        <v>4816</v>
      </c>
      <c r="D6" s="2" t="str">
        <f>CONCATENATE(HYPERLINK("CALLTO:%2B356%202395%206000", "+356 2395 6000"))</f>
        <v>+356 2395 6000</v>
      </c>
      <c r="E6" s="3" t="s">
        <v>4978</v>
      </c>
      <c r="F6" s="3" t="s">
        <v>4985</v>
      </c>
    </row>
    <row r="7" spans="1:6" x14ac:dyDescent="0.3">
      <c r="A7" s="4" t="s">
        <v>4966</v>
      </c>
      <c r="B7" s="4" t="s">
        <v>676</v>
      </c>
      <c r="C7" s="5" t="s">
        <v>712</v>
      </c>
      <c r="D7" s="4" t="str">
        <f>CONCATENATE(HYPERLINK("CALLTO:%2B356%202141%205332", "+356 2141 5332"))</f>
        <v>+356 2141 5332</v>
      </c>
      <c r="E7" s="5" t="s">
        <v>4981</v>
      </c>
      <c r="F7" s="5" t="s">
        <v>4277</v>
      </c>
    </row>
    <row r="8" spans="1:6" x14ac:dyDescent="0.3">
      <c r="A8" s="2" t="s">
        <v>4966</v>
      </c>
      <c r="B8" s="2" t="s">
        <v>4971</v>
      </c>
      <c r="C8" s="3" t="s">
        <v>4974</v>
      </c>
      <c r="D8" s="2"/>
      <c r="E8" s="2"/>
      <c r="F8" s="2"/>
    </row>
  </sheetData>
  <hyperlinks>
    <hyperlink ref="C2" r:id="rId1" tooltip="Send a mail to bestinsulationltd@gmail.com" xr:uid="{00000000-0004-0000-5100-000000000000}"/>
    <hyperlink ref="C3" r:id="rId2" tooltip="Send a mail to pacesons@gmail.com" xr:uid="{00000000-0004-0000-5100-000001000000}"/>
    <hyperlink ref="C4" r:id="rId3" tooltip="Send a mail to info@bitmac.mt" xr:uid="{00000000-0004-0000-5100-000002000000}"/>
    <hyperlink ref="C5" r:id="rId4" tooltip="Send a mail to info@devalier.com.mt" xr:uid="{00000000-0004-0000-5100-000003000000}"/>
    <hyperlink ref="C6" r:id="rId5" tooltip="Send a mail to sales@btmalta.com" xr:uid="{00000000-0004-0000-5100-000004000000}"/>
    <hyperlink ref="C7" r:id="rId6" tooltip="Send a mail to info@attardbros.com" xr:uid="{00000000-0004-0000-5100-000005000000}"/>
    <hyperlink ref="C8" r:id="rId7" tooltip="Send a mail to gsturnkeyprojects@gmail.com" xr:uid="{00000000-0004-0000-5100-000006000000}"/>
    <hyperlink ref="E2" r:id="rId8" tooltip="Search 95, triq Sajd , Haz-Zebbug , ZBG 3047,Malta on Google Maps" xr:uid="{00000000-0004-0000-5100-000007000000}"/>
    <hyperlink ref="E3" r:id="rId9" tooltip="Search Triq il-Mdina ,Attard ,Malta ATD 9039 on Google Maps" xr:uid="{00000000-0004-0000-5100-000008000000}"/>
    <hyperlink ref="E4" r:id="rId10" tooltip="Search Tal-Balal Road , Lklin ,IKL 9013 , Malta on Google Maps" xr:uid="{00000000-0004-0000-5100-000009000000}"/>
    <hyperlink ref="E5" r:id="rId11" tooltip="Search The Old Factory, San Gwakkin Str, Zone 3, Central Business District, Mriehel, B’kara, CBD 3030, Malta on Google Maps" xr:uid="{00000000-0004-0000-5100-00000A000000}"/>
    <hyperlink ref="E6" r:id="rId12" tooltip="Search BT Commercial LTD. The Watercourse, Triq L-Imdina, Zone 2 Central Business District, Birkirkara, Malta, CBD2010 on Google Maps" xr:uid="{00000000-0004-0000-5100-00000B000000}"/>
    <hyperlink ref="E7" r:id="rId13" tooltip="Search Attard Bros Group, Industrial Zone, _x000a_Ta’ Qali, ATD 4000, Malta on Google Maps" xr:uid="{00000000-0004-0000-5100-00000C000000}"/>
    <hyperlink ref="F2" r:id="rId14" tooltip="Visit facebook.com/iglumalta" xr:uid="{00000000-0004-0000-5100-00000D000000}"/>
    <hyperlink ref="F3" r:id="rId15" tooltip="Visit yellow.com.mt" xr:uid="{00000000-0004-0000-5100-00000E000000}"/>
    <hyperlink ref="F4" r:id="rId16" tooltip="Visit bitmacltd.com" xr:uid="{00000000-0004-0000-5100-00000F000000}"/>
    <hyperlink ref="F5" r:id="rId17" tooltip="Visit dv.mt/de-valtech/" xr:uid="{00000000-0004-0000-5100-000010000000}"/>
    <hyperlink ref="F6" r:id="rId18" tooltip="Visit facebook.com/BTCommercialMalta/" xr:uid="{00000000-0004-0000-5100-000011000000}"/>
    <hyperlink ref="F7" r:id="rId19" tooltip="Visit attardbros.com/" xr:uid="{00000000-0004-0000-5100-000012000000}"/>
  </hyperlinks>
  <pageMargins left="0.75" right="0.75" top="0.75" bottom="0.5" header="0.5" footer="0.7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14"/>
  <sheetViews>
    <sheetView workbookViewId="0"/>
  </sheetViews>
  <sheetFormatPr defaultRowHeight="14.4" x14ac:dyDescent="0.3"/>
  <cols>
    <col min="1" max="1" width="8.44140625" customWidth="1"/>
    <col min="2" max="2" width="27.109375" customWidth="1"/>
    <col min="3" max="3" width="31.88671875" customWidth="1"/>
    <col min="4" max="4" width="18.6640625" customWidth="1"/>
    <col min="5" max="5" width="10.88671875" customWidth="1"/>
    <col min="6" max="6" width="42.332031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4983</v>
      </c>
      <c r="B2" s="2" t="s">
        <v>4986</v>
      </c>
      <c r="C2" s="3" t="s">
        <v>4996</v>
      </c>
      <c r="D2" s="2"/>
      <c r="E2" s="2"/>
      <c r="F2" s="3" t="s">
        <v>5003</v>
      </c>
    </row>
    <row r="3" spans="1:6" x14ac:dyDescent="0.3">
      <c r="A3" s="4" t="s">
        <v>4983</v>
      </c>
      <c r="B3" s="4" t="s">
        <v>4987</v>
      </c>
      <c r="C3" s="5" t="s">
        <v>4998</v>
      </c>
      <c r="D3" s="4"/>
      <c r="E3" s="4"/>
      <c r="F3" s="5" t="s">
        <v>5004</v>
      </c>
    </row>
    <row r="4" spans="1:6" x14ac:dyDescent="0.3">
      <c r="A4" s="2" t="s">
        <v>4983</v>
      </c>
      <c r="B4" s="2" t="s">
        <v>676</v>
      </c>
      <c r="C4" s="3" t="s">
        <v>712</v>
      </c>
      <c r="D4" s="2"/>
      <c r="E4" s="2"/>
      <c r="F4" s="3" t="s">
        <v>5005</v>
      </c>
    </row>
    <row r="5" spans="1:6" x14ac:dyDescent="0.3">
      <c r="A5" s="4" t="s">
        <v>4983</v>
      </c>
      <c r="B5" s="4" t="s">
        <v>4988</v>
      </c>
      <c r="C5" s="5" t="s">
        <v>4997</v>
      </c>
      <c r="D5" s="4"/>
      <c r="E5" s="4"/>
      <c r="F5" s="5" t="s">
        <v>5006</v>
      </c>
    </row>
    <row r="6" spans="1:6" x14ac:dyDescent="0.3">
      <c r="A6" s="2" t="s">
        <v>4983</v>
      </c>
      <c r="B6" s="2" t="s">
        <v>3293</v>
      </c>
      <c r="C6" s="3" t="s">
        <v>801</v>
      </c>
      <c r="D6" s="2"/>
      <c r="E6" s="2"/>
      <c r="F6" s="3" t="s">
        <v>5007</v>
      </c>
    </row>
    <row r="7" spans="1:6" x14ac:dyDescent="0.3">
      <c r="A7" s="4" t="s">
        <v>4983</v>
      </c>
      <c r="B7" s="4" t="s">
        <v>4989</v>
      </c>
      <c r="C7" s="5" t="s">
        <v>4210</v>
      </c>
      <c r="D7" s="4"/>
      <c r="E7" s="4"/>
      <c r="F7" s="5" t="s">
        <v>5008</v>
      </c>
    </row>
    <row r="8" spans="1:6" x14ac:dyDescent="0.3">
      <c r="A8" s="2" t="s">
        <v>4983</v>
      </c>
      <c r="B8" s="2" t="s">
        <v>4990</v>
      </c>
      <c r="C8" s="3" t="s">
        <v>4999</v>
      </c>
      <c r="D8" s="2"/>
      <c r="E8" s="2"/>
      <c r="F8" s="3" t="s">
        <v>5009</v>
      </c>
    </row>
    <row r="9" spans="1:6" x14ac:dyDescent="0.3">
      <c r="A9" s="4" t="s">
        <v>4983</v>
      </c>
      <c r="B9" s="4" t="s">
        <v>4991</v>
      </c>
      <c r="C9" s="5" t="s">
        <v>4205</v>
      </c>
      <c r="D9" s="4"/>
      <c r="E9" s="4"/>
      <c r="F9" s="4"/>
    </row>
    <row r="10" spans="1:6" x14ac:dyDescent="0.3">
      <c r="A10" s="2" t="s">
        <v>4983</v>
      </c>
      <c r="B10" s="2" t="s">
        <v>4992</v>
      </c>
      <c r="C10" s="3" t="s">
        <v>4208</v>
      </c>
      <c r="D10" s="2"/>
      <c r="E10" s="2"/>
      <c r="F10" s="2"/>
    </row>
    <row r="11" spans="1:6" x14ac:dyDescent="0.3">
      <c r="A11" s="4" t="s">
        <v>4983</v>
      </c>
      <c r="B11" s="4" t="s">
        <v>4160</v>
      </c>
      <c r="C11" s="5" t="s">
        <v>4212</v>
      </c>
      <c r="D11" s="4"/>
      <c r="E11" s="4"/>
      <c r="F11" s="4"/>
    </row>
    <row r="12" spans="1:6" x14ac:dyDescent="0.3">
      <c r="A12" s="2" t="s">
        <v>4983</v>
      </c>
      <c r="B12" s="2" t="s">
        <v>4993</v>
      </c>
      <c r="C12" s="3" t="s">
        <v>5000</v>
      </c>
      <c r="D12" s="2"/>
      <c r="E12" s="2"/>
      <c r="F12" s="2"/>
    </row>
    <row r="13" spans="1:6" x14ac:dyDescent="0.3">
      <c r="A13" s="4" t="s">
        <v>4983</v>
      </c>
      <c r="B13" s="4" t="s">
        <v>4994</v>
      </c>
      <c r="C13" s="5" t="s">
        <v>3319</v>
      </c>
      <c r="D13" s="4"/>
      <c r="E13" s="4"/>
      <c r="F13" s="4"/>
    </row>
    <row r="14" spans="1:6" x14ac:dyDescent="0.3">
      <c r="A14" s="2" t="s">
        <v>4983</v>
      </c>
      <c r="B14" s="2" t="s">
        <v>4995</v>
      </c>
      <c r="C14" s="3" t="s">
        <v>5001</v>
      </c>
      <c r="D14" s="2"/>
      <c r="E14" s="2"/>
      <c r="F14" s="2"/>
    </row>
  </sheetData>
  <hyperlinks>
    <hyperlink ref="C2" r:id="rId1" tooltip="Send a mail to info@blokrete.com.mt" xr:uid="{00000000-0004-0000-5200-000000000000}"/>
    <hyperlink ref="C3" r:id="rId2" tooltip="Send a mail to ballut@ballutblocks.com" xr:uid="{00000000-0004-0000-5200-000001000000}"/>
    <hyperlink ref="C4" r:id="rId3" tooltip="Send a mail to info@attardbros.com" xr:uid="{00000000-0004-0000-5200-000002000000}"/>
    <hyperlink ref="C5" r:id="rId4" tooltip="Send a mail to info@generalprecastconcrete.com" xr:uid="{00000000-0004-0000-5200-000003000000}"/>
    <hyperlink ref="C6" r:id="rId5" tooltip="Send a mail to sales@jmvibro.com" xr:uid="{00000000-0004-0000-5200-000004000000}"/>
    <hyperlink ref="C7" r:id="rId6" tooltip="Send a mail to info@polidano-group.com" xr:uid="{00000000-0004-0000-5200-000005000000}"/>
    <hyperlink ref="C8" r:id="rId7" tooltip="Send a mail to info@jpbaldacchino.com" xr:uid="{00000000-0004-0000-5200-000006000000}"/>
    <hyperlink ref="C9" r:id="rId8" tooltip="Send a mail to info@bbconstruction.mt" xr:uid="{00000000-0004-0000-5200-000007000000}"/>
    <hyperlink ref="C10" r:id="rId9" tooltip="Send a mail to info@elbros.com.mt" xr:uid="{00000000-0004-0000-5200-000008000000}"/>
    <hyperlink ref="C11" r:id="rId10" tooltip="Send a mail to info@ogcw.mt" xr:uid="{00000000-0004-0000-5200-000009000000}"/>
    <hyperlink ref="C12" r:id="rId11" tooltip="Send a mail to info@michaelcaruanaltd.com" xr:uid="{00000000-0004-0000-5200-00000A000000}"/>
    <hyperlink ref="C13" r:id="rId12" tooltip="Send a mail to info@rasonsltd.com" xr:uid="{00000000-0004-0000-5200-00000B000000}"/>
    <hyperlink ref="C14" r:id="rId13" tooltip="Send a mail to kpt.kpttradingmalta@gmail.com" xr:uid="{00000000-0004-0000-5200-00000C000000}"/>
    <hyperlink ref="F2" r:id="rId14" tooltip="Visit blokrete.com.mt/contact/" xr:uid="{00000000-0004-0000-5200-00000D000000}"/>
    <hyperlink ref="F3" r:id="rId15" tooltip="Visit ballutblocks.com/contact-us/" xr:uid="{00000000-0004-0000-5200-00000E000000}"/>
    <hyperlink ref="F4" r:id="rId16" tooltip="Visit facebook.com/attardbros" xr:uid="{00000000-0004-0000-5200-00000F000000}"/>
    <hyperlink ref="F5" r:id="rId17" tooltip="Visit generalprecastconcrete.com/downloads/" xr:uid="{00000000-0004-0000-5200-000010000000}"/>
    <hyperlink ref="F6" r:id="rId18" tooltip="Visit jmvibro.com/structural-steel" xr:uid="{00000000-0004-0000-5200-000011000000}"/>
    <hyperlink ref="F7" r:id="rId19" tooltip="Visit polidano-group.com/content_id_260158.html" xr:uid="{00000000-0004-0000-5200-000012000000}"/>
    <hyperlink ref="F8" r:id="rId20" tooltip="Visit jpbaldacchino.com/" xr:uid="{00000000-0004-0000-5200-000013000000}"/>
  </hyperlinks>
  <pageMargins left="0.75" right="0.75" top="0.75" bottom="0.5" header="0.5" footer="0.7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7"/>
  <sheetViews>
    <sheetView workbookViewId="0"/>
  </sheetViews>
  <sheetFormatPr defaultRowHeight="14.4" x14ac:dyDescent="0.3"/>
  <cols>
    <col min="1" max="1" width="8" customWidth="1"/>
    <col min="2" max="2" width="25.6640625" customWidth="1"/>
    <col min="3" max="3" width="27.88671875" customWidth="1"/>
    <col min="4" max="4" width="18.6640625" customWidth="1"/>
    <col min="5" max="5" width="90" customWidth="1"/>
    <col min="6" max="6" width="22.44140625" customWidth="1"/>
  </cols>
  <sheetData>
    <row r="1" spans="1:6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526</v>
      </c>
      <c r="F1" s="1" t="s">
        <v>532</v>
      </c>
    </row>
    <row r="2" spans="1:6" x14ac:dyDescent="0.3">
      <c r="A2" s="2" t="s">
        <v>5002</v>
      </c>
      <c r="B2" s="2" t="s">
        <v>5010</v>
      </c>
      <c r="C2" s="3" t="s">
        <v>576</v>
      </c>
      <c r="D2" s="2" t="str">
        <f>CONCATENATE(HYPERLINK("CALLTO:%2B356%202343%206000", "+356 2343 6000"))</f>
        <v>+356 2343 6000</v>
      </c>
      <c r="E2" s="3" t="s">
        <v>5018</v>
      </c>
      <c r="F2" s="3" t="s">
        <v>952</v>
      </c>
    </row>
    <row r="3" spans="1:6" x14ac:dyDescent="0.3">
      <c r="A3" s="4" t="s">
        <v>5002</v>
      </c>
      <c r="B3" s="4" t="s">
        <v>5011</v>
      </c>
      <c r="C3" s="5" t="s">
        <v>5016</v>
      </c>
      <c r="D3" s="4" t="str">
        <f>CONCATENATE(HYPERLINK("CALLTO:%2B356%202124%204647", "+356 2124 4647"))</f>
        <v>+356 2124 4647</v>
      </c>
      <c r="E3" s="5" t="s">
        <v>5019</v>
      </c>
      <c r="F3" s="5" t="s">
        <v>5024</v>
      </c>
    </row>
    <row r="4" spans="1:6" x14ac:dyDescent="0.3">
      <c r="A4" s="2" t="s">
        <v>5002</v>
      </c>
      <c r="B4" s="2" t="s">
        <v>5013</v>
      </c>
      <c r="C4" s="3" t="s">
        <v>1126</v>
      </c>
      <c r="D4" s="2" t="str">
        <f>CONCATENATE(HYPERLINK("CALLTO:%2B356%202148%201111", "+356 2148 1111"))</f>
        <v>+356 2148 1111</v>
      </c>
      <c r="E4" s="3" t="s">
        <v>5020</v>
      </c>
      <c r="F4" s="3" t="s">
        <v>5025</v>
      </c>
    </row>
    <row r="5" spans="1:6" x14ac:dyDescent="0.3">
      <c r="A5" s="4" t="s">
        <v>5002</v>
      </c>
      <c r="B5" s="4" t="s">
        <v>5012</v>
      </c>
      <c r="C5" s="4" t="s">
        <v>5017</v>
      </c>
      <c r="D5" s="4" t="str">
        <f>CONCATENATE(HYPERLINK("CALLTO:%2B356%202133%209999", "+356 2133 9999"))</f>
        <v>+356 2133 9999</v>
      </c>
      <c r="E5" s="5" t="s">
        <v>5021</v>
      </c>
      <c r="F5" s="5" t="s">
        <v>5026</v>
      </c>
    </row>
    <row r="6" spans="1:6" x14ac:dyDescent="0.3">
      <c r="A6" s="2" t="s">
        <v>5002</v>
      </c>
      <c r="B6" s="2" t="s">
        <v>5014</v>
      </c>
      <c r="C6" s="3" t="s">
        <v>5015</v>
      </c>
      <c r="D6" s="2" t="str">
        <f>CONCATENATE(HYPERLINK("CALLTO:%2B356%202149%201234", "+356 2149 1234"))</f>
        <v>+356 2149 1234</v>
      </c>
      <c r="E6" s="3" t="s">
        <v>5022</v>
      </c>
      <c r="F6" s="3" t="s">
        <v>5027</v>
      </c>
    </row>
    <row r="7" spans="1:6" x14ac:dyDescent="0.3">
      <c r="F7" t="s">
        <v>146</v>
      </c>
    </row>
  </sheetData>
  <hyperlinks>
    <hyperlink ref="C2" r:id="rId1" tooltip="Send a mail to info@forestals.com" xr:uid="{00000000-0004-0000-5300-000000000000}"/>
    <hyperlink ref="C3" r:id="rId2" tooltip="Send a mail to info@imagesystems.com.mt" xr:uid="{00000000-0004-0000-5300-000001000000}"/>
    <hyperlink ref="C4" r:id="rId3" tooltip="Send a mail to info@ramilenemalta.com" xr:uid="{00000000-0004-0000-5300-000002000000}"/>
    <hyperlink ref="C6" r:id="rId4" tooltip="Send a mail to info@bitsandbytesmalta.com" xr:uid="{00000000-0004-0000-5300-000003000000}"/>
    <hyperlink ref="E2" r:id="rId5" tooltip="Search Lead Business Centre, Triq L-Intrapriza, Zone 4, Central Business District, Birkirkara CBD 4080, Malta on Google Maps" xr:uid="{00000000-0004-0000-5300-000004000000}"/>
    <hyperlink ref="E3" r:id="rId6" tooltip="Search 19, Vincenti Buildings, 11 Strait Street, Valletta VLT 1432, Malta on Google Maps" xr:uid="{00000000-0004-0000-5300-000005000000}"/>
    <hyperlink ref="E4" r:id="rId7" tooltip="Search 50/51, Ramilene Building, Triq It-Torri, Swatar, BKR 4011, Malta on Google Maps" xr:uid="{00000000-0004-0000-5300-000006000000}"/>
    <hyperlink ref="E5" r:id="rId8" tooltip="Search Triq Il-Wied Ta' L-Imsida, L-Imsida, Malta on Google Maps" xr:uid="{00000000-0004-0000-5300-000007000000}"/>
    <hyperlink ref="E6" r:id="rId9" tooltip="Search St. Aloysius Square, Birkirkara BKR 1474, Malta on Google Maps" xr:uid="{00000000-0004-0000-5300-000008000000}"/>
    <hyperlink ref="F2" r:id="rId10" tooltip="Visit forestals.com" xr:uid="{00000000-0004-0000-5300-000009000000}"/>
    <hyperlink ref="F3" r:id="rId11" tooltip="Visit imagesystems.com.mt" xr:uid="{00000000-0004-0000-5300-00000A000000}"/>
    <hyperlink ref="F4" r:id="rId12" tooltip="Visit ramilenemalta.com" xr:uid="{00000000-0004-0000-5300-00000B000000}"/>
    <hyperlink ref="F5" r:id="rId13" tooltip="Visit strandelectronics.com" xr:uid="{00000000-0004-0000-5300-00000C000000}"/>
    <hyperlink ref="F6" r:id="rId14" tooltip="Visit bitsandbytesmalta.com" xr:uid="{00000000-0004-0000-5300-00000D000000}"/>
  </hyperlinks>
  <pageMargins left="0.75" right="0.75" top="0.75" bottom="0.5" header="0.5" footer="0.7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15"/>
  <sheetViews>
    <sheetView workbookViewId="0"/>
  </sheetViews>
  <sheetFormatPr defaultRowHeight="14.4" x14ac:dyDescent="0.3"/>
  <cols>
    <col min="1" max="1" width="13" customWidth="1"/>
    <col min="2" max="2" width="21.44140625" customWidth="1"/>
    <col min="3" max="3" width="27.6640625" customWidth="1"/>
    <col min="4" max="4" width="18.6640625" customWidth="1"/>
    <col min="5" max="5" width="29.88671875" customWidth="1"/>
    <col min="6" max="6" width="33.44140625" customWidth="1"/>
    <col min="7" max="7" width="35.6640625" customWidth="1"/>
  </cols>
  <sheetData>
    <row r="1" spans="1:7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526</v>
      </c>
      <c r="F1" s="1" t="s">
        <v>532</v>
      </c>
      <c r="G1" s="1" t="s">
        <v>5058</v>
      </c>
    </row>
    <row r="2" spans="1:7" x14ac:dyDescent="0.3">
      <c r="A2" s="2" t="s">
        <v>5023</v>
      </c>
      <c r="B2" s="2" t="s">
        <v>5028</v>
      </c>
      <c r="C2" s="3" t="s">
        <v>5040</v>
      </c>
      <c r="D2" s="2" t="str">
        <f>CONCATENATE(HYPERLINK("CALLTO:%2B356%207749%204554", "+356 7749 4554"))</f>
        <v>+356 7749 4554</v>
      </c>
      <c r="E2" s="3" t="s">
        <v>4462</v>
      </c>
      <c r="F2" s="3" t="s">
        <v>5059</v>
      </c>
      <c r="G2" s="2"/>
    </row>
    <row r="3" spans="1:7" x14ac:dyDescent="0.3">
      <c r="A3" s="4" t="s">
        <v>5023</v>
      </c>
      <c r="B3" s="4" t="s">
        <v>5029</v>
      </c>
      <c r="C3" s="5" t="s">
        <v>5041</v>
      </c>
      <c r="D3" s="4" t="str">
        <f>CONCATENATE(HYPERLINK("CALLTO:%2B356%209909%200929", "+356 9909 0929"))</f>
        <v>+356 9909 0929</v>
      </c>
      <c r="E3" s="5" t="s">
        <v>4462</v>
      </c>
      <c r="F3" s="5" t="s">
        <v>5060</v>
      </c>
      <c r="G3" s="4"/>
    </row>
    <row r="4" spans="1:7" x14ac:dyDescent="0.3">
      <c r="A4" s="2" t="s">
        <v>5023</v>
      </c>
      <c r="B4" s="2" t="s">
        <v>5030</v>
      </c>
      <c r="C4" s="3" t="s">
        <v>5042</v>
      </c>
      <c r="D4" s="2" t="str">
        <f>CONCATENATE(HYPERLINK("CALLTO:%2B356%209903%208899", "+356 9903 8899"))</f>
        <v>+356 9903 8899</v>
      </c>
      <c r="E4" s="3" t="s">
        <v>5052</v>
      </c>
      <c r="F4" s="3" t="s">
        <v>5061</v>
      </c>
      <c r="G4" s="2"/>
    </row>
    <row r="5" spans="1:7" x14ac:dyDescent="0.3">
      <c r="A5" s="4" t="s">
        <v>5023</v>
      </c>
      <c r="B5" s="4" t="s">
        <v>5031</v>
      </c>
      <c r="C5" s="5" t="s">
        <v>5043</v>
      </c>
      <c r="D5" s="4" t="str">
        <f>CONCATENATE(HYPERLINK("CALLTO:%2B356%209942%208400", "+356 9942 8400"))</f>
        <v>+356 9942 8400</v>
      </c>
      <c r="E5" s="5" t="s">
        <v>5053</v>
      </c>
      <c r="F5" s="5" t="s">
        <v>5062</v>
      </c>
      <c r="G5" s="4"/>
    </row>
    <row r="6" spans="1:7" x14ac:dyDescent="0.3">
      <c r="A6" s="2" t="s">
        <v>5023</v>
      </c>
      <c r="B6" s="2" t="s">
        <v>5032</v>
      </c>
      <c r="C6" s="3" t="s">
        <v>5044</v>
      </c>
      <c r="D6" s="2" t="str">
        <f>CONCATENATE(HYPERLINK("CALLTO:%2B356%207986%200890", "+356 7986 0890"))</f>
        <v>+356 7986 0890</v>
      </c>
      <c r="E6" s="3" t="s">
        <v>3210</v>
      </c>
      <c r="F6" s="3" t="s">
        <v>5063</v>
      </c>
      <c r="G6" s="2"/>
    </row>
    <row r="7" spans="1:7" x14ac:dyDescent="0.3">
      <c r="A7" s="4" t="s">
        <v>5023</v>
      </c>
      <c r="B7" s="4" t="s">
        <v>5033</v>
      </c>
      <c r="C7" s="5" t="s">
        <v>5045</v>
      </c>
      <c r="D7" s="4" t="str">
        <f>CONCATENATE(HYPERLINK("CALLTO:%2B356%209997%201719", "+356 9997 1719"))</f>
        <v>+356 9997 1719</v>
      </c>
      <c r="E7" s="5" t="s">
        <v>5054</v>
      </c>
      <c r="F7" s="5" t="s">
        <v>5064</v>
      </c>
      <c r="G7" s="4"/>
    </row>
    <row r="8" spans="1:7" x14ac:dyDescent="0.3">
      <c r="A8" s="2" t="s">
        <v>5023</v>
      </c>
      <c r="B8" s="2" t="s">
        <v>5034</v>
      </c>
      <c r="C8" s="3" t="s">
        <v>5046</v>
      </c>
      <c r="D8" s="2" t="str">
        <f>CONCATENATE(HYPERLINK("CALLTO:%2B356%207950%203424", "+356 7950 3424"))</f>
        <v>+356 7950 3424</v>
      </c>
      <c r="E8" s="3" t="s">
        <v>5055</v>
      </c>
      <c r="F8" s="3" t="s">
        <v>5065</v>
      </c>
      <c r="G8" s="2"/>
    </row>
    <row r="9" spans="1:7" x14ac:dyDescent="0.3">
      <c r="A9" s="4" t="s">
        <v>5023</v>
      </c>
      <c r="B9" s="4" t="s">
        <v>766</v>
      </c>
      <c r="C9" s="5" t="s">
        <v>796</v>
      </c>
      <c r="D9" s="4" t="str">
        <f>CONCATENATE(HYPERLINK("CALLTO:%2B356%207777%201522", "+356 7777 1522"))</f>
        <v>+356 7777 1522</v>
      </c>
      <c r="E9" s="5" t="s">
        <v>5057</v>
      </c>
      <c r="F9" s="5" t="s">
        <v>3214</v>
      </c>
      <c r="G9" s="4"/>
    </row>
    <row r="10" spans="1:7" x14ac:dyDescent="0.3">
      <c r="A10" s="2" t="s">
        <v>5023</v>
      </c>
      <c r="B10" s="2" t="s">
        <v>5035</v>
      </c>
      <c r="C10" s="3" t="s">
        <v>5047</v>
      </c>
      <c r="D10" s="2" t="str">
        <f>CONCATENATE(HYPERLINK("CALLTO:%2B356%209947%200307", "+356 9947 0307"))</f>
        <v>+356 9947 0307</v>
      </c>
      <c r="E10" s="3" t="s">
        <v>5056</v>
      </c>
      <c r="F10" s="3" t="s">
        <v>5066</v>
      </c>
      <c r="G10" s="2"/>
    </row>
    <row r="11" spans="1:7" x14ac:dyDescent="0.3">
      <c r="A11" s="4" t="s">
        <v>5023</v>
      </c>
      <c r="B11" s="4" t="s">
        <v>5036</v>
      </c>
      <c r="C11" s="5" t="s">
        <v>5048</v>
      </c>
      <c r="D11" s="4" t="str">
        <f>CONCATENATE(HYPERLINK("CALLTO:%2B356%207921%201328", "+356 7921 1328"))</f>
        <v>+356 7921 1328</v>
      </c>
      <c r="E11" s="5" t="s">
        <v>1038</v>
      </c>
      <c r="F11" s="5" t="s">
        <v>5067</v>
      </c>
      <c r="G11" s="4"/>
    </row>
    <row r="12" spans="1:7" x14ac:dyDescent="0.3">
      <c r="A12" s="2" t="s">
        <v>5023</v>
      </c>
      <c r="B12" s="2" t="s">
        <v>5037</v>
      </c>
      <c r="C12" s="3" t="s">
        <v>5049</v>
      </c>
      <c r="D12" s="2" t="str">
        <f>CONCATENATE(HYPERLINK("CALLTO:%2B356%202704%201800", "+356 2704 1800"))</f>
        <v>+356 2704 1800</v>
      </c>
      <c r="E12" s="2"/>
      <c r="F12" s="3" t="s">
        <v>5068</v>
      </c>
      <c r="G12" s="2"/>
    </row>
    <row r="13" spans="1:7" x14ac:dyDescent="0.3">
      <c r="A13" s="4" t="s">
        <v>5023</v>
      </c>
      <c r="B13" s="4" t="s">
        <v>5038</v>
      </c>
      <c r="C13" s="5" t="s">
        <v>5050</v>
      </c>
      <c r="D13" s="4" t="str">
        <f>CONCATENATE(HYPERLINK("CALLTO:%2B356%209931%201545", "+356 9931 1545"))</f>
        <v>+356 9931 1545</v>
      </c>
      <c r="E13" s="4"/>
      <c r="F13" s="5" t="s">
        <v>5069</v>
      </c>
      <c r="G13" s="4"/>
    </row>
    <row r="14" spans="1:7" x14ac:dyDescent="0.3">
      <c r="A14" s="2" t="s">
        <v>5023</v>
      </c>
      <c r="B14" s="2" t="s">
        <v>5039</v>
      </c>
      <c r="C14" s="3" t="s">
        <v>5051</v>
      </c>
      <c r="D14" s="2" t="str">
        <f>CONCATENATE(HYPERLINK("CALLTO:%2B356%209935%200849", "+356 9935 0849"))</f>
        <v>+356 9935 0849</v>
      </c>
      <c r="E14" s="2"/>
      <c r="F14" s="3" t="s">
        <v>5070</v>
      </c>
      <c r="G14" s="2"/>
    </row>
    <row r="15" spans="1:7" x14ac:dyDescent="0.3">
      <c r="A15" s="4" t="s">
        <v>5023</v>
      </c>
      <c r="B15" s="4" t="s">
        <v>1547</v>
      </c>
      <c r="C15" s="5" t="s">
        <v>1632</v>
      </c>
      <c r="D15" s="4" t="str">
        <f>CONCATENATE(HYPERLINK("CALLTO:%2B356%207710%205385", "+356 7710 5385"))</f>
        <v>+356 7710 5385</v>
      </c>
      <c r="E15" s="4"/>
      <c r="F15" s="4"/>
      <c r="G15" s="4"/>
    </row>
  </sheetData>
  <hyperlinks>
    <hyperlink ref="C2" r:id="rId1" tooltip="Send a mail to info@dprostudio.com" xr:uid="{00000000-0004-0000-5400-000000000000}"/>
    <hyperlink ref="C3" r:id="rId2" tooltip="Send a mail to info@vizwali.com" xr:uid="{00000000-0004-0000-5400-000001000000}"/>
    <hyperlink ref="C4" r:id="rId3" tooltip="Send a mail to hello@solideye.eu" xr:uid="{00000000-0004-0000-5400-000002000000}"/>
    <hyperlink ref="C5" r:id="rId4" tooltip="Send a mail to info@KT3DStudio.mt" xr:uid="{00000000-0004-0000-5400-000003000000}"/>
    <hyperlink ref="C6" r:id="rId5" tooltip="Send a mail to 3dsocietymalta@gmail.com" xr:uid="{00000000-0004-0000-5400-000004000000}"/>
    <hyperlink ref="C7" r:id="rId6" tooltip="Send a mail to 3dvisualsmalta@gmail.com" xr:uid="{00000000-0004-0000-5400-000005000000}"/>
    <hyperlink ref="C8" r:id="rId7" tooltip="Send a mail to info@entifystudio.com" xr:uid="{00000000-0004-0000-5400-000006000000}"/>
    <hyperlink ref="C9" r:id="rId8" tooltip="Send a mail to contact@kibitec.com" xr:uid="{00000000-0004-0000-5400-000007000000}"/>
    <hyperlink ref="C10" r:id="rId9" tooltip="Send a mail to jpace@vrsmalta.com" xr:uid="{00000000-0004-0000-5400-000008000000}"/>
    <hyperlink ref="C11" r:id="rId10" tooltip="Send a mail to mdvisualsmalta@gmail.com" xr:uid="{00000000-0004-0000-5400-000009000000}"/>
    <hyperlink ref="C12" r:id="rId11" tooltip="Send a mail to info@designprinciple.com.mt" xr:uid="{00000000-0004-0000-5400-00000A000000}"/>
    <hyperlink ref="C13" r:id="rId12" tooltip="Send a mail to info@pialidesign.com" xr:uid="{00000000-0004-0000-5400-00000B000000}"/>
    <hyperlink ref="C14" r:id="rId13" tooltip="Send a mail to toptiermalta@gmail.com" xr:uid="{00000000-0004-0000-5400-00000C000000}"/>
    <hyperlink ref="C15" r:id="rId14" tooltip="Send a mail to sales@malta-design.com" xr:uid="{00000000-0004-0000-5400-00000D000000}"/>
    <hyperlink ref="E2" r:id="rId15" tooltip="Search / on Google Maps" xr:uid="{00000000-0004-0000-5400-00000E000000}"/>
    <hyperlink ref="E3" r:id="rId16" tooltip="Search / on Google Maps" xr:uid="{00000000-0004-0000-5400-00000F000000}"/>
    <hyperlink ref="E4" r:id="rId17" tooltip="Search 39, Għajnsielem Street_x000a_Għajnsielem GSM 1185_x000a_Gozo, Malta on Google Maps" xr:uid="{00000000-0004-0000-5400-000010000000}"/>
    <hyperlink ref="E5" r:id="rId18" tooltip="Search 15 Graham Street, Sliema, Malta on Google Maps" xr:uid="{00000000-0004-0000-5400-000011000000}"/>
    <hyperlink ref="E6" r:id="rId19" tooltip="Search Triq Domenico Cachia 54_x000a_Birkirkara, BKR1017, Malta on Google Maps" xr:uid="{00000000-0004-0000-5400-000012000000}"/>
    <hyperlink ref="E7" r:id="rId20" tooltip="Search 4 Flat 1, Veduta Apartments,_x000a_Luigi Ellul Street,_x000a_Attard, ATD 3023,_x000a_Malta on Google Maps" xr:uid="{00000000-0004-0000-5400-000013000000}"/>
    <hyperlink ref="E8" r:id="rId21" tooltip="Search Qrendi, Malta on Google Maps" xr:uid="{00000000-0004-0000-5400-000014000000}"/>
    <hyperlink ref="E9" r:id="rId22" tooltip="Search Design Principle_x000a_52, St Paul Street_x000a_Valletta VLT 1212_x000a_Malta on Google Maps" xr:uid="{00000000-0004-0000-5400-000015000000}"/>
    <hyperlink ref="E10" r:id="rId23" tooltip="Search Mdina Road,_x000a_Ħaz-Zebbug, Malta on Google Maps" xr:uid="{00000000-0004-0000-5400-000016000000}"/>
    <hyperlink ref="E11" r:id="rId24" tooltip="Search Valletta, Malta on Google Maps" xr:uid="{00000000-0004-0000-5400-000017000000}"/>
    <hyperlink ref="F2" r:id="rId25" tooltip="Visit dprostudio.com/" xr:uid="{00000000-0004-0000-5400-000018000000}"/>
    <hyperlink ref="F3" r:id="rId26" tooltip="Visit vizwali.com/" xr:uid="{00000000-0004-0000-5400-000019000000}"/>
    <hyperlink ref="F4" r:id="rId27" tooltip="Visit solideye.eu/" xr:uid="{00000000-0004-0000-5400-00001A000000}"/>
    <hyperlink ref="F5" r:id="rId28" tooltip="Visit kt3dstudio.com/" xr:uid="{00000000-0004-0000-5400-00001B000000}"/>
    <hyperlink ref="F6" r:id="rId29" tooltip="Visit 3dsocietymalta.com/" xr:uid="{00000000-0004-0000-5400-00001C000000}"/>
    <hyperlink ref="F7" r:id="rId30" tooltip="Visit 3dvisualsmalta.com/" xr:uid="{00000000-0004-0000-5400-00001D000000}"/>
    <hyperlink ref="F8" r:id="rId31" tooltip="Visit entifystudio.com/" xr:uid="{00000000-0004-0000-5400-00001E000000}"/>
    <hyperlink ref="F9" r:id="rId32" tooltip="Visit kibitec.com/" xr:uid="{00000000-0004-0000-5400-00001F000000}"/>
    <hyperlink ref="F10" r:id="rId33" tooltip="Visit vrsmalta.com/" xr:uid="{00000000-0004-0000-5400-000020000000}"/>
    <hyperlink ref="F11" r:id="rId34" tooltip="Visit facebook.com/moredetailedvisuals" xr:uid="{00000000-0004-0000-5400-000021000000}"/>
    <hyperlink ref="F12" r:id="rId35" tooltip="Visit designprinciple.com.mt/" xr:uid="{00000000-0004-0000-5400-000022000000}"/>
    <hyperlink ref="F13" r:id="rId36" tooltip="Visit pialidesign.com/" xr:uid="{00000000-0004-0000-5400-000023000000}"/>
    <hyperlink ref="F14" r:id="rId37" tooltip="Visit facebook.com/TopTierMediaMalta/" xr:uid="{00000000-0004-0000-5400-000024000000}"/>
  </hyperlinks>
  <pageMargins left="0.75" right="0.75" top="0.75" bottom="0.5" header="0.5" footer="0.7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4"/>
  <sheetViews>
    <sheetView workbookViewId="0"/>
  </sheetViews>
  <sheetFormatPr defaultRowHeight="14.4" x14ac:dyDescent="0.3"/>
  <cols>
    <col min="1" max="1" width="6.33203125" customWidth="1"/>
    <col min="2" max="2" width="20.33203125" customWidth="1"/>
    <col min="3" max="3" width="29.88671875" customWidth="1"/>
    <col min="4" max="4" width="18.6640625" customWidth="1"/>
    <col min="5" max="5" width="40" customWidth="1"/>
    <col min="6" max="6" width="32.6640625" customWidth="1"/>
  </cols>
  <sheetData>
    <row r="1" spans="1:6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526</v>
      </c>
      <c r="F1" s="1" t="s">
        <v>532</v>
      </c>
    </row>
    <row r="2" spans="1:6" x14ac:dyDescent="0.3">
      <c r="A2" s="2" t="s">
        <v>5071</v>
      </c>
      <c r="B2" s="2" t="s">
        <v>5072</v>
      </c>
      <c r="C2" s="3" t="s">
        <v>5093</v>
      </c>
      <c r="D2" s="2" t="str">
        <f>CONCATENATE(HYPERLINK("CALLTO:%2B356%202703%207656", "+356 2703 7656"))</f>
        <v>+356 2703 7656</v>
      </c>
      <c r="E2" s="3" t="s">
        <v>5113</v>
      </c>
      <c r="F2" s="3" t="s">
        <v>5131</v>
      </c>
    </row>
    <row r="3" spans="1:6" x14ac:dyDescent="0.3">
      <c r="A3" s="4" t="s">
        <v>5071</v>
      </c>
      <c r="B3" s="4" t="s">
        <v>5073</v>
      </c>
      <c r="C3" s="5" t="s">
        <v>5094</v>
      </c>
      <c r="D3" s="4" t="str">
        <f>CONCATENATE(HYPERLINK("CALLTO:%2B356%202146%202409", "+356 2146 2409"))</f>
        <v>+356 2146 2409</v>
      </c>
      <c r="E3" s="5" t="s">
        <v>5115</v>
      </c>
      <c r="F3" s="5" t="s">
        <v>5132</v>
      </c>
    </row>
    <row r="4" spans="1:6" x14ac:dyDescent="0.3">
      <c r="A4" s="2" t="s">
        <v>5071</v>
      </c>
      <c r="B4" s="2" t="s">
        <v>5074</v>
      </c>
      <c r="C4" s="3" t="s">
        <v>5095</v>
      </c>
      <c r="D4" s="2" t="str">
        <f>CONCATENATE(HYPERLINK("CALLTO:%2B356%202146%204640", "+356 2146 4640"))</f>
        <v>+356 2146 4640</v>
      </c>
      <c r="E4" s="3" t="s">
        <v>2553</v>
      </c>
      <c r="F4" s="3" t="s">
        <v>5133</v>
      </c>
    </row>
    <row r="5" spans="1:6" x14ac:dyDescent="0.3">
      <c r="A5" s="4" t="s">
        <v>5071</v>
      </c>
      <c r="B5" s="4" t="s">
        <v>5075</v>
      </c>
      <c r="C5" s="5" t="s">
        <v>2546</v>
      </c>
      <c r="D5" s="4" t="str">
        <f>CONCATENATE(HYPERLINK("CALLTO:%2B356%209947%201937", "+356 9947 1937"))</f>
        <v>+356 9947 1937</v>
      </c>
      <c r="E5" s="5" t="s">
        <v>5114</v>
      </c>
      <c r="F5" s="5" t="s">
        <v>2560</v>
      </c>
    </row>
    <row r="6" spans="1:6" x14ac:dyDescent="0.3">
      <c r="A6" s="2" t="s">
        <v>5071</v>
      </c>
      <c r="B6" s="2" t="s">
        <v>5076</v>
      </c>
      <c r="C6" s="3" t="s">
        <v>5096</v>
      </c>
      <c r="D6" s="2" t="str">
        <f>CONCATENATE(HYPERLINK("CALLTO:%2B356%202133%205531", "+356 2133 5531"))</f>
        <v>+356 2133 5531</v>
      </c>
      <c r="E6" s="3" t="s">
        <v>5116</v>
      </c>
      <c r="F6" s="3" t="s">
        <v>5134</v>
      </c>
    </row>
    <row r="7" spans="1:6" x14ac:dyDescent="0.3">
      <c r="A7" s="4" t="s">
        <v>5071</v>
      </c>
      <c r="B7" s="4" t="s">
        <v>5077</v>
      </c>
      <c r="C7" s="5" t="s">
        <v>5097</v>
      </c>
      <c r="D7" s="4" t="str">
        <f>CONCATENATE(HYPERLINK("CALLTO:%2B356%202745%203353", "+356 2745 3353"))</f>
        <v>+356 2745 3353</v>
      </c>
      <c r="E7" s="5" t="s">
        <v>5117</v>
      </c>
      <c r="F7" s="5" t="s">
        <v>5135</v>
      </c>
    </row>
    <row r="8" spans="1:6" x14ac:dyDescent="0.3">
      <c r="A8" s="2" t="s">
        <v>5071</v>
      </c>
      <c r="B8" s="2" t="s">
        <v>5078</v>
      </c>
      <c r="C8" s="3" t="s">
        <v>5098</v>
      </c>
      <c r="D8" s="2" t="str">
        <f>CONCATENATE(HYPERLINK("CALLTO:%2B356%209999%203278", "+356 9999 3278"))</f>
        <v>+356 9999 3278</v>
      </c>
      <c r="E8" s="3" t="s">
        <v>5118</v>
      </c>
      <c r="F8" s="3" t="s">
        <v>5136</v>
      </c>
    </row>
    <row r="9" spans="1:6" x14ac:dyDescent="0.3">
      <c r="A9" s="4" t="s">
        <v>5071</v>
      </c>
      <c r="B9" s="4" t="s">
        <v>5079</v>
      </c>
      <c r="C9" s="5" t="s">
        <v>5099</v>
      </c>
      <c r="D9" s="4" t="str">
        <f>CONCATENATE(HYPERLINK("CALLTO:%2B356%202745%203355", "+356 2745 3355"))</f>
        <v>+356 2745 3355</v>
      </c>
      <c r="E9" s="5" t="s">
        <v>5119</v>
      </c>
      <c r="F9" s="5" t="s">
        <v>5137</v>
      </c>
    </row>
    <row r="10" spans="1:6" x14ac:dyDescent="0.3">
      <c r="A10" s="2" t="s">
        <v>5071</v>
      </c>
      <c r="B10" s="2" t="s">
        <v>5080</v>
      </c>
      <c r="C10" s="3" t="s">
        <v>5100</v>
      </c>
      <c r="D10" s="2" t="str">
        <f>CONCATENATE(HYPERLINK("CALLTO:%2B356%209942%207063", "+356 9942 7063"))</f>
        <v>+356 9942 7063</v>
      </c>
      <c r="E10" s="3" t="s">
        <v>5120</v>
      </c>
      <c r="F10" s="3" t="s">
        <v>5138</v>
      </c>
    </row>
    <row r="11" spans="1:6" x14ac:dyDescent="0.3">
      <c r="A11" s="4" t="s">
        <v>5071</v>
      </c>
      <c r="B11" s="4" t="s">
        <v>5081</v>
      </c>
      <c r="C11" s="5" t="s">
        <v>5101</v>
      </c>
      <c r="D11" s="4" t="str">
        <f>CONCATENATE(HYPERLINK("CALLTO:%2B356%207905%205109", "+356 7905 5109"))</f>
        <v>+356 7905 5109</v>
      </c>
      <c r="E11" s="5" t="s">
        <v>5121</v>
      </c>
      <c r="F11" s="5" t="s">
        <v>5139</v>
      </c>
    </row>
    <row r="12" spans="1:6" x14ac:dyDescent="0.3">
      <c r="A12" s="2" t="s">
        <v>5071</v>
      </c>
      <c r="B12" s="2" t="s">
        <v>5082</v>
      </c>
      <c r="C12" s="3" t="s">
        <v>5102</v>
      </c>
      <c r="D12" s="2" t="str">
        <f>CONCATENATE(HYPERLINK("CALLTO:%2B356%207966%201109", "+356 7966 1109"))</f>
        <v>+356 7966 1109</v>
      </c>
      <c r="E12" s="3" t="s">
        <v>5122</v>
      </c>
      <c r="F12" s="3" t="s">
        <v>5140</v>
      </c>
    </row>
    <row r="13" spans="1:6" x14ac:dyDescent="0.3">
      <c r="A13" s="4" t="s">
        <v>5071</v>
      </c>
      <c r="B13" s="4" t="s">
        <v>5083</v>
      </c>
      <c r="C13" s="5" t="s">
        <v>5103</v>
      </c>
      <c r="D13" s="4" t="str">
        <f>CONCATENATE(HYPERLINK("CALLTO:%2B356%202169%206787", "+356 2169 6787"))</f>
        <v>+356 2169 6787</v>
      </c>
      <c r="E13" s="5" t="s">
        <v>5123</v>
      </c>
      <c r="F13" s="5" t="s">
        <v>5141</v>
      </c>
    </row>
    <row r="14" spans="1:6" x14ac:dyDescent="0.3">
      <c r="A14" s="2" t="s">
        <v>5071</v>
      </c>
      <c r="B14" s="2" t="s">
        <v>5084</v>
      </c>
      <c r="C14" s="3" t="s">
        <v>5104</v>
      </c>
      <c r="D14" s="2" t="str">
        <f>CONCATENATE(HYPERLINK("CALLTO:%2B356%209955%205708", "+356 9955 5708"))</f>
        <v>+356 9955 5708</v>
      </c>
      <c r="E14" s="3" t="s">
        <v>5124</v>
      </c>
      <c r="F14" s="3" t="s">
        <v>5142</v>
      </c>
    </row>
    <row r="15" spans="1:6" x14ac:dyDescent="0.3">
      <c r="A15" s="4" t="s">
        <v>5071</v>
      </c>
      <c r="B15" s="4" t="s">
        <v>5085</v>
      </c>
      <c r="C15" s="5" t="s">
        <v>5105</v>
      </c>
      <c r="D15" s="4" t="str">
        <f>CONCATENATE(HYPERLINK("CALLTO:%2B356%202148%203517", "+356 2148 3517"))</f>
        <v>+356 2148 3517</v>
      </c>
      <c r="E15" s="5" t="s">
        <v>5125</v>
      </c>
      <c r="F15" s="5" t="s">
        <v>5143</v>
      </c>
    </row>
    <row r="16" spans="1:6" x14ac:dyDescent="0.3">
      <c r="A16" s="2" t="s">
        <v>5071</v>
      </c>
      <c r="B16" s="2" t="s">
        <v>5086</v>
      </c>
      <c r="C16" s="3" t="s">
        <v>5106</v>
      </c>
      <c r="D16" s="2" t="str">
        <f>CONCATENATE(HYPERLINK("CALLTO:%2B356%209902%203649", "+356 9902 3649"))</f>
        <v>+356 9902 3649</v>
      </c>
      <c r="E16" s="3" t="s">
        <v>5126</v>
      </c>
      <c r="F16" s="3" t="s">
        <v>5144</v>
      </c>
    </row>
    <row r="17" spans="1:6" x14ac:dyDescent="0.3">
      <c r="A17" s="4" t="s">
        <v>5071</v>
      </c>
      <c r="B17" s="4" t="s">
        <v>5087</v>
      </c>
      <c r="C17" s="5" t="s">
        <v>5107</v>
      </c>
      <c r="D17" s="4" t="str">
        <f>CONCATENATE(HYPERLINK("CALLTO:%2B356%209968%207662", "+356 9968 7662"))</f>
        <v>+356 9968 7662</v>
      </c>
      <c r="E17" s="5" t="s">
        <v>5127</v>
      </c>
      <c r="F17" s="5" t="s">
        <v>5145</v>
      </c>
    </row>
    <row r="18" spans="1:6" x14ac:dyDescent="0.3">
      <c r="A18" s="2" t="s">
        <v>5071</v>
      </c>
      <c r="B18" s="2" t="s">
        <v>5088</v>
      </c>
      <c r="C18" s="3" t="s">
        <v>5108</v>
      </c>
      <c r="D18" s="2" t="str">
        <f>CONCATENATE(HYPERLINK("CALLTO:%2B356%209933%206964", "+356 9933 6964"))</f>
        <v>+356 9933 6964</v>
      </c>
      <c r="E18" s="3" t="s">
        <v>5128</v>
      </c>
      <c r="F18" s="3" t="s">
        <v>5146</v>
      </c>
    </row>
    <row r="19" spans="1:6" x14ac:dyDescent="0.3">
      <c r="A19" s="4" t="s">
        <v>5071</v>
      </c>
      <c r="B19" s="4" t="s">
        <v>5089</v>
      </c>
      <c r="C19" s="5" t="s">
        <v>5109</v>
      </c>
      <c r="D19" s="4" t="str">
        <f>CONCATENATE(HYPERLINK("CALLTO:%2B356%207707%209656", "+356 7707 9656"))</f>
        <v>+356 7707 9656</v>
      </c>
      <c r="E19" s="5" t="s">
        <v>5129</v>
      </c>
      <c r="F19" s="5" t="s">
        <v>5147</v>
      </c>
    </row>
    <row r="20" spans="1:6" x14ac:dyDescent="0.3">
      <c r="A20" s="2" t="s">
        <v>5071</v>
      </c>
      <c r="B20" s="2" t="s">
        <v>4989</v>
      </c>
      <c r="C20" s="3" t="s">
        <v>5110</v>
      </c>
      <c r="D20" s="2" t="str">
        <f>CONCATENATE(HYPERLINK("CALLTO:%2B356%202010%207888", "+356 2010 7888"))</f>
        <v>+356 2010 7888</v>
      </c>
      <c r="E20" s="2"/>
      <c r="F20" s="3" t="s">
        <v>2561</v>
      </c>
    </row>
    <row r="21" spans="1:6" x14ac:dyDescent="0.3">
      <c r="A21" s="4" t="s">
        <v>5071</v>
      </c>
      <c r="B21" s="4" t="s">
        <v>5090</v>
      </c>
      <c r="C21" s="5" t="s">
        <v>5111</v>
      </c>
      <c r="D21" s="4" t="str">
        <f>CONCATENATE(HYPERLINK("CALLTO:%2B356%202131%205760", "+356 2131 5760"))</f>
        <v>+356 2131 5760</v>
      </c>
      <c r="E21" s="4"/>
      <c r="F21" s="5" t="s">
        <v>5148</v>
      </c>
    </row>
    <row r="22" spans="1:6" x14ac:dyDescent="0.3">
      <c r="A22" s="2" t="s">
        <v>5071</v>
      </c>
      <c r="B22" s="2" t="s">
        <v>5091</v>
      </c>
      <c r="C22" s="3" t="s">
        <v>2549</v>
      </c>
      <c r="D22" s="2" t="str">
        <f>CONCATENATE(HYPERLINK("CALLTO:%2B356%207960%205737", "+356 7960 5737"))</f>
        <v>+356 7960 5737</v>
      </c>
      <c r="E22" s="2"/>
      <c r="F22" s="3" t="s">
        <v>5149</v>
      </c>
    </row>
    <row r="23" spans="1:6" x14ac:dyDescent="0.3">
      <c r="A23" s="4" t="s">
        <v>5071</v>
      </c>
      <c r="B23" s="4" t="s">
        <v>2541</v>
      </c>
      <c r="C23" s="5" t="s">
        <v>5112</v>
      </c>
      <c r="D23" s="4" t="str">
        <f>CONCATENATE(HYPERLINK("CALLTO:%2B356%202148%204305", "+356 2148 4305"))</f>
        <v>+356 2148 4305</v>
      </c>
      <c r="E23" s="4"/>
      <c r="F23" s="5" t="s">
        <v>2563</v>
      </c>
    </row>
    <row r="24" spans="1:6" x14ac:dyDescent="0.3">
      <c r="A24" s="2" t="s">
        <v>5071</v>
      </c>
      <c r="B24" s="2" t="s">
        <v>5092</v>
      </c>
      <c r="C24" s="2"/>
      <c r="D24" s="2" t="str">
        <f>CONCATENATE(HYPERLINK("CALLTO:%2B356%202169%202576", "+356 2169 2576"))</f>
        <v>+356 2169 2576</v>
      </c>
      <c r="E24" s="2"/>
      <c r="F24" s="3" t="s">
        <v>5150</v>
      </c>
    </row>
  </sheetData>
  <hyperlinks>
    <hyperlink ref="C2" r:id="rId1" tooltip="Send a mail to info@cmyk.com.mt" xr:uid="{00000000-0004-0000-5500-000000000000}"/>
    <hyperlink ref="C3" r:id="rId2" tooltip="Send a mail to sales@maltasigns.com" xr:uid="{00000000-0004-0000-5500-000001000000}"/>
    <hyperlink ref="C4" r:id="rId3" tooltip="Send a mail to info@signfactory.com.mt" xr:uid="{00000000-0004-0000-5500-000002000000}"/>
    <hyperlink ref="C5" r:id="rId4" tooltip="Send a mail to info@signworldmalta.com" xr:uid="{00000000-0004-0000-5500-000003000000}"/>
    <hyperlink ref="C6" r:id="rId5" tooltip="Send a mail to info@gescosigns.com" xr:uid="{00000000-0004-0000-5500-000004000000}"/>
    <hyperlink ref="C7" r:id="rId6" tooltip="Send a mail to info@vikingsignrite.com" xr:uid="{00000000-0004-0000-5500-000005000000}"/>
    <hyperlink ref="C8" r:id="rId7" tooltip="Send a mail to customer.care@fastsigns.com" xr:uid="{00000000-0004-0000-5500-000006000000}"/>
    <hyperlink ref="C9" r:id="rId8" tooltip="Send a mail to info@deltamedia.services" xr:uid="{00000000-0004-0000-5500-000007000000}"/>
    <hyperlink ref="C10" r:id="rId9" tooltip="Send a mail to smcsigns@gmail.com" xr:uid="{00000000-0004-0000-5500-000008000000}"/>
    <hyperlink ref="C11" r:id="rId10" tooltip="Send a mail to hello@ajet.mt" xr:uid="{00000000-0004-0000-5500-000009000000}"/>
    <hyperlink ref="C12" r:id="rId11" tooltip="Send a mail to sales@mgmalta.com" xr:uid="{00000000-0004-0000-5500-00000A000000}"/>
    <hyperlink ref="C13" r:id="rId12" tooltip="Send a mail to bannersmalta@gmail.com" xr:uid="{00000000-0004-0000-5500-00000B000000}"/>
    <hyperlink ref="C14" r:id="rId13" tooltip="Send a mail to creativeworksmalta@gmail.com" xr:uid="{00000000-0004-0000-5500-00000C000000}"/>
    <hyperlink ref="C15" r:id="rId14" tooltip="Send a mail to info@DZYNmalta.com" xr:uid="{00000000-0004-0000-5500-00000D000000}"/>
    <hyperlink ref="C16" r:id="rId15" tooltip="Send a mail to connor@essencyengraving.com" xr:uid="{00000000-0004-0000-5500-00000E000000}"/>
    <hyperlink ref="C17" r:id="rId16" tooltip="Send a mail to info@gozo.graphics" xr:uid="{00000000-0004-0000-5500-00000F000000}"/>
    <hyperlink ref="C18" r:id="rId17" tooltip="Send a mail to edgar.engraving@gmail.com" xr:uid="{00000000-0004-0000-5500-000010000000}"/>
    <hyperlink ref="C19" r:id="rId18" tooltip="Send a mail to nadia@pplmalta.com" xr:uid="{00000000-0004-0000-5500-000011000000}"/>
    <hyperlink ref="C20" r:id="rId19" tooltip="Send a mail to info@printagram.com.mt" xr:uid="{00000000-0004-0000-5500-000012000000}"/>
    <hyperlink ref="C21" r:id="rId20" tooltip="Send a mail to sales@prismprinting.com.mt" xr:uid="{00000000-0004-0000-5500-000013000000}"/>
    <hyperlink ref="C22" r:id="rId21" tooltip="Send a mail to admin@zaffarese.com" xr:uid="{00000000-0004-0000-5500-000014000000}"/>
    <hyperlink ref="C23" r:id="rId22" tooltip="Send a mail to info@decomalta.com" xr:uid="{00000000-0004-0000-5500-000015000000}"/>
    <hyperlink ref="E2" r:id="rId23" tooltip="Search 118 Triq Glormu Cassar, Mosta MST4112 on Google Maps" xr:uid="{00000000-0004-0000-5500-000016000000}"/>
    <hyperlink ref="E3" r:id="rId24" tooltip="Search The Sign Factory_x000a_Triq Dun Luret Callus_x000a_Ħaż-Żebbuġ - ZBG 2495 on Google Maps" xr:uid="{00000000-0004-0000-5500-000017000000}"/>
    <hyperlink ref="E4" r:id="rId25" tooltip="Search Triq il-Frangiskani, L-Imsida_x000a_MSD 1120, Malta on Google Maps" xr:uid="{00000000-0004-0000-5500-000018000000}"/>
    <hyperlink ref="E5" r:id="rId26" tooltip="Search Sliema Road, Gzira on Google Maps" xr:uid="{00000000-0004-0000-5500-000019000000}"/>
    <hyperlink ref="E6" r:id="rId27" tooltip="Search 128 Pitkali Road, Attard_x000a_M01, 2214 on Google Maps" xr:uid="{00000000-0004-0000-5500-00001A000000}"/>
    <hyperlink ref="E7" r:id="rId28" tooltip="Search Industrial Area, H'Attard on Google Maps" xr:uid="{00000000-0004-0000-5500-00001B000000}"/>
    <hyperlink ref="E8" r:id="rId29" tooltip="Search SMC Designs_x000a_Portico Flt 1, 23rd April Street_x000a_Victoria, Gozo - Malta. on Google Maps" xr:uid="{00000000-0004-0000-5500-00001C000000}"/>
    <hyperlink ref="E9" r:id="rId30" tooltip="Search 3, Triq Bugharbiel ZTN 3436 Iz-Zejtun, Malta on Google Maps" xr:uid="{00000000-0004-0000-5500-00001D000000}"/>
    <hyperlink ref="E10" r:id="rId31" tooltip="Search MG Signs_x000a_90 | 91 | 92x , Luqa industrial estate_x000a_Luqa, LQA 3000 on Google Maps" xr:uid="{00000000-0004-0000-5500-00001E000000}"/>
    <hyperlink ref="E11" r:id="rId32" tooltip="Search Indri Psaila Street,_x000a_Qormi QRM4000, Malta. on Google Maps" xr:uid="{00000000-0004-0000-5500-00001F000000}"/>
    <hyperlink ref="E12" r:id="rId33" tooltip="Search Santa Venera on Google Maps" xr:uid="{00000000-0004-0000-5500-000020000000}"/>
    <hyperlink ref="E13" r:id="rId34" tooltip="Search 53, Triq Marina Pietà (Sa Maison) on Google Maps" xr:uid="{00000000-0004-0000-5500-000021000000}"/>
    <hyperlink ref="E14" r:id="rId35" tooltip="Search Zabbar, Malta on Google Maps" xr:uid="{00000000-0004-0000-5500-000022000000}"/>
    <hyperlink ref="E15" r:id="rId36" tooltip="Search Industrial Estate, Luqa, Malta on Google Maps" xr:uid="{00000000-0004-0000-5500-000023000000}"/>
    <hyperlink ref="E16" r:id="rId37" tooltip="Search 11, Triq II-Burmarrad_x000a_Naxxar, NXR 6345_x000a_Malta on Google Maps" xr:uid="{00000000-0004-0000-5500-000024000000}"/>
    <hyperlink ref="E17" r:id="rId38" tooltip="Search Merkanti, Prism Printing,_x000a_Naggar Street,_x000a_Mosta,_x000a_MST 1761 on Google Maps" xr:uid="{00000000-0004-0000-5500-000025000000}"/>
    <hyperlink ref="E18" r:id="rId39" tooltip="Search CCG Building, Triq 3 Ta’ Settembru 1798_x000a_Zone 3, Central Business District,_x000a_Birkirkara CBD 3100 Malta on Google Maps" xr:uid="{00000000-0004-0000-5500-000026000000}"/>
    <hyperlink ref="E19" r:id="rId40" tooltip="Search Bulebel, Zejtun on Google Maps" xr:uid="{00000000-0004-0000-5500-000027000000}"/>
    <hyperlink ref="F2" r:id="rId41" tooltip="Visit cmyk.com.mt" xr:uid="{00000000-0004-0000-5500-000028000000}"/>
    <hyperlink ref="F3" r:id="rId42" tooltip="Visit maltasigns.com/" xr:uid="{00000000-0004-0000-5500-000029000000}"/>
    <hyperlink ref="F4" r:id="rId43" tooltip="Visit signfactory.com.mt/" xr:uid="{00000000-0004-0000-5500-00002A000000}"/>
    <hyperlink ref="F5" r:id="rId44" tooltip="Visit signworldmalta.com/" xr:uid="{00000000-0004-0000-5500-00002B000000}"/>
    <hyperlink ref="F6" r:id="rId45" tooltip="Visit gescosigns.com/index.html" xr:uid="{00000000-0004-0000-5500-00002C000000}"/>
    <hyperlink ref="F7" r:id="rId46" tooltip="Visit vikingsignrite.com/" xr:uid="{00000000-0004-0000-5500-00002D000000}"/>
    <hyperlink ref="F8" r:id="rId47" tooltip="Visit fastsigns.mt/" xr:uid="{00000000-0004-0000-5500-00002E000000}"/>
    <hyperlink ref="F9" r:id="rId48" tooltip="Visit deltamedia.services/" xr:uid="{00000000-0004-0000-5500-00002F000000}"/>
    <hyperlink ref="F10" r:id="rId49" tooltip="Visit smcdesignstudio.com/" xr:uid="{00000000-0004-0000-5500-000030000000}"/>
    <hyperlink ref="F11" r:id="rId50" tooltip="Visit facebook.com/houseofsignsmalta/" xr:uid="{00000000-0004-0000-5500-000031000000}"/>
    <hyperlink ref="F12" r:id="rId51" tooltip="Visit facebook.com/ajet.signs/" xr:uid="{00000000-0004-0000-5500-000032000000}"/>
    <hyperlink ref="F13" r:id="rId52" tooltip="Visit facebook.com/mgsignsmalta/" xr:uid="{00000000-0004-0000-5500-000033000000}"/>
    <hyperlink ref="F14" r:id="rId53" tooltip="Visit bannersmalta.com/" xr:uid="{00000000-0004-0000-5500-000034000000}"/>
    <hyperlink ref="F15" r:id="rId54" tooltip="Visit creativeworksmalta.com/" xr:uid="{00000000-0004-0000-5500-000035000000}"/>
    <hyperlink ref="F16" r:id="rId55" tooltip="Visit dzynmalta.com/" xr:uid="{00000000-0004-0000-5500-000036000000}"/>
    <hyperlink ref="F17" r:id="rId56" tooltip="Visit essencyengraving.com/mt" xr:uid="{00000000-0004-0000-5500-000037000000}"/>
    <hyperlink ref="F18" r:id="rId57" tooltip="Visit gozographics.com/" xr:uid="{00000000-0004-0000-5500-000038000000}"/>
    <hyperlink ref="F19" r:id="rId58" tooltip="Visit eseengraving.com/" xr:uid="{00000000-0004-0000-5500-000039000000}"/>
    <hyperlink ref="F20" r:id="rId59" tooltip="Visit pplmalta.com/" xr:uid="{00000000-0004-0000-5500-00003A000000}"/>
    <hyperlink ref="F21" r:id="rId60" tooltip="Visit printagram.com.mt/" xr:uid="{00000000-0004-0000-5500-00003B000000}"/>
    <hyperlink ref="F22" r:id="rId61" tooltip="Visit prismprinting.com.mt/" xr:uid="{00000000-0004-0000-5500-00003C000000}"/>
    <hyperlink ref="F23" r:id="rId62" tooltip="Visit zaffarese.com/" xr:uid="{00000000-0004-0000-5500-00003D000000}"/>
    <hyperlink ref="F24" r:id="rId63" tooltip="Visit decomalta.com/contact" xr:uid="{00000000-0004-0000-5500-00003E000000}"/>
  </hyperlinks>
  <pageMargins left="0.75" right="0.75" top="0.75" bottom="0.5" header="0.5" footer="0.7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35"/>
  <sheetViews>
    <sheetView workbookViewId="0"/>
  </sheetViews>
  <sheetFormatPr defaultRowHeight="14.4" x14ac:dyDescent="0.3"/>
  <cols>
    <col min="1" max="1" width="13.33203125" customWidth="1"/>
    <col min="2" max="2" width="41.5546875" customWidth="1"/>
    <col min="3" max="3" width="31" customWidth="1"/>
    <col min="4" max="4" width="18.109375" customWidth="1"/>
    <col min="5" max="5" width="70.109375" customWidth="1"/>
    <col min="6" max="6" width="32.6640625" customWidth="1"/>
  </cols>
  <sheetData>
    <row r="1" spans="1:6" ht="18" x14ac:dyDescent="0.35">
      <c r="A1" s="1" t="s">
        <v>483</v>
      </c>
      <c r="B1" s="1" t="s">
        <v>487</v>
      </c>
      <c r="C1" s="1" t="s">
        <v>507</v>
      </c>
      <c r="D1" s="1" t="s">
        <v>828</v>
      </c>
      <c r="E1" s="1" t="s">
        <v>526</v>
      </c>
      <c r="F1" s="1" t="s">
        <v>20</v>
      </c>
    </row>
    <row r="2" spans="1:6" x14ac:dyDescent="0.3">
      <c r="A2" s="2" t="s">
        <v>5130</v>
      </c>
      <c r="B2" s="2" t="s">
        <v>846</v>
      </c>
      <c r="C2" s="3" t="s">
        <v>855</v>
      </c>
      <c r="D2" s="2" t="str">
        <f>CONCATENATE(HYPERLINK("CALLTO:%2B356%202141%207596", "+356 2141 7596"))</f>
        <v>+356 2141 7596</v>
      </c>
      <c r="E2" s="3" t="s">
        <v>1366</v>
      </c>
      <c r="F2" s="3" t="s">
        <v>3140</v>
      </c>
    </row>
    <row r="3" spans="1:6" x14ac:dyDescent="0.3">
      <c r="A3" s="4" t="s">
        <v>5151</v>
      </c>
      <c r="B3" s="4" t="s">
        <v>5154</v>
      </c>
      <c r="C3" s="5" t="s">
        <v>5162</v>
      </c>
      <c r="D3" s="4" t="str">
        <f>CONCATENATE(HYPERLINK("CALLTO:%2B356%207737%208069", "+356 7737 8069"))</f>
        <v>+356 7737 8069</v>
      </c>
      <c r="E3" s="5" t="s">
        <v>5165</v>
      </c>
      <c r="F3" s="5" t="s">
        <v>5167</v>
      </c>
    </row>
    <row r="4" spans="1:6" x14ac:dyDescent="0.3">
      <c r="A4" s="2" t="s">
        <v>4736</v>
      </c>
      <c r="B4" s="2" t="s">
        <v>686</v>
      </c>
      <c r="C4" s="3" t="s">
        <v>715</v>
      </c>
      <c r="D4" s="2" t="str">
        <f>CONCATENATE(HYPERLINK("CALLTO:%2B356%202145%201350", "+356 2145 1350"))</f>
        <v>+356 2145 1350</v>
      </c>
      <c r="E4" s="3" t="s">
        <v>4764</v>
      </c>
      <c r="F4" s="3" t="s">
        <v>2044</v>
      </c>
    </row>
    <row r="5" spans="1:6" x14ac:dyDescent="0.3">
      <c r="A5" s="4" t="s">
        <v>4736</v>
      </c>
      <c r="B5" s="4" t="s">
        <v>4746</v>
      </c>
      <c r="C5" s="5" t="s">
        <v>723</v>
      </c>
      <c r="D5" s="4" t="str">
        <f>CONCATENATE(HYPERLINK("CALLTO:%2B356%202169%205226", "+356 2169 5226"))</f>
        <v>+356 2169 5226</v>
      </c>
      <c r="E5" s="5" t="s">
        <v>4765</v>
      </c>
      <c r="F5" s="5" t="s">
        <v>4776</v>
      </c>
    </row>
    <row r="6" spans="1:6" x14ac:dyDescent="0.3">
      <c r="A6" s="2" t="s">
        <v>4736</v>
      </c>
      <c r="B6" s="2" t="s">
        <v>4747</v>
      </c>
      <c r="C6" s="3" t="s">
        <v>4748</v>
      </c>
      <c r="D6" s="2" t="str">
        <f>CONCATENATE(HYPERLINK("CALLTO:%2B356%209949%206421", "+356 9949 6421"))</f>
        <v>+356 9949 6421</v>
      </c>
      <c r="E6" s="3" t="s">
        <v>4766</v>
      </c>
      <c r="F6" s="3" t="s">
        <v>4777</v>
      </c>
    </row>
    <row r="7" spans="1:6" x14ac:dyDescent="0.3">
      <c r="A7" s="4" t="s">
        <v>4736</v>
      </c>
      <c r="B7" s="4" t="s">
        <v>4745</v>
      </c>
      <c r="C7" s="5" t="s">
        <v>4758</v>
      </c>
      <c r="D7" s="4" t="str">
        <f>CONCATENATE(HYPERLINK("CALLTO:%2B356%209989%209673", "+356 9989 9673"))</f>
        <v>+356 9989 9673</v>
      </c>
      <c r="E7" s="5" t="s">
        <v>4767</v>
      </c>
      <c r="F7" s="5" t="s">
        <v>4779</v>
      </c>
    </row>
    <row r="8" spans="1:6" x14ac:dyDescent="0.3">
      <c r="A8" s="2" t="s">
        <v>4736</v>
      </c>
      <c r="B8" s="2" t="s">
        <v>4749</v>
      </c>
      <c r="C8" s="3" t="s">
        <v>716</v>
      </c>
      <c r="D8" s="2" t="str">
        <f>CONCATENATE(HYPERLINK("CALLTO:%2B356%202147%202714", "+356 2147 2714"))</f>
        <v>+356 2147 2714</v>
      </c>
      <c r="E8" s="3" t="s">
        <v>4768</v>
      </c>
      <c r="F8" s="3" t="s">
        <v>4780</v>
      </c>
    </row>
    <row r="9" spans="1:6" x14ac:dyDescent="0.3">
      <c r="A9" s="4" t="s">
        <v>4736</v>
      </c>
      <c r="B9" s="4" t="s">
        <v>4750</v>
      </c>
      <c r="C9" s="5" t="s">
        <v>4759</v>
      </c>
      <c r="D9" s="4" t="str">
        <f>CONCATENATE(HYPERLINK("CALLTO:%2B356%202143%203636", "+356 2143 3636"))</f>
        <v>+356 2143 3636</v>
      </c>
      <c r="E9" s="5" t="s">
        <v>4768</v>
      </c>
      <c r="F9" s="5" t="s">
        <v>4778</v>
      </c>
    </row>
    <row r="10" spans="1:6" x14ac:dyDescent="0.3">
      <c r="A10" s="2" t="s">
        <v>4736</v>
      </c>
      <c r="B10" s="2" t="s">
        <v>4751</v>
      </c>
      <c r="C10" s="3" t="s">
        <v>699</v>
      </c>
      <c r="D10" s="2" t="str">
        <f>CONCATENATE(HYPERLINK("CALLTO:%2B356%202145%200643", "+356 2145 0643"))</f>
        <v>+356 2145 0643</v>
      </c>
      <c r="E10" s="3" t="s">
        <v>4770</v>
      </c>
      <c r="F10" s="3" t="s">
        <v>740</v>
      </c>
    </row>
    <row r="11" spans="1:6" x14ac:dyDescent="0.3">
      <c r="A11" s="4" t="s">
        <v>4736</v>
      </c>
      <c r="B11" s="4" t="s">
        <v>4752</v>
      </c>
      <c r="C11" s="5" t="s">
        <v>4760</v>
      </c>
      <c r="D11" s="4" t="str">
        <f>CONCATENATE(HYPERLINK("CALLTO:%2B356%202155%207136", "+356 2155 7136"))</f>
        <v>+356 2155 7136</v>
      </c>
      <c r="E11" s="5" t="s">
        <v>4771</v>
      </c>
      <c r="F11" s="5" t="s">
        <v>4782</v>
      </c>
    </row>
    <row r="12" spans="1:6" x14ac:dyDescent="0.3">
      <c r="A12" s="2" t="s">
        <v>4736</v>
      </c>
      <c r="B12" s="2" t="s">
        <v>4753</v>
      </c>
      <c r="C12" s="3" t="s">
        <v>4762</v>
      </c>
      <c r="D12" s="2" t="str">
        <f>CONCATENATE(HYPERLINK("CALLTO:%2B356%209977%200099", "+356 9977 0099"))</f>
        <v>+356 9977 0099</v>
      </c>
      <c r="E12" s="3" t="s">
        <v>4769</v>
      </c>
      <c r="F12" s="3" t="s">
        <v>4781</v>
      </c>
    </row>
    <row r="13" spans="1:6" x14ac:dyDescent="0.3">
      <c r="A13" s="4" t="s">
        <v>4736</v>
      </c>
      <c r="B13" s="4" t="s">
        <v>4754</v>
      </c>
      <c r="C13" s="5" t="s">
        <v>4761</v>
      </c>
      <c r="D13" s="4" t="str">
        <f>CONCATENATE(HYPERLINK("CALLTO:%2B356%202155%208398", "+356 2155 8398"))</f>
        <v>+356 2155 8398</v>
      </c>
      <c r="E13" s="5" t="s">
        <v>4772</v>
      </c>
      <c r="F13" s="5" t="s">
        <v>4783</v>
      </c>
    </row>
    <row r="14" spans="1:6" x14ac:dyDescent="0.3">
      <c r="A14" s="2" t="s">
        <v>4736</v>
      </c>
      <c r="B14" s="2" t="s">
        <v>4755</v>
      </c>
      <c r="C14" s="3" t="s">
        <v>1301</v>
      </c>
      <c r="D14" s="2" t="str">
        <f>CONCATENATE(HYPERLINK("CALLTO:%2B356%209988%204194", "+356 9988 4194"))</f>
        <v>+356 9988 4194</v>
      </c>
      <c r="E14" s="3" t="s">
        <v>4773</v>
      </c>
      <c r="F14" s="3" t="s">
        <v>1456</v>
      </c>
    </row>
    <row r="15" spans="1:6" x14ac:dyDescent="0.3">
      <c r="A15" s="4" t="s">
        <v>4736</v>
      </c>
      <c r="B15" s="4" t="s">
        <v>4756</v>
      </c>
      <c r="C15" s="5" t="s">
        <v>4763</v>
      </c>
      <c r="D15" s="4" t="str">
        <f>CONCATENATE(HYPERLINK("CALLTO:%2B356%202169%206571", "+356 2169 6571"))</f>
        <v>+356 2169 6571</v>
      </c>
      <c r="E15" s="5" t="s">
        <v>4774</v>
      </c>
      <c r="F15" s="4" t="s">
        <v>146</v>
      </c>
    </row>
    <row r="16" spans="1:6" x14ac:dyDescent="0.3">
      <c r="A16" s="2" t="s">
        <v>4736</v>
      </c>
      <c r="B16" s="2" t="s">
        <v>4757</v>
      </c>
      <c r="C16" s="3" t="s">
        <v>863</v>
      </c>
      <c r="D16" s="2" t="str">
        <f>CONCATENATE(HYPERLINK("CALLTO:%2B356%202141%204090", "+356 2141 4090"))</f>
        <v>+356 2141 4090</v>
      </c>
      <c r="E16" s="3" t="s">
        <v>4775</v>
      </c>
      <c r="F16" s="2" t="s">
        <v>146</v>
      </c>
    </row>
    <row r="17" spans="1:6" x14ac:dyDescent="0.3">
      <c r="A17" s="4" t="s">
        <v>5152</v>
      </c>
      <c r="B17" s="4" t="s">
        <v>2106</v>
      </c>
      <c r="C17" s="5" t="s">
        <v>865</v>
      </c>
      <c r="D17" s="4" t="str">
        <f>CONCATENATE(HYPERLINK("CALLTO:%2B356%207724%204377", "+356 7724 4377"))</f>
        <v>+356 7724 4377</v>
      </c>
      <c r="E17" s="5" t="s">
        <v>2504</v>
      </c>
      <c r="F17" s="5" t="s">
        <v>2134</v>
      </c>
    </row>
    <row r="18" spans="1:6" x14ac:dyDescent="0.3">
      <c r="A18" s="2" t="s">
        <v>5152</v>
      </c>
      <c r="B18" s="2" t="s">
        <v>2501</v>
      </c>
      <c r="C18" s="3" t="s">
        <v>700</v>
      </c>
      <c r="D18" s="2" t="str">
        <f>CONCATENATE(HYPERLINK("CALLTO:%2B356%207962%208055", "+356 7962 8055"))</f>
        <v>+356 7962 8055</v>
      </c>
      <c r="E18" s="2"/>
      <c r="F18" s="3" t="s">
        <v>2506</v>
      </c>
    </row>
    <row r="19" spans="1:6" x14ac:dyDescent="0.3">
      <c r="A19" s="4" t="s">
        <v>5153</v>
      </c>
      <c r="B19" s="4" t="s">
        <v>3148</v>
      </c>
      <c r="C19" s="5" t="s">
        <v>3180</v>
      </c>
      <c r="D19" s="4" t="str">
        <f>CONCATENATE(HYPERLINK("CALLTO:%2B356%202137%201891", "+356 2137 1891"))</f>
        <v>+356 2137 1891</v>
      </c>
      <c r="E19" s="4"/>
      <c r="F19" s="4"/>
    </row>
    <row r="20" spans="1:6" x14ac:dyDescent="0.3">
      <c r="A20" s="2"/>
      <c r="B20" s="2" t="s">
        <v>2863</v>
      </c>
      <c r="C20" s="3" t="s">
        <v>1291</v>
      </c>
      <c r="D20" s="2" t="str">
        <f>CONCATENATE(HYPERLINK("CALLTO:%2B356%202144%205165", "+356 2144 5165"))</f>
        <v>+356 2144 5165</v>
      </c>
      <c r="E20" s="2"/>
      <c r="F20" s="2"/>
    </row>
    <row r="21" spans="1:6" x14ac:dyDescent="0.3">
      <c r="A21" s="4"/>
      <c r="B21" s="4" t="s">
        <v>1537</v>
      </c>
      <c r="C21" s="5" t="s">
        <v>1623</v>
      </c>
      <c r="D21" s="4" t="str">
        <f>CONCATENATE(HYPERLINK("CALLTO:%2B356%202148%203216", "+356 2148 3216"))</f>
        <v>+356 2148 3216</v>
      </c>
      <c r="E21" s="4"/>
      <c r="F21" s="4"/>
    </row>
    <row r="22" spans="1:6" x14ac:dyDescent="0.3">
      <c r="A22" s="2"/>
      <c r="B22" s="2" t="s">
        <v>5155</v>
      </c>
      <c r="C22" s="3" t="s">
        <v>856</v>
      </c>
      <c r="D22" s="2" t="str">
        <f>CONCATENATE(HYPERLINK("CALLTO:%2B356%202146%208770", "+356 2146 8770"))</f>
        <v>+356 2146 8770</v>
      </c>
      <c r="E22" s="2"/>
      <c r="F22" s="2"/>
    </row>
    <row r="23" spans="1:6" x14ac:dyDescent="0.3">
      <c r="A23" s="4"/>
      <c r="B23" s="4" t="s">
        <v>5156</v>
      </c>
      <c r="C23" s="5" t="s">
        <v>720</v>
      </c>
      <c r="D23" s="4" t="str">
        <f>CONCATENATE(HYPERLINK("CALLTO:%2B356%202124%200100", "+356 2124 0100"))</f>
        <v>+356 2124 0100</v>
      </c>
      <c r="E23" s="4"/>
      <c r="F23" s="4"/>
    </row>
    <row r="24" spans="1:6" x14ac:dyDescent="0.3">
      <c r="A24" s="2"/>
      <c r="B24" s="2" t="s">
        <v>3144</v>
      </c>
      <c r="C24" s="3" t="s">
        <v>1515</v>
      </c>
      <c r="D24" s="2" t="str">
        <f>CONCATENATE(HYPERLINK("CALLTO:%2B356%207952%202966", "+356 7952 2966"))</f>
        <v>+356 7952 2966</v>
      </c>
      <c r="E24" s="2"/>
      <c r="F24" s="2"/>
    </row>
    <row r="25" spans="1:6" x14ac:dyDescent="0.3">
      <c r="A25" s="4"/>
      <c r="B25" s="4" t="s">
        <v>1502</v>
      </c>
      <c r="C25" s="5" t="s">
        <v>1287</v>
      </c>
      <c r="D25" s="4" t="str">
        <f>CONCATENATE(HYPERLINK("CALLTO:%2B356%202141%200685", "+356 2141 0685"))</f>
        <v>+356 2141 0685</v>
      </c>
      <c r="E25" s="4"/>
      <c r="F25" s="4"/>
    </row>
    <row r="26" spans="1:6" x14ac:dyDescent="0.3">
      <c r="A26" s="2"/>
      <c r="B26" s="2" t="s">
        <v>1210</v>
      </c>
      <c r="C26" s="3" t="s">
        <v>1316</v>
      </c>
      <c r="D26" s="2" t="str">
        <f>CONCATENATE(HYPERLINK("CALLTO:%2B356%202737%200730", "+356 2737 0730"))</f>
        <v>+356 2737 0730</v>
      </c>
      <c r="E26" s="2"/>
      <c r="F26" s="2"/>
    </row>
    <row r="27" spans="1:6" x14ac:dyDescent="0.3">
      <c r="A27" s="4"/>
      <c r="B27" s="4" t="s">
        <v>5157</v>
      </c>
      <c r="C27" s="5" t="s">
        <v>1328</v>
      </c>
      <c r="D27" s="4" t="str">
        <f>CONCATENATE(HYPERLINK("CALLTO:%2B356%202132%202250", "+356 2132 2250"))</f>
        <v>+356 2132 2250</v>
      </c>
      <c r="E27" s="4"/>
      <c r="F27" s="4"/>
    </row>
    <row r="28" spans="1:6" x14ac:dyDescent="0.3">
      <c r="A28" s="2"/>
      <c r="B28" s="2" t="s">
        <v>1259</v>
      </c>
      <c r="C28" s="3" t="s">
        <v>1299</v>
      </c>
      <c r="D28" s="2"/>
      <c r="E28" s="2"/>
      <c r="F28" s="2"/>
    </row>
    <row r="29" spans="1:6" x14ac:dyDescent="0.3">
      <c r="A29" s="4"/>
      <c r="B29" s="4" t="s">
        <v>5158</v>
      </c>
      <c r="C29" s="5" t="s">
        <v>860</v>
      </c>
      <c r="D29" s="4"/>
      <c r="E29" s="4"/>
      <c r="F29" s="4"/>
    </row>
    <row r="30" spans="1:6" x14ac:dyDescent="0.3">
      <c r="A30" s="2"/>
      <c r="B30" s="2" t="s">
        <v>851</v>
      </c>
      <c r="C30" s="3" t="s">
        <v>1617</v>
      </c>
      <c r="D30" s="2"/>
      <c r="E30" s="2"/>
      <c r="F30" s="2"/>
    </row>
    <row r="31" spans="1:6" x14ac:dyDescent="0.3">
      <c r="A31" s="4"/>
      <c r="B31" s="4" t="s">
        <v>5159</v>
      </c>
      <c r="C31" s="5" t="s">
        <v>1290</v>
      </c>
      <c r="D31" s="4"/>
      <c r="E31" s="4"/>
      <c r="F31" s="4"/>
    </row>
    <row r="32" spans="1:6" x14ac:dyDescent="0.3">
      <c r="A32" s="2"/>
      <c r="B32" s="2" t="s">
        <v>1213</v>
      </c>
      <c r="C32" s="3" t="s">
        <v>5163</v>
      </c>
      <c r="D32" s="2"/>
      <c r="E32" s="2"/>
      <c r="F32" s="2"/>
    </row>
    <row r="33" spans="1:6" x14ac:dyDescent="0.3">
      <c r="A33" s="4"/>
      <c r="B33" s="4" t="s">
        <v>5160</v>
      </c>
      <c r="C33" s="5" t="s">
        <v>858</v>
      </c>
      <c r="D33" s="4"/>
      <c r="E33" s="4"/>
      <c r="F33" s="4"/>
    </row>
    <row r="34" spans="1:6" x14ac:dyDescent="0.3">
      <c r="A34" s="2"/>
      <c r="B34" s="2" t="s">
        <v>849</v>
      </c>
      <c r="C34" s="3" t="s">
        <v>5164</v>
      </c>
      <c r="D34" s="2"/>
      <c r="E34" s="2"/>
      <c r="F34" s="2"/>
    </row>
    <row r="35" spans="1:6" x14ac:dyDescent="0.3">
      <c r="A35" s="4"/>
      <c r="B35" s="4" t="s">
        <v>5161</v>
      </c>
      <c r="C35" s="4"/>
      <c r="D35" s="4"/>
      <c r="E35" s="4"/>
      <c r="F35" s="4"/>
    </row>
  </sheetData>
  <hyperlinks>
    <hyperlink ref="C2" r:id="rId1" tooltip="Send a mail to info@absolute.com.mt" xr:uid="{00000000-0004-0000-5600-000000000000}"/>
    <hyperlink ref="C3" r:id="rId2" tooltip="Send a mail to kbugeja@qualitystonemalta.com" xr:uid="{00000000-0004-0000-5600-000001000000}"/>
    <hyperlink ref="C4" r:id="rId3" tooltip="Send a mail to info@desanamarbles.com" xr:uid="{00000000-0004-0000-5600-000002000000}"/>
    <hyperlink ref="C5" r:id="rId4" tooltip="Send a mail to sales@marbleinnovation.com" xr:uid="{00000000-0004-0000-5600-000003000000}"/>
    <hyperlink ref="C6" r:id="rId5" tooltip="Send a mail to rgpmarblemalta@gmail.com" xr:uid="{00000000-0004-0000-5600-000004000000}"/>
    <hyperlink ref="C7" r:id="rId6" tooltip="Send a mail to amuscatmarble@gmail.com" xr:uid="{00000000-0004-0000-5600-000005000000}"/>
    <hyperlink ref="C8" r:id="rId7" tooltip="Send a mail to info@cinimarbles.com" xr:uid="{00000000-0004-0000-5600-000006000000}"/>
    <hyperlink ref="C9" r:id="rId8" tooltip="Send a mail to info@hmvella.com" xr:uid="{00000000-0004-0000-5600-000007000000}"/>
    <hyperlink ref="C10" r:id="rId9" tooltip="Send a mail to info@rabatmarbles.com" xr:uid="{00000000-0004-0000-5600-000008000000}"/>
    <hyperlink ref="C11" r:id="rId10" tooltip="Send a mail to info@juliansmarble.com" xr:uid="{00000000-0004-0000-5600-000009000000}"/>
    <hyperlink ref="C12" r:id="rId11" tooltip="Send a mail to grechmarbles@onvol.net" xr:uid="{00000000-0004-0000-5600-00000A000000}"/>
    <hyperlink ref="C13" r:id="rId12" tooltip="Send a mail to afellismarbleworks@gmail.com" xr:uid="{00000000-0004-0000-5600-00000B000000}"/>
    <hyperlink ref="C14" r:id="rId13" tooltip="Send a mail to bugejamarbles@gmail.com" xr:uid="{00000000-0004-0000-5600-00000C000000}"/>
    <hyperlink ref="C15" r:id="rId14" tooltip="Send a mail to icamill52@gmail.com" xr:uid="{00000000-0004-0000-5600-00000D000000}"/>
    <hyperlink ref="C16" r:id="rId15" tooltip="Send a mail to info@chicliving.com.mt" xr:uid="{00000000-0004-0000-5600-00000E000000}"/>
    <hyperlink ref="C17" r:id="rId16" tooltip="Send a mail to info@bfmarbles.com" xr:uid="{00000000-0004-0000-5600-00000F000000}"/>
    <hyperlink ref="C18" r:id="rId17" tooltip="Send a mail to info@soll.mt" xr:uid="{00000000-0004-0000-5600-000010000000}"/>
    <hyperlink ref="C19" r:id="rId18" tooltip="Send a mail to info@maltatiles.com" xr:uid="{00000000-0004-0000-5600-000011000000}"/>
    <hyperlink ref="C20" r:id="rId19" tooltip="Send a mail to sales@carinibathrooms.com" xr:uid="{00000000-0004-0000-5600-000012000000}"/>
    <hyperlink ref="C21" r:id="rId20" tooltip="Send a mail to info@okhome.com.mt" xr:uid="{00000000-0004-0000-5600-000013000000}"/>
    <hyperlink ref="C22" r:id="rId21" tooltip="Send a mail to info@jpitre.com" xr:uid="{00000000-0004-0000-5600-000014000000}"/>
    <hyperlink ref="C23" r:id="rId22" tooltip="Send a mail to tilesandmarbleinfo@gmail.com" xr:uid="{00000000-0004-0000-5600-000015000000}"/>
    <hyperlink ref="C24" r:id="rId23" tooltip="Send a mail to info@bigmatmalta.com" xr:uid="{00000000-0004-0000-5600-000016000000}"/>
    <hyperlink ref="C25" r:id="rId24" tooltip="Send a mail to info@the-tile.com" xr:uid="{00000000-0004-0000-5600-000017000000}"/>
    <hyperlink ref="C26" r:id="rId25" tooltip="Send a mail to info@ssbathrooms.com" xr:uid="{00000000-0004-0000-5600-000018000000}"/>
    <hyperlink ref="C27" r:id="rId26" tooltip="Send a mail to info@vellafalzon.com" xr:uid="{00000000-0004-0000-5600-000019000000}"/>
    <hyperlink ref="C28" r:id="rId27" tooltip="Send a mail to cristalbath@onvol.net" xr:uid="{00000000-0004-0000-5600-00001A000000}"/>
    <hyperlink ref="C29" r:id="rId28" tooltip="Send a mail to info@mrcd.com.mt" xr:uid="{00000000-0004-0000-5600-00001B000000}"/>
    <hyperlink ref="C30" r:id="rId29" tooltip="Send a mail to info@dinofino.com" xr:uid="{00000000-0004-0000-5600-00001C000000}"/>
    <hyperlink ref="C31" r:id="rId30" tooltip="Send a mail to sales@thetubmalta.com" xr:uid="{00000000-0004-0000-5600-00001D000000}"/>
    <hyperlink ref="C32" r:id="rId31" tooltip="Send a mail to josies@josies.mt" xr:uid="{00000000-0004-0000-5600-00001E000000}"/>
    <hyperlink ref="C33" r:id="rId32" tooltip="Send a mail to info@radosystems.eu" xr:uid="{00000000-0004-0000-5600-00001F000000}"/>
    <hyperlink ref="C34" r:id="rId33" tooltip="Send a mail to admin@bhome.com.mt" xr:uid="{00000000-0004-0000-5600-000020000000}"/>
    <hyperlink ref="E2" r:id="rId34" tooltip="Search Triq Pantar, Hal Lija on Google Maps" xr:uid="{00000000-0004-0000-5600-000021000000}"/>
    <hyperlink ref="E3" r:id="rId35" tooltip="Search John Micheal Testa Handaq, Qormi, Malta on Google Maps" xr:uid="{00000000-0004-0000-5600-000022000000}"/>
    <hyperlink ref="E4" r:id="rId36" tooltip="Search Buskett Road, Dingli, DGL 2709, Malta on Google Maps" xr:uid="{00000000-0004-0000-5600-000023000000}"/>
    <hyperlink ref="E5" r:id="rId37" tooltip="Search KKW601, Triq Kordin, Paola, Malta on Google Maps" xr:uid="{00000000-0004-0000-5600-000024000000}"/>
    <hyperlink ref="E6" r:id="rId38" tooltip="Search Ħaż-Żebbuġ, Malta on Google Maps" xr:uid="{00000000-0004-0000-5600-000025000000}"/>
    <hyperlink ref="E7" r:id="rId39" tooltip="Search 355, Triq l-Imdina, Ħal Qormi, Malta QRM 9012 on Google Maps" xr:uid="{00000000-0004-0000-5600-000026000000}"/>
    <hyperlink ref="E8" r:id="rId40" tooltip="Search Handaq Road, Qormi, QRM 4000, Malta on Google Maps" xr:uid="{00000000-0004-0000-5600-000027000000}"/>
    <hyperlink ref="E9" r:id="rId41" tooltip="Search Handaq Road, Qormi, QRM 4000, Malta on Google Maps" xr:uid="{00000000-0004-0000-5600-000028000000}"/>
    <hyperlink ref="E10" r:id="rId42" tooltip="Search Labour Avenue, Rabat RBT 1769 , Malta on Google Maps" xr:uid="{00000000-0004-0000-5600-000029000000}"/>
    <hyperlink ref="E11" r:id="rId43" tooltip="Search Marsalforn Road , xaghra , Gozo ,Malta on Google Maps" xr:uid="{00000000-0004-0000-5600-00002A000000}"/>
    <hyperlink ref="E12" r:id="rId44" tooltip="Search Triq L-Mdina , H Attard , Malta ATD 9037 on Google Maps" xr:uid="{00000000-0004-0000-5600-00002B000000}"/>
    <hyperlink ref="E13" r:id="rId45" tooltip="Search Il-Pressa, Triq Il-Biccerija, Ix-Xewkija, Gozo, Malta XWK 3000 on Google Maps" xr:uid="{00000000-0004-0000-5600-00002C000000}"/>
    <hyperlink ref="E14" r:id="rId46" tooltip="Search Zone 3, Central Business District, Triq San Gwakkin, Birkirkara, Mriehel, Malta on Google Maps" xr:uid="{00000000-0004-0000-5600-00002D000000}"/>
    <hyperlink ref="E15" r:id="rId47" tooltip="Search Triq Hal Tarxien, Il-Gudja, Malta ZTN 14 on Google Maps" xr:uid="{00000000-0004-0000-5600-00002E000000}"/>
    <hyperlink ref="E16" r:id="rId48" tooltip="Search triq Durumblat, Il-Mosta, Malta MST 4816 on Google Maps" xr:uid="{00000000-0004-0000-5600-00002F000000}"/>
    <hyperlink ref="E17" r:id="rId49" tooltip="Search B1, Midland Enterprise Park_x000a_Burmarrad Road,_x000a_Naxxar, Malta on Google Maps" xr:uid="{00000000-0004-0000-5600-000030000000}"/>
    <hyperlink ref="F2" r:id="rId50" tooltip="Visit absolute.com.mt/" xr:uid="{00000000-0004-0000-5600-000031000000}"/>
    <hyperlink ref="F3" r:id="rId51" tooltip="Visit facebook.com/QualityStoneMalta/" xr:uid="{00000000-0004-0000-5600-000032000000}"/>
    <hyperlink ref="F4" r:id="rId52" tooltip="Visit desanamarbles.com" xr:uid="{00000000-0004-0000-5600-000033000000}"/>
    <hyperlink ref="F5" r:id="rId53" tooltip="Visit marbleinnovation.com" xr:uid="{00000000-0004-0000-5600-000034000000}"/>
    <hyperlink ref="F6" r:id="rId54" tooltip="Visit rgpmarblemalta.com" xr:uid="{00000000-0004-0000-5600-000035000000}"/>
    <hyperlink ref="F7" r:id="rId55" tooltip="Visit muscarmarbleworks.com" xr:uid="{00000000-0004-0000-5600-000036000000}"/>
    <hyperlink ref="F8" r:id="rId56" tooltip="Visit cinimarbles.com" xr:uid="{00000000-0004-0000-5600-000037000000}"/>
    <hyperlink ref="F9" r:id="rId57" tooltip="Visit halmanvella.com" xr:uid="{00000000-0004-0000-5600-000038000000}"/>
    <hyperlink ref="F10" r:id="rId58" tooltip="Visit rabatmarbles.com" xr:uid="{00000000-0004-0000-5600-000039000000}"/>
    <hyperlink ref="F11" r:id="rId59" tooltip="Visit juliansmarble.com" xr:uid="{00000000-0004-0000-5600-00003A000000}"/>
    <hyperlink ref="F12" r:id="rId60" tooltip="Visit cgrechmarbles.com" xr:uid="{00000000-0004-0000-5600-00003B000000}"/>
    <hyperlink ref="F13" r:id="rId61" tooltip="Visit afellismarbleworks.com" xr:uid="{00000000-0004-0000-5600-00003C000000}"/>
    <hyperlink ref="F14" r:id="rId62" tooltip="Visit bugeja-marbles.com" xr:uid="{00000000-0004-0000-5600-00003D000000}"/>
    <hyperlink ref="F17" r:id="rId63" tooltip="Visit bfmarbles.com/#" xr:uid="{00000000-0004-0000-5600-00003E000000}"/>
    <hyperlink ref="F18" r:id="rId64" tooltip="Visit soll.mt/" xr:uid="{00000000-0004-0000-5600-00003F000000}"/>
  </hyperlinks>
  <pageMargins left="0.75" right="0.75" top="0.75" bottom="0.5" header="0.5" footer="0.7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41"/>
  <sheetViews>
    <sheetView workbookViewId="0"/>
  </sheetViews>
  <sheetFormatPr defaultRowHeight="14.4" x14ac:dyDescent="0.3"/>
  <cols>
    <col min="1" max="1" width="18.33203125" customWidth="1"/>
    <col min="2" max="2" width="44.6640625" customWidth="1"/>
    <col min="3" max="3" width="30.5546875" customWidth="1"/>
    <col min="4" max="4" width="18.6640625" customWidth="1"/>
    <col min="5" max="5" width="54.33203125" customWidth="1"/>
    <col min="6" max="6" width="44.8867187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5166</v>
      </c>
      <c r="B2" s="2" t="s">
        <v>980</v>
      </c>
      <c r="C2" s="3" t="s">
        <v>1002</v>
      </c>
      <c r="D2" s="2" t="str">
        <f>CONCATENATE(HYPERLINK("CALLTO:%2B356%202741%208713", "+356 2741 8713"))</f>
        <v>+356 2741 8713</v>
      </c>
      <c r="E2" s="3" t="s">
        <v>5226</v>
      </c>
      <c r="F2" s="3" t="s">
        <v>5231</v>
      </c>
    </row>
    <row r="3" spans="1:6" x14ac:dyDescent="0.3">
      <c r="A3" s="4" t="s">
        <v>5166</v>
      </c>
      <c r="B3" s="4" t="s">
        <v>5169</v>
      </c>
      <c r="C3" s="5" t="s">
        <v>5202</v>
      </c>
      <c r="D3" s="4" t="str">
        <f>CONCATENATE(HYPERLINK("CALLTO:%2B356%209982%200714", "+356 9982 0714"))</f>
        <v>+356 9982 0714</v>
      </c>
      <c r="E3" s="5" t="s">
        <v>5227</v>
      </c>
      <c r="F3" s="5" t="s">
        <v>5232</v>
      </c>
    </row>
    <row r="4" spans="1:6" x14ac:dyDescent="0.3">
      <c r="A4" s="2" t="s">
        <v>5166</v>
      </c>
      <c r="B4" s="2" t="s">
        <v>5170</v>
      </c>
      <c r="C4" s="3" t="s">
        <v>796</v>
      </c>
      <c r="D4" s="2" t="str">
        <f>CONCATENATE(HYPERLINK("CALLTO:%2B356%207777%201522", "+356 7777 1522"))</f>
        <v>+356 7777 1522</v>
      </c>
      <c r="E4" s="3" t="s">
        <v>5228</v>
      </c>
      <c r="F4" s="2"/>
    </row>
    <row r="5" spans="1:6" x14ac:dyDescent="0.3">
      <c r="A5" s="4" t="s">
        <v>5166</v>
      </c>
      <c r="B5" s="4" t="s">
        <v>5171</v>
      </c>
      <c r="C5" s="5" t="s">
        <v>3099</v>
      </c>
      <c r="D5" s="4" t="str">
        <f>CONCATENATE(HYPERLINK("CALLTO:%2B356%209956%202994", "+356 9956 2994"))</f>
        <v>+356 9956 2994</v>
      </c>
      <c r="E5" s="5" t="s">
        <v>5229</v>
      </c>
      <c r="F5" s="4"/>
    </row>
    <row r="6" spans="1:6" x14ac:dyDescent="0.3">
      <c r="A6" s="2" t="s">
        <v>5166</v>
      </c>
      <c r="B6" s="2" t="s">
        <v>5172</v>
      </c>
      <c r="C6" s="3" t="s">
        <v>3100</v>
      </c>
      <c r="D6" s="2" t="str">
        <f>CONCATENATE(HYPERLINK("CALLTO:%2B356%209958%204175", "+356 9958 4175"))</f>
        <v>+356 9958 4175</v>
      </c>
      <c r="E6" s="3" t="s">
        <v>4915</v>
      </c>
      <c r="F6" s="2"/>
    </row>
    <row r="7" spans="1:6" x14ac:dyDescent="0.3">
      <c r="A7" s="4" t="s">
        <v>5168</v>
      </c>
      <c r="B7" s="4" t="s">
        <v>5173</v>
      </c>
      <c r="C7" s="5" t="s">
        <v>5203</v>
      </c>
      <c r="D7" s="4" t="str">
        <f>CONCATENATE(HYPERLINK("CALLTO:%2B356%207936%205191", "+356 7936 5191"))</f>
        <v>+356 7936 5191</v>
      </c>
      <c r="E7" s="4"/>
      <c r="F7" s="4"/>
    </row>
    <row r="8" spans="1:6" x14ac:dyDescent="0.3">
      <c r="A8" s="2" t="s">
        <v>5166</v>
      </c>
      <c r="B8" s="2" t="s">
        <v>5174</v>
      </c>
      <c r="C8" s="3" t="s">
        <v>5204</v>
      </c>
      <c r="D8" s="2" t="str">
        <f>CONCATENATE(HYPERLINK("CALLTO:%2B356%209996%202709", "+356 9996 2709"))</f>
        <v>+356 9996 2709</v>
      </c>
      <c r="E8" s="2"/>
      <c r="F8" s="2"/>
    </row>
    <row r="9" spans="1:6" x14ac:dyDescent="0.3">
      <c r="A9" s="4" t="s">
        <v>5168</v>
      </c>
      <c r="B9" s="4" t="s">
        <v>5175</v>
      </c>
      <c r="C9" s="5" t="s">
        <v>4232</v>
      </c>
      <c r="D9" s="4" t="str">
        <f>CONCATENATE(HYPERLINK("CALLTO:%2B356%202740%201923", "+356 2740 1923"))</f>
        <v>+356 2740 1923</v>
      </c>
      <c r="E9" s="4"/>
      <c r="F9" s="4"/>
    </row>
    <row r="10" spans="1:6" x14ac:dyDescent="0.3">
      <c r="A10" s="2" t="s">
        <v>5168</v>
      </c>
      <c r="B10" s="2" t="s">
        <v>5176</v>
      </c>
      <c r="C10" s="3" t="s">
        <v>5205</v>
      </c>
      <c r="D10" s="2" t="str">
        <f>CONCATENATE(HYPERLINK("CALLTO:%2B356%209972%203789", "+356 9972 3789"))</f>
        <v>+356 9972 3789</v>
      </c>
      <c r="E10" s="2"/>
      <c r="F10" s="2"/>
    </row>
    <row r="11" spans="1:6" x14ac:dyDescent="0.3">
      <c r="A11" s="4" t="s">
        <v>5166</v>
      </c>
      <c r="B11" s="4" t="s">
        <v>5177</v>
      </c>
      <c r="C11" s="5" t="s">
        <v>5206</v>
      </c>
      <c r="D11" s="4"/>
      <c r="E11" s="4"/>
      <c r="F11" s="4"/>
    </row>
    <row r="12" spans="1:6" x14ac:dyDescent="0.3">
      <c r="A12" s="2" t="s">
        <v>5166</v>
      </c>
      <c r="B12" s="2" t="s">
        <v>5179</v>
      </c>
      <c r="C12" s="3" t="s">
        <v>5207</v>
      </c>
      <c r="D12" s="2"/>
      <c r="E12" s="2"/>
      <c r="F12" s="2"/>
    </row>
    <row r="13" spans="1:6" x14ac:dyDescent="0.3">
      <c r="A13" s="4" t="s">
        <v>5166</v>
      </c>
      <c r="B13" s="4" t="s">
        <v>3194</v>
      </c>
      <c r="C13" s="5" t="s">
        <v>3202</v>
      </c>
      <c r="D13" s="4"/>
      <c r="E13" s="4"/>
      <c r="F13" s="4"/>
    </row>
    <row r="14" spans="1:6" x14ac:dyDescent="0.3">
      <c r="A14" s="2" t="s">
        <v>5166</v>
      </c>
      <c r="B14" s="2" t="s">
        <v>5178</v>
      </c>
      <c r="C14" s="3" t="s">
        <v>5208</v>
      </c>
      <c r="D14" s="2"/>
      <c r="E14" s="2"/>
      <c r="F14" s="2"/>
    </row>
    <row r="15" spans="1:6" x14ac:dyDescent="0.3">
      <c r="A15" s="4" t="s">
        <v>5168</v>
      </c>
      <c r="B15" s="4" t="s">
        <v>5180</v>
      </c>
      <c r="C15" s="5" t="s">
        <v>794</v>
      </c>
      <c r="D15" s="4"/>
      <c r="E15" s="4"/>
      <c r="F15" s="4"/>
    </row>
    <row r="16" spans="1:6" x14ac:dyDescent="0.3">
      <c r="A16" s="2" t="s">
        <v>5168</v>
      </c>
      <c r="B16" s="2" t="s">
        <v>5181</v>
      </c>
      <c r="C16" s="3" t="s">
        <v>5209</v>
      </c>
      <c r="D16" s="2"/>
      <c r="E16" s="2"/>
      <c r="F16" s="2"/>
    </row>
    <row r="17" spans="1:6" x14ac:dyDescent="0.3">
      <c r="A17" s="4" t="s">
        <v>5168</v>
      </c>
      <c r="B17" s="4" t="s">
        <v>5182</v>
      </c>
      <c r="C17" s="5" t="s">
        <v>5210</v>
      </c>
      <c r="D17" s="4"/>
      <c r="E17" s="4"/>
      <c r="F17" s="4"/>
    </row>
    <row r="18" spans="1:6" x14ac:dyDescent="0.3">
      <c r="A18" s="2" t="s">
        <v>5168</v>
      </c>
      <c r="B18" s="2" t="s">
        <v>5183</v>
      </c>
      <c r="C18" s="3" t="s">
        <v>1014</v>
      </c>
      <c r="D18" s="2"/>
      <c r="E18" s="2"/>
      <c r="F18" s="2"/>
    </row>
    <row r="19" spans="1:6" x14ac:dyDescent="0.3">
      <c r="A19" s="4" t="s">
        <v>5168</v>
      </c>
      <c r="B19" s="4" t="s">
        <v>3300</v>
      </c>
      <c r="C19" s="5" t="s">
        <v>3051</v>
      </c>
      <c r="D19" s="4"/>
      <c r="E19" s="4"/>
      <c r="F19" s="4"/>
    </row>
    <row r="20" spans="1:6" x14ac:dyDescent="0.3">
      <c r="A20" s="2" t="s">
        <v>5168</v>
      </c>
      <c r="B20" s="2" t="s">
        <v>5184</v>
      </c>
      <c r="C20" s="3" t="s">
        <v>123</v>
      </c>
      <c r="D20" s="2"/>
      <c r="E20" s="2"/>
      <c r="F20" s="2"/>
    </row>
    <row r="21" spans="1:6" x14ac:dyDescent="0.3">
      <c r="A21" s="4" t="s">
        <v>5168</v>
      </c>
      <c r="B21" s="4" t="s">
        <v>98</v>
      </c>
      <c r="C21" s="5" t="s">
        <v>1019</v>
      </c>
      <c r="D21" s="4"/>
      <c r="E21" s="4"/>
      <c r="F21" s="4"/>
    </row>
    <row r="22" spans="1:6" x14ac:dyDescent="0.3">
      <c r="A22" s="2" t="s">
        <v>5168</v>
      </c>
      <c r="B22" s="2" t="s">
        <v>1067</v>
      </c>
      <c r="C22" s="3" t="s">
        <v>4945</v>
      </c>
      <c r="D22" s="2"/>
      <c r="E22" s="2"/>
      <c r="F22" s="2"/>
    </row>
    <row r="23" spans="1:6" x14ac:dyDescent="0.3">
      <c r="A23" s="4" t="s">
        <v>5168</v>
      </c>
      <c r="B23" s="4" t="s">
        <v>3306</v>
      </c>
      <c r="C23" s="5" t="s">
        <v>4107</v>
      </c>
      <c r="D23" s="4"/>
      <c r="E23" s="4"/>
      <c r="F23" s="4"/>
    </row>
    <row r="24" spans="1:6" x14ac:dyDescent="0.3">
      <c r="A24" s="2" t="s">
        <v>5168</v>
      </c>
      <c r="B24" s="2" t="s">
        <v>5185</v>
      </c>
      <c r="C24" s="3" t="s">
        <v>5211</v>
      </c>
      <c r="D24" s="2"/>
      <c r="E24" s="2"/>
      <c r="F24" s="2"/>
    </row>
    <row r="25" spans="1:6" x14ac:dyDescent="0.3">
      <c r="A25" s="4" t="s">
        <v>5168</v>
      </c>
      <c r="B25" s="4" t="s">
        <v>5186</v>
      </c>
      <c r="C25" s="5" t="s">
        <v>5212</v>
      </c>
      <c r="D25" s="4"/>
      <c r="E25" s="4"/>
      <c r="F25" s="4"/>
    </row>
    <row r="26" spans="1:6" x14ac:dyDescent="0.3">
      <c r="A26" s="2" t="s">
        <v>5166</v>
      </c>
      <c r="B26" s="2" t="s">
        <v>5187</v>
      </c>
      <c r="C26" s="3" t="s">
        <v>5213</v>
      </c>
      <c r="D26" s="2"/>
      <c r="E26" s="2"/>
      <c r="F26" s="2"/>
    </row>
    <row r="27" spans="1:6" x14ac:dyDescent="0.3">
      <c r="A27" s="4" t="s">
        <v>5166</v>
      </c>
      <c r="B27" s="4" t="s">
        <v>5188</v>
      </c>
      <c r="C27" s="5" t="s">
        <v>5214</v>
      </c>
      <c r="D27" s="4"/>
      <c r="E27" s="4"/>
      <c r="F27" s="4"/>
    </row>
    <row r="28" spans="1:6" x14ac:dyDescent="0.3">
      <c r="A28" s="2" t="s">
        <v>5168</v>
      </c>
      <c r="B28" s="2" t="s">
        <v>5189</v>
      </c>
      <c r="C28" s="3" t="s">
        <v>3054</v>
      </c>
      <c r="D28" s="2"/>
      <c r="E28" s="2"/>
      <c r="F28" s="2"/>
    </row>
    <row r="29" spans="1:6" x14ac:dyDescent="0.3">
      <c r="A29" s="4" t="s">
        <v>5168</v>
      </c>
      <c r="B29" s="4" t="s">
        <v>5190</v>
      </c>
      <c r="C29" s="5" t="s">
        <v>5215</v>
      </c>
      <c r="D29" s="4"/>
      <c r="E29" s="4"/>
      <c r="F29" s="4"/>
    </row>
    <row r="30" spans="1:6" x14ac:dyDescent="0.3">
      <c r="A30" s="2" t="s">
        <v>5168</v>
      </c>
      <c r="B30" s="2" t="s">
        <v>5191</v>
      </c>
      <c r="C30" s="3" t="s">
        <v>5216</v>
      </c>
      <c r="D30" s="2"/>
      <c r="E30" s="2"/>
      <c r="F30" s="2"/>
    </row>
    <row r="31" spans="1:6" x14ac:dyDescent="0.3">
      <c r="A31" s="4" t="s">
        <v>5168</v>
      </c>
      <c r="B31" s="4" t="s">
        <v>5192</v>
      </c>
      <c r="C31" s="5" t="s">
        <v>5217</v>
      </c>
      <c r="D31" s="4"/>
      <c r="E31" s="4"/>
      <c r="F31" s="4"/>
    </row>
    <row r="32" spans="1:6" x14ac:dyDescent="0.3">
      <c r="A32" s="2" t="s">
        <v>5166</v>
      </c>
      <c r="B32" s="2" t="s">
        <v>5193</v>
      </c>
      <c r="C32" s="3" t="s">
        <v>5218</v>
      </c>
      <c r="D32" s="2"/>
      <c r="E32" s="2"/>
      <c r="F32" s="2"/>
    </row>
    <row r="33" spans="1:6" x14ac:dyDescent="0.3">
      <c r="A33" s="4" t="s">
        <v>5168</v>
      </c>
      <c r="B33" s="4" t="s">
        <v>5194</v>
      </c>
      <c r="C33" s="5" t="s">
        <v>5219</v>
      </c>
      <c r="D33" s="4"/>
      <c r="E33" s="4"/>
      <c r="F33" s="4"/>
    </row>
    <row r="34" spans="1:6" x14ac:dyDescent="0.3">
      <c r="A34" s="2" t="s">
        <v>5168</v>
      </c>
      <c r="B34" s="2" t="s">
        <v>5196</v>
      </c>
      <c r="C34" s="3" t="s">
        <v>5220</v>
      </c>
      <c r="D34" s="2"/>
      <c r="E34" s="2"/>
      <c r="F34" s="2"/>
    </row>
    <row r="35" spans="1:6" x14ac:dyDescent="0.3">
      <c r="A35" s="4" t="s">
        <v>5166</v>
      </c>
      <c r="B35" s="4" t="s">
        <v>5195</v>
      </c>
      <c r="C35" s="5" t="s">
        <v>5221</v>
      </c>
      <c r="D35" s="4"/>
      <c r="E35" s="4"/>
      <c r="F35" s="4"/>
    </row>
    <row r="36" spans="1:6" x14ac:dyDescent="0.3">
      <c r="A36" s="2" t="s">
        <v>5166</v>
      </c>
      <c r="B36" s="2" t="s">
        <v>5197</v>
      </c>
      <c r="C36" s="3" t="s">
        <v>5222</v>
      </c>
      <c r="D36" s="2"/>
      <c r="E36" s="2"/>
      <c r="F36" s="2"/>
    </row>
    <row r="37" spans="1:6" x14ac:dyDescent="0.3">
      <c r="A37" s="4" t="s">
        <v>5166</v>
      </c>
      <c r="B37" s="4" t="s">
        <v>5198</v>
      </c>
      <c r="C37" s="5" t="s">
        <v>1009</v>
      </c>
      <c r="D37" s="4"/>
      <c r="E37" s="4"/>
      <c r="F37" s="4"/>
    </row>
    <row r="38" spans="1:6" x14ac:dyDescent="0.3">
      <c r="A38" s="2" t="s">
        <v>5166</v>
      </c>
      <c r="B38" s="2" t="s">
        <v>987</v>
      </c>
      <c r="C38" s="3" t="s">
        <v>5223</v>
      </c>
      <c r="D38" s="2"/>
      <c r="E38" s="2"/>
      <c r="F38" s="2"/>
    </row>
    <row r="39" spans="1:6" x14ac:dyDescent="0.3">
      <c r="A39" s="4" t="s">
        <v>5166</v>
      </c>
      <c r="B39" s="4" t="s">
        <v>5199</v>
      </c>
      <c r="C39" s="5" t="s">
        <v>5224</v>
      </c>
      <c r="D39" s="4"/>
      <c r="E39" s="4"/>
      <c r="F39" s="4"/>
    </row>
    <row r="40" spans="1:6" x14ac:dyDescent="0.3">
      <c r="A40" s="2" t="s">
        <v>5168</v>
      </c>
      <c r="B40" s="2" t="s">
        <v>5200</v>
      </c>
      <c r="C40" s="3" t="s">
        <v>5225</v>
      </c>
      <c r="D40" s="2"/>
      <c r="E40" s="2"/>
      <c r="F40" s="2"/>
    </row>
    <row r="41" spans="1:6" x14ac:dyDescent="0.3">
      <c r="A41" s="4" t="s">
        <v>5166</v>
      </c>
      <c r="B41" s="4" t="s">
        <v>5201</v>
      </c>
      <c r="C41" s="4"/>
      <c r="D41" s="4"/>
      <c r="E41" s="4"/>
      <c r="F41" s="4"/>
    </row>
  </sheetData>
  <hyperlinks>
    <hyperlink ref="C2" r:id="rId1" tooltip="Send a mail to cagypsum@onvol.net" xr:uid="{00000000-0004-0000-5700-000000000000}"/>
    <hyperlink ref="C3" r:id="rId2" tooltip="Send a mail to darrensb@hotmail.co.uk" xr:uid="{00000000-0004-0000-5700-000001000000}"/>
    <hyperlink ref="C4" r:id="rId3" tooltip="Send a mail to contact@kibitec.com" xr:uid="{00000000-0004-0000-5700-000002000000}"/>
    <hyperlink ref="C5" r:id="rId4" tooltip="Send a mail to malta.tiling@gmail.com" xr:uid="{00000000-0004-0000-5700-000003000000}"/>
    <hyperlink ref="C6" r:id="rId5" tooltip="Send a mail to siamnd1985@gmail.com" xr:uid="{00000000-0004-0000-5700-000004000000}"/>
    <hyperlink ref="C7" r:id="rId6" tooltip="Send a mail to sunnyabdilla@yahoo.com" xr:uid="{00000000-0004-0000-5700-000005000000}"/>
    <hyperlink ref="C8" r:id="rId7" tooltip="Send a mail to gattjason76@gmail.com" xr:uid="{00000000-0004-0000-5700-000006000000}"/>
    <hyperlink ref="C9" r:id="rId8" tooltip="Send a mail to curmijonathan@gmail.com" xr:uid="{00000000-0004-0000-5700-000007000000}"/>
    <hyperlink ref="C10" r:id="rId9" tooltip="Send a mail to walldonegozo@gmail.com" xr:uid="{00000000-0004-0000-5700-000008000000}"/>
    <hyperlink ref="C11" r:id="rId10" tooltip="Send a mail to oscardebono@hotmail.com" xr:uid="{00000000-0004-0000-5700-000009000000}"/>
    <hyperlink ref="C12" r:id="rId11" tooltip="Send a mail to Ghazi.zedan@gmail.com" xr:uid="{00000000-0004-0000-5700-00000A000000}"/>
    <hyperlink ref="C13" r:id="rId12" tooltip="Send a mail to tcj@mbm.com.mt" xr:uid="{00000000-0004-0000-5700-00000B000000}"/>
    <hyperlink ref="C14" r:id="rId13" tooltip="Send a mail to alibodhir@yahoo.co.uk" xr:uid="{00000000-0004-0000-5700-00000C000000}"/>
    <hyperlink ref="C15" r:id="rId14" tooltip="Send a mail to clintsaliba3@gmail.com" xr:uid="{00000000-0004-0000-5700-00000D000000}"/>
    <hyperlink ref="C16" r:id="rId15" tooltip="Send a mail to hello@gypsumworks-malta.com" xr:uid="{00000000-0004-0000-5700-00000E000000}"/>
    <hyperlink ref="C17" r:id="rId16" tooltip="Send a mail to galeasupplies@gmail.com" xr:uid="{00000000-0004-0000-5700-00000F000000}"/>
    <hyperlink ref="C18" r:id="rId17" tooltip="Send a mail to info@mbfmalta.com" xr:uid="{00000000-0004-0000-5700-000010000000}"/>
    <hyperlink ref="C19" r:id="rId18" tooltip="Send a mail to info@rainbowlimited.com" xr:uid="{00000000-0004-0000-5700-000011000000}"/>
    <hyperlink ref="C20" r:id="rId19" tooltip="Send a mail to info@wsinstallations.com" xr:uid="{00000000-0004-0000-5700-000012000000}"/>
    <hyperlink ref="C21" r:id="rId20" tooltip="Send a mail to xil@xuerebinstall.com" xr:uid="{00000000-0004-0000-5700-000013000000}"/>
    <hyperlink ref="C22" r:id="rId21" tooltip="Send a mail to info@ptk.mt" xr:uid="{00000000-0004-0000-5700-000014000000}"/>
    <hyperlink ref="C23" r:id="rId22" tooltip="Send a mail to hamody.zedan00@gmail.com" xr:uid="{00000000-0004-0000-5700-000015000000}"/>
    <hyperlink ref="C24" r:id="rId23" tooltip="Send a mail to doriantheuma@yahoo.com" xr:uid="{00000000-0004-0000-5700-000016000000}"/>
    <hyperlink ref="C25" r:id="rId24" tooltip="Send a mail to roderickmicallef1993@gmail.com" xr:uid="{00000000-0004-0000-5700-000017000000}"/>
    <hyperlink ref="C26" r:id="rId25" tooltip="Send a mail to alexcalafato@live.com" xr:uid="{00000000-0004-0000-5700-000018000000}"/>
    <hyperlink ref="C27" r:id="rId26" tooltip="Send a mail to japlastering@gmail.com" xr:uid="{00000000-0004-0000-5700-000019000000}"/>
    <hyperlink ref="C28" r:id="rId27" tooltip="Send a mail to wayne_7489@msn.com" xr:uid="{00000000-0004-0000-5700-00001A000000}"/>
    <hyperlink ref="C29" r:id="rId28" tooltip="Send a mail to rp_plastering@hotmail.com" xr:uid="{00000000-0004-0000-5700-00001B000000}"/>
    <hyperlink ref="C30" r:id="rId29" tooltip="Send a mail to Josefborg2009@hotmail.com" xr:uid="{00000000-0004-0000-5700-00001C000000}"/>
    <hyperlink ref="C31" r:id="rId30" tooltip="Send a mail to mhmdbdallh72544@gmail.com" xr:uid="{00000000-0004-0000-5700-00001D000000}"/>
    <hyperlink ref="C32" r:id="rId31" tooltip="Send a mail to rmgypsumworks@gmail.com" xr:uid="{00000000-0004-0000-5700-00001E000000}"/>
    <hyperlink ref="C33" r:id="rId32" tooltip="Send a mail to EdutzuDutzu@gmail.com" xr:uid="{00000000-0004-0000-5700-00001F000000}"/>
    <hyperlink ref="C34" r:id="rId33" tooltip="Send a mail to alihamza44500@gmail.com" xr:uid="{00000000-0004-0000-5700-000020000000}"/>
    <hyperlink ref="C35" r:id="rId34" tooltip="Send a mail to Clydespiteri123@gmail.com" xr:uid="{00000000-0004-0000-5700-000021000000}"/>
    <hyperlink ref="C36" r:id="rId35" tooltip="Send a mail to briangrech@hotmail.com" xr:uid="{00000000-0004-0000-5700-000022000000}"/>
    <hyperlink ref="C37" r:id="rId36" tooltip="Send a mail to grimainteriors@hotmail.com" xr:uid="{00000000-0004-0000-5700-000023000000}"/>
    <hyperlink ref="C38" r:id="rId37" tooltip="Send a mail to galeapainters@gmail.com" xr:uid="{00000000-0004-0000-5700-000024000000}"/>
    <hyperlink ref="C39" r:id="rId38" tooltip="Send a mail to emadcmf@gmail.com" xr:uid="{00000000-0004-0000-5700-000025000000}"/>
    <hyperlink ref="C40" r:id="rId39" tooltip="Send a mail to damianfava27@gmail.com" xr:uid="{00000000-0004-0000-5700-000026000000}"/>
    <hyperlink ref="E2" r:id="rId40" tooltip="Search 44, Triq V Boron, Naxxar NXR 1862, Malta on Google Maps" xr:uid="{00000000-0004-0000-5700-000027000000}"/>
    <hyperlink ref="E3" r:id="rId41" tooltip="Search 47/1 Sqaq Tomna, San Ġwann, Malta on Google Maps" xr:uid="{00000000-0004-0000-5700-000028000000}"/>
    <hyperlink ref="E4" r:id="rId42" tooltip="Search Antreas', Triq Pietru Saliba, Ħal Luqa, Malta on Google Maps" xr:uid="{00000000-0004-0000-5700-000029000000}"/>
    <hyperlink ref="E5" r:id="rId43" tooltip="Search 32, Redeemer, Triq Ta' Masrija, Il-Mellieħa, Malta MLH 1637 on Google Maps" xr:uid="{00000000-0004-0000-5700-00002A000000}"/>
    <hyperlink ref="E6" r:id="rId44" tooltip="Search Qormi, Malta on Google Maps" xr:uid="{00000000-0004-0000-5700-00002B000000}"/>
    <hyperlink ref="F2" r:id="rId45" tooltip="Visit gattjason.com" xr:uid="{00000000-0004-0000-5700-00002C000000}"/>
    <hyperlink ref="F3" r:id="rId46" tooltip="Visit facebook.com/zedanconstructionandplastering/" xr:uid="{00000000-0004-0000-5700-00002D000000}"/>
  </hyperlinks>
  <pageMargins left="0.75" right="0.75" top="0.75" bottom="0.5" header="0.5" footer="0.7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13"/>
  <sheetViews>
    <sheetView workbookViewId="0"/>
  </sheetViews>
  <sheetFormatPr defaultRowHeight="14.4" x14ac:dyDescent="0.3"/>
  <cols>
    <col min="1" max="1" width="13" customWidth="1"/>
    <col min="2" max="2" width="25.5546875" customWidth="1"/>
    <col min="3" max="3" width="27.6640625" customWidth="1"/>
    <col min="4" max="4" width="18.6640625" customWidth="1"/>
    <col min="5" max="5" width="36.88671875" customWidth="1"/>
    <col min="6" max="6" width="35.33203125" customWidth="1"/>
  </cols>
  <sheetData>
    <row r="1" spans="1:6" ht="18" x14ac:dyDescent="0.35">
      <c r="A1" s="1" t="s">
        <v>5384</v>
      </c>
      <c r="B1" s="1" t="s">
        <v>2196</v>
      </c>
      <c r="C1" s="1" t="s">
        <v>507</v>
      </c>
      <c r="D1" s="1" t="s">
        <v>525</v>
      </c>
      <c r="E1" s="1" t="s">
        <v>5386</v>
      </c>
      <c r="F1" s="1" t="s">
        <v>532</v>
      </c>
    </row>
    <row r="2" spans="1:6" x14ac:dyDescent="0.3">
      <c r="A2" s="2" t="s">
        <v>5230</v>
      </c>
      <c r="B2" s="2" t="s">
        <v>4077</v>
      </c>
      <c r="C2" s="3" t="s">
        <v>4094</v>
      </c>
      <c r="D2" s="2" t="str">
        <f>CONCATENATE(HYPERLINK("CALLTO:%2B356%209982%205993", "+356 9982 5993"))</f>
        <v>+356 9982 5993</v>
      </c>
      <c r="E2" s="3" t="s">
        <v>4119</v>
      </c>
      <c r="F2" s="3" t="s">
        <v>5249</v>
      </c>
    </row>
    <row r="3" spans="1:6" x14ac:dyDescent="0.3">
      <c r="A3" s="4" t="s">
        <v>5230</v>
      </c>
      <c r="B3" s="4" t="s">
        <v>5233</v>
      </c>
      <c r="C3" s="5" t="s">
        <v>5241</v>
      </c>
      <c r="D3" s="4" t="str">
        <f>CONCATENATE(HYPERLINK("CALLTO:%2B356%207701%203328", "+356 7701 3328"))</f>
        <v>+356 7701 3328</v>
      </c>
      <c r="E3" s="5" t="s">
        <v>5248</v>
      </c>
      <c r="F3" s="5" t="s">
        <v>5250</v>
      </c>
    </row>
    <row r="4" spans="1:6" x14ac:dyDescent="0.3">
      <c r="A4" s="2" t="s">
        <v>5230</v>
      </c>
      <c r="B4" s="2" t="s">
        <v>766</v>
      </c>
      <c r="C4" s="3" t="s">
        <v>796</v>
      </c>
      <c r="D4" s="2" t="str">
        <f>CONCATENATE(HYPERLINK("CALLTO:%2B356%207777%201522", "+356 7777 1522"))</f>
        <v>+356 7777 1522</v>
      </c>
      <c r="E4" s="2"/>
      <c r="F4" s="3" t="s">
        <v>5251</v>
      </c>
    </row>
    <row r="5" spans="1:6" x14ac:dyDescent="0.3">
      <c r="A5" s="4" t="s">
        <v>5230</v>
      </c>
      <c r="B5" s="4" t="s">
        <v>5234</v>
      </c>
      <c r="C5" s="5" t="s">
        <v>5242</v>
      </c>
      <c r="D5" s="4" t="str">
        <f>CONCATENATE(HYPERLINK("CALLTO:%2B356%209970%201286", "+356 9970 1286"))</f>
        <v>+356 9970 1286</v>
      </c>
      <c r="E5" s="4"/>
      <c r="F5" s="5" t="s">
        <v>5252</v>
      </c>
    </row>
    <row r="6" spans="1:6" x14ac:dyDescent="0.3">
      <c r="A6" s="2" t="s">
        <v>5230</v>
      </c>
      <c r="B6" s="2" t="s">
        <v>3198</v>
      </c>
      <c r="C6" s="3" t="s">
        <v>5243</v>
      </c>
      <c r="D6" s="2" t="str">
        <f>CONCATENATE(HYPERLINK("CALLTO:%2B356%207929%204977", "+356 7929 4977"))</f>
        <v>+356 7929 4977</v>
      </c>
      <c r="E6" s="2"/>
      <c r="F6" s="3" t="s">
        <v>4140</v>
      </c>
    </row>
    <row r="7" spans="1:6" x14ac:dyDescent="0.3">
      <c r="A7" s="4" t="s">
        <v>5230</v>
      </c>
      <c r="B7" s="4" t="s">
        <v>5235</v>
      </c>
      <c r="C7" s="5" t="s">
        <v>4095</v>
      </c>
      <c r="D7" s="4" t="str">
        <f>CONCATENATE(HYPERLINK("CALLTO:%2B356%209916%201605", "+356 9916 1605"))</f>
        <v>+356 9916 1605</v>
      </c>
      <c r="E7" s="4"/>
      <c r="F7" s="4"/>
    </row>
    <row r="8" spans="1:6" x14ac:dyDescent="0.3">
      <c r="A8" s="2" t="s">
        <v>5230</v>
      </c>
      <c r="B8" s="2" t="s">
        <v>5236</v>
      </c>
      <c r="C8" s="3" t="s">
        <v>5244</v>
      </c>
      <c r="D8" s="2" t="str">
        <f>CONCATENATE(HYPERLINK("CALLTO:%2B356%209911%209657", "+356 9911 9657"))</f>
        <v>+356 9911 9657</v>
      </c>
      <c r="E8" s="2"/>
      <c r="F8" s="2"/>
    </row>
    <row r="9" spans="1:6" x14ac:dyDescent="0.3">
      <c r="A9" s="4" t="s">
        <v>5230</v>
      </c>
      <c r="B9" s="4" t="s">
        <v>5237</v>
      </c>
      <c r="C9" s="5" t="s">
        <v>5245</v>
      </c>
      <c r="D9" s="4" t="str">
        <f>CONCATENATE(HYPERLINK("CALLTO:%2B356%209936%205497", "+356 9936 5497"))</f>
        <v>+356 9936 5497</v>
      </c>
      <c r="E9" s="4"/>
      <c r="F9" s="4"/>
    </row>
    <row r="10" spans="1:6" x14ac:dyDescent="0.3">
      <c r="A10" s="2" t="s">
        <v>5230</v>
      </c>
      <c r="B10" s="2" t="s">
        <v>5238</v>
      </c>
      <c r="C10" s="3" t="s">
        <v>5246</v>
      </c>
      <c r="D10" s="2" t="str">
        <f>CONCATENATE(HYPERLINK("CALLTO:%2B356%209900%206025", "+356 9900 6025"))</f>
        <v>+356 9900 6025</v>
      </c>
      <c r="E10" s="2"/>
      <c r="F10" s="2"/>
    </row>
    <row r="11" spans="1:6" x14ac:dyDescent="0.3">
      <c r="A11" s="4" t="s">
        <v>5230</v>
      </c>
      <c r="B11" s="4" t="s">
        <v>5239</v>
      </c>
      <c r="C11" s="5" t="s">
        <v>858</v>
      </c>
      <c r="D11" s="4" t="str">
        <f>CONCATENATE(HYPERLINK("CALLTO:%2B356%209946%208622", "+356 9946 8622"))</f>
        <v>+356 9946 8622</v>
      </c>
      <c r="E11" s="4"/>
      <c r="F11" s="4"/>
    </row>
    <row r="12" spans="1:6" x14ac:dyDescent="0.3">
      <c r="A12" s="2" t="s">
        <v>5230</v>
      </c>
      <c r="B12" s="2" t="s">
        <v>5240</v>
      </c>
      <c r="C12" s="3" t="s">
        <v>3235</v>
      </c>
      <c r="D12" s="2" t="str">
        <f>CONCATENATE(HYPERLINK("CALLTO:%2B356%209927%204185", "+356 9927 4185"))</f>
        <v>+356 9927 4185</v>
      </c>
      <c r="E12" s="2"/>
      <c r="F12" s="2"/>
    </row>
    <row r="13" spans="1:6" x14ac:dyDescent="0.3">
      <c r="A13" s="4" t="s">
        <v>5230</v>
      </c>
      <c r="B13" s="4" t="s">
        <v>3228</v>
      </c>
      <c r="C13" s="4"/>
      <c r="D13" s="4"/>
      <c r="E13" s="4"/>
      <c r="F13" s="4"/>
    </row>
  </sheetData>
  <hyperlinks>
    <hyperlink ref="C2" r:id="rId1" tooltip="Send a mail to info@keycontractors.com.mt" xr:uid="{00000000-0004-0000-5800-000000000000}"/>
    <hyperlink ref="C3" r:id="rId2" tooltip="Send a mail to decofinishesmt@gmail.com" xr:uid="{00000000-0004-0000-5800-000001000000}"/>
    <hyperlink ref="C4" r:id="rId3" tooltip="Send a mail to contact@kibitec.com" xr:uid="{00000000-0004-0000-5800-000002000000}"/>
    <hyperlink ref="C5" r:id="rId4" tooltip="Send a mail to protilingmalta@gmail.com" xr:uid="{00000000-0004-0000-5800-000003000000}"/>
    <hyperlink ref="C6" r:id="rId5" tooltip="Send a mail to pronesti@mail.com" xr:uid="{00000000-0004-0000-5800-000004000000}"/>
    <hyperlink ref="C7" r:id="rId6" tooltip="Send a mail to info@csprojects.com.mt" xr:uid="{00000000-0004-0000-5800-000005000000}"/>
    <hyperlink ref="C8" r:id="rId7" tooltip="Send a mail to dwtinstallations@gmail.com" xr:uid="{00000000-0004-0000-5800-000006000000}"/>
    <hyperlink ref="C9" r:id="rId8" tooltip="Send a mail to dean.bonello29@gmail.com" xr:uid="{00000000-0004-0000-5800-000007000000}"/>
    <hyperlink ref="C10" r:id="rId9" tooltip="Send a mail to gypsumwizards@gmail.com" xr:uid="{00000000-0004-0000-5800-000008000000}"/>
    <hyperlink ref="C11" r:id="rId10" tooltip="Send a mail to info@radosystems.eu" xr:uid="{00000000-0004-0000-5800-000009000000}"/>
    <hyperlink ref="C12" r:id="rId11" tooltip="Send a mail to info@Fodha.mt" xr:uid="{00000000-0004-0000-5800-00000A000000}"/>
    <hyperlink ref="E2" r:id="rId12" tooltip="Search Trejqet Isouard_x000a_Marsa MRS 2020_x000a_Malta on Google Maps" xr:uid="{00000000-0004-0000-5800-00000B000000}"/>
    <hyperlink ref="E3" r:id="rId13" tooltip="Search 25, Triq Il-Muzika, L-Iklin, Malta, IKL1091 on Google Maps" xr:uid="{00000000-0004-0000-5800-00000C000000}"/>
    <hyperlink ref="F2" r:id="rId14" tooltip="Visit keycontractors.com.mt/contact-us/" xr:uid="{00000000-0004-0000-5800-00000D000000}"/>
    <hyperlink ref="F3" r:id="rId15" tooltip="Visit microcementmalta.com/contact-us" xr:uid="{00000000-0004-0000-5800-00000E000000}"/>
    <hyperlink ref="F4" r:id="rId16" tooltip="Visit kibitec.com/contact-us/" xr:uid="{00000000-0004-0000-5800-00000F000000}"/>
    <hyperlink ref="F5" r:id="rId17" tooltip="Visit facebook.com/customconcretemalta/" xr:uid="{00000000-0004-0000-5800-000010000000}"/>
    <hyperlink ref="F6" r:id="rId18" tooltip="Visit csgrouplimited.com/" xr:uid="{00000000-0004-0000-5800-000011000000}"/>
  </hyperlinks>
  <pageMargins left="0.75" right="0.75" top="0.75" bottom="0.5" header="0.5" footer="0.7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31"/>
  <sheetViews>
    <sheetView workbookViewId="0"/>
  </sheetViews>
  <sheetFormatPr defaultRowHeight="14.4" x14ac:dyDescent="0.3"/>
  <cols>
    <col min="1" max="1" width="9.6640625" customWidth="1"/>
    <col min="2" max="2" width="34" customWidth="1"/>
    <col min="3" max="3" width="40.44140625" customWidth="1"/>
    <col min="4" max="4" width="18.6640625" customWidth="1"/>
    <col min="5" max="5" width="11.44140625" customWidth="1"/>
    <col min="6" max="6" width="11" customWidth="1"/>
  </cols>
  <sheetData>
    <row r="1" spans="1:6" ht="18" x14ac:dyDescent="0.35">
      <c r="A1" s="1" t="s">
        <v>5384</v>
      </c>
      <c r="B1" s="1" t="s">
        <v>487</v>
      </c>
      <c r="C1" s="1" t="s">
        <v>507</v>
      </c>
      <c r="D1" s="1" t="s">
        <v>525</v>
      </c>
      <c r="E1" s="1" t="s">
        <v>526</v>
      </c>
      <c r="F1" s="1" t="s">
        <v>532</v>
      </c>
    </row>
    <row r="2" spans="1:6" x14ac:dyDescent="0.3">
      <c r="A2" s="2" t="s">
        <v>5247</v>
      </c>
      <c r="B2" s="2" t="s">
        <v>5253</v>
      </c>
      <c r="C2" s="3" t="s">
        <v>4972</v>
      </c>
      <c r="D2" s="2"/>
      <c r="E2" s="2"/>
      <c r="F2" s="2"/>
    </row>
    <row r="3" spans="1:6" x14ac:dyDescent="0.3">
      <c r="A3" s="4" t="s">
        <v>5247</v>
      </c>
      <c r="B3" s="4" t="s">
        <v>3292</v>
      </c>
      <c r="C3" s="5" t="s">
        <v>5275</v>
      </c>
      <c r="D3" s="4"/>
      <c r="E3" s="4"/>
      <c r="F3" s="4"/>
    </row>
    <row r="4" spans="1:6" x14ac:dyDescent="0.3">
      <c r="A4" s="2" t="s">
        <v>5247</v>
      </c>
      <c r="B4" s="2" t="s">
        <v>766</v>
      </c>
      <c r="C4" s="3" t="s">
        <v>796</v>
      </c>
      <c r="D4" s="2"/>
      <c r="E4" s="2"/>
      <c r="F4" s="2"/>
    </row>
    <row r="5" spans="1:6" x14ac:dyDescent="0.3">
      <c r="A5" s="4" t="s">
        <v>5247</v>
      </c>
      <c r="B5" s="4" t="s">
        <v>5254</v>
      </c>
      <c r="C5" s="5" t="s">
        <v>5276</v>
      </c>
      <c r="D5" s="4"/>
      <c r="E5" s="4"/>
      <c r="F5" s="4"/>
    </row>
    <row r="6" spans="1:6" x14ac:dyDescent="0.3">
      <c r="A6" s="2" t="s">
        <v>5247</v>
      </c>
      <c r="B6" s="2" t="s">
        <v>5255</v>
      </c>
      <c r="C6" s="3" t="s">
        <v>5277</v>
      </c>
      <c r="D6" s="2"/>
      <c r="E6" s="2"/>
      <c r="F6" s="2"/>
    </row>
    <row r="7" spans="1:6" x14ac:dyDescent="0.3">
      <c r="A7" s="4" t="s">
        <v>5247</v>
      </c>
      <c r="B7" s="4" t="s">
        <v>5256</v>
      </c>
      <c r="C7" s="5" t="s">
        <v>237</v>
      </c>
      <c r="D7" s="4"/>
      <c r="E7" s="4"/>
      <c r="F7" s="4"/>
    </row>
    <row r="8" spans="1:6" x14ac:dyDescent="0.3">
      <c r="A8" s="2" t="s">
        <v>5247</v>
      </c>
      <c r="B8" s="2" t="s">
        <v>5257</v>
      </c>
      <c r="C8" s="3" t="s">
        <v>5278</v>
      </c>
      <c r="D8" s="2"/>
      <c r="E8" s="2"/>
      <c r="F8" s="2"/>
    </row>
    <row r="9" spans="1:6" x14ac:dyDescent="0.3">
      <c r="A9" s="4" t="s">
        <v>5247</v>
      </c>
      <c r="B9" s="4" t="s">
        <v>5258</v>
      </c>
      <c r="C9" s="5" t="s">
        <v>5279</v>
      </c>
      <c r="D9" s="4"/>
      <c r="E9" s="4"/>
      <c r="F9" s="4"/>
    </row>
    <row r="10" spans="1:6" x14ac:dyDescent="0.3">
      <c r="A10" s="2" t="s">
        <v>5247</v>
      </c>
      <c r="B10" s="2" t="s">
        <v>5259</v>
      </c>
      <c r="C10" s="3" t="s">
        <v>789</v>
      </c>
      <c r="D10" s="2"/>
      <c r="E10" s="2"/>
      <c r="F10" s="2"/>
    </row>
    <row r="11" spans="1:6" x14ac:dyDescent="0.3">
      <c r="A11" s="4"/>
      <c r="B11" s="4" t="s">
        <v>5260</v>
      </c>
      <c r="C11" s="5" t="s">
        <v>5280</v>
      </c>
      <c r="D11" s="4"/>
      <c r="E11" s="4"/>
      <c r="F11" s="4"/>
    </row>
    <row r="12" spans="1:6" x14ac:dyDescent="0.3">
      <c r="A12" s="2"/>
      <c r="B12" s="2" t="s">
        <v>4995</v>
      </c>
      <c r="C12" s="3" t="s">
        <v>5001</v>
      </c>
      <c r="D12" s="2"/>
      <c r="E12" s="2"/>
      <c r="F12" s="2"/>
    </row>
    <row r="13" spans="1:6" x14ac:dyDescent="0.3">
      <c r="A13" s="4"/>
      <c r="B13" s="4" t="s">
        <v>5261</v>
      </c>
      <c r="C13" s="5" t="s">
        <v>3258</v>
      </c>
      <c r="D13" s="4"/>
      <c r="E13" s="4"/>
      <c r="F13" s="4"/>
    </row>
    <row r="14" spans="1:6" x14ac:dyDescent="0.3">
      <c r="A14" s="2"/>
      <c r="B14" s="2" t="s">
        <v>3194</v>
      </c>
      <c r="C14" s="3" t="s">
        <v>3202</v>
      </c>
      <c r="D14" s="2"/>
      <c r="E14" s="2"/>
      <c r="F14" s="2"/>
    </row>
    <row r="15" spans="1:6" x14ac:dyDescent="0.3">
      <c r="A15" s="4"/>
      <c r="B15" s="4" t="s">
        <v>4152</v>
      </c>
      <c r="C15" s="5" t="s">
        <v>712</v>
      </c>
      <c r="D15" s="4"/>
      <c r="E15" s="4"/>
      <c r="F15" s="4"/>
    </row>
    <row r="16" spans="1:6" x14ac:dyDescent="0.3">
      <c r="A16" s="2"/>
      <c r="B16" s="2" t="s">
        <v>5262</v>
      </c>
      <c r="C16" s="3" t="s">
        <v>1073</v>
      </c>
      <c r="D16" s="2"/>
      <c r="E16" s="2"/>
      <c r="F16" s="2"/>
    </row>
    <row r="17" spans="1:6" x14ac:dyDescent="0.3">
      <c r="A17" s="4"/>
      <c r="B17" s="4" t="s">
        <v>4661</v>
      </c>
      <c r="C17" s="5" t="s">
        <v>1937</v>
      </c>
      <c r="D17" s="4"/>
      <c r="E17" s="4"/>
      <c r="F17" s="4"/>
    </row>
    <row r="18" spans="1:6" x14ac:dyDescent="0.3">
      <c r="A18" s="2"/>
      <c r="B18" s="2" t="s">
        <v>5263</v>
      </c>
      <c r="C18" s="3" t="s">
        <v>5281</v>
      </c>
      <c r="D18" s="2"/>
      <c r="E18" s="2"/>
      <c r="F18" s="2"/>
    </row>
    <row r="19" spans="1:6" x14ac:dyDescent="0.3">
      <c r="A19" s="4"/>
      <c r="B19" s="4" t="s">
        <v>3300</v>
      </c>
      <c r="C19" s="5" t="s">
        <v>1014</v>
      </c>
      <c r="D19" s="4"/>
      <c r="E19" s="4"/>
      <c r="F19" s="4"/>
    </row>
    <row r="20" spans="1:6" x14ac:dyDescent="0.3">
      <c r="A20" s="2"/>
      <c r="B20" s="2" t="s">
        <v>5264</v>
      </c>
      <c r="C20" s="3" t="s">
        <v>793</v>
      </c>
      <c r="D20" s="2"/>
      <c r="E20" s="2"/>
      <c r="F20" s="2"/>
    </row>
    <row r="21" spans="1:6" x14ac:dyDescent="0.3">
      <c r="A21" s="4"/>
      <c r="B21" s="4" t="s">
        <v>5265</v>
      </c>
      <c r="C21" s="5" t="s">
        <v>786</v>
      </c>
      <c r="D21" s="4"/>
      <c r="E21" s="4"/>
      <c r="F21" s="4"/>
    </row>
    <row r="22" spans="1:6" x14ac:dyDescent="0.3">
      <c r="A22" s="2"/>
      <c r="B22" s="2" t="s">
        <v>5266</v>
      </c>
      <c r="C22" s="3" t="s">
        <v>801</v>
      </c>
      <c r="D22" s="2"/>
      <c r="E22" s="2"/>
      <c r="F22" s="2"/>
    </row>
    <row r="23" spans="1:6" x14ac:dyDescent="0.3">
      <c r="A23" s="4"/>
      <c r="B23" s="4" t="s">
        <v>5267</v>
      </c>
      <c r="C23" s="5" t="s">
        <v>5282</v>
      </c>
      <c r="D23" s="4"/>
      <c r="E23" s="4"/>
      <c r="F23" s="4"/>
    </row>
    <row r="24" spans="1:6" x14ac:dyDescent="0.3">
      <c r="A24" s="2"/>
      <c r="B24" s="2" t="s">
        <v>5268</v>
      </c>
      <c r="C24" s="3" t="s">
        <v>5283</v>
      </c>
      <c r="D24" s="2"/>
      <c r="E24" s="2"/>
      <c r="F24" s="2"/>
    </row>
    <row r="25" spans="1:6" x14ac:dyDescent="0.3">
      <c r="A25" s="4"/>
      <c r="B25" s="4" t="s">
        <v>5269</v>
      </c>
      <c r="C25" s="5" t="s">
        <v>4972</v>
      </c>
      <c r="D25" s="4"/>
      <c r="E25" s="4"/>
      <c r="F25" s="4"/>
    </row>
    <row r="26" spans="1:6" x14ac:dyDescent="0.3">
      <c r="A26" s="2"/>
      <c r="B26" s="2" t="s">
        <v>5270</v>
      </c>
      <c r="C26" s="3" t="s">
        <v>1120</v>
      </c>
      <c r="D26" s="2"/>
      <c r="E26" s="2"/>
      <c r="F26" s="2"/>
    </row>
    <row r="27" spans="1:6" x14ac:dyDescent="0.3">
      <c r="A27" s="4"/>
      <c r="B27" s="4" t="s">
        <v>5271</v>
      </c>
      <c r="C27" s="5" t="s">
        <v>5284</v>
      </c>
      <c r="D27" s="4"/>
      <c r="E27" s="4"/>
      <c r="F27" s="4"/>
    </row>
    <row r="28" spans="1:6" x14ac:dyDescent="0.3">
      <c r="A28" s="2"/>
      <c r="B28" s="2" t="s">
        <v>5272</v>
      </c>
      <c r="C28" s="3" t="s">
        <v>809</v>
      </c>
      <c r="D28" s="2"/>
      <c r="E28" s="2"/>
      <c r="F28" s="2"/>
    </row>
    <row r="29" spans="1:6" x14ac:dyDescent="0.3">
      <c r="A29" s="4"/>
      <c r="B29" s="4" t="s">
        <v>5273</v>
      </c>
      <c r="C29" s="5" t="s">
        <v>5285</v>
      </c>
      <c r="D29" s="4"/>
      <c r="E29" s="4"/>
      <c r="F29" s="4"/>
    </row>
    <row r="30" spans="1:6" x14ac:dyDescent="0.3">
      <c r="A30" s="2"/>
      <c r="B30" s="2" t="s">
        <v>5274</v>
      </c>
      <c r="C30" s="3" t="s">
        <v>5286</v>
      </c>
      <c r="D30" s="2"/>
      <c r="E30" s="2"/>
      <c r="F30" s="2"/>
    </row>
    <row r="31" spans="1:6" x14ac:dyDescent="0.3">
      <c r="A31" s="4"/>
      <c r="B31" s="4" t="s">
        <v>2113</v>
      </c>
      <c r="C31" s="5" t="s">
        <v>2122</v>
      </c>
      <c r="D31" s="4"/>
      <c r="E31" s="4"/>
      <c r="F31" s="4"/>
    </row>
  </sheetData>
  <hyperlinks>
    <hyperlink ref="C2" r:id="rId1" tooltip="Send a mail to bestinsulationltd@gmail.com" xr:uid="{00000000-0004-0000-5900-000000000000}"/>
    <hyperlink ref="C3" r:id="rId2" tooltip="Send a mail to info@bitmac.com.mt" xr:uid="{00000000-0004-0000-5900-000001000000}"/>
    <hyperlink ref="C4" r:id="rId3" tooltip="Send a mail to contact@kibitec.com" xr:uid="{00000000-0004-0000-5900-000002000000}"/>
    <hyperlink ref="C5" r:id="rId4" tooltip="Send a mail to thermapro@outlook.com" xr:uid="{00000000-0004-0000-5900-000003000000}"/>
    <hyperlink ref="C6" r:id="rId5" tooltip="Send a mail to decgypsum@gmail.com" xr:uid="{00000000-0004-0000-5900-000004000000}"/>
    <hyperlink ref="C7" r:id="rId6" tooltip="Send a mail to info@baldacchinogroup.com" xr:uid="{00000000-0004-0000-5900-000005000000}"/>
    <hyperlink ref="C8" r:id="rId7" tooltip="Send a mail to info@ecogroup-mt.com" xr:uid="{00000000-0004-0000-5900-000006000000}"/>
    <hyperlink ref="C9" r:id="rId8" tooltip="Send a mail to qamarwaterproofing.insulation@gmail.com" xr:uid="{00000000-0004-0000-5900-000007000000}"/>
    <hyperlink ref="C10" r:id="rId9" tooltip="Send a mail to tnwaterproof@gmail.com" xr:uid="{00000000-0004-0000-5900-000008000000}"/>
    <hyperlink ref="C11" r:id="rId10" tooltip="Send a mail to info@bms-malta.com" xr:uid="{00000000-0004-0000-5900-000009000000}"/>
    <hyperlink ref="C12" r:id="rId11" tooltip="Send a mail to kpt.kpttradingmalta@gmail.com" xr:uid="{00000000-0004-0000-5900-00000A000000}"/>
    <hyperlink ref="C13" r:id="rId12" tooltip="Send a mail to info@betacentre.com.mt" xr:uid="{00000000-0004-0000-5900-00000B000000}"/>
    <hyperlink ref="C14" r:id="rId13" tooltip="Send a mail to tcj@mbm.com.mt" xr:uid="{00000000-0004-0000-5900-00000C000000}"/>
    <hyperlink ref="C15" r:id="rId14" tooltip="Send a mail to info@attardbros.com" xr:uid="{00000000-0004-0000-5900-00000D000000}"/>
    <hyperlink ref="C16" r:id="rId15" tooltip="Send a mail to marketing@crcmalta.com" xr:uid="{00000000-0004-0000-5900-00000E000000}"/>
    <hyperlink ref="C17" r:id="rId16" tooltip="Send a mail to sales@maltashopper.com" xr:uid="{00000000-0004-0000-5900-00000F000000}"/>
    <hyperlink ref="C18" r:id="rId17" tooltip="Send a mail to info@iqbloc.com" xr:uid="{00000000-0004-0000-5900-000010000000}"/>
    <hyperlink ref="C19" r:id="rId18" tooltip="Send a mail to info@mbfmalta.com" xr:uid="{00000000-0004-0000-5900-000011000000}"/>
    <hyperlink ref="C20" r:id="rId19" tooltip="Send a mail to info@389.com.mt" xr:uid="{00000000-0004-0000-5900-000012000000}"/>
    <hyperlink ref="C21" r:id="rId20" tooltip="Send a mail to alexgrech.waterproofing@gmail.com" xr:uid="{00000000-0004-0000-5900-000013000000}"/>
    <hyperlink ref="C22" r:id="rId21" tooltip="Send a mail to sales@jmvibro.com" xr:uid="{00000000-0004-0000-5900-000014000000}"/>
    <hyperlink ref="C23" r:id="rId22" tooltip="Send a mail to sales@patabone.com" xr:uid="{00000000-0004-0000-5900-000015000000}"/>
    <hyperlink ref="C24" r:id="rId23" tooltip="Send a mail to sales@wuerth.com.mt" xr:uid="{00000000-0004-0000-5900-000016000000}"/>
    <hyperlink ref="C25" r:id="rId24" tooltip="Send a mail to bestinsulationltd@gmail.com" xr:uid="{00000000-0004-0000-5900-000017000000}"/>
    <hyperlink ref="C26" r:id="rId25" tooltip="Send a mail to info@t4bservices.com" xr:uid="{00000000-0004-0000-5900-000018000000}"/>
    <hyperlink ref="C27" r:id="rId26" tooltip="Send a mail to contact@ge-stones.com" xr:uid="{00000000-0004-0000-5900-000019000000}"/>
    <hyperlink ref="C28" r:id="rId27" tooltip="Send a mail to admin@thermasealmalta.com" xr:uid="{00000000-0004-0000-5900-00001A000000}"/>
    <hyperlink ref="C29" r:id="rId28" tooltip="Send a mail to info@creativeprojects.eu" xr:uid="{00000000-0004-0000-5900-00001B000000}"/>
    <hyperlink ref="C30" r:id="rId29" tooltip="Send a mail to info@macmed.com.mt" xr:uid="{00000000-0004-0000-5900-00001C000000}"/>
    <hyperlink ref="C31" r:id="rId30" tooltip="Send a mail to info@rsgroup.com.mt" xr:uid="{00000000-0004-0000-5900-00001D000000}"/>
  </hyperlinks>
  <pageMargins left="0.75" right="0.75" top="0.75" bottom="0.5" header="0.5" footer="0.7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13"/>
  <sheetViews>
    <sheetView workbookViewId="0"/>
  </sheetViews>
  <sheetFormatPr defaultRowHeight="14.4" x14ac:dyDescent="0.3"/>
  <cols>
    <col min="1" max="1" width="55.44140625" customWidth="1"/>
    <col min="2" max="2" width="46.44140625" customWidth="1"/>
    <col min="3" max="3" width="31.109375" customWidth="1"/>
    <col min="4" max="4" width="18.6640625" customWidth="1"/>
    <col min="5" max="5" width="70.6640625" customWidth="1"/>
    <col min="6" max="6" width="10.44140625" customWidth="1"/>
  </cols>
  <sheetData>
    <row r="1" spans="1:6" ht="18" x14ac:dyDescent="0.35">
      <c r="A1" s="1" t="s">
        <v>5384</v>
      </c>
      <c r="B1" s="1" t="s">
        <v>2338</v>
      </c>
      <c r="C1" s="1" t="s">
        <v>507</v>
      </c>
      <c r="D1" s="1" t="s">
        <v>525</v>
      </c>
      <c r="E1" s="1" t="s">
        <v>5386</v>
      </c>
      <c r="F1" s="1" t="s">
        <v>20</v>
      </c>
    </row>
    <row r="2" spans="1:6" x14ac:dyDescent="0.3">
      <c r="A2" s="2" t="s">
        <v>5288</v>
      </c>
      <c r="B2" s="2" t="s">
        <v>5289</v>
      </c>
      <c r="C2" s="3" t="s">
        <v>5297</v>
      </c>
      <c r="D2" s="2" t="str">
        <f>CONCATENATE(HYPERLINK("CALLTO:%2B356%202189%206144", "+356 2189 6144"))</f>
        <v>+356 2189 6144</v>
      </c>
      <c r="E2" s="3" t="s">
        <v>5306</v>
      </c>
      <c r="F2" s="2"/>
    </row>
    <row r="3" spans="1:6" x14ac:dyDescent="0.3">
      <c r="A3" s="4" t="s">
        <v>5288</v>
      </c>
      <c r="B3" s="4" t="s">
        <v>5290</v>
      </c>
      <c r="C3" s="5" t="s">
        <v>5298</v>
      </c>
      <c r="D3" s="4" t="str">
        <f>CONCATENATE(HYPERLINK("CALLTO:%2B356%207960%204517", "+356 7960 4517"))</f>
        <v>+356 7960 4517</v>
      </c>
      <c r="E3" s="5" t="s">
        <v>5307</v>
      </c>
      <c r="F3" s="4"/>
    </row>
    <row r="4" spans="1:6" x14ac:dyDescent="0.3">
      <c r="A4" s="2" t="s">
        <v>5288</v>
      </c>
      <c r="B4" s="2" t="s">
        <v>5291</v>
      </c>
      <c r="C4" s="3" t="s">
        <v>5299</v>
      </c>
      <c r="D4" s="2" t="str">
        <f>CONCATENATE(HYPERLINK("CALLTO:%2B356%209946%203948", "+356 9946 3948"))</f>
        <v>+356 9946 3948</v>
      </c>
      <c r="E4" s="3" t="s">
        <v>5308</v>
      </c>
      <c r="F4" s="2"/>
    </row>
    <row r="5" spans="1:6" x14ac:dyDescent="0.3">
      <c r="A5" s="4" t="s">
        <v>5288</v>
      </c>
      <c r="B5" s="4" t="s">
        <v>5292</v>
      </c>
      <c r="C5" s="5" t="s">
        <v>5300</v>
      </c>
      <c r="D5" s="4" t="str">
        <f>CONCATENATE(HYPERLINK("CALLTO:%2B356%207932%203700", "+356 7932 3700"))</f>
        <v>+356 7932 3700</v>
      </c>
      <c r="E5" s="5" t="s">
        <v>5309</v>
      </c>
      <c r="F5" s="4"/>
    </row>
    <row r="6" spans="1:6" x14ac:dyDescent="0.3">
      <c r="A6" s="2" t="s">
        <v>5288</v>
      </c>
      <c r="B6" s="2" t="s">
        <v>3416</v>
      </c>
      <c r="C6" s="3" t="s">
        <v>3506</v>
      </c>
      <c r="D6" s="2" t="str">
        <f>CONCATENATE(HYPERLINK("CALLTO:%2B356%209949%208678", "+356 9949 8678"))</f>
        <v>+356 9949 8678</v>
      </c>
      <c r="E6" s="3" t="s">
        <v>5310</v>
      </c>
      <c r="F6" s="2"/>
    </row>
    <row r="7" spans="1:6" x14ac:dyDescent="0.3">
      <c r="A7" s="4" t="s">
        <v>5288</v>
      </c>
      <c r="B7" s="4" t="s">
        <v>5293</v>
      </c>
      <c r="C7" s="5" t="s">
        <v>5301</v>
      </c>
      <c r="D7" s="4" t="str">
        <f>CONCATENATE(HYPERLINK("CALLTO:%2B356%209946%202824", "+356 9946 2824"))</f>
        <v>+356 9946 2824</v>
      </c>
      <c r="E7" s="5" t="s">
        <v>5311</v>
      </c>
      <c r="F7" s="4"/>
    </row>
    <row r="8" spans="1:6" x14ac:dyDescent="0.3">
      <c r="A8" s="2" t="s">
        <v>5288</v>
      </c>
      <c r="B8" s="2" t="s">
        <v>5294</v>
      </c>
      <c r="C8" s="3" t="s">
        <v>5302</v>
      </c>
      <c r="D8" s="2" t="str">
        <f>CONCATENATE(HYPERLINK("CALLTO:%2B356%202143%202721", "+356 2143 2721"))</f>
        <v>+356 2143 2721</v>
      </c>
      <c r="E8" s="3" t="s">
        <v>5312</v>
      </c>
      <c r="F8" s="2"/>
    </row>
    <row r="9" spans="1:6" x14ac:dyDescent="0.3">
      <c r="A9" s="4" t="s">
        <v>5288</v>
      </c>
      <c r="B9" s="4" t="s">
        <v>5295</v>
      </c>
      <c r="C9" s="5" t="s">
        <v>5303</v>
      </c>
      <c r="D9" s="4" t="str">
        <f>CONCATENATE(HYPERLINK("CALLTO:%2B356%202166%207116", "+356 2166 7116"))</f>
        <v>+356 2166 7116</v>
      </c>
      <c r="E9" s="5" t="s">
        <v>5313</v>
      </c>
      <c r="F9" s="4"/>
    </row>
    <row r="10" spans="1:6" x14ac:dyDescent="0.3">
      <c r="A10" s="2" t="s">
        <v>5288</v>
      </c>
      <c r="B10" s="2" t="s">
        <v>3405</v>
      </c>
      <c r="C10" s="3" t="s">
        <v>5304</v>
      </c>
      <c r="D10" s="2" t="str">
        <f>CONCATENATE(HYPERLINK("CALLTO:%2B356%202182%204287", "+356 2182 4287"))</f>
        <v>+356 2182 4287</v>
      </c>
      <c r="E10" s="3" t="s">
        <v>5314</v>
      </c>
      <c r="F10" s="2"/>
    </row>
    <row r="11" spans="1:6" x14ac:dyDescent="0.3">
      <c r="A11" s="4" t="s">
        <v>5288</v>
      </c>
      <c r="B11" s="4" t="s">
        <v>3399</v>
      </c>
      <c r="C11" s="5" t="s">
        <v>3490</v>
      </c>
      <c r="D11" s="4" t="str">
        <f>CONCATENATE(HYPERLINK("CALLTO:%2B356%209989%209781", "+356 9989 9781"))</f>
        <v>+356 9989 9781</v>
      </c>
      <c r="E11" s="5" t="s">
        <v>5315</v>
      </c>
      <c r="F11" s="4"/>
    </row>
    <row r="12" spans="1:6" x14ac:dyDescent="0.3">
      <c r="A12" s="2" t="s">
        <v>5288</v>
      </c>
      <c r="B12" s="2" t="s">
        <v>5296</v>
      </c>
      <c r="C12" s="3" t="s">
        <v>5305</v>
      </c>
      <c r="D12" s="2" t="str">
        <f>CONCATENATE(HYPERLINK("CALLTO:%2B356%202164%207068", "+356 2164 7068"))</f>
        <v>+356 2164 7068</v>
      </c>
      <c r="E12" s="3" t="s">
        <v>5316</v>
      </c>
      <c r="F12" s="2"/>
    </row>
    <row r="13" spans="1:6" x14ac:dyDescent="0.3">
      <c r="A13" s="4" t="s">
        <v>5287</v>
      </c>
      <c r="B13" s="4"/>
      <c r="C13" s="4"/>
      <c r="D13" s="4"/>
      <c r="E13" s="4"/>
      <c r="F13" s="4"/>
    </row>
  </sheetData>
  <hyperlinks>
    <hyperlink ref="C2" r:id="rId1" tooltip="Send a mail to info@generalmetalworks.com.mt" xr:uid="{00000000-0004-0000-5A00-000000000000}"/>
    <hyperlink ref="C3" r:id="rId2" tooltip="Send a mail to info@ironmalta.com" xr:uid="{00000000-0004-0000-5A00-000001000000}"/>
    <hyperlink ref="C4" r:id="rId3" tooltip="Send a mail to info@fantinmetalworks.com" xr:uid="{00000000-0004-0000-5A00-000002000000}"/>
    <hyperlink ref="C5" r:id="rId4" tooltip="Send a mail to info@gmscreation.com" xr:uid="{00000000-0004-0000-5A00-000003000000}"/>
    <hyperlink ref="C6" r:id="rId5" tooltip="Send a mail to josefvella72@gmail.com" xr:uid="{00000000-0004-0000-5A00-000004000000}"/>
    <hyperlink ref="C7" r:id="rId6" tooltip="Send a mail to saliba2@maltanet.net" xr:uid="{00000000-0004-0000-5A00-000005000000}"/>
    <hyperlink ref="C8" r:id="rId7" tooltip="Send a mail to info@expressblasting.com" xr:uid="{00000000-0004-0000-5A00-000006000000}"/>
    <hyperlink ref="C9" r:id="rId8" tooltip="Send a mail to info@xn-teq.com.mt" xr:uid="{00000000-0004-0000-5A00-000007000000}"/>
    <hyperlink ref="C10" r:id="rId9" tooltip="Send a mail to amabileg@onvol.net" xr:uid="{00000000-0004-0000-5A00-000008000000}"/>
    <hyperlink ref="C11" r:id="rId10" tooltip="Send a mail to stakterinacons@outlook.com" xr:uid="{00000000-0004-0000-5A00-000009000000}"/>
    <hyperlink ref="C12" r:id="rId11" tooltip="Send a mail to info@gml.com.mt" xr:uid="{00000000-0004-0000-5A00-00000A000000}"/>
    <hyperlink ref="E2" r:id="rId12" tooltip="Search Bieb is-Sultan Street, Żabbar, Malta on Google Maps" xr:uid="{00000000-0004-0000-5A00-00000B000000}"/>
    <hyperlink ref="E3" r:id="rId13" tooltip="Search Luqa Industrial Estate, Parcela 102, Hal Farrug, Malta on Google Maps" xr:uid="{00000000-0004-0000-5A00-00000C000000}"/>
    <hyperlink ref="E4" r:id="rId14" tooltip="Search Mgarr Road, Għajnsielem, Gozo on Google Maps" xr:uid="{00000000-0004-0000-5A00-00000D000000}"/>
    <hyperlink ref="E5" r:id="rId15" tooltip="Search : Andreas Yard, Garage No 1, Triq L-Imdina, Ħaż-Żebbuġ, Malta on Google Maps" xr:uid="{00000000-0004-0000-5A00-00000E000000}"/>
    <hyperlink ref="E6" r:id="rId16" tooltip="Search Garage 25, Tal-Barrani Industrial Estate, Triq Il-Belt Valletta, Ħal Għaxaq, Malta on Google Maps" xr:uid="{00000000-0004-0000-5A00-00000F000000}"/>
    <hyperlink ref="E7" r:id="rId17" tooltip="Search Entrada 4, Puerta 12, Triq Valletta, Ħal Luqa, Malta on Google Maps" xr:uid="{00000000-0004-0000-5A00-000010000000}"/>
    <hyperlink ref="E8" r:id="rId18" tooltip="Search Fábrica MRA 057A, Qasam Industrijali, Il-Marsa, Malta on Google Maps" xr:uid="{00000000-0004-0000-5A00-000011000000}"/>
    <hyperlink ref="E9" r:id="rId19" tooltip="Search MRA 15A, Qasam Industrijali, Il-Marsa, Malta on Google Maps" xr:uid="{00000000-0004-0000-5A00-000012000000}"/>
    <hyperlink ref="E10" r:id="rId20" tooltip="Search 34 Triq it-Torri San Gwann ,_x000a_Birgu, Malta BRG 1116 on Google Maps" xr:uid="{00000000-0004-0000-5A00-000013000000}"/>
    <hyperlink ref="E11" r:id="rId21" tooltip="Search Triq il-Kappella ta’ Santa Marija ,_x000a_Naxxar, Malta NXR 5613 on Google Maps" xr:uid="{00000000-0004-0000-5A00-000014000000}"/>
    <hyperlink ref="E12" r:id="rId22" tooltip="Search HHF 033 Qasam Industrijali, Hal Far ,_x000a_B’Bugia, Malta BBG 3000 on Google Maps" xr:uid="{00000000-0004-0000-5A00-000015000000}"/>
  </hyperlinks>
  <pageMargins left="0.75" right="0.75" top="0.75" bottom="0.5" header="0.5" footer="0.7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9"/>
  <sheetViews>
    <sheetView workbookViewId="0"/>
  </sheetViews>
  <sheetFormatPr defaultRowHeight="14.4" x14ac:dyDescent="0.3"/>
  <cols>
    <col min="1" max="1" width="10" customWidth="1"/>
    <col min="2" max="2" width="27.5546875" customWidth="1"/>
    <col min="3" max="3" width="33" customWidth="1"/>
    <col min="4" max="4" width="18.6640625" customWidth="1"/>
    <col min="5" max="5" width="52.33203125" customWidth="1"/>
    <col min="6" max="6" width="97" customWidth="1"/>
  </cols>
  <sheetData>
    <row r="1" spans="1:6" ht="18" x14ac:dyDescent="0.35">
      <c r="A1" s="1" t="s">
        <v>5384</v>
      </c>
      <c r="B1" s="1" t="s">
        <v>2338</v>
      </c>
      <c r="C1" s="1" t="s">
        <v>507</v>
      </c>
      <c r="D1" s="1" t="s">
        <v>525</v>
      </c>
      <c r="E1" s="1" t="s">
        <v>5386</v>
      </c>
      <c r="F1" s="1" t="s">
        <v>20</v>
      </c>
    </row>
    <row r="2" spans="1:6" x14ac:dyDescent="0.3">
      <c r="A2" s="2" t="s">
        <v>5317</v>
      </c>
      <c r="B2" s="2" t="s">
        <v>5318</v>
      </c>
      <c r="C2" s="3" t="s">
        <v>5342</v>
      </c>
      <c r="D2" s="2" t="str">
        <f>CONCATENATE(HYPERLINK("CALLTO:%2B356%202147%200278", "+356 2147 0278"))</f>
        <v>+356 2147 0278</v>
      </c>
      <c r="E2" s="3" t="s">
        <v>5361</v>
      </c>
      <c r="F2" s="3" t="s">
        <v>5368</v>
      </c>
    </row>
    <row r="3" spans="1:6" x14ac:dyDescent="0.3">
      <c r="A3" s="4" t="s">
        <v>5317</v>
      </c>
      <c r="B3" s="4" t="s">
        <v>1261</v>
      </c>
      <c r="C3" s="5" t="s">
        <v>1330</v>
      </c>
      <c r="D3" s="4" t="str">
        <f>CONCATENATE(HYPERLINK("CALLTO:%2B356%202123%200659", "+356 2123 0659"))</f>
        <v>+356 2123 0659</v>
      </c>
      <c r="E3" s="5" t="s">
        <v>5363</v>
      </c>
      <c r="F3" s="5" t="s">
        <v>5369</v>
      </c>
    </row>
    <row r="4" spans="1:6" x14ac:dyDescent="0.3">
      <c r="A4" s="2" t="s">
        <v>5317</v>
      </c>
      <c r="B4" s="2" t="s">
        <v>5319</v>
      </c>
      <c r="C4" s="3" t="s">
        <v>1334</v>
      </c>
      <c r="D4" s="2" t="str">
        <f>CONCATENATE(HYPERLINK("CALLTO:%2B356%202141%206247", "+356 2141 6247"))</f>
        <v>+356 2141 6247</v>
      </c>
      <c r="E4" s="3" t="s">
        <v>5365</v>
      </c>
      <c r="F4" s="3" t="s">
        <v>5370</v>
      </c>
    </row>
    <row r="5" spans="1:6" x14ac:dyDescent="0.3">
      <c r="A5" s="4" t="s">
        <v>5317</v>
      </c>
      <c r="B5" s="4" t="s">
        <v>5320</v>
      </c>
      <c r="C5" s="5" t="s">
        <v>1335</v>
      </c>
      <c r="D5" s="4" t="str">
        <f>CONCATENATE(HYPERLINK("CALLTO:%2B356%202123%205228", "+356 2123 5228"))</f>
        <v>+356 2123 5228</v>
      </c>
      <c r="E5" s="5" t="s">
        <v>5364</v>
      </c>
      <c r="F5" s="5" t="s">
        <v>5371</v>
      </c>
    </row>
    <row r="6" spans="1:6" x14ac:dyDescent="0.3">
      <c r="A6" s="2" t="s">
        <v>5317</v>
      </c>
      <c r="B6" s="2" t="s">
        <v>5321</v>
      </c>
      <c r="C6" s="3" t="s">
        <v>5343</v>
      </c>
      <c r="D6" s="2" t="str">
        <f>CONCATENATE(HYPERLINK("CALLTO:%2B356%202146%200202", "+356 2146 0202"))</f>
        <v>+356 2146 0202</v>
      </c>
      <c r="E6" s="3" t="s">
        <v>5366</v>
      </c>
      <c r="F6" s="3" t="s">
        <v>5372</v>
      </c>
    </row>
    <row r="7" spans="1:6" x14ac:dyDescent="0.3">
      <c r="A7" s="4" t="s">
        <v>5317</v>
      </c>
      <c r="B7" s="4" t="s">
        <v>5322</v>
      </c>
      <c r="C7" s="5" t="s">
        <v>3573</v>
      </c>
      <c r="D7" s="4" t="str">
        <f>CONCATENATE(HYPERLINK("CALLTO:%2B356%202132%200433", "+356 2132 0433"))</f>
        <v>+356 2132 0433</v>
      </c>
      <c r="E7" s="4"/>
      <c r="F7" s="5" t="s">
        <v>5373</v>
      </c>
    </row>
    <row r="8" spans="1:6" x14ac:dyDescent="0.3">
      <c r="A8" s="2" t="s">
        <v>5317</v>
      </c>
      <c r="B8" s="2" t="s">
        <v>5323</v>
      </c>
      <c r="C8" s="3" t="s">
        <v>5344</v>
      </c>
      <c r="D8" s="2" t="str">
        <f>CONCATENATE(HYPERLINK("CALLTO:%2B356%209925%207011", "+356 9925 7011"))</f>
        <v>+356 9925 7011</v>
      </c>
      <c r="E8" s="2"/>
      <c r="F8" s="3" t="s">
        <v>1088</v>
      </c>
    </row>
    <row r="9" spans="1:6" x14ac:dyDescent="0.3">
      <c r="A9" s="4" t="s">
        <v>5317</v>
      </c>
      <c r="B9" s="4" t="s">
        <v>1069</v>
      </c>
      <c r="C9" s="5" t="s">
        <v>1079</v>
      </c>
      <c r="D9" s="4" t="str">
        <f>CONCATENATE(HYPERLINK("CALLTO:%2B356%202124%202599", "+356 2124 2599"))</f>
        <v>+356 2124 2599</v>
      </c>
      <c r="E9" s="4"/>
      <c r="F9" s="5" t="s">
        <v>5374</v>
      </c>
    </row>
    <row r="10" spans="1:6" x14ac:dyDescent="0.3">
      <c r="A10" s="2" t="s">
        <v>5317</v>
      </c>
      <c r="B10" s="2" t="s">
        <v>1267</v>
      </c>
      <c r="C10" s="3" t="s">
        <v>5345</v>
      </c>
      <c r="D10" s="2" t="str">
        <f>CONCATENATE(HYPERLINK("CALLTO:%2B356%202149%202071", "+356 2149 2071"))</f>
        <v>+356 2149 2071</v>
      </c>
      <c r="E10" s="2"/>
      <c r="F10" s="3" t="s">
        <v>5375</v>
      </c>
    </row>
    <row r="11" spans="1:6" x14ac:dyDescent="0.3">
      <c r="A11" s="4" t="s">
        <v>5317</v>
      </c>
      <c r="B11" s="4" t="s">
        <v>5324</v>
      </c>
      <c r="C11" s="5" t="s">
        <v>5346</v>
      </c>
      <c r="D11" s="4" t="str">
        <f>CONCATENATE(HYPERLINK("CALLTO:%2B356%207935%206835", "+356 7935 6835"))</f>
        <v>+356 7935 6835</v>
      </c>
      <c r="E11" s="4"/>
      <c r="F11" s="5" t="s">
        <v>5376</v>
      </c>
    </row>
    <row r="12" spans="1:6" x14ac:dyDescent="0.3">
      <c r="A12" s="2" t="s">
        <v>5317</v>
      </c>
      <c r="B12" s="2" t="s">
        <v>3437</v>
      </c>
      <c r="C12" s="3" t="s">
        <v>3527</v>
      </c>
      <c r="D12" s="2" t="str">
        <f>CONCATENATE(HYPERLINK("CALLTO:%2B356%202180%203682", "+356 2180 3682"))</f>
        <v>+356 2180 3682</v>
      </c>
      <c r="E12" s="2"/>
      <c r="F12" s="3" t="s">
        <v>5377</v>
      </c>
    </row>
    <row r="13" spans="1:6" x14ac:dyDescent="0.3">
      <c r="A13" s="4" t="s">
        <v>5317</v>
      </c>
      <c r="B13" s="4" t="s">
        <v>5325</v>
      </c>
      <c r="C13" s="5" t="s">
        <v>5347</v>
      </c>
      <c r="D13" s="4" t="str">
        <f>CONCATENATE(HYPERLINK("CALLTO:%2B356%202169%202917", "+356 2169 2917"))</f>
        <v>+356 2169 2917</v>
      </c>
      <c r="E13" s="4"/>
      <c r="F13" s="5" t="s">
        <v>5378</v>
      </c>
    </row>
    <row r="14" spans="1:6" x14ac:dyDescent="0.3">
      <c r="A14" s="2" t="s">
        <v>5317</v>
      </c>
      <c r="B14" s="2" t="s">
        <v>5326</v>
      </c>
      <c r="C14" s="3" t="s">
        <v>5348</v>
      </c>
      <c r="D14" s="2" t="str">
        <f>CONCATENATE(HYPERLINK("CALLTO:%2B356%209940%202482", "+356 9940 2482"))</f>
        <v>+356 9940 2482</v>
      </c>
      <c r="E14" s="2"/>
      <c r="F14" s="3" t="s">
        <v>5379</v>
      </c>
    </row>
    <row r="15" spans="1:6" x14ac:dyDescent="0.3">
      <c r="A15" s="4" t="s">
        <v>5317</v>
      </c>
      <c r="B15" s="4" t="s">
        <v>5327</v>
      </c>
      <c r="C15" s="5" t="s">
        <v>802</v>
      </c>
      <c r="D15" s="4" t="str">
        <f>CONCATENATE(HYPERLINK("CALLTO:%2B356%207924%202344", "+356 7924 2344"))</f>
        <v>+356 7924 2344</v>
      </c>
      <c r="E15" s="4"/>
      <c r="F15" s="5" t="s">
        <v>3721</v>
      </c>
    </row>
    <row r="16" spans="1:6" x14ac:dyDescent="0.3">
      <c r="A16" s="2" t="s">
        <v>5317</v>
      </c>
      <c r="B16" s="2" t="s">
        <v>5328</v>
      </c>
      <c r="C16" s="3" t="s">
        <v>3557</v>
      </c>
      <c r="D16" s="2" t="str">
        <f>CONCATENATE(HYPERLINK("CALLTO:%2B356%207996%200410", "+356 7996 0410"))</f>
        <v>+356 7996 0410</v>
      </c>
      <c r="E16" s="2"/>
      <c r="F16" s="2"/>
    </row>
    <row r="17" spans="1:6" x14ac:dyDescent="0.3">
      <c r="A17" s="4" t="s">
        <v>5317</v>
      </c>
      <c r="B17" s="4" t="s">
        <v>5329</v>
      </c>
      <c r="C17" s="5" t="s">
        <v>5349</v>
      </c>
      <c r="D17" s="4" t="str">
        <f>CONCATENATE(HYPERLINK("CALLTO:%2B356%209947%203598", "+356 9947 3598"))</f>
        <v>+356 9947 3598</v>
      </c>
      <c r="E17" s="4"/>
      <c r="F17" s="4"/>
    </row>
    <row r="18" spans="1:6" x14ac:dyDescent="0.3">
      <c r="A18" s="2" t="s">
        <v>5317</v>
      </c>
      <c r="B18" s="2" t="s">
        <v>5330</v>
      </c>
      <c r="C18" s="3" t="s">
        <v>3498</v>
      </c>
      <c r="D18" s="2" t="str">
        <f>CONCATENATE(HYPERLINK("CALLTO:%2B356%202137%205721", "+356 2137 5721"))</f>
        <v>+356 2137 5721</v>
      </c>
      <c r="E18" s="2"/>
      <c r="F18" s="2"/>
    </row>
    <row r="19" spans="1:6" x14ac:dyDescent="0.3">
      <c r="A19" s="4" t="s">
        <v>5317</v>
      </c>
      <c r="B19" s="4" t="s">
        <v>5332</v>
      </c>
      <c r="C19" s="5" t="s">
        <v>3502</v>
      </c>
      <c r="D19" s="4" t="str">
        <f>CONCATENATE(HYPERLINK("CALLTO:%2B356%202148%200404", "+356 2148 0404"))</f>
        <v>+356 2148 0404</v>
      </c>
      <c r="E19" s="4"/>
      <c r="F19" s="4"/>
    </row>
    <row r="20" spans="1:6" x14ac:dyDescent="0.3">
      <c r="A20" s="2" t="s">
        <v>5317</v>
      </c>
      <c r="B20" s="2" t="s">
        <v>5333</v>
      </c>
      <c r="C20" s="3" t="s">
        <v>5350</v>
      </c>
      <c r="D20" s="2" t="str">
        <f>CONCATENATE(HYPERLINK("CALLTO:%2B356%202156%201372", "+356 2156 1372"))</f>
        <v>+356 2156 1372</v>
      </c>
      <c r="E20" s="2"/>
      <c r="F20" s="2"/>
    </row>
    <row r="21" spans="1:6" x14ac:dyDescent="0.3">
      <c r="A21" s="4" t="s">
        <v>5317</v>
      </c>
      <c r="B21" s="4" t="s">
        <v>5334</v>
      </c>
      <c r="C21" s="5" t="s">
        <v>5351</v>
      </c>
      <c r="D21" s="4"/>
      <c r="E21" s="4"/>
      <c r="F21" s="4"/>
    </row>
    <row r="22" spans="1:6" x14ac:dyDescent="0.3">
      <c r="A22" s="2" t="s">
        <v>5317</v>
      </c>
      <c r="B22" s="2" t="s">
        <v>5335</v>
      </c>
      <c r="C22" s="3" t="s">
        <v>5352</v>
      </c>
      <c r="D22" s="2"/>
      <c r="E22" s="2"/>
      <c r="F22" s="2"/>
    </row>
    <row r="23" spans="1:6" x14ac:dyDescent="0.3">
      <c r="A23" s="4" t="s">
        <v>5317</v>
      </c>
      <c r="B23" s="4" t="s">
        <v>5331</v>
      </c>
      <c r="C23" s="5" t="s">
        <v>5353</v>
      </c>
      <c r="D23" s="4"/>
      <c r="E23" s="4"/>
      <c r="F23" s="4"/>
    </row>
    <row r="24" spans="1:6" x14ac:dyDescent="0.3">
      <c r="A24" s="2" t="s">
        <v>5317</v>
      </c>
      <c r="B24" s="2" t="s">
        <v>5336</v>
      </c>
      <c r="C24" s="3" t="s">
        <v>5354</v>
      </c>
      <c r="D24" s="2"/>
      <c r="E24" s="2"/>
      <c r="F24" s="2"/>
    </row>
    <row r="25" spans="1:6" x14ac:dyDescent="0.3">
      <c r="A25" s="4" t="s">
        <v>5317</v>
      </c>
      <c r="B25" s="4" t="s">
        <v>5337</v>
      </c>
      <c r="C25" s="5" t="s">
        <v>5355</v>
      </c>
      <c r="D25" s="4"/>
      <c r="E25" s="4"/>
      <c r="F25" s="4"/>
    </row>
    <row r="26" spans="1:6" x14ac:dyDescent="0.3">
      <c r="A26" s="2" t="s">
        <v>5317</v>
      </c>
      <c r="B26" s="2" t="s">
        <v>5338</v>
      </c>
      <c r="C26" s="3" t="s">
        <v>5356</v>
      </c>
      <c r="D26" s="2"/>
      <c r="E26" s="2"/>
      <c r="F26" s="2"/>
    </row>
    <row r="27" spans="1:6" x14ac:dyDescent="0.3">
      <c r="A27" s="4" t="s">
        <v>5317</v>
      </c>
      <c r="B27" s="4" t="s">
        <v>5339</v>
      </c>
      <c r="C27" s="5" t="s">
        <v>5357</v>
      </c>
      <c r="D27" s="4"/>
      <c r="E27" s="4"/>
      <c r="F27" s="4"/>
    </row>
    <row r="28" spans="1:6" x14ac:dyDescent="0.3">
      <c r="A28" s="2" t="s">
        <v>5317</v>
      </c>
      <c r="B28" s="2" t="s">
        <v>5340</v>
      </c>
      <c r="C28" s="3" t="s">
        <v>5358</v>
      </c>
      <c r="D28" s="2"/>
      <c r="E28" s="2"/>
      <c r="F28" s="2"/>
    </row>
    <row r="29" spans="1:6" x14ac:dyDescent="0.3">
      <c r="A29" s="4" t="s">
        <v>5317</v>
      </c>
      <c r="B29" s="4" t="s">
        <v>5341</v>
      </c>
      <c r="C29" s="5" t="s">
        <v>3576</v>
      </c>
      <c r="D29" s="4"/>
      <c r="E29" s="4"/>
      <c r="F29" s="4"/>
    </row>
  </sheetData>
  <hyperlinks>
    <hyperlink ref="C2" r:id="rId1" tooltip="Send a mail to info@tonnaglass.com" xr:uid="{00000000-0004-0000-5B00-000000000000}"/>
    <hyperlink ref="C3" r:id="rId2" tooltip="Send a mail to info@fzammitglass.com" xr:uid="{00000000-0004-0000-5B00-000001000000}"/>
    <hyperlink ref="C4" r:id="rId3" tooltip="Send a mail to info@floatglassltd.com" xr:uid="{00000000-0004-0000-5B00-000002000000}"/>
    <hyperlink ref="C5" r:id="rId4" tooltip="Send a mail to kl.glass@outlook.com" xr:uid="{00000000-0004-0000-5B00-000003000000}"/>
    <hyperlink ref="C6" r:id="rId5" tooltip="Send a mail to jacap@jacap.net" xr:uid="{00000000-0004-0000-5B00-000004000000}"/>
    <hyperlink ref="C7" r:id="rId6" tooltip="Send a mail to info@jamarmalta.com" xr:uid="{00000000-0004-0000-5B00-000005000000}"/>
    <hyperlink ref="C8" r:id="rId7" tooltip="Send a mail to Quotes@capriceltd.com" xr:uid="{00000000-0004-0000-5B00-000006000000}"/>
    <hyperlink ref="C9" r:id="rId8" tooltip="Send a mail to sales@dimech-ent.com" xr:uid="{00000000-0004-0000-5B00-000007000000}"/>
    <hyperlink ref="C10" r:id="rId9" tooltip="Send a mail to info@glassdesignmalta.com" xr:uid="{00000000-0004-0000-5B00-000008000000}"/>
    <hyperlink ref="C11" r:id="rId10" tooltip="Send a mail to miryaltd@gmail.com" xr:uid="{00000000-0004-0000-5B00-000009000000}"/>
    <hyperlink ref="C12" r:id="rId11" tooltip="Send a mail to info@cagroup.com.mt" xr:uid="{00000000-0004-0000-5B00-00000A000000}"/>
    <hyperlink ref="C13" r:id="rId12" tooltip="Send a mail to crgrech.steel@gmail.com" xr:uid="{00000000-0004-0000-5B00-00000B000000}"/>
    <hyperlink ref="C14" r:id="rId13" tooltip="Send a mail to info@anvil-forge.com" xr:uid="{00000000-0004-0000-5B00-00000C000000}"/>
    <hyperlink ref="C15" r:id="rId14" tooltip="Send a mail to info@andrewvassallo.com" xr:uid="{00000000-0004-0000-5B00-00000D000000}"/>
    <hyperlink ref="C16" r:id="rId15" tooltip="Send a mail to raymondfarrugia74@gmail.com" xr:uid="{00000000-0004-0000-5B00-00000E000000}"/>
    <hyperlink ref="C17" r:id="rId16" tooltip="Send a mail to salvodsicilia@hotmail.it" xr:uid="{00000000-0004-0000-5B00-00000F000000}"/>
    <hyperlink ref="C18" r:id="rId17" tooltip="Send a mail to info@a1finishesltd.com" xr:uid="{00000000-0004-0000-5B00-000010000000}"/>
    <hyperlink ref="C19" r:id="rId18" tooltip="Send a mail to j3aluminium@gmail.com" xr:uid="{00000000-0004-0000-5B00-000011000000}"/>
    <hyperlink ref="C20" r:id="rId19" tooltip="Send a mail to laenterprises73@gmail.com" xr:uid="{00000000-0004-0000-5B00-000012000000}"/>
    <hyperlink ref="C21" r:id="rId20" tooltip="Send a mail to quotes@jlautier.com" xr:uid="{00000000-0004-0000-5B00-000013000000}"/>
    <hyperlink ref="C22" r:id="rId21" tooltip="Send a mail to taboneglassltd@gmail.com" xr:uid="{00000000-0004-0000-5B00-000014000000}"/>
    <hyperlink ref="C23" r:id="rId22" tooltip="Send a mail to info@xgglass.com.mt" xr:uid="{00000000-0004-0000-5B00-000015000000}"/>
    <hyperlink ref="C24" r:id="rId23" tooltip="Send a mail to jeaninstallations@gmail.com" xr:uid="{00000000-0004-0000-5B00-000016000000}"/>
    <hyperlink ref="C25" r:id="rId24" tooltip="Send a mail to medalls.aluminium@gmail.com" xr:uid="{00000000-0004-0000-5B00-000017000000}"/>
    <hyperlink ref="C26" r:id="rId25" tooltip="Send a mail to info@newalucare.com" xr:uid="{00000000-0004-0000-5B00-000018000000}"/>
    <hyperlink ref="C27" r:id="rId26" tooltip="Send a mail to gilbertglassandmore@gmail.com" xr:uid="{00000000-0004-0000-5B00-000019000000}"/>
    <hyperlink ref="C28" r:id="rId27" tooltip="Send a mail to jesmond.dragonforge@yahoo.com" xr:uid="{00000000-0004-0000-5B00-00001A000000}"/>
    <hyperlink ref="C29" r:id="rId28" tooltip="Send a mail to valormalta@gmail.com" xr:uid="{00000000-0004-0000-5B00-00001B000000}"/>
    <hyperlink ref="E2" r:id="rId29" tooltip="Search Paul Tonna Son of Santu Ltd_x000a_Zone 1 Triq L-Intornjatur Central Business District ,_x000a_B’Kara, Malta CBD 1050 on Google Maps" xr:uid="{00000000-0004-0000-5B00-00001C000000}"/>
    <hyperlink ref="E3" r:id="rId30" tooltip="Search Triq l-Imdina ,Zebbug, Malta ZBG 9019 on Google Maps" xr:uid="{00000000-0004-0000-5B00-00001D000000}"/>
    <hyperlink ref="E4" r:id="rId31" tooltip="Search Dimech Enterprises Ltd Centre Point, Triq Valletta Luqa on Google Maps" xr:uid="{00000000-0004-0000-5B00-00001E000000}"/>
    <hyperlink ref="E5" r:id="rId32" tooltip="Search 12 Old Trafford, Dun Filippu Borg, Birkirkara, Malta. on Google Maps" xr:uid="{00000000-0004-0000-5B00-00001F000000}"/>
    <hyperlink ref="E6" r:id="rId33" tooltip="Search Mirya, VF9V+PQ8, Marsa, Malta, Marsa, Malta, MRS3000 on Google Maps" xr:uid="{00000000-0004-0000-5B00-000020000000}"/>
    <hyperlink ref="F2" r:id="rId34" tooltip="Visit yellow.com.mt/paul-tonna-son-of-santu-ltd/glass-contractors/" xr:uid="{00000000-0004-0000-5B00-000021000000}"/>
    <hyperlink ref="F3" r:id="rId35" tooltip="Visit fzammitglass.com/en/?utm_source=Yellow&amp;utm_medium=Yellow-Website&amp;utm_campaign=Landing-Page" xr:uid="{00000000-0004-0000-5B00-000022000000}"/>
    <hyperlink ref="F4" r:id="rId36" tooltip="Visit floatglassltd.com/en/home.htm" xr:uid="{00000000-0004-0000-5B00-000023000000}"/>
    <hyperlink ref="F5" r:id="rId37" tooltip="Visit klglassmalta.com/?utm_source=Yellow&amp;utm_medium=Yellow-Website&amp;utm_campaign=Landing-Page" xr:uid="{00000000-0004-0000-5B00-000024000000}"/>
    <hyperlink ref="F6" r:id="rId38" tooltip="Visit jamarmalta.com/" xr:uid="{00000000-0004-0000-5B00-000025000000}"/>
    <hyperlink ref="F7" r:id="rId39" tooltip="Visit capriceglass.com/" xr:uid="{00000000-0004-0000-5B00-000026000000}"/>
    <hyperlink ref="F8" r:id="rId40" tooltip="Visit dimech-ent.com/" xr:uid="{00000000-0004-0000-5B00-000027000000}"/>
    <hyperlink ref="F9" r:id="rId41" tooltip="Visit glassdesignmalta.com/copy-of-glass-walls" xr:uid="{00000000-0004-0000-5B00-000028000000}"/>
    <hyperlink ref="F10" r:id="rId42" tooltip="Visit facebook.com/MiryaLimited/" xr:uid="{00000000-0004-0000-5B00-000029000000}"/>
    <hyperlink ref="F11" r:id="rId43" tooltip="Visit facebook.com/profile.php?id=100066455006954" xr:uid="{00000000-0004-0000-5B00-00002A000000}"/>
    <hyperlink ref="F12" r:id="rId44" tooltip="Visit facebook.com/profile.php?id=100057245816371" xr:uid="{00000000-0004-0000-5B00-00002B000000}"/>
    <hyperlink ref="F13" r:id="rId45" tooltip="Visit facebook.com/innovativesteeldesign/" xr:uid="{00000000-0004-0000-5B00-00002C000000}"/>
    <hyperlink ref="F14" r:id="rId46" tooltip="Visit facebook.com/Andrewvassalloltd/" xr:uid="{00000000-0004-0000-5B00-00002D000000}"/>
    <hyperlink ref="F15" r:id="rId47" tooltip="Visit facebook.com/RayAluWorks/" xr:uid="{00000000-0004-0000-5B00-00002E000000}"/>
  </hyperlinks>
  <pageMargins left="0.75" right="0.75" top="0.75" bottom="0.5" header="0.5" footer="0.7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5"/>
  <sheetViews>
    <sheetView workbookViewId="0"/>
  </sheetViews>
  <sheetFormatPr defaultRowHeight="14.4" x14ac:dyDescent="0.3"/>
  <cols>
    <col min="1" max="1" width="10.88671875" customWidth="1"/>
    <col min="2" max="2" width="19.6640625" customWidth="1"/>
    <col min="3" max="3" width="29.33203125" customWidth="1"/>
    <col min="4" max="4" width="18.109375" customWidth="1"/>
    <col min="5" max="5" width="42.6640625" customWidth="1"/>
    <col min="6" max="6" width="43.33203125" customWidth="1"/>
  </cols>
  <sheetData>
    <row r="1" spans="1:6" ht="18" x14ac:dyDescent="0.35">
      <c r="A1" s="1" t="s">
        <v>5384</v>
      </c>
      <c r="B1" s="1" t="s">
        <v>487</v>
      </c>
      <c r="C1" s="1" t="s">
        <v>507</v>
      </c>
      <c r="D1" s="1" t="s">
        <v>828</v>
      </c>
      <c r="E1" s="1" t="s">
        <v>5386</v>
      </c>
      <c r="F1" s="1" t="s">
        <v>20</v>
      </c>
    </row>
    <row r="2" spans="1:6" x14ac:dyDescent="0.3">
      <c r="A2" s="2" t="s">
        <v>3771</v>
      </c>
      <c r="B2" s="2" t="s">
        <v>4644</v>
      </c>
      <c r="C2" s="3" t="s">
        <v>4670</v>
      </c>
      <c r="D2" s="2" t="str">
        <f>CONCATENATE(HYPERLINK("CALLTO:%2B356%207706%208066", "+356 7706 8066"))</f>
        <v>+356 7706 8066</v>
      </c>
      <c r="E2" s="3" t="s">
        <v>5382</v>
      </c>
      <c r="F2" s="3" t="s">
        <v>4726</v>
      </c>
    </row>
    <row r="3" spans="1:6" x14ac:dyDescent="0.3">
      <c r="A3" s="4" t="s">
        <v>3771</v>
      </c>
      <c r="B3" s="4" t="s">
        <v>5380</v>
      </c>
      <c r="C3" s="5" t="s">
        <v>1670</v>
      </c>
      <c r="D3" s="4" t="str">
        <f>CONCATENATE(HYPERLINK("CALLTO:%2B356%209947%204736", "+356 9947 4736"))</f>
        <v>+356 9947 4736</v>
      </c>
      <c r="E3" s="5" t="s">
        <v>5383</v>
      </c>
      <c r="F3" s="5" t="s">
        <v>5385</v>
      </c>
    </row>
    <row r="4" spans="1:6" x14ac:dyDescent="0.3">
      <c r="A4" s="2" t="s">
        <v>5367</v>
      </c>
      <c r="B4" s="2" t="s">
        <v>3034</v>
      </c>
      <c r="C4" s="3" t="s">
        <v>3037</v>
      </c>
      <c r="D4" s="2" t="str">
        <f>CONCATENATE(HYPERLINK("CALLTO:%2B356%202144%207379", "+356 2144 7379"))</f>
        <v>+356 2144 7379</v>
      </c>
      <c r="E4" s="3" t="s">
        <v>3040</v>
      </c>
      <c r="F4" s="3" t="s">
        <v>3043</v>
      </c>
    </row>
    <row r="5" spans="1:6" x14ac:dyDescent="0.3">
      <c r="A5" s="4" t="s">
        <v>5367</v>
      </c>
      <c r="B5" s="4" t="s">
        <v>3081</v>
      </c>
      <c r="C5" s="5" t="s">
        <v>3108</v>
      </c>
      <c r="D5" s="4" t="str">
        <f>CONCATENATE(HYPERLINK("CALLTO:%2B356%209942%202632", "+356 9942 2632"))</f>
        <v>+356 9942 2632</v>
      </c>
      <c r="E5" s="5" t="s">
        <v>3136</v>
      </c>
      <c r="F5" s="5" t="s">
        <v>3142</v>
      </c>
    </row>
  </sheetData>
  <hyperlinks>
    <hyperlink ref="C2" r:id="rId1" tooltip="Send a mail to info@hirisegroup.com.mt" xr:uid="{00000000-0004-0000-5C00-000000000000}"/>
    <hyperlink ref="C3" r:id="rId2" tooltip="Send a mail to info@farrugiagroup.com" xr:uid="{00000000-0004-0000-5C00-000001000000}"/>
    <hyperlink ref="C4" r:id="rId3" tooltip="Send a mail to tuttoparquetmalta@gmail.com" xr:uid="{00000000-0004-0000-5C00-000002000000}"/>
    <hyperlink ref="C5" r:id="rId4" tooltip="Send a mail to showtiles@gmail.com" xr:uid="{00000000-0004-0000-5C00-000003000000}"/>
    <hyperlink ref="E2" r:id="rId5" tooltip="Search Tal-Ħandaq, Qormi, Malta on Google Maps" xr:uid="{00000000-0004-0000-5C00-000004000000}"/>
    <hyperlink ref="E3" r:id="rId6" tooltip="Search Farrugia Woodworks_x000a_60 Ta’ Magi Industrial Park Triq San Leonardu ,_x000a_Xghajra, Malta on Google Maps" xr:uid="{00000000-0004-0000-5C00-000005000000}"/>
    <hyperlink ref="E4" r:id="rId7" tooltip="Search 10, Triq Dun Karm_x000a_Birkirkara, Malta on Google Maps" xr:uid="{00000000-0004-0000-5C00-000006000000}"/>
    <hyperlink ref="E5" r:id="rId8" tooltip="Search 78, Triq San Pawl NXR 4016 Naxxar, Malta on Google Maps" xr:uid="{00000000-0004-0000-5C00-000007000000}"/>
    <hyperlink ref="F2" r:id="rId9" tooltip="Visit facebook.com/mtrefurbishing/" xr:uid="{00000000-0004-0000-5C00-000008000000}"/>
    <hyperlink ref="F3" r:id="rId10" tooltip="Visit yellow.com.mt/farrugia-woodworks/furniture/" xr:uid="{00000000-0004-0000-5C00-000009000000}"/>
    <hyperlink ref="F4" r:id="rId11" tooltip="Visit tuttoparquetmalta.com/index.html" xr:uid="{00000000-0004-0000-5C00-00000A000000}"/>
    <hyperlink ref="F5" r:id="rId12" tooltip="Visit facebook.com/showtilesnaxxar/" xr:uid="{00000000-0004-0000-5C00-00000B000000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Fibreglass</vt:lpstr>
      <vt:lpstr>Extractors</vt:lpstr>
      <vt:lpstr>Handyman</vt:lpstr>
      <vt:lpstr>Electricians</vt:lpstr>
      <vt:lpstr>Carpenters</vt:lpstr>
      <vt:lpstr>Second Hand Car Dealers</vt:lpstr>
      <vt:lpstr>Archaeological Monitors</vt:lpstr>
      <vt:lpstr>Maltese Balconies</vt:lpstr>
      <vt:lpstr>Wall Mounted Speakers</vt:lpstr>
      <vt:lpstr>Hardware</vt:lpstr>
      <vt:lpstr>Laser</vt:lpstr>
      <vt:lpstr>Surveyors</vt:lpstr>
      <vt:lpstr>Car Scrapping</vt:lpstr>
      <vt:lpstr>Sills</vt:lpstr>
      <vt:lpstr>Waterproofing</vt:lpstr>
      <vt:lpstr>Surface finishes</vt:lpstr>
      <vt:lpstr>Terrazzo Slabs</vt:lpstr>
      <vt:lpstr>Washing Machines</vt:lpstr>
      <vt:lpstr>Tumble Dryer</vt:lpstr>
      <vt:lpstr>Gypsum</vt:lpstr>
      <vt:lpstr>Cubicle Partitions</vt:lpstr>
      <vt:lpstr>Site Clearance</vt:lpstr>
      <vt:lpstr>Industrial Shelving</vt:lpstr>
      <vt:lpstr>multysensory room</vt:lpstr>
      <vt:lpstr>Bathroom</vt:lpstr>
      <vt:lpstr>Jacuzzi</vt:lpstr>
      <vt:lpstr>Bedroom</vt:lpstr>
      <vt:lpstr>Kitchen</vt:lpstr>
      <vt:lpstr>Wall Panels</vt:lpstr>
      <vt:lpstr>Office</vt:lpstr>
      <vt:lpstr>Office Tables</vt:lpstr>
      <vt:lpstr>Living Room</vt:lpstr>
      <vt:lpstr>Storage Units</vt:lpstr>
      <vt:lpstr>Custom Furniture</vt:lpstr>
      <vt:lpstr>Garden </vt:lpstr>
      <vt:lpstr>Outdoor Furniture</vt:lpstr>
      <vt:lpstr>Wallpapers</vt:lpstr>
      <vt:lpstr>Trimwork</vt:lpstr>
      <vt:lpstr>House Decor</vt:lpstr>
      <vt:lpstr>Business Cards</vt:lpstr>
      <vt:lpstr>Laundry room</vt:lpstr>
      <vt:lpstr>Window Films</vt:lpstr>
      <vt:lpstr>Blinds</vt:lpstr>
      <vt:lpstr>Systems </vt:lpstr>
      <vt:lpstr>Water tank</vt:lpstr>
      <vt:lpstr>STO</vt:lpstr>
      <vt:lpstr>MEP Services</vt:lpstr>
      <vt:lpstr>Lifts</vt:lpstr>
      <vt:lpstr>Flooring</vt:lpstr>
      <vt:lpstr>Tilers</vt:lpstr>
      <vt:lpstr>Tiles</vt:lpstr>
      <vt:lpstr>Seamless flooring </vt:lpstr>
      <vt:lpstr>Resin Flooring</vt:lpstr>
      <vt:lpstr>Epoxy Flooring</vt:lpstr>
      <vt:lpstr>Vinyl Flooring</vt:lpstr>
      <vt:lpstr>Underfloor Heating</vt:lpstr>
      <vt:lpstr>Floor Levelling</vt:lpstr>
      <vt:lpstr>Garage doors</vt:lpstr>
      <vt:lpstr>BBQ</vt:lpstr>
      <vt:lpstr>Alum Apertures</vt:lpstr>
      <vt:lpstr>Aluminum</vt:lpstr>
      <vt:lpstr>Skylight</vt:lpstr>
      <vt:lpstr>Timber Apertures</vt:lpstr>
      <vt:lpstr>PVC Appertures</vt:lpstr>
      <vt:lpstr>uPVC Apertures</vt:lpstr>
      <vt:lpstr>Pocket Doors &amp; Sliding Doors</vt:lpstr>
      <vt:lpstr>Restoration</vt:lpstr>
      <vt:lpstr>Cherry Pickers</vt:lpstr>
      <vt:lpstr>Turnkey Companies</vt:lpstr>
      <vt:lpstr>Construction</vt:lpstr>
      <vt:lpstr>Electrical &amp; Plumbing</vt:lpstr>
      <vt:lpstr>Lighting</vt:lpstr>
      <vt:lpstr>Scaffolding</vt:lpstr>
      <vt:lpstr>Awnings &amp; Pergolas</vt:lpstr>
      <vt:lpstr>Doors</vt:lpstr>
      <vt:lpstr>Marble suppliers </vt:lpstr>
      <vt:lpstr>Pocket doors</vt:lpstr>
      <vt:lpstr>Internal doors </vt:lpstr>
      <vt:lpstr>Air conditioners</vt:lpstr>
      <vt:lpstr>Outdoor decking</vt:lpstr>
      <vt:lpstr>Raised flooring</vt:lpstr>
      <vt:lpstr>Iglus </vt:lpstr>
      <vt:lpstr>T Beams</vt:lpstr>
      <vt:lpstr>Plotters </vt:lpstr>
      <vt:lpstr>3D Rendering Services</vt:lpstr>
      <vt:lpstr>Sign Makers</vt:lpstr>
      <vt:lpstr>Stone suppliers</vt:lpstr>
      <vt:lpstr>Plasterers</vt:lpstr>
      <vt:lpstr>Microcement</vt:lpstr>
      <vt:lpstr>Insulation</vt:lpstr>
      <vt:lpstr>Metal works </vt:lpstr>
      <vt:lpstr>Glass</vt:lpstr>
      <vt:lpstr>Wood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Holzkaemper Fabio</cp:lastModifiedBy>
  <dcterms:created xsi:type="dcterms:W3CDTF">2026-07-14T09:37:22Z</dcterms:created>
  <dcterms:modified xsi:type="dcterms:W3CDTF">2026-07-14T09:41:01Z</dcterms:modified>
</cp:coreProperties>
</file>